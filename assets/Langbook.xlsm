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name" sheetId="2" r:id="rId2"/>
    <sheet name="img" sheetId="3" r:id="rId3"/>
    <sheet name="templete" sheetId="4" r:id="rId4"/>
  </sheets>
  <functionGroups builtInGroupCount="18"/>
  <definedNames>
    <definedName name="_xlnm._FilterDatabase" localSheetId="0" hidden="1">talk!$A$1:$L$1572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571" i="1" l="1"/>
  <c r="H1572" i="1"/>
  <c r="H1540" i="1"/>
  <c r="H1543" i="1"/>
  <c r="H1546" i="1"/>
  <c r="H1547" i="1"/>
  <c r="H1549" i="1"/>
  <c r="H1551" i="1"/>
  <c r="H1553" i="1"/>
  <c r="H1555" i="1"/>
  <c r="H1557" i="1"/>
  <c r="H1559" i="1"/>
  <c r="H1484" i="1"/>
  <c r="H1485" i="1"/>
  <c r="H1487" i="1"/>
  <c r="H1489" i="1"/>
  <c r="H1493" i="1"/>
  <c r="H1495" i="1"/>
  <c r="H1497" i="1"/>
  <c r="H1501" i="1"/>
  <c r="H1505" i="1"/>
  <c r="H1507" i="1"/>
  <c r="H1509" i="1"/>
  <c r="H1510" i="1"/>
  <c r="H1513" i="1"/>
  <c r="H1516" i="1"/>
  <c r="E1572" i="1"/>
  <c r="E1571" i="1"/>
  <c r="H1569" i="1"/>
  <c r="E1569" i="1"/>
  <c r="H1567" i="1"/>
  <c r="E1567" i="1"/>
  <c r="H1565" i="1"/>
  <c r="E1565" i="1"/>
  <c r="H1563" i="1"/>
  <c r="E1563" i="1"/>
  <c r="H1561" i="1"/>
  <c r="E1561" i="1"/>
  <c r="E1559" i="1"/>
  <c r="E1557" i="1"/>
  <c r="E1555" i="1"/>
  <c r="E1553" i="1"/>
  <c r="E1551" i="1"/>
  <c r="E1549" i="1"/>
  <c r="E1547" i="1"/>
  <c r="E1546" i="1"/>
  <c r="E1543" i="1"/>
  <c r="F1540" i="1"/>
  <c r="E1540" i="1"/>
  <c r="H1537" i="1"/>
  <c r="E1537" i="1"/>
  <c r="H1534" i="1"/>
  <c r="E1534" i="1"/>
  <c r="H1531" i="1"/>
  <c r="E1531" i="1"/>
  <c r="F1530" i="1"/>
  <c r="H1528" i="1"/>
  <c r="F1528" i="1"/>
  <c r="E1528" i="1"/>
  <c r="H1525" i="1"/>
  <c r="E1525" i="1"/>
  <c r="H1522" i="1"/>
  <c r="E1522" i="1"/>
  <c r="H1519" i="1"/>
  <c r="E1519" i="1"/>
  <c r="E1516" i="1"/>
  <c r="E1513" i="1"/>
  <c r="F1512" i="1"/>
  <c r="F1511" i="1"/>
  <c r="E1510" i="1"/>
  <c r="F1542" i="1"/>
  <c r="F1568" i="1"/>
  <c r="F1560" i="1"/>
  <c r="F1556" i="1"/>
  <c r="F1518" i="1"/>
  <c r="F1552" i="1"/>
  <c r="F1516" i="1"/>
  <c r="F1548" i="1"/>
  <c r="E1485" i="1"/>
  <c r="E1484" i="1"/>
  <c r="C1484" i="1"/>
  <c r="C1485" i="1" s="1"/>
  <c r="C1486" i="1" s="1"/>
  <c r="C1487" i="1" s="1"/>
  <c r="C1488" i="1" s="1"/>
  <c r="C1489" i="1" s="1"/>
  <c r="C1490" i="1" s="1"/>
  <c r="C1491" i="1" s="1"/>
  <c r="C1492" i="1" s="1"/>
  <c r="C1493" i="1" s="1"/>
  <c r="C1494" i="1" s="1"/>
  <c r="C1495" i="1" s="1"/>
  <c r="C1496" i="1" s="1"/>
  <c r="C1497" i="1" s="1"/>
  <c r="C1498" i="1" s="1"/>
  <c r="C1499" i="1" s="1"/>
  <c r="C1500" i="1" s="1"/>
  <c r="C1501" i="1" s="1"/>
  <c r="C1502" i="1" s="1"/>
  <c r="C1503" i="1" s="1"/>
  <c r="C1504" i="1" s="1"/>
  <c r="C1505" i="1" s="1"/>
  <c r="C1506" i="1" s="1"/>
  <c r="C1507" i="1" s="1"/>
  <c r="C1508" i="1" s="1"/>
  <c r="C1509" i="1" s="1"/>
  <c r="C1510" i="1" s="1"/>
  <c r="C1511" i="1" s="1"/>
  <c r="C1512" i="1" s="1"/>
  <c r="C1513" i="1" s="1"/>
  <c r="C1514" i="1" s="1"/>
  <c r="C1515" i="1" s="1"/>
  <c r="C1516" i="1" s="1"/>
  <c r="C1517" i="1" s="1"/>
  <c r="C1518" i="1" s="1"/>
  <c r="C1519" i="1" s="1"/>
  <c r="C1520" i="1" s="1"/>
  <c r="C1521" i="1" s="1"/>
  <c r="C1522" i="1" s="1"/>
  <c r="C1523" i="1" s="1"/>
  <c r="H1483" i="1"/>
  <c r="E1483" i="1"/>
  <c r="H1373" i="1"/>
  <c r="H1374" i="1"/>
  <c r="H1376" i="1"/>
  <c r="H1378" i="1"/>
  <c r="H1380" i="1"/>
  <c r="H1384" i="1"/>
  <c r="H1388" i="1"/>
  <c r="H1390" i="1"/>
  <c r="H1398" i="1"/>
  <c r="H1400" i="1"/>
  <c r="H1404" i="1"/>
  <c r="H1405" i="1"/>
  <c r="H1408" i="1"/>
  <c r="H1411" i="1"/>
  <c r="H1414" i="1"/>
  <c r="H1417" i="1"/>
  <c r="H1420" i="1"/>
  <c r="H1423" i="1"/>
  <c r="H1426" i="1"/>
  <c r="H1429" i="1"/>
  <c r="H1432" i="1"/>
  <c r="H1435" i="1"/>
  <c r="H1438" i="1"/>
  <c r="H1441" i="1"/>
  <c r="H1444" i="1"/>
  <c r="H1447" i="1"/>
  <c r="H1450" i="1"/>
  <c r="H1451" i="1"/>
  <c r="H1453" i="1"/>
  <c r="H1455" i="1"/>
  <c r="H1457" i="1"/>
  <c r="H1459" i="1"/>
  <c r="H1461" i="1"/>
  <c r="H1463" i="1"/>
  <c r="H1465" i="1"/>
  <c r="H1467" i="1"/>
  <c r="H1469" i="1"/>
  <c r="H1471" i="1"/>
  <c r="H1473" i="1"/>
  <c r="H1475" i="1"/>
  <c r="H1477" i="1"/>
  <c r="H1479" i="1"/>
  <c r="H1481" i="1"/>
  <c r="H1482" i="1"/>
  <c r="E1482" i="1"/>
  <c r="E1481" i="1"/>
  <c r="E1479" i="1"/>
  <c r="E1477" i="1"/>
  <c r="E1475" i="1"/>
  <c r="E1473" i="1"/>
  <c r="E1471" i="1"/>
  <c r="E1469" i="1"/>
  <c r="E1467" i="1"/>
  <c r="E1465" i="1"/>
  <c r="E1463" i="1"/>
  <c r="E1461" i="1"/>
  <c r="E1459" i="1"/>
  <c r="E1457" i="1"/>
  <c r="E1455" i="1"/>
  <c r="E1453" i="1"/>
  <c r="E1451" i="1"/>
  <c r="E1450" i="1"/>
  <c r="E1447" i="1"/>
  <c r="E1444" i="1"/>
  <c r="E1441" i="1"/>
  <c r="D1440" i="1"/>
  <c r="H1440" i="1" s="1"/>
  <c r="E1438" i="1"/>
  <c r="E1435" i="1"/>
  <c r="E1432" i="1"/>
  <c r="E1429" i="1"/>
  <c r="D1428" i="1"/>
  <c r="E1428" i="1" s="1"/>
  <c r="E1426" i="1"/>
  <c r="E1423" i="1"/>
  <c r="E1420" i="1"/>
  <c r="E1417" i="1"/>
  <c r="E1414" i="1"/>
  <c r="E1411" i="1"/>
  <c r="E1408" i="1"/>
  <c r="E1405" i="1"/>
  <c r="E1404" i="1"/>
  <c r="D1449" i="1"/>
  <c r="H1449" i="1" s="1"/>
  <c r="D1403" i="1"/>
  <c r="D1480" i="1" s="1"/>
  <c r="H1480" i="1" s="1"/>
  <c r="E1400" i="1"/>
  <c r="D1443" i="1"/>
  <c r="H1443" i="1" s="1"/>
  <c r="D1399" i="1"/>
  <c r="E1399" i="1" s="1"/>
  <c r="E1398" i="1"/>
  <c r="D1397" i="1"/>
  <c r="E1390" i="1"/>
  <c r="D1389" i="1"/>
  <c r="D1466" i="1" s="1"/>
  <c r="E1466" i="1" s="1"/>
  <c r="E1388" i="1"/>
  <c r="D1425" i="1"/>
  <c r="H1425" i="1" s="1"/>
  <c r="E1374" i="1"/>
  <c r="E1373" i="1"/>
  <c r="C1373" i="1"/>
  <c r="C1374" i="1" s="1"/>
  <c r="C1375" i="1" s="1"/>
  <c r="C1376" i="1" s="1"/>
  <c r="C1377" i="1" s="1"/>
  <c r="C1378" i="1" s="1"/>
  <c r="C1379" i="1" s="1"/>
  <c r="C1380" i="1" s="1"/>
  <c r="C1381" i="1" s="1"/>
  <c r="C1382" i="1" s="1"/>
  <c r="C1383" i="1" s="1"/>
  <c r="C1384" i="1" s="1"/>
  <c r="C1385" i="1" s="1"/>
  <c r="C1386" i="1" s="1"/>
  <c r="C1387" i="1" s="1"/>
  <c r="C1388" i="1" s="1"/>
  <c r="C1389" i="1" s="1"/>
  <c r="C1390" i="1" s="1"/>
  <c r="C1391" i="1" s="1"/>
  <c r="C1392" i="1" s="1"/>
  <c r="C1393" i="1" s="1"/>
  <c r="C1394" i="1" s="1"/>
  <c r="C1395" i="1" s="1"/>
  <c r="C1396" i="1" s="1"/>
  <c r="C1397" i="1" s="1"/>
  <c r="C1398" i="1" s="1"/>
  <c r="C1399" i="1" s="1"/>
  <c r="C1400" i="1" s="1"/>
  <c r="C1401" i="1" s="1"/>
  <c r="C1402" i="1" s="1"/>
  <c r="C1403" i="1" s="1"/>
  <c r="C1404" i="1" s="1"/>
  <c r="C1405" i="1" s="1"/>
  <c r="C1406" i="1" s="1"/>
  <c r="C1407" i="1" s="1"/>
  <c r="C1408" i="1" s="1"/>
  <c r="C1409" i="1" s="1"/>
  <c r="C1410" i="1" s="1"/>
  <c r="C1411" i="1" s="1"/>
  <c r="C1412" i="1" s="1"/>
  <c r="C1413" i="1" s="1"/>
  <c r="C1414" i="1" s="1"/>
  <c r="C1415" i="1" s="1"/>
  <c r="C1416" i="1" s="1"/>
  <c r="C1417" i="1" s="1"/>
  <c r="C1418" i="1" s="1"/>
  <c r="C1419" i="1" s="1"/>
  <c r="C1420" i="1" s="1"/>
  <c r="C1421" i="1" s="1"/>
  <c r="C1422" i="1" s="1"/>
  <c r="C1423" i="1" s="1"/>
  <c r="C1424" i="1" s="1"/>
  <c r="C1425" i="1" s="1"/>
  <c r="C1426" i="1" s="1"/>
  <c r="C1427" i="1" s="1"/>
  <c r="C1428" i="1" s="1"/>
  <c r="C1429" i="1" s="1"/>
  <c r="C1430" i="1" s="1"/>
  <c r="C1431" i="1" s="1"/>
  <c r="C1432" i="1" s="1"/>
  <c r="C1433" i="1" s="1"/>
  <c r="C1434" i="1" s="1"/>
  <c r="C1435" i="1" s="1"/>
  <c r="C1436" i="1" s="1"/>
  <c r="C1437" i="1" s="1"/>
  <c r="C1438" i="1" s="1"/>
  <c r="C1439" i="1" s="1"/>
  <c r="C1440" i="1" s="1"/>
  <c r="C1441" i="1" s="1"/>
  <c r="C1442" i="1" s="1"/>
  <c r="C1443" i="1" s="1"/>
  <c r="C1444" i="1" s="1"/>
  <c r="C1445" i="1" s="1"/>
  <c r="C1446" i="1" s="1"/>
  <c r="C1447" i="1" s="1"/>
  <c r="C1448" i="1" s="1"/>
  <c r="C1449" i="1" s="1"/>
  <c r="C1450" i="1" s="1"/>
  <c r="C1451" i="1" s="1"/>
  <c r="C1452" i="1" s="1"/>
  <c r="C1453" i="1" s="1"/>
  <c r="C1454" i="1" s="1"/>
  <c r="C1455" i="1" s="1"/>
  <c r="C1456" i="1" s="1"/>
  <c r="C1457" i="1" s="1"/>
  <c r="C1458" i="1" s="1"/>
  <c r="C1459" i="1" s="1"/>
  <c r="C1460" i="1" s="1"/>
  <c r="C1461" i="1" s="1"/>
  <c r="C1462" i="1" s="1"/>
  <c r="C1463" i="1" s="1"/>
  <c r="C1464" i="1" s="1"/>
  <c r="C1465" i="1" s="1"/>
  <c r="C1466" i="1" s="1"/>
  <c r="C1467" i="1" s="1"/>
  <c r="C1468" i="1" s="1"/>
  <c r="C1469" i="1" s="1"/>
  <c r="C1470" i="1" s="1"/>
  <c r="C1471" i="1" s="1"/>
  <c r="C1472" i="1" s="1"/>
  <c r="C1473" i="1" s="1"/>
  <c r="C1474" i="1" s="1"/>
  <c r="C1475" i="1" s="1"/>
  <c r="C1476" i="1" s="1"/>
  <c r="C1477" i="1" s="1"/>
  <c r="C1478" i="1" s="1"/>
  <c r="C1479" i="1" s="1"/>
  <c r="C1480" i="1" s="1"/>
  <c r="C1481" i="1" s="1"/>
  <c r="C1482" i="1" s="1"/>
  <c r="H1372" i="1"/>
  <c r="E1372"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53" i="1"/>
  <c r="H1061" i="1"/>
  <c r="H1063" i="1"/>
  <c r="H1064" i="1"/>
  <c r="H1067" i="1"/>
  <c r="H1070" i="1"/>
  <c r="H1073" i="1"/>
  <c r="H1076" i="1"/>
  <c r="H1079" i="1"/>
  <c r="H1082" i="1"/>
  <c r="H1085" i="1"/>
  <c r="H1088" i="1"/>
  <c r="H1091" i="1"/>
  <c r="H1094" i="1"/>
  <c r="H1097" i="1"/>
  <c r="H1098" i="1"/>
  <c r="H1100" i="1"/>
  <c r="H1102" i="1"/>
  <c r="H1104" i="1"/>
  <c r="H1106" i="1"/>
  <c r="H1108" i="1"/>
  <c r="H1110" i="1"/>
  <c r="H1112" i="1"/>
  <c r="H1114" i="1"/>
  <c r="H1116" i="1"/>
  <c r="H1118" i="1"/>
  <c r="H1120" i="1"/>
  <c r="H1121" i="1"/>
  <c r="H1122" i="1"/>
  <c r="H1123" i="1"/>
  <c r="H1124" i="1"/>
  <c r="H1130" i="1"/>
  <c r="H1134" i="1"/>
  <c r="H1138" i="1"/>
  <c r="H1142" i="1"/>
  <c r="H1148" i="1"/>
  <c r="H1154" i="1"/>
  <c r="H1156" i="1"/>
  <c r="H1158" i="1"/>
  <c r="H1160" i="1"/>
  <c r="H1161" i="1"/>
  <c r="H1164" i="1"/>
  <c r="H1167" i="1"/>
  <c r="H1170" i="1"/>
  <c r="H1173" i="1"/>
  <c r="H1176" i="1"/>
  <c r="H1179" i="1"/>
  <c r="H1182" i="1"/>
  <c r="H1185" i="1"/>
  <c r="H1188" i="1"/>
  <c r="H1191" i="1"/>
  <c r="H1194" i="1"/>
  <c r="H1197" i="1"/>
  <c r="H1200" i="1"/>
  <c r="H1203" i="1"/>
  <c r="H1206" i="1"/>
  <c r="H1209" i="1"/>
  <c r="H1212" i="1"/>
  <c r="H1215" i="1"/>
  <c r="H1216" i="1"/>
  <c r="H1218" i="1"/>
  <c r="H1220" i="1"/>
  <c r="H1222" i="1"/>
  <c r="H1224" i="1"/>
  <c r="H1226" i="1"/>
  <c r="H1228" i="1"/>
  <c r="H1230" i="1"/>
  <c r="H1232" i="1"/>
  <c r="H1234" i="1"/>
  <c r="H1236" i="1"/>
  <c r="H1238" i="1"/>
  <c r="H1240" i="1"/>
  <c r="H1242" i="1"/>
  <c r="H1244" i="1"/>
  <c r="H1246" i="1"/>
  <c r="H1248" i="1"/>
  <c r="H1250" i="1"/>
  <c r="H1252" i="1"/>
  <c r="H1253" i="1"/>
  <c r="H1254" i="1"/>
  <c r="H1255" i="1"/>
  <c r="H1256" i="1"/>
  <c r="H1257" i="1"/>
  <c r="H1258" i="1"/>
  <c r="H1262" i="1"/>
  <c r="H1264" i="1"/>
  <c r="H1266" i="1"/>
  <c r="H1274" i="1"/>
  <c r="H1278" i="1"/>
  <c r="H1284" i="1"/>
  <c r="H1288" i="1"/>
  <c r="H1289" i="1"/>
  <c r="H1292" i="1"/>
  <c r="H1295" i="1"/>
  <c r="H1298" i="1"/>
  <c r="H1301" i="1"/>
  <c r="H1304" i="1"/>
  <c r="H1307" i="1"/>
  <c r="H1310" i="1"/>
  <c r="H1313" i="1"/>
  <c r="H1316" i="1"/>
  <c r="H1319" i="1"/>
  <c r="H1322" i="1"/>
  <c r="H1325" i="1"/>
  <c r="H1328" i="1"/>
  <c r="H1331" i="1"/>
  <c r="H1334" i="1"/>
  <c r="H1337" i="1"/>
  <c r="H1338" i="1"/>
  <c r="H1340" i="1"/>
  <c r="H1342" i="1"/>
  <c r="H1344" i="1"/>
  <c r="H1346" i="1"/>
  <c r="H1348" i="1"/>
  <c r="H1350" i="1"/>
  <c r="H1352" i="1"/>
  <c r="H1354" i="1"/>
  <c r="H1356" i="1"/>
  <c r="H1358" i="1"/>
  <c r="H1360" i="1"/>
  <c r="H1362" i="1"/>
  <c r="H1364" i="1"/>
  <c r="H1366" i="1"/>
  <c r="H1368" i="1"/>
  <c r="H1370" i="1"/>
  <c r="H1371" i="1"/>
  <c r="E1371" i="1"/>
  <c r="E1370" i="1"/>
  <c r="E1368" i="1"/>
  <c r="E1366" i="1"/>
  <c r="E1364" i="1"/>
  <c r="E1362" i="1"/>
  <c r="E1360" i="1"/>
  <c r="E1358" i="1"/>
  <c r="E1356" i="1"/>
  <c r="E1354" i="1"/>
  <c r="E1352" i="1"/>
  <c r="E1350" i="1"/>
  <c r="E1348" i="1"/>
  <c r="E1346" i="1"/>
  <c r="E1344" i="1"/>
  <c r="E1342" i="1"/>
  <c r="E1340" i="1"/>
  <c r="E1338" i="1"/>
  <c r="E1337" i="1"/>
  <c r="E1334" i="1"/>
  <c r="E1331" i="1"/>
  <c r="E1328" i="1"/>
  <c r="E1325" i="1"/>
  <c r="E1322" i="1"/>
  <c r="E1319" i="1"/>
  <c r="E1316" i="1"/>
  <c r="E1313" i="1"/>
  <c r="E1310" i="1"/>
  <c r="E1307" i="1"/>
  <c r="E1304" i="1"/>
  <c r="E1301" i="1"/>
  <c r="E1298" i="1"/>
  <c r="E1295" i="1"/>
  <c r="E1292" i="1"/>
  <c r="E1289" i="1"/>
  <c r="E1256" i="1"/>
  <c r="E1255" i="1"/>
  <c r="C1255" i="1"/>
  <c r="C1256" i="1" s="1"/>
  <c r="C1257" i="1" s="1"/>
  <c r="C1258" i="1" s="1"/>
  <c r="C1259" i="1" s="1"/>
  <c r="C1260" i="1" s="1"/>
  <c r="C1261" i="1" s="1"/>
  <c r="C1262" i="1" s="1"/>
  <c r="C1263" i="1" s="1"/>
  <c r="C1264" i="1" s="1"/>
  <c r="C1265" i="1" s="1"/>
  <c r="C1266" i="1" s="1"/>
  <c r="C1267" i="1" s="1"/>
  <c r="C1268" i="1" s="1"/>
  <c r="C1269" i="1" s="1"/>
  <c r="C1270" i="1" s="1"/>
  <c r="C1271" i="1" s="1"/>
  <c r="C1272" i="1" s="1"/>
  <c r="C1273" i="1" s="1"/>
  <c r="C1274" i="1" s="1"/>
  <c r="C1275" i="1" s="1"/>
  <c r="C1276" i="1" s="1"/>
  <c r="C1277" i="1" s="1"/>
  <c r="C1278" i="1" s="1"/>
  <c r="C1279" i="1" s="1"/>
  <c r="C1280" i="1" s="1"/>
  <c r="C1281" i="1" s="1"/>
  <c r="C1282" i="1" s="1"/>
  <c r="C1283" i="1" s="1"/>
  <c r="C1284" i="1" s="1"/>
  <c r="C1285" i="1" s="1"/>
  <c r="C1286" i="1" s="1"/>
  <c r="C1287" i="1" s="1"/>
  <c r="C1288" i="1" s="1"/>
  <c r="C1289" i="1" s="1"/>
  <c r="C1290" i="1" s="1"/>
  <c r="C1291" i="1" s="1"/>
  <c r="C1292" i="1" s="1"/>
  <c r="C1293" i="1" s="1"/>
  <c r="C1294" i="1" s="1"/>
  <c r="C1295" i="1" s="1"/>
  <c r="C1296" i="1" s="1"/>
  <c r="C1297" i="1" s="1"/>
  <c r="C1298" i="1" s="1"/>
  <c r="C1299" i="1" s="1"/>
  <c r="C1300" i="1" s="1"/>
  <c r="C1301" i="1" s="1"/>
  <c r="C1302" i="1" s="1"/>
  <c r="C1303" i="1" s="1"/>
  <c r="C1304" i="1" s="1"/>
  <c r="C1305" i="1" s="1"/>
  <c r="C1306" i="1" s="1"/>
  <c r="C1307" i="1" s="1"/>
  <c r="C1308" i="1" s="1"/>
  <c r="C1309" i="1" s="1"/>
  <c r="C1310" i="1" s="1"/>
  <c r="C1311" i="1" s="1"/>
  <c r="C1312" i="1" s="1"/>
  <c r="C1313" i="1" s="1"/>
  <c r="C1314" i="1" s="1"/>
  <c r="C1315" i="1" s="1"/>
  <c r="C1316" i="1" s="1"/>
  <c r="C1317" i="1" s="1"/>
  <c r="C1318" i="1" s="1"/>
  <c r="C1319" i="1" s="1"/>
  <c r="C1320" i="1" s="1"/>
  <c r="C1321" i="1" s="1"/>
  <c r="C1322" i="1" s="1"/>
  <c r="C1323" i="1" s="1"/>
  <c r="C1324" i="1" s="1"/>
  <c r="C1325" i="1" s="1"/>
  <c r="C1326" i="1" s="1"/>
  <c r="C1327" i="1" s="1"/>
  <c r="C1328" i="1" s="1"/>
  <c r="C1329" i="1" s="1"/>
  <c r="C1330" i="1" s="1"/>
  <c r="C1331" i="1" s="1"/>
  <c r="C1332" i="1" s="1"/>
  <c r="C1333" i="1" s="1"/>
  <c r="C1334" i="1" s="1"/>
  <c r="C1335" i="1" s="1"/>
  <c r="C1336" i="1" s="1"/>
  <c r="C1337" i="1" s="1"/>
  <c r="C1338" i="1" s="1"/>
  <c r="C1339" i="1" s="1"/>
  <c r="C1340" i="1" s="1"/>
  <c r="C1341" i="1" s="1"/>
  <c r="C1342" i="1" s="1"/>
  <c r="C1343" i="1" s="1"/>
  <c r="C1344" i="1" s="1"/>
  <c r="C1345" i="1" s="1"/>
  <c r="C1346" i="1" s="1"/>
  <c r="C1347" i="1" s="1"/>
  <c r="C1348" i="1" s="1"/>
  <c r="C1349" i="1" s="1"/>
  <c r="C1350" i="1" s="1"/>
  <c r="C1351" i="1" s="1"/>
  <c r="C1352" i="1" s="1"/>
  <c r="C1353" i="1" s="1"/>
  <c r="C1354" i="1" s="1"/>
  <c r="C1355" i="1" s="1"/>
  <c r="C1356" i="1" s="1"/>
  <c r="C1357" i="1" s="1"/>
  <c r="C1358" i="1" s="1"/>
  <c r="C1359" i="1" s="1"/>
  <c r="C1360" i="1" s="1"/>
  <c r="C1361" i="1" s="1"/>
  <c r="C1362" i="1" s="1"/>
  <c r="C1363" i="1" s="1"/>
  <c r="C1364" i="1" s="1"/>
  <c r="C1365" i="1" s="1"/>
  <c r="C1366" i="1" s="1"/>
  <c r="C1367" i="1" s="1"/>
  <c r="C1368" i="1" s="1"/>
  <c r="C1369" i="1" s="1"/>
  <c r="C1370" i="1" s="1"/>
  <c r="C1371" i="1" s="1"/>
  <c r="E1254" i="1"/>
  <c r="E1216" i="1"/>
  <c r="E1253" i="1"/>
  <c r="F1248" i="1"/>
  <c r="F1240" i="1"/>
  <c r="F1232" i="1"/>
  <c r="F1212" i="1"/>
  <c r="F1169" i="1"/>
  <c r="F1167" i="1"/>
  <c r="F1166" i="1"/>
  <c r="F1164" i="1"/>
  <c r="F1163" i="1"/>
  <c r="E1161" i="1"/>
  <c r="F1215" i="1"/>
  <c r="F1244" i="1"/>
  <c r="F1236" i="1"/>
  <c r="F1180" i="1"/>
  <c r="F1174" i="1"/>
  <c r="F1221" i="1"/>
  <c r="F1220" i="1"/>
  <c r="F1219" i="1"/>
  <c r="F1218" i="1"/>
  <c r="F1217" i="1"/>
  <c r="E1124" i="1"/>
  <c r="E1123" i="1"/>
  <c r="C1123" i="1"/>
  <c r="C1124" i="1" s="1"/>
  <c r="C1125" i="1" s="1"/>
  <c r="C1126" i="1" s="1"/>
  <c r="C1127" i="1" s="1"/>
  <c r="C1128" i="1" s="1"/>
  <c r="C1129" i="1" s="1"/>
  <c r="C1130" i="1" s="1"/>
  <c r="C1131" i="1" s="1"/>
  <c r="C1132" i="1" s="1"/>
  <c r="C1133" i="1" s="1"/>
  <c r="C1134" i="1" s="1"/>
  <c r="C1135" i="1" s="1"/>
  <c r="C1136" i="1" s="1"/>
  <c r="C1137" i="1" s="1"/>
  <c r="C1138" i="1" s="1"/>
  <c r="C1139" i="1" s="1"/>
  <c r="C1140" i="1" s="1"/>
  <c r="C1141" i="1" s="1"/>
  <c r="C1142" i="1" s="1"/>
  <c r="C1143" i="1" s="1"/>
  <c r="C1144" i="1" s="1"/>
  <c r="C1145" i="1" s="1"/>
  <c r="C1146" i="1" s="1"/>
  <c r="C1147" i="1" s="1"/>
  <c r="C1148" i="1" s="1"/>
  <c r="C1149" i="1" s="1"/>
  <c r="C1150" i="1" s="1"/>
  <c r="C1151" i="1" s="1"/>
  <c r="C1152" i="1" s="1"/>
  <c r="C1153" i="1" s="1"/>
  <c r="C1154" i="1" s="1"/>
  <c r="C1155" i="1" s="1"/>
  <c r="C1156" i="1" s="1"/>
  <c r="C1157" i="1" s="1"/>
  <c r="C1158" i="1" s="1"/>
  <c r="C1159" i="1" s="1"/>
  <c r="C1160" i="1" s="1"/>
  <c r="C1161" i="1" s="1"/>
  <c r="C1162" i="1" s="1"/>
  <c r="C1163" i="1" s="1"/>
  <c r="C1164" i="1" s="1"/>
  <c r="C1165" i="1" s="1"/>
  <c r="C1166" i="1" s="1"/>
  <c r="C1167" i="1" s="1"/>
  <c r="C1168" i="1" s="1"/>
  <c r="C1169" i="1" s="1"/>
  <c r="C1170" i="1" s="1"/>
  <c r="C1171" i="1" s="1"/>
  <c r="C1172" i="1" s="1"/>
  <c r="C1173" i="1" s="1"/>
  <c r="C1174" i="1" s="1"/>
  <c r="C1175" i="1" s="1"/>
  <c r="C1176" i="1" s="1"/>
  <c r="C1177" i="1" s="1"/>
  <c r="C1178" i="1" s="1"/>
  <c r="C1179" i="1" s="1"/>
  <c r="C1180" i="1" s="1"/>
  <c r="C1181" i="1" s="1"/>
  <c r="C1182" i="1" s="1"/>
  <c r="C1183" i="1" s="1"/>
  <c r="C1184" i="1" s="1"/>
  <c r="C1185" i="1" s="1"/>
  <c r="C1186" i="1" s="1"/>
  <c r="C1187" i="1" s="1"/>
  <c r="C1188" i="1" s="1"/>
  <c r="C1189" i="1" s="1"/>
  <c r="C1190" i="1" s="1"/>
  <c r="C1191" i="1" s="1"/>
  <c r="C1192" i="1" s="1"/>
  <c r="C1193" i="1" s="1"/>
  <c r="C1194" i="1" s="1"/>
  <c r="C1195" i="1" s="1"/>
  <c r="C1196" i="1" s="1"/>
  <c r="C1197" i="1" s="1"/>
  <c r="C1198" i="1" s="1"/>
  <c r="C1199" i="1" s="1"/>
  <c r="C1200" i="1" s="1"/>
  <c r="C1201" i="1" s="1"/>
  <c r="C1202" i="1" s="1"/>
  <c r="C1203" i="1" s="1"/>
  <c r="C1204" i="1" s="1"/>
  <c r="C1205" i="1" s="1"/>
  <c r="C1206" i="1" s="1"/>
  <c r="C1207" i="1" s="1"/>
  <c r="C1208" i="1" s="1"/>
  <c r="C1209" i="1" s="1"/>
  <c r="C1210" i="1" s="1"/>
  <c r="C1211" i="1" s="1"/>
  <c r="C1212" i="1" s="1"/>
  <c r="C1213" i="1" s="1"/>
  <c r="C1214" i="1" s="1"/>
  <c r="C1215" i="1" s="1"/>
  <c r="C1216" i="1" s="1"/>
  <c r="C1217" i="1" s="1"/>
  <c r="E1122" i="1"/>
  <c r="F878" i="1"/>
  <c r="F858" i="1"/>
  <c r="F4" i="4"/>
  <c r="F85" i="4"/>
  <c r="F1064" i="1"/>
  <c r="D1101" i="1"/>
  <c r="H1101" i="1" s="1"/>
  <c r="D1103" i="1"/>
  <c r="H1103" i="1" s="1"/>
  <c r="D1099" i="1"/>
  <c r="H1099" i="1" s="1"/>
  <c r="D1096" i="1"/>
  <c r="H1096" i="1" s="1"/>
  <c r="D1093" i="1"/>
  <c r="H1093" i="1" s="1"/>
  <c r="D1081" i="1"/>
  <c r="H1081" i="1" s="1"/>
  <c r="D1072" i="1"/>
  <c r="H1072" i="1" s="1"/>
  <c r="D1071" i="1"/>
  <c r="H1071" i="1" s="1"/>
  <c r="D1069" i="1"/>
  <c r="H1069" i="1" s="1"/>
  <c r="D1068" i="1"/>
  <c r="H1068" i="1" s="1"/>
  <c r="D1066" i="1"/>
  <c r="H1066" i="1" s="1"/>
  <c r="D1065" i="1"/>
  <c r="H1065" i="1" s="1"/>
  <c r="C1524" i="1" l="1"/>
  <c r="C1525" i="1" s="1"/>
  <c r="C1526" i="1" s="1"/>
  <c r="C1527" i="1" s="1"/>
  <c r="C1528" i="1" s="1"/>
  <c r="C1529" i="1" s="1"/>
  <c r="C1530" i="1" s="1"/>
  <c r="C1531" i="1" s="1"/>
  <c r="C1532" i="1" s="1"/>
  <c r="C1533" i="1" s="1"/>
  <c r="C1534" i="1" s="1"/>
  <c r="C1535" i="1" s="1"/>
  <c r="C1536" i="1" s="1"/>
  <c r="C1537" i="1" s="1"/>
  <c r="C1538" i="1" s="1"/>
  <c r="C1539" i="1" s="1"/>
  <c r="C1540" i="1" s="1"/>
  <c r="H1428" i="1"/>
  <c r="H1466" i="1"/>
  <c r="F1541" i="1"/>
  <c r="F1529" i="1"/>
  <c r="D1474" i="1"/>
  <c r="H1474" i="1" s="1"/>
  <c r="H1397" i="1"/>
  <c r="H1403" i="1"/>
  <c r="H1399" i="1"/>
  <c r="H1389" i="1"/>
  <c r="F1517" i="1"/>
  <c r="F1549" i="1"/>
  <c r="F1513" i="1"/>
  <c r="F1550" i="1"/>
  <c r="F1514" i="1"/>
  <c r="F1551" i="1"/>
  <c r="F1515" i="1"/>
  <c r="F1553" i="1"/>
  <c r="F1519" i="1"/>
  <c r="F1554" i="1"/>
  <c r="F1520" i="1"/>
  <c r="F1555" i="1"/>
  <c r="F1521" i="1"/>
  <c r="F1557" i="1"/>
  <c r="F1525" i="1"/>
  <c r="F1558" i="1"/>
  <c r="F1526" i="1"/>
  <c r="F1559" i="1"/>
  <c r="F1527" i="1"/>
  <c r="F1561" i="1"/>
  <c r="F1531" i="1"/>
  <c r="F1562" i="1"/>
  <c r="F1532" i="1"/>
  <c r="F1563" i="1"/>
  <c r="F1533" i="1"/>
  <c r="F1534" i="1"/>
  <c r="F1564" i="1"/>
  <c r="F1535" i="1"/>
  <c r="F1565" i="1"/>
  <c r="F1536" i="1"/>
  <c r="F1537" i="1"/>
  <c r="F1566" i="1"/>
  <c r="F1538" i="1"/>
  <c r="F1567" i="1"/>
  <c r="F1539" i="1"/>
  <c r="F1569" i="1"/>
  <c r="F1543" i="1"/>
  <c r="F1570" i="1"/>
  <c r="F1544" i="1"/>
  <c r="F1571" i="1"/>
  <c r="F1545" i="1"/>
  <c r="F1546" i="1"/>
  <c r="F1522" i="1"/>
  <c r="F1523" i="1"/>
  <c r="F1524" i="1"/>
  <c r="D1402" i="1"/>
  <c r="H1402" i="1" s="1"/>
  <c r="D1396" i="1"/>
  <c r="E1396" i="1" s="1"/>
  <c r="D1448" i="1"/>
  <c r="H1448" i="1" s="1"/>
  <c r="E1403" i="1"/>
  <c r="E1397" i="1"/>
  <c r="E1389" i="1"/>
  <c r="E1425" i="1"/>
  <c r="D1387" i="1"/>
  <c r="H1387" i="1" s="1"/>
  <c r="E1449" i="1"/>
  <c r="E1440" i="1"/>
  <c r="E1474" i="1"/>
  <c r="D1476" i="1"/>
  <c r="H1476" i="1" s="1"/>
  <c r="D1442" i="1"/>
  <c r="H1442" i="1" s="1"/>
  <c r="E1480" i="1"/>
  <c r="D1439" i="1"/>
  <c r="H1439" i="1" s="1"/>
  <c r="D1427" i="1"/>
  <c r="H1427" i="1" s="1"/>
  <c r="E1443" i="1"/>
  <c r="C1218" i="1"/>
  <c r="C1219" i="1" s="1"/>
  <c r="C1220" i="1" s="1"/>
  <c r="C1221" i="1" s="1"/>
  <c r="C1222" i="1" s="1"/>
  <c r="C1223" i="1" s="1"/>
  <c r="C1224" i="1" s="1"/>
  <c r="C1225" i="1" s="1"/>
  <c r="C1226" i="1" s="1"/>
  <c r="C1227" i="1" s="1"/>
  <c r="C1228" i="1" s="1"/>
  <c r="C1229" i="1" s="1"/>
  <c r="C1230" i="1" s="1"/>
  <c r="C1231" i="1" s="1"/>
  <c r="C1232" i="1" s="1"/>
  <c r="C1233" i="1" s="1"/>
  <c r="C1234" i="1" s="1"/>
  <c r="C1235" i="1" s="1"/>
  <c r="C1236" i="1" s="1"/>
  <c r="C1237" i="1" s="1"/>
  <c r="C1238" i="1" s="1"/>
  <c r="C1239" i="1" s="1"/>
  <c r="C1240" i="1" s="1"/>
  <c r="C1241" i="1" s="1"/>
  <c r="C1242" i="1" s="1"/>
  <c r="C1243" i="1" s="1"/>
  <c r="C1244" i="1" s="1"/>
  <c r="C1245" i="1" s="1"/>
  <c r="C1246" i="1" s="1"/>
  <c r="C1247" i="1" s="1"/>
  <c r="C1248" i="1" s="1"/>
  <c r="C1249" i="1" s="1"/>
  <c r="C1250" i="1" s="1"/>
  <c r="C1251" i="1" s="1"/>
  <c r="C1252" i="1" s="1"/>
  <c r="C1253" i="1" s="1"/>
  <c r="F1225" i="1"/>
  <c r="F1168" i="1"/>
  <c r="F1165" i="1"/>
  <c r="F1162" i="1"/>
  <c r="F1252" i="1"/>
  <c r="F1222" i="1"/>
  <c r="F1170" i="1"/>
  <c r="F1223" i="1"/>
  <c r="F1171" i="1"/>
  <c r="F1224" i="1"/>
  <c r="F1173" i="1"/>
  <c r="F1172" i="1"/>
  <c r="F1226" i="1"/>
  <c r="F1176" i="1"/>
  <c r="F1175" i="1"/>
  <c r="F1227" i="1"/>
  <c r="F1177" i="1"/>
  <c r="F1228" i="1"/>
  <c r="F1179" i="1"/>
  <c r="F1178" i="1"/>
  <c r="F1182" i="1"/>
  <c r="F1181" i="1"/>
  <c r="F1230" i="1"/>
  <c r="F1231" i="1"/>
  <c r="F1183" i="1"/>
  <c r="F1185" i="1"/>
  <c r="F1184" i="1"/>
  <c r="F1233" i="1"/>
  <c r="F1186" i="1"/>
  <c r="F1188" i="1"/>
  <c r="F1187" i="1"/>
  <c r="F1234" i="1"/>
  <c r="F1235" i="1"/>
  <c r="F1189" i="1"/>
  <c r="F1191" i="1"/>
  <c r="F1190" i="1"/>
  <c r="F1237" i="1"/>
  <c r="F1192" i="1"/>
  <c r="F1194" i="1"/>
  <c r="F1193" i="1"/>
  <c r="F1238" i="1"/>
  <c r="F1239" i="1"/>
  <c r="F1195" i="1"/>
  <c r="F1197" i="1"/>
  <c r="F1196" i="1"/>
  <c r="F1241" i="1"/>
  <c r="F1198" i="1"/>
  <c r="F1200" i="1"/>
  <c r="F1199" i="1"/>
  <c r="F1242" i="1"/>
  <c r="F1243" i="1"/>
  <c r="F1201" i="1"/>
  <c r="F1203" i="1"/>
  <c r="F1202" i="1"/>
  <c r="F1245" i="1"/>
  <c r="F1204" i="1"/>
  <c r="F1206" i="1"/>
  <c r="F1205" i="1"/>
  <c r="F1246" i="1"/>
  <c r="F1247" i="1"/>
  <c r="F1207" i="1"/>
  <c r="F1209" i="1"/>
  <c r="F1208" i="1"/>
  <c r="F1249" i="1"/>
  <c r="F1210" i="1"/>
  <c r="F1211" i="1"/>
  <c r="F1250" i="1"/>
  <c r="F1251" i="1"/>
  <c r="F1213" i="1"/>
  <c r="F1214" i="1"/>
  <c r="F1229" i="1"/>
  <c r="D209" i="4"/>
  <c r="D211" i="4"/>
  <c r="H211" i="4" s="1"/>
  <c r="D213" i="4"/>
  <c r="D215" i="4"/>
  <c r="H215" i="4" s="1"/>
  <c r="D217" i="4"/>
  <c r="D219" i="4"/>
  <c r="H219" i="4" s="1"/>
  <c r="D221" i="4"/>
  <c r="D223" i="4"/>
  <c r="H223" i="4" s="1"/>
  <c r="D225" i="4"/>
  <c r="D227" i="4"/>
  <c r="H227" i="4" s="1"/>
  <c r="D229" i="4"/>
  <c r="D231" i="4"/>
  <c r="H231" i="4" s="1"/>
  <c r="D233" i="4"/>
  <c r="D235" i="4"/>
  <c r="H235" i="4" s="1"/>
  <c r="D237" i="4"/>
  <c r="D239" i="4"/>
  <c r="H239" i="4" s="1"/>
  <c r="D241" i="4"/>
  <c r="D243" i="4"/>
  <c r="H243" i="4" s="1"/>
  <c r="D245" i="4"/>
  <c r="D247" i="4"/>
  <c r="H247" i="4" s="1"/>
  <c r="D249" i="4"/>
  <c r="D251" i="4"/>
  <c r="H251" i="4" s="1"/>
  <c r="D253" i="4"/>
  <c r="D255" i="4"/>
  <c r="H255" i="4" s="1"/>
  <c r="D257" i="4"/>
  <c r="D259" i="4"/>
  <c r="H259" i="4" s="1"/>
  <c r="D261" i="4"/>
  <c r="D263" i="4"/>
  <c r="H263" i="4" s="1"/>
  <c r="D265" i="4"/>
  <c r="D267" i="4"/>
  <c r="H267" i="4" s="1"/>
  <c r="D269" i="4"/>
  <c r="D271" i="4"/>
  <c r="H271" i="4" s="1"/>
  <c r="D273" i="4"/>
  <c r="D275" i="4"/>
  <c r="H275" i="4" s="1"/>
  <c r="D277" i="4"/>
  <c r="D279" i="4"/>
  <c r="H279" i="4" s="1"/>
  <c r="D281" i="4"/>
  <c r="D283" i="4"/>
  <c r="H283" i="4" s="1"/>
  <c r="D285" i="4"/>
  <c r="D207" i="4"/>
  <c r="D204" i="4"/>
  <c r="D203" i="4"/>
  <c r="D201" i="4"/>
  <c r="D200" i="4"/>
  <c r="D198" i="4"/>
  <c r="D197" i="4"/>
  <c r="D195" i="4"/>
  <c r="D194" i="4"/>
  <c r="D192" i="4"/>
  <c r="D191" i="4"/>
  <c r="D189" i="4"/>
  <c r="D188" i="4"/>
  <c r="D186" i="4"/>
  <c r="D185" i="4"/>
  <c r="D183" i="4"/>
  <c r="H183" i="4" s="1"/>
  <c r="D182" i="4"/>
  <c r="D180" i="4"/>
  <c r="D179" i="4"/>
  <c r="H179" i="4" s="1"/>
  <c r="D177" i="4"/>
  <c r="D176" i="4"/>
  <c r="H175" i="4"/>
  <c r="D174" i="4"/>
  <c r="D173" i="4"/>
  <c r="D171" i="4"/>
  <c r="H171" i="4" s="1"/>
  <c r="D170" i="4"/>
  <c r="D168" i="4"/>
  <c r="D167" i="4"/>
  <c r="H167" i="4" s="1"/>
  <c r="D165" i="4"/>
  <c r="D164" i="4"/>
  <c r="H163" i="4"/>
  <c r="D162" i="4"/>
  <c r="D161" i="4"/>
  <c r="D159" i="4"/>
  <c r="H159" i="4" s="1"/>
  <c r="D158" i="4"/>
  <c r="D156" i="4"/>
  <c r="D155" i="4"/>
  <c r="H155" i="4" s="1"/>
  <c r="D153" i="4"/>
  <c r="D152" i="4"/>
  <c r="H151" i="4"/>
  <c r="D150" i="4"/>
  <c r="D149" i="4"/>
  <c r="D147" i="4"/>
  <c r="H147" i="4" s="1"/>
  <c r="D146" i="4"/>
  <c r="D144" i="4"/>
  <c r="D143" i="4"/>
  <c r="H143" i="4" s="1"/>
  <c r="D141" i="4"/>
  <c r="D140" i="4"/>
  <c r="H139" i="4"/>
  <c r="D138" i="4"/>
  <c r="D137" i="4"/>
  <c r="D135" i="4"/>
  <c r="H135" i="4" s="1"/>
  <c r="D134" i="4"/>
  <c r="D132" i="4"/>
  <c r="D131" i="4"/>
  <c r="H131" i="4" s="1"/>
  <c r="D129" i="4"/>
  <c r="D128" i="4"/>
  <c r="H127" i="4"/>
  <c r="D126" i="4"/>
  <c r="D125" i="4"/>
  <c r="D123" i="4"/>
  <c r="H123" i="4" s="1"/>
  <c r="D122" i="4"/>
  <c r="D120" i="4"/>
  <c r="D119" i="4"/>
  <c r="H119" i="4" s="1"/>
  <c r="D117" i="4"/>
  <c r="D116" i="4"/>
  <c r="H115" i="4"/>
  <c r="D114" i="4"/>
  <c r="D113" i="4"/>
  <c r="D111" i="4"/>
  <c r="H111" i="4" s="1"/>
  <c r="D110" i="4"/>
  <c r="D108" i="4"/>
  <c r="D107" i="4"/>
  <c r="H107" i="4" s="1"/>
  <c r="D105" i="4"/>
  <c r="D104" i="4"/>
  <c r="H103" i="4"/>
  <c r="D102" i="4"/>
  <c r="D101" i="4"/>
  <c r="D99" i="4"/>
  <c r="H99" i="4" s="1"/>
  <c r="D98" i="4"/>
  <c r="D96" i="4"/>
  <c r="D95" i="4"/>
  <c r="H95" i="4" s="1"/>
  <c r="D93" i="4"/>
  <c r="D92" i="4"/>
  <c r="H91" i="4"/>
  <c r="D90" i="4"/>
  <c r="D89" i="4"/>
  <c r="D87" i="4"/>
  <c r="H87" i="4" s="1"/>
  <c r="D86" i="4"/>
  <c r="D83" i="4"/>
  <c r="D82" i="4" s="1"/>
  <c r="F205" i="4"/>
  <c r="E1121" i="1"/>
  <c r="E1120" i="1"/>
  <c r="E1118" i="1"/>
  <c r="E1110" i="1"/>
  <c r="E1104" i="1"/>
  <c r="E1103" i="1"/>
  <c r="E1102" i="1"/>
  <c r="E1101" i="1"/>
  <c r="F1100" i="1"/>
  <c r="E1100" i="1"/>
  <c r="F1099" i="1"/>
  <c r="E1099" i="1"/>
  <c r="E1098" i="1"/>
  <c r="E1097" i="1"/>
  <c r="E1096" i="1"/>
  <c r="E1094" i="1"/>
  <c r="E1093" i="1"/>
  <c r="E1082" i="1"/>
  <c r="E1081" i="1"/>
  <c r="E1073" i="1"/>
  <c r="E1072" i="1"/>
  <c r="E1071" i="1"/>
  <c r="E1070" i="1"/>
  <c r="E1069" i="1"/>
  <c r="E1068" i="1"/>
  <c r="F1067" i="1"/>
  <c r="E1067" i="1"/>
  <c r="F1066" i="1"/>
  <c r="E1066" i="1"/>
  <c r="F1065" i="1"/>
  <c r="E1065" i="1"/>
  <c r="E1064" i="1"/>
  <c r="E1047" i="1"/>
  <c r="E1046" i="1"/>
  <c r="E1045" i="1"/>
  <c r="E1044" i="1"/>
  <c r="E1043" i="1"/>
  <c r="E1042" i="1"/>
  <c r="F1041" i="1"/>
  <c r="E1041" i="1"/>
  <c r="E1040" i="1"/>
  <c r="C1040" i="1"/>
  <c r="C1041" i="1" s="1"/>
  <c r="C1042" i="1" s="1"/>
  <c r="C1043" i="1" s="1"/>
  <c r="C1044" i="1" s="1"/>
  <c r="C1045" i="1" s="1"/>
  <c r="C1046" i="1" s="1"/>
  <c r="C1047" i="1" s="1"/>
  <c r="C1048" i="1" s="1"/>
  <c r="C1049" i="1" s="1"/>
  <c r="C1050" i="1" s="1"/>
  <c r="C1051" i="1" s="1"/>
  <c r="C1052" i="1" s="1"/>
  <c r="C1053" i="1" s="1"/>
  <c r="C1054" i="1" s="1"/>
  <c r="C1055" i="1" s="1"/>
  <c r="C1056" i="1" s="1"/>
  <c r="C1057" i="1" s="1"/>
  <c r="C1058" i="1" s="1"/>
  <c r="C1059" i="1" s="1"/>
  <c r="C1060" i="1" s="1"/>
  <c r="C1061" i="1" s="1"/>
  <c r="C1062" i="1" s="1"/>
  <c r="C1063" i="1" s="1"/>
  <c r="C1064" i="1" s="1"/>
  <c r="C1065" i="1" s="1"/>
  <c r="C1066" i="1" s="1"/>
  <c r="C1067" i="1" s="1"/>
  <c r="C1068" i="1" s="1"/>
  <c r="C1069" i="1" s="1"/>
  <c r="C1070" i="1" s="1"/>
  <c r="C1071" i="1" s="1"/>
  <c r="C1072" i="1" s="1"/>
  <c r="C1073" i="1" s="1"/>
  <c r="C1074" i="1" s="1"/>
  <c r="C1075" i="1" s="1"/>
  <c r="C1076" i="1" s="1"/>
  <c r="C1077" i="1" s="1"/>
  <c r="C1078" i="1" s="1"/>
  <c r="C1079" i="1" s="1"/>
  <c r="C1080" i="1" s="1"/>
  <c r="C1081" i="1" s="1"/>
  <c r="C1082" i="1" s="1"/>
  <c r="C1083" i="1" s="1"/>
  <c r="C1084" i="1" s="1"/>
  <c r="C1085" i="1" s="1"/>
  <c r="C1086" i="1" s="1"/>
  <c r="C1087" i="1" s="1"/>
  <c r="C1088" i="1" s="1"/>
  <c r="C1089" i="1" s="1"/>
  <c r="C1090" i="1" s="1"/>
  <c r="C1091" i="1" s="1"/>
  <c r="C1092" i="1" s="1"/>
  <c r="C1093" i="1" s="1"/>
  <c r="C1094" i="1" s="1"/>
  <c r="C1095" i="1" s="1"/>
  <c r="C1096" i="1" s="1"/>
  <c r="C1097" i="1" s="1"/>
  <c r="C1098" i="1" s="1"/>
  <c r="C1099" i="1" s="1"/>
  <c r="C1100" i="1" s="1"/>
  <c r="C1101" i="1" s="1"/>
  <c r="C1102" i="1" s="1"/>
  <c r="C1103" i="1" s="1"/>
  <c r="C1104" i="1" s="1"/>
  <c r="C1105" i="1" s="1"/>
  <c r="C1106" i="1" s="1"/>
  <c r="C1107" i="1" s="1"/>
  <c r="C1108" i="1" s="1"/>
  <c r="C1109" i="1" s="1"/>
  <c r="C1110" i="1" s="1"/>
  <c r="C1111" i="1" s="1"/>
  <c r="C1112" i="1" s="1"/>
  <c r="C1113" i="1" s="1"/>
  <c r="C1114" i="1" s="1"/>
  <c r="C1115" i="1" s="1"/>
  <c r="C1116" i="1" s="1"/>
  <c r="C1117" i="1" s="1"/>
  <c r="C1118" i="1" s="1"/>
  <c r="C1119" i="1" s="1"/>
  <c r="C1120" i="1" s="1"/>
  <c r="C1121" i="1" s="1"/>
  <c r="E1039" i="1"/>
  <c r="G205" i="4"/>
  <c r="H205" i="4"/>
  <c r="G206" i="4"/>
  <c r="H206" i="4"/>
  <c r="A206" i="4"/>
  <c r="B206" i="4"/>
  <c r="B207" i="4" s="1"/>
  <c r="B208" i="4" s="1"/>
  <c r="B209" i="4" s="1"/>
  <c r="B210" i="4" s="1"/>
  <c r="B211" i="4" s="1"/>
  <c r="B212" i="4" s="1"/>
  <c r="B213" i="4" s="1"/>
  <c r="B214" i="4" s="1"/>
  <c r="B215" i="4" s="1"/>
  <c r="B216" i="4" s="1"/>
  <c r="B217" i="4" s="1"/>
  <c r="B218" i="4" s="1"/>
  <c r="B219" i="4" s="1"/>
  <c r="B220" i="4" s="1"/>
  <c r="B221" i="4" s="1"/>
  <c r="B222" i="4" s="1"/>
  <c r="B223" i="4" s="1"/>
  <c r="B224" i="4" s="1"/>
  <c r="B225" i="4" s="1"/>
  <c r="B226" i="4" s="1"/>
  <c r="B227" i="4" s="1"/>
  <c r="B228" i="4" s="1"/>
  <c r="B229" i="4" s="1"/>
  <c r="B230" i="4" s="1"/>
  <c r="B231" i="4" s="1"/>
  <c r="B232" i="4" s="1"/>
  <c r="B233" i="4" s="1"/>
  <c r="B234" i="4" s="1"/>
  <c r="B235" i="4" s="1"/>
  <c r="B236" i="4" s="1"/>
  <c r="B237" i="4" s="1"/>
  <c r="B238" i="4" s="1"/>
  <c r="B239" i="4" s="1"/>
  <c r="B240" i="4" s="1"/>
  <c r="B241" i="4" s="1"/>
  <c r="B242" i="4" s="1"/>
  <c r="B243" i="4" s="1"/>
  <c r="B244" i="4" s="1"/>
  <c r="B245" i="4" s="1"/>
  <c r="B246" i="4" s="1"/>
  <c r="B247" i="4" s="1"/>
  <c r="B248" i="4" s="1"/>
  <c r="B249" i="4" s="1"/>
  <c r="B250" i="4" s="1"/>
  <c r="B251" i="4" s="1"/>
  <c r="B252" i="4" s="1"/>
  <c r="B253" i="4" s="1"/>
  <c r="B254" i="4" s="1"/>
  <c r="B255" i="4" s="1"/>
  <c r="B256" i="4" s="1"/>
  <c r="B257" i="4" s="1"/>
  <c r="B258" i="4" s="1"/>
  <c r="B259" i="4" s="1"/>
  <c r="B260" i="4" s="1"/>
  <c r="B261" i="4" s="1"/>
  <c r="B262" i="4" s="1"/>
  <c r="B263" i="4" s="1"/>
  <c r="B264" i="4" s="1"/>
  <c r="B265" i="4" s="1"/>
  <c r="B266" i="4" s="1"/>
  <c r="B267" i="4" s="1"/>
  <c r="B268" i="4" s="1"/>
  <c r="B269" i="4" s="1"/>
  <c r="B270" i="4" s="1"/>
  <c r="B271" i="4" s="1"/>
  <c r="B272" i="4" s="1"/>
  <c r="B273" i="4" s="1"/>
  <c r="B274" i="4" s="1"/>
  <c r="B275" i="4" s="1"/>
  <c r="B276" i="4" s="1"/>
  <c r="B277" i="4" s="1"/>
  <c r="B278" i="4" s="1"/>
  <c r="B279" i="4" s="1"/>
  <c r="B280" i="4" s="1"/>
  <c r="B281" i="4" s="1"/>
  <c r="B282" i="4" s="1"/>
  <c r="B283" i="4" s="1"/>
  <c r="B284" i="4" s="1"/>
  <c r="B285" i="4" s="1"/>
  <c r="B286" i="4" s="1"/>
  <c r="B287" i="4" s="1"/>
  <c r="C206" i="4"/>
  <c r="C207" i="4" s="1"/>
  <c r="C208" i="4" s="1"/>
  <c r="C209" i="4" s="1"/>
  <c r="C210" i="4" s="1"/>
  <c r="C211" i="4" s="1"/>
  <c r="C212" i="4" s="1"/>
  <c r="C213" i="4" s="1"/>
  <c r="C214" i="4" s="1"/>
  <c r="C215" i="4" s="1"/>
  <c r="C216" i="4" s="1"/>
  <c r="C217" i="4" s="1"/>
  <c r="C218" i="4" s="1"/>
  <c r="C219" i="4" s="1"/>
  <c r="C220" i="4" s="1"/>
  <c r="C221" i="4" s="1"/>
  <c r="C222" i="4" s="1"/>
  <c r="C223" i="4" s="1"/>
  <c r="C224" i="4" s="1"/>
  <c r="C225" i="4" s="1"/>
  <c r="C226" i="4" s="1"/>
  <c r="C227" i="4" s="1"/>
  <c r="C228" i="4" s="1"/>
  <c r="C229" i="4" s="1"/>
  <c r="C230" i="4" s="1"/>
  <c r="C231" i="4" s="1"/>
  <c r="C232" i="4" s="1"/>
  <c r="C233" i="4" s="1"/>
  <c r="C234" i="4" s="1"/>
  <c r="C235" i="4" s="1"/>
  <c r="C236" i="4" s="1"/>
  <c r="C237" i="4" s="1"/>
  <c r="C238" i="4" s="1"/>
  <c r="C239" i="4" s="1"/>
  <c r="C240" i="4" s="1"/>
  <c r="C241" i="4" s="1"/>
  <c r="C242" i="4" s="1"/>
  <c r="C243" i="4" s="1"/>
  <c r="C244" i="4" s="1"/>
  <c r="C245" i="4" s="1"/>
  <c r="C246" i="4" s="1"/>
  <c r="C247" i="4" s="1"/>
  <c r="C248" i="4" s="1"/>
  <c r="C249" i="4" s="1"/>
  <c r="C250" i="4" s="1"/>
  <c r="C251" i="4" s="1"/>
  <c r="C252" i="4" s="1"/>
  <c r="C253" i="4" s="1"/>
  <c r="C254" i="4" s="1"/>
  <c r="C255" i="4" s="1"/>
  <c r="C256" i="4" s="1"/>
  <c r="C257" i="4" s="1"/>
  <c r="C258" i="4" s="1"/>
  <c r="C259" i="4" s="1"/>
  <c r="C260" i="4" s="1"/>
  <c r="C261" i="4" s="1"/>
  <c r="C262" i="4" s="1"/>
  <c r="C263" i="4" s="1"/>
  <c r="C264" i="4" s="1"/>
  <c r="C265" i="4" s="1"/>
  <c r="C266" i="4" s="1"/>
  <c r="C267" i="4" s="1"/>
  <c r="C268" i="4" s="1"/>
  <c r="C269" i="4" s="1"/>
  <c r="C270" i="4" s="1"/>
  <c r="C271" i="4" s="1"/>
  <c r="C272" i="4" s="1"/>
  <c r="C273" i="4" s="1"/>
  <c r="C274" i="4" s="1"/>
  <c r="C275" i="4" s="1"/>
  <c r="C276" i="4" s="1"/>
  <c r="C277" i="4" s="1"/>
  <c r="C278" i="4" s="1"/>
  <c r="C279" i="4" s="1"/>
  <c r="C280" i="4" s="1"/>
  <c r="C281" i="4" s="1"/>
  <c r="C282" i="4" s="1"/>
  <c r="C283" i="4" s="1"/>
  <c r="C284" i="4" s="1"/>
  <c r="C285" i="4" s="1"/>
  <c r="C286" i="4" s="1"/>
  <c r="C287" i="4" s="1"/>
  <c r="A207" i="4"/>
  <c r="A208" i="4" s="1"/>
  <c r="A209" i="4" s="1"/>
  <c r="A210" i="4" s="1"/>
  <c r="A211" i="4" s="1"/>
  <c r="A212" i="4" s="1"/>
  <c r="A213" i="4" s="1"/>
  <c r="A214" i="4" s="1"/>
  <c r="A215" i="4" s="1"/>
  <c r="A216" i="4" s="1"/>
  <c r="A217" i="4" s="1"/>
  <c r="A218" i="4" s="1"/>
  <c r="A219" i="4" s="1"/>
  <c r="A220" i="4" s="1"/>
  <c r="A221" i="4" s="1"/>
  <c r="A222" i="4" s="1"/>
  <c r="A223" i="4" s="1"/>
  <c r="A224" i="4" s="1"/>
  <c r="A225" i="4" s="1"/>
  <c r="A226" i="4" s="1"/>
  <c r="A227" i="4" s="1"/>
  <c r="A228" i="4" s="1"/>
  <c r="A229" i="4" s="1"/>
  <c r="A230" i="4" s="1"/>
  <c r="A231" i="4" s="1"/>
  <c r="A232" i="4" s="1"/>
  <c r="A233" i="4" s="1"/>
  <c r="A234" i="4" s="1"/>
  <c r="A235" i="4" s="1"/>
  <c r="A236" i="4" s="1"/>
  <c r="A237" i="4" s="1"/>
  <c r="A238" i="4" s="1"/>
  <c r="A239" i="4" s="1"/>
  <c r="A240" i="4" s="1"/>
  <c r="A241" i="4" s="1"/>
  <c r="A242" i="4" s="1"/>
  <c r="A243" i="4" s="1"/>
  <c r="A244" i="4" s="1"/>
  <c r="A245" i="4" s="1"/>
  <c r="A246" i="4" s="1"/>
  <c r="A247" i="4" s="1"/>
  <c r="A248" i="4" s="1"/>
  <c r="A249" i="4" s="1"/>
  <c r="A250" i="4" s="1"/>
  <c r="A251" i="4" s="1"/>
  <c r="A252" i="4" s="1"/>
  <c r="A253" i="4" s="1"/>
  <c r="A254" i="4" s="1"/>
  <c r="A255" i="4" s="1"/>
  <c r="A256" i="4" s="1"/>
  <c r="A257" i="4" s="1"/>
  <c r="A258" i="4" s="1"/>
  <c r="A259" i="4" s="1"/>
  <c r="A260" i="4" s="1"/>
  <c r="A261" i="4" s="1"/>
  <c r="A262" i="4" s="1"/>
  <c r="A263" i="4" s="1"/>
  <c r="A264" i="4" s="1"/>
  <c r="A265" i="4" s="1"/>
  <c r="A266" i="4" s="1"/>
  <c r="A267" i="4" s="1"/>
  <c r="A268" i="4" s="1"/>
  <c r="A269" i="4" s="1"/>
  <c r="A270" i="4" s="1"/>
  <c r="A271" i="4" s="1"/>
  <c r="A272" i="4" s="1"/>
  <c r="A273" i="4" s="1"/>
  <c r="A274" i="4" s="1"/>
  <c r="A275" i="4" s="1"/>
  <c r="A276" i="4" s="1"/>
  <c r="A277" i="4" s="1"/>
  <c r="A278" i="4" s="1"/>
  <c r="A279" i="4" s="1"/>
  <c r="A280" i="4" s="1"/>
  <c r="A281" i="4" s="1"/>
  <c r="A282" i="4" s="1"/>
  <c r="A283" i="4" s="1"/>
  <c r="A284" i="4" s="1"/>
  <c r="A285" i="4" s="1"/>
  <c r="A286" i="4" s="1"/>
  <c r="A287" i="4" s="1"/>
  <c r="H83" i="4"/>
  <c r="H84" i="4"/>
  <c r="H85" i="4"/>
  <c r="H88" i="4"/>
  <c r="H89" i="4"/>
  <c r="H92" i="4"/>
  <c r="H93" i="4"/>
  <c r="H96" i="4"/>
  <c r="H97" i="4"/>
  <c r="H100" i="4"/>
  <c r="H101" i="4"/>
  <c r="H104" i="4"/>
  <c r="H105" i="4"/>
  <c r="H108" i="4"/>
  <c r="H109" i="4"/>
  <c r="H112" i="4"/>
  <c r="H113" i="4"/>
  <c r="H116" i="4"/>
  <c r="H117" i="4"/>
  <c r="H120" i="4"/>
  <c r="H121" i="4"/>
  <c r="H124" i="4"/>
  <c r="H125" i="4"/>
  <c r="H128" i="4"/>
  <c r="H129" i="4"/>
  <c r="H132" i="4"/>
  <c r="H133" i="4"/>
  <c r="H136" i="4"/>
  <c r="H137" i="4"/>
  <c r="H140" i="4"/>
  <c r="H141" i="4"/>
  <c r="H144" i="4"/>
  <c r="H145" i="4"/>
  <c r="H148" i="4"/>
  <c r="H149" i="4"/>
  <c r="H152" i="4"/>
  <c r="H153" i="4"/>
  <c r="H156" i="4"/>
  <c r="H157" i="4"/>
  <c r="H160" i="4"/>
  <c r="H161" i="4"/>
  <c r="H164" i="4"/>
  <c r="H165" i="4"/>
  <c r="H168" i="4"/>
  <c r="H169" i="4"/>
  <c r="H172" i="4"/>
  <c r="H173" i="4"/>
  <c r="H176" i="4"/>
  <c r="H177" i="4"/>
  <c r="H180" i="4"/>
  <c r="H181" i="4"/>
  <c r="H184" i="4"/>
  <c r="H185" i="4"/>
  <c r="H187" i="4"/>
  <c r="H188" i="4"/>
  <c r="H189" i="4"/>
  <c r="H191" i="4"/>
  <c r="H192" i="4"/>
  <c r="H193" i="4"/>
  <c r="H195" i="4"/>
  <c r="H196" i="4"/>
  <c r="H197" i="4"/>
  <c r="H199" i="4"/>
  <c r="H200" i="4"/>
  <c r="H201" i="4"/>
  <c r="H203" i="4"/>
  <c r="H204" i="4"/>
  <c r="H207" i="4"/>
  <c r="H208" i="4"/>
  <c r="H209" i="4"/>
  <c r="H210" i="4"/>
  <c r="H212" i="4"/>
  <c r="H213" i="4"/>
  <c r="H214" i="4"/>
  <c r="H216" i="4"/>
  <c r="H217" i="4"/>
  <c r="H218" i="4"/>
  <c r="H220" i="4"/>
  <c r="H221" i="4"/>
  <c r="H222" i="4"/>
  <c r="H224" i="4"/>
  <c r="H225" i="4"/>
  <c r="H226" i="4"/>
  <c r="H228" i="4"/>
  <c r="H229" i="4"/>
  <c r="H230" i="4"/>
  <c r="H232" i="4"/>
  <c r="H233" i="4"/>
  <c r="H234" i="4"/>
  <c r="H236" i="4"/>
  <c r="H237" i="4"/>
  <c r="H238" i="4"/>
  <c r="H240" i="4"/>
  <c r="H241" i="4"/>
  <c r="H242" i="4"/>
  <c r="H244" i="4"/>
  <c r="H245" i="4"/>
  <c r="H246" i="4"/>
  <c r="H248" i="4"/>
  <c r="H249" i="4"/>
  <c r="H250" i="4"/>
  <c r="H252" i="4"/>
  <c r="H253" i="4"/>
  <c r="H254" i="4"/>
  <c r="H256" i="4"/>
  <c r="H257" i="4"/>
  <c r="H258" i="4"/>
  <c r="H260" i="4"/>
  <c r="H261" i="4"/>
  <c r="H262" i="4"/>
  <c r="H264" i="4"/>
  <c r="H265" i="4"/>
  <c r="H266" i="4"/>
  <c r="H268" i="4"/>
  <c r="H269" i="4"/>
  <c r="H270" i="4"/>
  <c r="H272" i="4"/>
  <c r="H273" i="4"/>
  <c r="H274" i="4"/>
  <c r="H276" i="4"/>
  <c r="H277" i="4"/>
  <c r="H278" i="4"/>
  <c r="H280" i="4"/>
  <c r="H281" i="4"/>
  <c r="H282" i="4"/>
  <c r="H284" i="4"/>
  <c r="H285" i="4"/>
  <c r="H286" i="4"/>
  <c r="E135" i="4"/>
  <c r="E133" i="4"/>
  <c r="E132" i="4"/>
  <c r="E131" i="4"/>
  <c r="E129" i="4"/>
  <c r="E128" i="4"/>
  <c r="E127" i="4"/>
  <c r="E125" i="4"/>
  <c r="E124" i="4"/>
  <c r="E123" i="4"/>
  <c r="E121" i="4"/>
  <c r="E120" i="4"/>
  <c r="E119" i="4"/>
  <c r="E117" i="4"/>
  <c r="E116" i="4"/>
  <c r="E115" i="4"/>
  <c r="E113" i="4"/>
  <c r="E112" i="4"/>
  <c r="E111" i="4"/>
  <c r="E109" i="4"/>
  <c r="E108" i="4"/>
  <c r="E107" i="4"/>
  <c r="E105" i="4"/>
  <c r="E104" i="4"/>
  <c r="E103" i="4"/>
  <c r="E101" i="4"/>
  <c r="E100" i="4"/>
  <c r="E99" i="4"/>
  <c r="E97" i="4"/>
  <c r="E96" i="4"/>
  <c r="E95" i="4"/>
  <c r="E93" i="4"/>
  <c r="E92" i="4"/>
  <c r="E91" i="4"/>
  <c r="E89" i="4"/>
  <c r="E88" i="4"/>
  <c r="E87" i="4"/>
  <c r="E286" i="4"/>
  <c r="E285" i="4"/>
  <c r="E284" i="4"/>
  <c r="E282" i="4"/>
  <c r="E281" i="4"/>
  <c r="E280" i="4"/>
  <c r="E278" i="4"/>
  <c r="E277" i="4"/>
  <c r="E276" i="4"/>
  <c r="E274" i="4"/>
  <c r="E273" i="4"/>
  <c r="E272" i="4"/>
  <c r="E270" i="4"/>
  <c r="E269" i="4"/>
  <c r="E268" i="4"/>
  <c r="E266" i="4"/>
  <c r="E265" i="4"/>
  <c r="E264" i="4"/>
  <c r="E262" i="4"/>
  <c r="E261" i="4"/>
  <c r="E260" i="4"/>
  <c r="E258" i="4"/>
  <c r="E257" i="4"/>
  <c r="E256" i="4"/>
  <c r="E254" i="4"/>
  <c r="E253" i="4"/>
  <c r="E252" i="4"/>
  <c r="E250" i="4"/>
  <c r="E249" i="4"/>
  <c r="E248" i="4"/>
  <c r="E246" i="4"/>
  <c r="E245" i="4"/>
  <c r="E244" i="4"/>
  <c r="E242" i="4"/>
  <c r="E241" i="4"/>
  <c r="E240" i="4"/>
  <c r="E238" i="4"/>
  <c r="E237" i="4"/>
  <c r="E236" i="4"/>
  <c r="E234" i="4"/>
  <c r="E233" i="4"/>
  <c r="E232" i="4"/>
  <c r="E230" i="4"/>
  <c r="E229" i="4"/>
  <c r="E228" i="4"/>
  <c r="E226" i="4"/>
  <c r="E225" i="4"/>
  <c r="E224" i="4"/>
  <c r="E222" i="4"/>
  <c r="E221" i="4"/>
  <c r="E220" i="4"/>
  <c r="E218" i="4"/>
  <c r="E217" i="4"/>
  <c r="E216" i="4"/>
  <c r="E214" i="4"/>
  <c r="E213" i="4"/>
  <c r="E212" i="4"/>
  <c r="E210" i="4"/>
  <c r="E209" i="4"/>
  <c r="E208" i="4"/>
  <c r="E207" i="4"/>
  <c r="E205" i="4"/>
  <c r="E204" i="4"/>
  <c r="E203" i="4"/>
  <c r="E201" i="4"/>
  <c r="E200" i="4"/>
  <c r="E199" i="4"/>
  <c r="E197" i="4"/>
  <c r="E196" i="4"/>
  <c r="E195" i="4"/>
  <c r="E193" i="4"/>
  <c r="E192" i="4"/>
  <c r="E191" i="4"/>
  <c r="E189" i="4"/>
  <c r="E188" i="4"/>
  <c r="E187" i="4"/>
  <c r="E185" i="4"/>
  <c r="E184" i="4"/>
  <c r="E183" i="4"/>
  <c r="E181" i="4"/>
  <c r="E180" i="4"/>
  <c r="E179" i="4"/>
  <c r="E177" i="4"/>
  <c r="E176" i="4"/>
  <c r="E175" i="4"/>
  <c r="E173" i="4"/>
  <c r="E172" i="4"/>
  <c r="E171" i="4"/>
  <c r="E169" i="4"/>
  <c r="E168" i="4"/>
  <c r="E167" i="4"/>
  <c r="E165" i="4"/>
  <c r="E164" i="4"/>
  <c r="E163" i="4"/>
  <c r="E161" i="4"/>
  <c r="E160" i="4"/>
  <c r="E159" i="4"/>
  <c r="E157" i="4"/>
  <c r="E156" i="4"/>
  <c r="E155" i="4"/>
  <c r="E153" i="4"/>
  <c r="E152" i="4"/>
  <c r="E151" i="4"/>
  <c r="E149" i="4"/>
  <c r="E148" i="4"/>
  <c r="E147" i="4"/>
  <c r="E145" i="4"/>
  <c r="E144" i="4"/>
  <c r="E143" i="4"/>
  <c r="E141" i="4"/>
  <c r="E140" i="4"/>
  <c r="E139" i="4"/>
  <c r="E137" i="4"/>
  <c r="E136" i="4"/>
  <c r="E83" i="4"/>
  <c r="H3" i="4"/>
  <c r="H4" i="4"/>
  <c r="H287" i="4"/>
  <c r="H2" i="4"/>
  <c r="H929" i="1"/>
  <c r="H928" i="1"/>
  <c r="E1005" i="1"/>
  <c r="E1002" i="1"/>
  <c r="E999" i="1"/>
  <c r="E996" i="1"/>
  <c r="E993" i="1"/>
  <c r="E990" i="1"/>
  <c r="E987" i="1"/>
  <c r="E984" i="1"/>
  <c r="E981" i="1"/>
  <c r="E978" i="1"/>
  <c r="E975" i="1"/>
  <c r="E972" i="1"/>
  <c r="E969" i="1"/>
  <c r="E966" i="1"/>
  <c r="E963" i="1"/>
  <c r="E1037" i="1"/>
  <c r="E1036" i="1"/>
  <c r="E1035" i="1"/>
  <c r="E1034" i="1"/>
  <c r="E1033" i="1"/>
  <c r="E1032" i="1"/>
  <c r="E1031" i="1"/>
  <c r="E1030" i="1"/>
  <c r="E1029" i="1"/>
  <c r="E1028" i="1"/>
  <c r="E1027" i="1"/>
  <c r="E1026" i="1"/>
  <c r="E1025" i="1"/>
  <c r="E1024" i="1"/>
  <c r="E1023" i="1"/>
  <c r="E1022" i="1"/>
  <c r="E1021" i="1"/>
  <c r="E1020" i="1"/>
  <c r="E1019" i="1"/>
  <c r="E1018" i="1"/>
  <c r="E1017" i="1"/>
  <c r="E1016" i="1"/>
  <c r="E1015" i="1"/>
  <c r="E1014" i="1"/>
  <c r="E1013" i="1"/>
  <c r="E1012" i="1"/>
  <c r="E1011" i="1"/>
  <c r="E1010" i="1"/>
  <c r="E1009" i="1"/>
  <c r="E1008" i="1"/>
  <c r="E1006" i="1"/>
  <c r="E1004" i="1"/>
  <c r="E1003" i="1"/>
  <c r="E1001" i="1"/>
  <c r="E1000" i="1"/>
  <c r="E998" i="1"/>
  <c r="E997" i="1"/>
  <c r="E995" i="1"/>
  <c r="E994" i="1"/>
  <c r="E992" i="1"/>
  <c r="E991" i="1"/>
  <c r="E989" i="1"/>
  <c r="E988" i="1"/>
  <c r="E986" i="1"/>
  <c r="E985" i="1"/>
  <c r="E983" i="1"/>
  <c r="E982" i="1"/>
  <c r="E980" i="1"/>
  <c r="E979" i="1"/>
  <c r="E977" i="1"/>
  <c r="E976" i="1"/>
  <c r="E974" i="1"/>
  <c r="E973" i="1"/>
  <c r="E971" i="1"/>
  <c r="E970" i="1"/>
  <c r="E968" i="1"/>
  <c r="E967" i="1"/>
  <c r="E965" i="1"/>
  <c r="E964" i="1"/>
  <c r="E962" i="1"/>
  <c r="E950" i="1"/>
  <c r="E949" i="1"/>
  <c r="E942" i="1"/>
  <c r="E941" i="1"/>
  <c r="E959" i="1"/>
  <c r="E957" i="1"/>
  <c r="E955" i="1"/>
  <c r="E953" i="1"/>
  <c r="E951" i="1"/>
  <c r="E947" i="1"/>
  <c r="E945" i="1"/>
  <c r="E943" i="1"/>
  <c r="E939" i="1"/>
  <c r="E937" i="1"/>
  <c r="E935" i="1"/>
  <c r="E933" i="1"/>
  <c r="E931" i="1"/>
  <c r="E934" i="1"/>
  <c r="E936" i="1"/>
  <c r="E938" i="1"/>
  <c r="E940" i="1"/>
  <c r="E944" i="1"/>
  <c r="E946" i="1"/>
  <c r="E948" i="1"/>
  <c r="E952" i="1"/>
  <c r="E954" i="1"/>
  <c r="E956" i="1"/>
  <c r="E958" i="1"/>
  <c r="E960" i="1"/>
  <c r="E1038" i="1"/>
  <c r="E1007" i="1"/>
  <c r="E961" i="1"/>
  <c r="E932" i="1"/>
  <c r="E930" i="1"/>
  <c r="E929" i="1"/>
  <c r="C929" i="1"/>
  <c r="C930" i="1" s="1"/>
  <c r="C931" i="1" s="1"/>
  <c r="C932" i="1" s="1"/>
  <c r="C933" i="1" s="1"/>
  <c r="C934" i="1" s="1"/>
  <c r="C935" i="1" s="1"/>
  <c r="C936" i="1" s="1"/>
  <c r="C937" i="1" s="1"/>
  <c r="C938" i="1" s="1"/>
  <c r="C939" i="1" s="1"/>
  <c r="C940" i="1" s="1"/>
  <c r="C941" i="1" s="1"/>
  <c r="C942" i="1" s="1"/>
  <c r="C943" i="1" s="1"/>
  <c r="C944" i="1" s="1"/>
  <c r="C945" i="1" s="1"/>
  <c r="C946" i="1" s="1"/>
  <c r="C947" i="1" s="1"/>
  <c r="C948" i="1" s="1"/>
  <c r="C949" i="1" s="1"/>
  <c r="C950" i="1" s="1"/>
  <c r="C951" i="1" s="1"/>
  <c r="C952" i="1" s="1"/>
  <c r="C953" i="1" s="1"/>
  <c r="C954" i="1" s="1"/>
  <c r="C955" i="1" s="1"/>
  <c r="C956" i="1" s="1"/>
  <c r="C957" i="1" s="1"/>
  <c r="C958" i="1" s="1"/>
  <c r="C959" i="1" s="1"/>
  <c r="C960" i="1" s="1"/>
  <c r="C961" i="1" s="1"/>
  <c r="C962" i="1" s="1"/>
  <c r="C963" i="1" s="1"/>
  <c r="C964" i="1" s="1"/>
  <c r="C965" i="1" s="1"/>
  <c r="C966" i="1" s="1"/>
  <c r="C967" i="1" s="1"/>
  <c r="C968" i="1" s="1"/>
  <c r="C969" i="1" s="1"/>
  <c r="C970" i="1" s="1"/>
  <c r="C971" i="1" s="1"/>
  <c r="C972" i="1" s="1"/>
  <c r="C973" i="1" s="1"/>
  <c r="C974" i="1" s="1"/>
  <c r="C975" i="1" s="1"/>
  <c r="C976" i="1" s="1"/>
  <c r="C977" i="1" s="1"/>
  <c r="C978" i="1" s="1"/>
  <c r="C979" i="1" s="1"/>
  <c r="C980" i="1" s="1"/>
  <c r="C981" i="1" s="1"/>
  <c r="C982" i="1" s="1"/>
  <c r="C983" i="1" s="1"/>
  <c r="C984" i="1" s="1"/>
  <c r="C985" i="1" s="1"/>
  <c r="C986" i="1" s="1"/>
  <c r="C987" i="1" s="1"/>
  <c r="C988" i="1" s="1"/>
  <c r="C989" i="1" s="1"/>
  <c r="C990" i="1" s="1"/>
  <c r="C991" i="1" s="1"/>
  <c r="C992" i="1" s="1"/>
  <c r="C993" i="1" s="1"/>
  <c r="C994" i="1" s="1"/>
  <c r="C995" i="1" s="1"/>
  <c r="C996" i="1" s="1"/>
  <c r="C997" i="1" s="1"/>
  <c r="C998" i="1" s="1"/>
  <c r="C999" i="1" s="1"/>
  <c r="C1000" i="1" s="1"/>
  <c r="C1001" i="1" s="1"/>
  <c r="C1002" i="1" s="1"/>
  <c r="C1003" i="1" s="1"/>
  <c r="C1004" i="1" s="1"/>
  <c r="C1005" i="1" s="1"/>
  <c r="C1006" i="1" s="1"/>
  <c r="C1007" i="1" s="1"/>
  <c r="C1008" i="1" s="1"/>
  <c r="C1009" i="1" s="1"/>
  <c r="C1010" i="1" s="1"/>
  <c r="C1011" i="1" s="1"/>
  <c r="C1012" i="1" s="1"/>
  <c r="C1013" i="1" s="1"/>
  <c r="C1014" i="1" s="1"/>
  <c r="C1015" i="1" s="1"/>
  <c r="C1016" i="1" s="1"/>
  <c r="C1017" i="1" s="1"/>
  <c r="C1018" i="1" s="1"/>
  <c r="C1019" i="1" s="1"/>
  <c r="C1020" i="1" s="1"/>
  <c r="C1021" i="1" s="1"/>
  <c r="C1022" i="1" s="1"/>
  <c r="C1023" i="1" s="1"/>
  <c r="C1024" i="1" s="1"/>
  <c r="C1025" i="1" s="1"/>
  <c r="C1026" i="1" s="1"/>
  <c r="C1027" i="1" s="1"/>
  <c r="C1028" i="1" s="1"/>
  <c r="C1029" i="1" s="1"/>
  <c r="C1030" i="1" s="1"/>
  <c r="C1031" i="1" s="1"/>
  <c r="C1032" i="1" s="1"/>
  <c r="C1033" i="1" s="1"/>
  <c r="C1034" i="1" s="1"/>
  <c r="C1035" i="1" s="1"/>
  <c r="C1036" i="1" s="1"/>
  <c r="C1037" i="1" s="1"/>
  <c r="C1038" i="1" s="1"/>
  <c r="E928" i="1"/>
  <c r="B928" i="1"/>
  <c r="B929" i="1" s="1"/>
  <c r="F929" i="1" s="1"/>
  <c r="A928" i="1"/>
  <c r="A929" i="1" s="1"/>
  <c r="A930" i="1" s="1"/>
  <c r="D1446" i="1" l="1"/>
  <c r="H1446" i="1" s="1"/>
  <c r="D1401" i="1"/>
  <c r="C1541" i="1"/>
  <c r="C1542" i="1" s="1"/>
  <c r="C1543" i="1" s="1"/>
  <c r="C1544" i="1" s="1"/>
  <c r="C1545" i="1" s="1"/>
  <c r="C1546" i="1" s="1"/>
  <c r="C1547" i="1" s="1"/>
  <c r="C1548" i="1" s="1"/>
  <c r="C1549" i="1" s="1"/>
  <c r="C1550" i="1" s="1"/>
  <c r="C1551" i="1" s="1"/>
  <c r="C1552" i="1" s="1"/>
  <c r="C1553" i="1" s="1"/>
  <c r="C1554" i="1" s="1"/>
  <c r="C1555" i="1" s="1"/>
  <c r="C1556" i="1" s="1"/>
  <c r="C1557" i="1" s="1"/>
  <c r="C1558" i="1" s="1"/>
  <c r="C1559" i="1" s="1"/>
  <c r="C1560" i="1" s="1"/>
  <c r="C1561" i="1" s="1"/>
  <c r="C1562" i="1" s="1"/>
  <c r="C1563" i="1" s="1"/>
  <c r="C1564" i="1" s="1"/>
  <c r="C1565" i="1" s="1"/>
  <c r="C1566" i="1" s="1"/>
  <c r="C1567" i="1" s="1"/>
  <c r="C1568" i="1" s="1"/>
  <c r="C1569" i="1" s="1"/>
  <c r="C1570" i="1" s="1"/>
  <c r="C1571" i="1" s="1"/>
  <c r="C1572" i="1" s="1"/>
  <c r="D1395" i="1"/>
  <c r="H1395" i="1" s="1"/>
  <c r="E1402" i="1"/>
  <c r="D1437" i="1"/>
  <c r="H1396" i="1"/>
  <c r="E1448" i="1"/>
  <c r="D1478" i="1"/>
  <c r="H1478" i="1" s="1"/>
  <c r="E1401" i="1"/>
  <c r="E1446" i="1"/>
  <c r="D1472" i="1"/>
  <c r="H1472" i="1" s="1"/>
  <c r="E1427" i="1"/>
  <c r="E1442" i="1"/>
  <c r="D1464" i="1"/>
  <c r="H1464" i="1" s="1"/>
  <c r="D1424" i="1"/>
  <c r="H1424" i="1" s="1"/>
  <c r="D1386" i="1"/>
  <c r="H1386" i="1" s="1"/>
  <c r="E1387" i="1"/>
  <c r="E1476" i="1"/>
  <c r="E1439" i="1"/>
  <c r="A932" i="1"/>
  <c r="A961" i="1" s="1"/>
  <c r="F961" i="1" s="1"/>
  <c r="F930" i="1"/>
  <c r="G928" i="1"/>
  <c r="E211" i="4"/>
  <c r="E215" i="4"/>
  <c r="E219" i="4"/>
  <c r="E223" i="4"/>
  <c r="E227" i="4"/>
  <c r="E231" i="4"/>
  <c r="E235" i="4"/>
  <c r="E239" i="4"/>
  <c r="E243" i="4"/>
  <c r="E247" i="4"/>
  <c r="E251" i="4"/>
  <c r="E255" i="4"/>
  <c r="E259" i="4"/>
  <c r="E263" i="4"/>
  <c r="E267" i="4"/>
  <c r="E271" i="4"/>
  <c r="E275" i="4"/>
  <c r="E279" i="4"/>
  <c r="E283" i="4"/>
  <c r="H86" i="4"/>
  <c r="E86" i="4"/>
  <c r="H94" i="4"/>
  <c r="E94" i="4"/>
  <c r="H102" i="4"/>
  <c r="E102" i="4"/>
  <c r="H110" i="4"/>
  <c r="E110" i="4"/>
  <c r="H118" i="4"/>
  <c r="E118" i="4"/>
  <c r="H122" i="4"/>
  <c r="E122" i="4"/>
  <c r="H130" i="4"/>
  <c r="E130" i="4"/>
  <c r="H142" i="4"/>
  <c r="E142" i="4"/>
  <c r="H150" i="4"/>
  <c r="E150" i="4"/>
  <c r="H154" i="4"/>
  <c r="E154" i="4"/>
  <c r="H162" i="4"/>
  <c r="E162" i="4"/>
  <c r="H170" i="4"/>
  <c r="E170" i="4"/>
  <c r="H178" i="4"/>
  <c r="E178" i="4"/>
  <c r="H190" i="4"/>
  <c r="E190" i="4"/>
  <c r="H198" i="4"/>
  <c r="E198" i="4"/>
  <c r="H202" i="4"/>
  <c r="E202" i="4"/>
  <c r="H90" i="4"/>
  <c r="E90" i="4"/>
  <c r="H98" i="4"/>
  <c r="E98" i="4"/>
  <c r="H106" i="4"/>
  <c r="E106" i="4"/>
  <c r="H114" i="4"/>
  <c r="E114" i="4"/>
  <c r="H126" i="4"/>
  <c r="E126" i="4"/>
  <c r="H134" i="4"/>
  <c r="E134" i="4"/>
  <c r="H138" i="4"/>
  <c r="E138" i="4"/>
  <c r="H146" i="4"/>
  <c r="E146" i="4"/>
  <c r="H158" i="4"/>
  <c r="E158" i="4"/>
  <c r="H166" i="4"/>
  <c r="E166" i="4"/>
  <c r="H174" i="4"/>
  <c r="E174" i="4"/>
  <c r="H182" i="4"/>
  <c r="E182" i="4"/>
  <c r="H186" i="4"/>
  <c r="E186" i="4"/>
  <c r="H194" i="4"/>
  <c r="E194" i="4"/>
  <c r="H82" i="4"/>
  <c r="E82" i="4"/>
  <c r="D81" i="4"/>
  <c r="F204" i="4"/>
  <c r="F83" i="4"/>
  <c r="F286" i="4"/>
  <c r="A931" i="1"/>
  <c r="A933" i="1" s="1"/>
  <c r="A935" i="1" s="1"/>
  <c r="A937" i="1" s="1"/>
  <c r="B931" i="1"/>
  <c r="B930" i="1"/>
  <c r="A2" i="4"/>
  <c r="A3" i="4" s="1"/>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156" i="4" s="1"/>
  <c r="A157" i="4" s="1"/>
  <c r="A158" i="4" s="1"/>
  <c r="A159" i="4" s="1"/>
  <c r="A160" i="4" s="1"/>
  <c r="A161" i="4" s="1"/>
  <c r="A162" i="4" s="1"/>
  <c r="A163" i="4" s="1"/>
  <c r="A164" i="4" s="1"/>
  <c r="A165" i="4" s="1"/>
  <c r="A166" i="4" s="1"/>
  <c r="A167" i="4" s="1"/>
  <c r="A168" i="4" s="1"/>
  <c r="A169" i="4" s="1"/>
  <c r="A170" i="4" s="1"/>
  <c r="A171" i="4" s="1"/>
  <c r="A172" i="4" s="1"/>
  <c r="A173" i="4" s="1"/>
  <c r="A174" i="4" s="1"/>
  <c r="A175" i="4" s="1"/>
  <c r="A176" i="4" s="1"/>
  <c r="A177" i="4" s="1"/>
  <c r="A178" i="4" s="1"/>
  <c r="A179" i="4" s="1"/>
  <c r="A180" i="4" s="1"/>
  <c r="A181" i="4" s="1"/>
  <c r="A182" i="4" s="1"/>
  <c r="A183" i="4" s="1"/>
  <c r="A184" i="4" s="1"/>
  <c r="A185" i="4" s="1"/>
  <c r="A186" i="4" s="1"/>
  <c r="A187" i="4" s="1"/>
  <c r="A188" i="4" s="1"/>
  <c r="A189" i="4" s="1"/>
  <c r="A190" i="4" s="1"/>
  <c r="A191" i="4" s="1"/>
  <c r="A192" i="4" s="1"/>
  <c r="A193" i="4" s="1"/>
  <c r="A194" i="4" s="1"/>
  <c r="A195" i="4" s="1"/>
  <c r="A196" i="4" s="1"/>
  <c r="A197" i="4" s="1"/>
  <c r="A198" i="4" s="1"/>
  <c r="A199" i="4" s="1"/>
  <c r="A200" i="4" s="1"/>
  <c r="A201" i="4" s="1"/>
  <c r="A202" i="4" s="1"/>
  <c r="A203" i="4" s="1"/>
  <c r="A204" i="4" s="1"/>
  <c r="A205" i="4" s="1"/>
  <c r="B2" i="4"/>
  <c r="B3" i="4" s="1"/>
  <c r="B4" i="4" s="1"/>
  <c r="B5" i="4" s="1"/>
  <c r="F453" i="1"/>
  <c r="F396" i="1"/>
  <c r="D1394" i="1" l="1"/>
  <c r="H1394" i="1" s="1"/>
  <c r="D1436" i="1"/>
  <c r="H1436" i="1" s="1"/>
  <c r="E1395" i="1"/>
  <c r="H1401" i="1"/>
  <c r="D1445" i="1"/>
  <c r="H1437" i="1"/>
  <c r="E1437" i="1"/>
  <c r="G930" i="1"/>
  <c r="E1478" i="1"/>
  <c r="D1434" i="1"/>
  <c r="H1434" i="1" s="1"/>
  <c r="E1394" i="1"/>
  <c r="E1436" i="1"/>
  <c r="E1472" i="1"/>
  <c r="E1424" i="1"/>
  <c r="E1464" i="1"/>
  <c r="D1422" i="1"/>
  <c r="H1422" i="1" s="1"/>
  <c r="D1385" i="1"/>
  <c r="H1385" i="1" s="1"/>
  <c r="E1386" i="1"/>
  <c r="A964" i="1"/>
  <c r="A967" i="1" s="1"/>
  <c r="A970" i="1" s="1"/>
  <c r="A973" i="1" s="1"/>
  <c r="A976" i="1" s="1"/>
  <c r="A982" i="1" s="1"/>
  <c r="A985" i="1" s="1"/>
  <c r="A934" i="1"/>
  <c r="A936" i="1" s="1"/>
  <c r="A938" i="1" s="1"/>
  <c r="A940" i="1" s="1"/>
  <c r="A944" i="1" s="1"/>
  <c r="A946" i="1" s="1"/>
  <c r="E81" i="4"/>
  <c r="H81" i="4"/>
  <c r="D80" i="4"/>
  <c r="F285" i="4"/>
  <c r="F82" i="4"/>
  <c r="F203" i="4"/>
  <c r="B6" i="4"/>
  <c r="G2" i="4"/>
  <c r="G3" i="4"/>
  <c r="B933" i="1"/>
  <c r="B932" i="1"/>
  <c r="G929" i="1"/>
  <c r="A939" i="1"/>
  <c r="A943" i="1" s="1"/>
  <c r="A945" i="1" s="1"/>
  <c r="A941" i="1"/>
  <c r="C3" i="4"/>
  <c r="C4" i="4" s="1"/>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C165" i="4" s="1"/>
  <c r="C166" i="4" s="1"/>
  <c r="C167" i="4" s="1"/>
  <c r="C168" i="4" s="1"/>
  <c r="C169" i="4" s="1"/>
  <c r="C170" i="4" s="1"/>
  <c r="C171" i="4" s="1"/>
  <c r="C172" i="4" s="1"/>
  <c r="C173" i="4" s="1"/>
  <c r="C174" i="4" s="1"/>
  <c r="C175" i="4" s="1"/>
  <c r="C176" i="4" s="1"/>
  <c r="C177" i="4" s="1"/>
  <c r="C178" i="4" s="1"/>
  <c r="C179" i="4" s="1"/>
  <c r="C180" i="4" s="1"/>
  <c r="C181" i="4" s="1"/>
  <c r="C182" i="4" s="1"/>
  <c r="C183" i="4" s="1"/>
  <c r="C184" i="4" s="1"/>
  <c r="C185" i="4" s="1"/>
  <c r="C186" i="4" s="1"/>
  <c r="C187" i="4" s="1"/>
  <c r="C188" i="4" s="1"/>
  <c r="C189" i="4" s="1"/>
  <c r="C190" i="4" s="1"/>
  <c r="C191" i="4" s="1"/>
  <c r="C192" i="4" s="1"/>
  <c r="C193" i="4" s="1"/>
  <c r="C194" i="4" s="1"/>
  <c r="C195" i="4" s="1"/>
  <c r="C196" i="4" s="1"/>
  <c r="C197" i="4" s="1"/>
  <c r="C198" i="4" s="1"/>
  <c r="C199" i="4" s="1"/>
  <c r="C200" i="4" s="1"/>
  <c r="C201" i="4" s="1"/>
  <c r="C202" i="4" s="1"/>
  <c r="C203" i="4" s="1"/>
  <c r="C204" i="4" s="1"/>
  <c r="C205" i="4" s="1"/>
  <c r="D1393" i="1" l="1"/>
  <c r="H1393" i="1" s="1"/>
  <c r="H1445" i="1"/>
  <c r="E1445" i="1"/>
  <c r="E1393" i="1"/>
  <c r="D1433" i="1"/>
  <c r="H1433" i="1" s="1"/>
  <c r="E1434" i="1"/>
  <c r="G931" i="1"/>
  <c r="G932" i="1"/>
  <c r="E1422" i="1"/>
  <c r="D1462" i="1"/>
  <c r="H1462" i="1" s="1"/>
  <c r="D1421" i="1"/>
  <c r="H1421" i="1" s="1"/>
  <c r="E1385" i="1"/>
  <c r="A979" i="1"/>
  <c r="A942" i="1"/>
  <c r="B934" i="1"/>
  <c r="D79" i="4"/>
  <c r="H80" i="4"/>
  <c r="E80" i="4"/>
  <c r="F81" i="4"/>
  <c r="F202" i="4"/>
  <c r="F201" i="4"/>
  <c r="F284" i="4"/>
  <c r="B7" i="4"/>
  <c r="B961" i="1"/>
  <c r="B935" i="1"/>
  <c r="A991" i="1"/>
  <c r="A988" i="1"/>
  <c r="A994" i="1" s="1"/>
  <c r="A997" i="1" s="1"/>
  <c r="A1000" i="1" s="1"/>
  <c r="A1003" i="1" s="1"/>
  <c r="A1006" i="1" s="1"/>
  <c r="A947" i="1"/>
  <c r="A951" i="1" s="1"/>
  <c r="A953" i="1" s="1"/>
  <c r="A955" i="1" s="1"/>
  <c r="A957" i="1" s="1"/>
  <c r="A959" i="1" s="1"/>
  <c r="A949" i="1"/>
  <c r="A948" i="1"/>
  <c r="A952" i="1" s="1"/>
  <c r="A954" i="1" s="1"/>
  <c r="A956" i="1" s="1"/>
  <c r="A958" i="1" s="1"/>
  <c r="A960" i="1" s="1"/>
  <c r="A950" i="1"/>
  <c r="F3" i="4"/>
  <c r="E3" i="4"/>
  <c r="E4" i="4"/>
  <c r="E84" i="4"/>
  <c r="E85" i="4"/>
  <c r="E206" i="4"/>
  <c r="E287" i="4"/>
  <c r="F206" i="4"/>
  <c r="E2" i="4"/>
  <c r="D1470" i="1" l="1"/>
  <c r="H1470" i="1" s="1"/>
  <c r="D1392" i="1"/>
  <c r="H1392" i="1" s="1"/>
  <c r="D1431" i="1"/>
  <c r="H1431" i="1" s="1"/>
  <c r="D1391" i="1"/>
  <c r="H1391" i="1" s="1"/>
  <c r="E1392" i="1"/>
  <c r="E1433" i="1"/>
  <c r="E1470" i="1"/>
  <c r="E1421" i="1"/>
  <c r="E1462" i="1"/>
  <c r="D1419" i="1"/>
  <c r="H1419" i="1" s="1"/>
  <c r="D1383" i="1"/>
  <c r="H1383" i="1" s="1"/>
  <c r="E1384" i="1"/>
  <c r="B936" i="1"/>
  <c r="G933" i="1"/>
  <c r="G934" i="1"/>
  <c r="D78" i="4"/>
  <c r="H79" i="4"/>
  <c r="E79" i="4"/>
  <c r="F200" i="4"/>
  <c r="F283" i="4"/>
  <c r="F80" i="4"/>
  <c r="B8" i="4"/>
  <c r="B964" i="1"/>
  <c r="B937" i="1"/>
  <c r="B938" i="1"/>
  <c r="A962" i="1"/>
  <c r="A965" i="1" s="1"/>
  <c r="A968" i="1" s="1"/>
  <c r="A971" i="1" s="1"/>
  <c r="A974" i="1" s="1"/>
  <c r="A980" i="1" s="1"/>
  <c r="A983" i="1" s="1"/>
  <c r="A963" i="1"/>
  <c r="A966" i="1" s="1"/>
  <c r="A969" i="1" s="1"/>
  <c r="A972" i="1" s="1"/>
  <c r="E1391" i="1" l="1"/>
  <c r="D1468" i="1"/>
  <c r="H1468" i="1" s="1"/>
  <c r="D1430" i="1"/>
  <c r="H1430" i="1" s="1"/>
  <c r="E1431" i="1"/>
  <c r="G935" i="1"/>
  <c r="G936" i="1"/>
  <c r="E1419" i="1"/>
  <c r="D1460" i="1"/>
  <c r="H1460" i="1" s="1"/>
  <c r="D1418" i="1"/>
  <c r="H1418" i="1" s="1"/>
  <c r="D1382" i="1"/>
  <c r="H1382" i="1" s="1"/>
  <c r="E1383" i="1"/>
  <c r="G937" i="1"/>
  <c r="H78" i="4"/>
  <c r="D77" i="4"/>
  <c r="E78" i="4"/>
  <c r="F198" i="4"/>
  <c r="F282" i="4"/>
  <c r="F199" i="4"/>
  <c r="F79" i="4"/>
  <c r="B9" i="4"/>
  <c r="B939" i="1"/>
  <c r="G938" i="1" s="1"/>
  <c r="B941" i="1"/>
  <c r="B967" i="1"/>
  <c r="B940" i="1"/>
  <c r="B942" i="1"/>
  <c r="A975" i="1"/>
  <c r="A981" i="1" s="1"/>
  <c r="A984" i="1" s="1"/>
  <c r="A978" i="1"/>
  <c r="A977" i="1"/>
  <c r="A989" i="1"/>
  <c r="A986" i="1"/>
  <c r="A992" i="1" s="1"/>
  <c r="A995" i="1" s="1"/>
  <c r="A998" i="1" s="1"/>
  <c r="A1001" i="1" s="1"/>
  <c r="A1004" i="1" s="1"/>
  <c r="A1007" i="1" s="1"/>
  <c r="E1430" i="1" l="1"/>
  <c r="E1468" i="1"/>
  <c r="D1416" i="1"/>
  <c r="H1416" i="1" s="1"/>
  <c r="D1381" i="1"/>
  <c r="H1381" i="1" s="1"/>
  <c r="E1382" i="1"/>
  <c r="G941" i="1"/>
  <c r="G939" i="1"/>
  <c r="G940" i="1"/>
  <c r="E1418" i="1"/>
  <c r="E1460" i="1"/>
  <c r="D76" i="4"/>
  <c r="H77" i="4"/>
  <c r="E77" i="4"/>
  <c r="F281" i="4"/>
  <c r="F78" i="4"/>
  <c r="F197" i="4"/>
  <c r="B10" i="4"/>
  <c r="B944" i="1"/>
  <c r="B970" i="1"/>
  <c r="B943" i="1"/>
  <c r="G942" i="1" s="1"/>
  <c r="A1009" i="1"/>
  <c r="A1011" i="1" s="1"/>
  <c r="A1013" i="1" s="1"/>
  <c r="A1015" i="1" s="1"/>
  <c r="F1007" i="1"/>
  <c r="A987" i="1"/>
  <c r="A993" i="1" s="1"/>
  <c r="A996" i="1" s="1"/>
  <c r="A999" i="1" s="1"/>
  <c r="A1002" i="1" s="1"/>
  <c r="A1005" i="1" s="1"/>
  <c r="A1008" i="1" s="1"/>
  <c r="A1010" i="1" s="1"/>
  <c r="A1012" i="1" s="1"/>
  <c r="A1014" i="1" s="1"/>
  <c r="A990" i="1"/>
  <c r="D1458" i="1" l="1"/>
  <c r="H1458" i="1" s="1"/>
  <c r="E1381" i="1"/>
  <c r="D1415" i="1"/>
  <c r="H1415" i="1" s="1"/>
  <c r="G943" i="1"/>
  <c r="E1416" i="1"/>
  <c r="D75" i="4"/>
  <c r="E76" i="4"/>
  <c r="H76" i="4"/>
  <c r="F77" i="4"/>
  <c r="F196" i="4"/>
  <c r="F195" i="4"/>
  <c r="F280" i="4"/>
  <c r="B11" i="4"/>
  <c r="B973" i="1"/>
  <c r="B945" i="1"/>
  <c r="G944" i="1" s="1"/>
  <c r="B946" i="1"/>
  <c r="A1018" i="1"/>
  <c r="A1016" i="1"/>
  <c r="A1020" i="1" s="1"/>
  <c r="A1022" i="1" s="1"/>
  <c r="A1017" i="1"/>
  <c r="A1021" i="1" s="1"/>
  <c r="A1023" i="1" s="1"/>
  <c r="A1019" i="1"/>
  <c r="E1415" i="1" l="1"/>
  <c r="G945" i="1"/>
  <c r="E1458" i="1"/>
  <c r="D1413" i="1"/>
  <c r="H1413" i="1" s="1"/>
  <c r="D1379" i="1"/>
  <c r="H1379" i="1" s="1"/>
  <c r="E1380" i="1"/>
  <c r="D74" i="4"/>
  <c r="H75" i="4"/>
  <c r="E75" i="4"/>
  <c r="F194" i="4"/>
  <c r="F279" i="4"/>
  <c r="F76" i="4"/>
  <c r="B12" i="4"/>
  <c r="B947" i="1"/>
  <c r="G946" i="1" s="1"/>
  <c r="B949" i="1"/>
  <c r="B950" i="1"/>
  <c r="B948" i="1"/>
  <c r="B979" i="1"/>
  <c r="B976" i="1"/>
  <c r="A1027" i="1"/>
  <c r="A1025" i="1"/>
  <c r="A1029" i="1" s="1"/>
  <c r="A1031" i="1" s="1"/>
  <c r="A1033" i="1" s="1"/>
  <c r="A1035" i="1" s="1"/>
  <c r="A1037" i="1" s="1"/>
  <c r="A1026" i="1"/>
  <c r="A1024" i="1"/>
  <c r="A1028" i="1" s="1"/>
  <c r="A1030" i="1" s="1"/>
  <c r="A1032" i="1" s="1"/>
  <c r="A1034" i="1" s="1"/>
  <c r="A1036"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E1413" i="1" l="1"/>
  <c r="G947" i="1"/>
  <c r="G948" i="1"/>
  <c r="D1456" i="1"/>
  <c r="H1456" i="1" s="1"/>
  <c r="D1412" i="1"/>
  <c r="H1412" i="1" s="1"/>
  <c r="E1379" i="1"/>
  <c r="G949" i="1"/>
  <c r="F1124" i="1"/>
  <c r="A1125" i="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F1098" i="1"/>
  <c r="H74" i="4"/>
  <c r="D73" i="4"/>
  <c r="E74" i="4"/>
  <c r="F193" i="4"/>
  <c r="F278" i="4"/>
  <c r="F75" i="4"/>
  <c r="F192" i="4"/>
  <c r="B13" i="4"/>
  <c r="B982" i="1"/>
  <c r="B952" i="1"/>
  <c r="B951" i="1"/>
  <c r="G950" i="1" s="1"/>
  <c r="G951" i="1" l="1"/>
  <c r="D1410" i="1"/>
  <c r="H1410" i="1" s="1"/>
  <c r="D1377" i="1"/>
  <c r="H1377" i="1" s="1"/>
  <c r="E1378" i="1"/>
  <c r="E1412" i="1"/>
  <c r="E1456" i="1"/>
  <c r="A1217" i="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16" i="1"/>
  <c r="F1216" i="1" s="1"/>
  <c r="F1161" i="1"/>
  <c r="E73" i="4"/>
  <c r="H73" i="4"/>
  <c r="D72" i="4"/>
  <c r="F277" i="4"/>
  <c r="F74" i="4"/>
  <c r="F191" i="4"/>
  <c r="B14" i="4"/>
  <c r="B953" i="1"/>
  <c r="G952" i="1" s="1"/>
  <c r="B954" i="1"/>
  <c r="B985" i="1"/>
  <c r="E1410" i="1" l="1"/>
  <c r="G953" i="1"/>
  <c r="D1454" i="1"/>
  <c r="H1454" i="1" s="1"/>
  <c r="D1409" i="1"/>
  <c r="H1409" i="1" s="1"/>
  <c r="E1377" i="1"/>
  <c r="A1257" i="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F1256" i="1"/>
  <c r="D71" i="4"/>
  <c r="H72" i="4"/>
  <c r="E72" i="4"/>
  <c r="F73" i="4"/>
  <c r="F190" i="4"/>
  <c r="F189" i="4"/>
  <c r="F276" i="4"/>
  <c r="B15" i="4"/>
  <c r="B956" i="1"/>
  <c r="B991" i="1"/>
  <c r="B988" i="1"/>
  <c r="B955" i="1"/>
  <c r="G954" i="1" s="1"/>
  <c r="A1375" i="1" l="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F1374" i="1"/>
  <c r="G955" i="1"/>
  <c r="D1407" i="1"/>
  <c r="H1407" i="1" s="1"/>
  <c r="D1375" i="1"/>
  <c r="H1375" i="1" s="1"/>
  <c r="E1376" i="1"/>
  <c r="E1409" i="1"/>
  <c r="E1454" i="1"/>
  <c r="F1289" i="1"/>
  <c r="D70" i="4"/>
  <c r="H71" i="4"/>
  <c r="E71" i="4"/>
  <c r="F188" i="4"/>
  <c r="F275" i="4"/>
  <c r="F72" i="4"/>
  <c r="B16" i="4"/>
  <c r="B957" i="1"/>
  <c r="G956" i="1" s="1"/>
  <c r="B994" i="1"/>
  <c r="B958" i="1"/>
  <c r="F1485" i="1" l="1"/>
  <c r="D1452" i="1"/>
  <c r="H1452" i="1" s="1"/>
  <c r="D1406" i="1"/>
  <c r="H1406" i="1" s="1"/>
  <c r="E1375" i="1"/>
  <c r="G957" i="1"/>
  <c r="E1407" i="1"/>
  <c r="F1405" i="1"/>
  <c r="F1338" i="1"/>
  <c r="H70" i="4"/>
  <c r="D69" i="4"/>
  <c r="E70" i="4"/>
  <c r="F186" i="4"/>
  <c r="F274" i="4"/>
  <c r="F71" i="4"/>
  <c r="F187" i="4"/>
  <c r="B17" i="4"/>
  <c r="B960" i="1"/>
  <c r="B959" i="1"/>
  <c r="G958" i="1" s="1"/>
  <c r="B997" i="1"/>
  <c r="A1524" i="1" l="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F1510" i="1"/>
  <c r="G959" i="1"/>
  <c r="G960" i="1"/>
  <c r="E1406" i="1"/>
  <c r="F1451" i="1"/>
  <c r="E1452" i="1"/>
  <c r="E69" i="4"/>
  <c r="D68" i="4"/>
  <c r="H69" i="4"/>
  <c r="F273" i="4"/>
  <c r="F70" i="4"/>
  <c r="F185" i="4"/>
  <c r="B18" i="4"/>
  <c r="B1000" i="1"/>
  <c r="B963" i="1"/>
  <c r="G963" i="1" s="1"/>
  <c r="B962" i="1"/>
  <c r="F1547" i="1" l="1"/>
  <c r="A1565" i="1"/>
  <c r="A1566" i="1" s="1"/>
  <c r="A1567" i="1" s="1"/>
  <c r="A1568" i="1" s="1"/>
  <c r="A1569" i="1" s="1"/>
  <c r="A1570" i="1" s="1"/>
  <c r="A1571" i="1" s="1"/>
  <c r="A1572" i="1" s="1"/>
  <c r="G962" i="1"/>
  <c r="G961" i="1"/>
  <c r="D67" i="4"/>
  <c r="H68" i="4"/>
  <c r="E68" i="4"/>
  <c r="F69" i="4"/>
  <c r="F272" i="4"/>
  <c r="F184" i="4"/>
  <c r="F183" i="4"/>
  <c r="B19" i="4"/>
  <c r="B966" i="1"/>
  <c r="G966" i="1" s="1"/>
  <c r="B965" i="1"/>
  <c r="B1003" i="1"/>
  <c r="G965" i="1" l="1"/>
  <c r="G964" i="1"/>
  <c r="D66" i="4"/>
  <c r="H67" i="4"/>
  <c r="E67" i="4"/>
  <c r="F182" i="4"/>
  <c r="F271" i="4"/>
  <c r="F68" i="4"/>
  <c r="B20" i="4"/>
  <c r="B1006" i="1"/>
  <c r="B968" i="1"/>
  <c r="B969" i="1"/>
  <c r="G969" i="1" s="1"/>
  <c r="G968" i="1" l="1"/>
  <c r="G967" i="1"/>
  <c r="H66" i="4"/>
  <c r="D65" i="4"/>
  <c r="E66" i="4"/>
  <c r="F181" i="4"/>
  <c r="F270" i="4"/>
  <c r="F67" i="4"/>
  <c r="F180" i="4"/>
  <c r="B21" i="4"/>
  <c r="B971" i="1"/>
  <c r="B972" i="1"/>
  <c r="G972" i="1" s="1"/>
  <c r="G971" i="1" l="1"/>
  <c r="G970" i="1"/>
  <c r="E65" i="4"/>
  <c r="D64" i="4"/>
  <c r="H65" i="4"/>
  <c r="F269" i="4"/>
  <c r="F66" i="4"/>
  <c r="F179" i="4"/>
  <c r="B22" i="4"/>
  <c r="B975" i="1"/>
  <c r="G975" i="1" s="1"/>
  <c r="B978" i="1"/>
  <c r="G978" i="1" s="1"/>
  <c r="B977" i="1"/>
  <c r="B974" i="1"/>
  <c r="G974" i="1" l="1"/>
  <c r="G973" i="1"/>
  <c r="G977" i="1"/>
  <c r="G976" i="1"/>
  <c r="D63" i="4"/>
  <c r="H64" i="4"/>
  <c r="E64" i="4"/>
  <c r="F65" i="4"/>
  <c r="F178" i="4"/>
  <c r="F177" i="4"/>
  <c r="F268" i="4"/>
  <c r="B23" i="4"/>
  <c r="B980" i="1"/>
  <c r="B981" i="1"/>
  <c r="G981" i="1" s="1"/>
  <c r="G980" i="1" l="1"/>
  <c r="G979" i="1"/>
  <c r="E63" i="4"/>
  <c r="D62" i="4"/>
  <c r="H63" i="4"/>
  <c r="F176" i="4"/>
  <c r="F267" i="4"/>
  <c r="F64" i="4"/>
  <c r="B24" i="4"/>
  <c r="B983" i="1"/>
  <c r="B984" i="1"/>
  <c r="G984" i="1" s="1"/>
  <c r="G983" i="1" l="1"/>
  <c r="G982" i="1"/>
  <c r="H62" i="4"/>
  <c r="E62" i="4"/>
  <c r="D61" i="4"/>
  <c r="F174" i="4"/>
  <c r="F266" i="4"/>
  <c r="F63" i="4"/>
  <c r="F175" i="4"/>
  <c r="B25" i="4"/>
  <c r="B987" i="1"/>
  <c r="G987" i="1" s="1"/>
  <c r="B990" i="1"/>
  <c r="G990" i="1" s="1"/>
  <c r="B986" i="1"/>
  <c r="B989" i="1"/>
  <c r="G989" i="1" l="1"/>
  <c r="G988" i="1"/>
  <c r="G986" i="1"/>
  <c r="G985" i="1"/>
  <c r="E61" i="4"/>
  <c r="D60" i="4"/>
  <c r="H61" i="4"/>
  <c r="F265" i="4"/>
  <c r="F62" i="4"/>
  <c r="F173" i="4"/>
  <c r="B26" i="4"/>
  <c r="B993" i="1"/>
  <c r="G993" i="1" s="1"/>
  <c r="B992" i="1"/>
  <c r="G992" i="1" l="1"/>
  <c r="G991" i="1"/>
  <c r="D59" i="4"/>
  <c r="H60" i="4"/>
  <c r="E60" i="4"/>
  <c r="F61" i="4"/>
  <c r="F172" i="4"/>
  <c r="F171" i="4"/>
  <c r="F264" i="4"/>
  <c r="B27" i="4"/>
  <c r="B996" i="1"/>
  <c r="G996" i="1" s="1"/>
  <c r="B995" i="1"/>
  <c r="G995" i="1" l="1"/>
  <c r="G994" i="1"/>
  <c r="E59" i="4"/>
  <c r="D58" i="4"/>
  <c r="H59" i="4"/>
  <c r="F170" i="4"/>
  <c r="F263" i="4"/>
  <c r="F60" i="4"/>
  <c r="B28" i="4"/>
  <c r="B998" i="1"/>
  <c r="B999" i="1"/>
  <c r="G999" i="1" s="1"/>
  <c r="G998" i="1" l="1"/>
  <c r="G997" i="1"/>
  <c r="H58" i="4"/>
  <c r="E58" i="4"/>
  <c r="D57" i="4"/>
  <c r="F169" i="4"/>
  <c r="F262" i="4"/>
  <c r="F59" i="4"/>
  <c r="F168" i="4"/>
  <c r="B29" i="4"/>
  <c r="B1002" i="1"/>
  <c r="G1002" i="1" s="1"/>
  <c r="B1001" i="1"/>
  <c r="G1001" i="1" l="1"/>
  <c r="G1000" i="1"/>
  <c r="E57" i="4"/>
  <c r="D56" i="4"/>
  <c r="H57" i="4"/>
  <c r="F261" i="4"/>
  <c r="F58" i="4"/>
  <c r="F167" i="4"/>
  <c r="B30" i="4"/>
  <c r="B1004" i="1"/>
  <c r="B1005" i="1"/>
  <c r="G1005" i="1" s="1"/>
  <c r="G1004" i="1" l="1"/>
  <c r="G1003" i="1"/>
  <c r="D55" i="4"/>
  <c r="H56" i="4"/>
  <c r="E56" i="4"/>
  <c r="F57" i="4"/>
  <c r="F166" i="4"/>
  <c r="F165" i="4"/>
  <c r="F260" i="4"/>
  <c r="B31" i="4"/>
  <c r="B1008" i="1"/>
  <c r="B1007" i="1"/>
  <c r="G1007" i="1" l="1"/>
  <c r="G1006" i="1"/>
  <c r="E55" i="4"/>
  <c r="D54" i="4"/>
  <c r="H55" i="4"/>
  <c r="F164" i="4"/>
  <c r="F259" i="4"/>
  <c r="F56" i="4"/>
  <c r="B32" i="4"/>
  <c r="B1009" i="1"/>
  <c r="B1010" i="1"/>
  <c r="G1009" i="1" l="1"/>
  <c r="G1008" i="1"/>
  <c r="H54" i="4"/>
  <c r="E54" i="4"/>
  <c r="D53" i="4"/>
  <c r="F162" i="4"/>
  <c r="F258" i="4"/>
  <c r="F55" i="4"/>
  <c r="F163" i="4"/>
  <c r="B33" i="4"/>
  <c r="B1012" i="1"/>
  <c r="B1011" i="1"/>
  <c r="G1011" i="1" l="1"/>
  <c r="G1010" i="1"/>
  <c r="E53" i="4"/>
  <c r="D52" i="4"/>
  <c r="H53" i="4"/>
  <c r="F257" i="4"/>
  <c r="F54" i="4"/>
  <c r="F161" i="4"/>
  <c r="B34" i="4"/>
  <c r="B1013" i="1"/>
  <c r="B1014" i="1"/>
  <c r="G1013" i="1" l="1"/>
  <c r="G1012" i="1"/>
  <c r="D51" i="4"/>
  <c r="H52" i="4"/>
  <c r="E52" i="4"/>
  <c r="F53" i="4"/>
  <c r="F160" i="4"/>
  <c r="F159" i="4"/>
  <c r="F256" i="4"/>
  <c r="B35" i="4"/>
  <c r="B1018" i="1"/>
  <c r="B1016" i="1"/>
  <c r="B1015" i="1"/>
  <c r="G1015" i="1" l="1"/>
  <c r="G1014" i="1"/>
  <c r="E51" i="4"/>
  <c r="D50" i="4"/>
  <c r="H51" i="4"/>
  <c r="F158" i="4"/>
  <c r="F52" i="4"/>
  <c r="F255" i="4"/>
  <c r="B36" i="4"/>
  <c r="B1017" i="1"/>
  <c r="G1017" i="1" s="1"/>
  <c r="B1019" i="1"/>
  <c r="B1020" i="1"/>
  <c r="G1019" i="1" l="1"/>
  <c r="G1018" i="1"/>
  <c r="G1016" i="1"/>
  <c r="H50" i="4"/>
  <c r="E50" i="4"/>
  <c r="D49" i="4"/>
  <c r="F157" i="4"/>
  <c r="F254" i="4"/>
  <c r="F51" i="4"/>
  <c r="F156" i="4"/>
  <c r="B37" i="4"/>
  <c r="B1022" i="1"/>
  <c r="B1021" i="1"/>
  <c r="G1021" i="1" l="1"/>
  <c r="G1020" i="1"/>
  <c r="E49" i="4"/>
  <c r="H49" i="4"/>
  <c r="D48" i="4"/>
  <c r="F253" i="4"/>
  <c r="F50" i="4"/>
  <c r="F155" i="4"/>
  <c r="B38" i="4"/>
  <c r="B1023" i="1"/>
  <c r="B1026" i="1"/>
  <c r="B1024" i="1"/>
  <c r="G1023" i="1" l="1"/>
  <c r="G1022" i="1"/>
  <c r="D47" i="4"/>
  <c r="H48" i="4"/>
  <c r="E48" i="4"/>
  <c r="F49" i="4"/>
  <c r="F154" i="4"/>
  <c r="F153" i="4"/>
  <c r="F252" i="4"/>
  <c r="B39" i="4"/>
  <c r="B1028" i="1"/>
  <c r="B1027" i="1"/>
  <c r="B1025" i="1"/>
  <c r="G1025" i="1" s="1"/>
  <c r="G1027" i="1" l="1"/>
  <c r="G1024" i="1"/>
  <c r="G1026" i="1"/>
  <c r="E47" i="4"/>
  <c r="D46" i="4"/>
  <c r="H47" i="4"/>
  <c r="F152" i="4"/>
  <c r="F251" i="4"/>
  <c r="F48" i="4"/>
  <c r="B40" i="4"/>
  <c r="B1029" i="1"/>
  <c r="G1028" i="1" s="1"/>
  <c r="B1030" i="1"/>
  <c r="G1029" i="1" l="1"/>
  <c r="H46" i="4"/>
  <c r="E46" i="4"/>
  <c r="D45" i="4"/>
  <c r="F150" i="4"/>
  <c r="F250" i="4"/>
  <c r="F151" i="4"/>
  <c r="F47" i="4"/>
  <c r="B41" i="4"/>
  <c r="B1032" i="1"/>
  <c r="B1031" i="1"/>
  <c r="G1031" i="1" l="1"/>
  <c r="G1030" i="1"/>
  <c r="E45" i="4"/>
  <c r="D44" i="4"/>
  <c r="H45" i="4"/>
  <c r="F249" i="4"/>
  <c r="F46" i="4"/>
  <c r="F149" i="4"/>
  <c r="B42" i="4"/>
  <c r="B1033" i="1"/>
  <c r="B1034" i="1"/>
  <c r="G1033" i="1" l="1"/>
  <c r="G1032" i="1"/>
  <c r="D43" i="4"/>
  <c r="H44" i="4"/>
  <c r="E44" i="4"/>
  <c r="F45" i="4"/>
  <c r="F248" i="4"/>
  <c r="F148" i="4"/>
  <c r="F147" i="4"/>
  <c r="B43" i="4"/>
  <c r="B1036" i="1"/>
  <c r="B1035" i="1"/>
  <c r="G1035" i="1" l="1"/>
  <c r="B1038" i="1"/>
  <c r="B1039" i="1" s="1"/>
  <c r="G1034" i="1"/>
  <c r="E43" i="4"/>
  <c r="D42" i="4"/>
  <c r="H43" i="4"/>
  <c r="F146" i="4"/>
  <c r="F44" i="4"/>
  <c r="F247" i="4"/>
  <c r="B44" i="4"/>
  <c r="G43" i="4"/>
  <c r="B1037" i="1"/>
  <c r="G1037" i="1" l="1"/>
  <c r="F1038" i="1"/>
  <c r="G1036" i="1"/>
  <c r="G1038" i="1"/>
  <c r="B1040" i="1"/>
  <c r="H42" i="4"/>
  <c r="E42" i="4"/>
  <c r="D41" i="4"/>
  <c r="G42" i="4"/>
  <c r="F43" i="4"/>
  <c r="F145" i="4"/>
  <c r="F246" i="4"/>
  <c r="F144" i="4"/>
  <c r="B45" i="4"/>
  <c r="G44" i="4"/>
  <c r="G1039" i="1" l="1"/>
  <c r="B1041" i="1"/>
  <c r="F1040" i="1"/>
  <c r="E41" i="4"/>
  <c r="H41" i="4"/>
  <c r="D40" i="4"/>
  <c r="G41" i="4"/>
  <c r="F42" i="4"/>
  <c r="F245" i="4"/>
  <c r="F143" i="4"/>
  <c r="B46" i="4"/>
  <c r="G45" i="4"/>
  <c r="G1040" i="1" l="1"/>
  <c r="D1214" i="1"/>
  <c r="H1214" i="1" s="1"/>
  <c r="E1160" i="1"/>
  <c r="D1159" i="1"/>
  <c r="H1159" i="1" s="1"/>
  <c r="B1042" i="1"/>
  <c r="D39" i="4"/>
  <c r="H40" i="4"/>
  <c r="E40" i="4"/>
  <c r="G40" i="4"/>
  <c r="F41" i="4"/>
  <c r="F142" i="4"/>
  <c r="F244" i="4"/>
  <c r="F141" i="4"/>
  <c r="B47" i="4"/>
  <c r="G46" i="4" s="1"/>
  <c r="G1041" i="1" l="1"/>
  <c r="D1251" i="1"/>
  <c r="H1251" i="1" s="1"/>
  <c r="D1213" i="1"/>
  <c r="H1213" i="1" s="1"/>
  <c r="E1159" i="1"/>
  <c r="E1214" i="1"/>
  <c r="B1043" i="1"/>
  <c r="E1252" i="1"/>
  <c r="E1215" i="1"/>
  <c r="E39" i="4"/>
  <c r="D38" i="4"/>
  <c r="H39" i="4"/>
  <c r="G39" i="4"/>
  <c r="F243" i="4"/>
  <c r="F40" i="4"/>
  <c r="F140" i="4"/>
  <c r="B48" i="4"/>
  <c r="G47" i="4"/>
  <c r="G1042" i="1" l="1"/>
  <c r="E1213" i="1"/>
  <c r="B1044" i="1"/>
  <c r="G1043" i="1" s="1"/>
  <c r="E1158" i="1"/>
  <c r="D1211" i="1"/>
  <c r="H1211" i="1" s="1"/>
  <c r="D1157" i="1"/>
  <c r="H1157" i="1" s="1"/>
  <c r="E1251" i="1"/>
  <c r="H38" i="4"/>
  <c r="E38" i="4"/>
  <c r="D37" i="4"/>
  <c r="G38" i="4"/>
  <c r="F242" i="4"/>
  <c r="F39" i="4"/>
  <c r="F138" i="4"/>
  <c r="F139" i="4"/>
  <c r="B49" i="4"/>
  <c r="G48" i="4"/>
  <c r="F1370" i="1" l="1"/>
  <c r="F1337" i="1"/>
  <c r="F1336" i="1"/>
  <c r="E1211" i="1"/>
  <c r="D1249" i="1"/>
  <c r="H1249" i="1" s="1"/>
  <c r="D1210" i="1"/>
  <c r="H1210" i="1" s="1"/>
  <c r="E1157" i="1"/>
  <c r="B1045" i="1"/>
  <c r="E1212" i="1"/>
  <c r="E1250" i="1"/>
  <c r="E37" i="4"/>
  <c r="D36" i="4"/>
  <c r="H37" i="4"/>
  <c r="G37" i="4"/>
  <c r="F241" i="4"/>
  <c r="F137" i="4"/>
  <c r="F38" i="4"/>
  <c r="B50" i="4"/>
  <c r="G49" i="4"/>
  <c r="D1545" i="1" l="1"/>
  <c r="H1545" i="1" s="1"/>
  <c r="E1509" i="1"/>
  <c r="D1508" i="1"/>
  <c r="H1508" i="1" s="1"/>
  <c r="G1044" i="1"/>
  <c r="D1336" i="1"/>
  <c r="H1336" i="1" s="1"/>
  <c r="E1288" i="1"/>
  <c r="D1287" i="1"/>
  <c r="H1287" i="1" s="1"/>
  <c r="F1369" i="1"/>
  <c r="F1335" i="1"/>
  <c r="E1210" i="1"/>
  <c r="D1208" i="1"/>
  <c r="H1208" i="1" s="1"/>
  <c r="E1156" i="1"/>
  <c r="D1155" i="1"/>
  <c r="H1155" i="1" s="1"/>
  <c r="E1249" i="1"/>
  <c r="B1046" i="1"/>
  <c r="D35" i="4"/>
  <c r="H36" i="4"/>
  <c r="E36" i="4"/>
  <c r="G36" i="4"/>
  <c r="F136" i="4"/>
  <c r="F240" i="4"/>
  <c r="F37" i="4"/>
  <c r="F135" i="4"/>
  <c r="B51" i="4"/>
  <c r="E1545" i="1" l="1"/>
  <c r="D1570" i="1"/>
  <c r="H1570" i="1" s="1"/>
  <c r="D1544" i="1"/>
  <c r="H1544" i="1" s="1"/>
  <c r="E1508" i="1"/>
  <c r="F1481" i="1"/>
  <c r="F1449" i="1"/>
  <c r="F1450" i="1"/>
  <c r="G1045" i="1"/>
  <c r="D1369" i="1"/>
  <c r="H1369" i="1" s="1"/>
  <c r="D1335" i="1"/>
  <c r="H1335" i="1" s="1"/>
  <c r="D1286" i="1"/>
  <c r="H1286" i="1" s="1"/>
  <c r="E1287" i="1"/>
  <c r="F1368" i="1"/>
  <c r="F1334" i="1"/>
  <c r="F1333" i="1"/>
  <c r="E1336" i="1"/>
  <c r="B1047" i="1"/>
  <c r="D1247" i="1"/>
  <c r="H1247" i="1" s="1"/>
  <c r="E1155" i="1"/>
  <c r="D1207" i="1"/>
  <c r="H1207" i="1" s="1"/>
  <c r="E1208" i="1"/>
  <c r="E1248" i="1"/>
  <c r="E1209" i="1"/>
  <c r="E35" i="4"/>
  <c r="D34" i="4"/>
  <c r="H35" i="4"/>
  <c r="G35" i="4"/>
  <c r="F36" i="4"/>
  <c r="F134" i="4"/>
  <c r="F239" i="4"/>
  <c r="B52" i="4"/>
  <c r="G50" i="4"/>
  <c r="E1544" i="1" l="1"/>
  <c r="D1542" i="1"/>
  <c r="H1542" i="1" s="1"/>
  <c r="E1507" i="1"/>
  <c r="D1506" i="1"/>
  <c r="H1506" i="1" s="1"/>
  <c r="E1570" i="1"/>
  <c r="F1480" i="1"/>
  <c r="F1448" i="1"/>
  <c r="G1046" i="1"/>
  <c r="E1335" i="1"/>
  <c r="D1333" i="1"/>
  <c r="H1333" i="1" s="1"/>
  <c r="E1286" i="1"/>
  <c r="D1285" i="1"/>
  <c r="H1285" i="1" s="1"/>
  <c r="F1367" i="1"/>
  <c r="F1332" i="1"/>
  <c r="E1369" i="1"/>
  <c r="E1154" i="1"/>
  <c r="D1205" i="1"/>
  <c r="H1205" i="1" s="1"/>
  <c r="D1153" i="1"/>
  <c r="H1153" i="1" s="1"/>
  <c r="E1247" i="1"/>
  <c r="E1207" i="1"/>
  <c r="B1048" i="1"/>
  <c r="H34" i="4"/>
  <c r="E34" i="4"/>
  <c r="D33" i="4"/>
  <c r="G34" i="4"/>
  <c r="F132" i="4"/>
  <c r="F238" i="4"/>
  <c r="F133" i="4"/>
  <c r="F35" i="4"/>
  <c r="B53" i="4"/>
  <c r="G52" i="4"/>
  <c r="G51" i="4"/>
  <c r="E1542" i="1" l="1"/>
  <c r="D1568" i="1"/>
  <c r="D1541" i="1"/>
  <c r="H1541" i="1" s="1"/>
  <c r="E1506" i="1"/>
  <c r="F1479" i="1"/>
  <c r="F1447" i="1"/>
  <c r="F1446" i="1"/>
  <c r="B1049" i="1"/>
  <c r="G1047" i="1"/>
  <c r="E1333" i="1"/>
  <c r="F1366" i="1"/>
  <c r="F1330" i="1"/>
  <c r="F1331" i="1"/>
  <c r="D1367" i="1"/>
  <c r="H1367" i="1" s="1"/>
  <c r="D1332" i="1"/>
  <c r="H1332" i="1" s="1"/>
  <c r="E1285" i="1"/>
  <c r="D1245" i="1"/>
  <c r="H1245" i="1" s="1"/>
  <c r="D1204" i="1"/>
  <c r="H1204" i="1" s="1"/>
  <c r="E1153" i="1"/>
  <c r="D1152" i="1"/>
  <c r="H1152" i="1" s="1"/>
  <c r="E1206" i="1"/>
  <c r="E1205" i="1"/>
  <c r="E1246" i="1"/>
  <c r="E33" i="4"/>
  <c r="H33" i="4"/>
  <c r="D32" i="4"/>
  <c r="G33" i="4"/>
  <c r="F131" i="4"/>
  <c r="F237" i="4"/>
  <c r="F34" i="4"/>
  <c r="B54" i="4"/>
  <c r="G53" i="4"/>
  <c r="E1541" i="1" l="1"/>
  <c r="D1539" i="1"/>
  <c r="H1539" i="1" s="1"/>
  <c r="E1505" i="1"/>
  <c r="D1504" i="1"/>
  <c r="H1504" i="1" s="1"/>
  <c r="E1568" i="1"/>
  <c r="H1568" i="1"/>
  <c r="F1478" i="1"/>
  <c r="F1445" i="1"/>
  <c r="B1050" i="1"/>
  <c r="E1332" i="1"/>
  <c r="E1367" i="1"/>
  <c r="D1330" i="1"/>
  <c r="H1330" i="1" s="1"/>
  <c r="E1284" i="1"/>
  <c r="D1283" i="1"/>
  <c r="H1283" i="1" s="1"/>
  <c r="F1365" i="1"/>
  <c r="F1329" i="1"/>
  <c r="D1202" i="1"/>
  <c r="H1202" i="1" s="1"/>
  <c r="E1204" i="1"/>
  <c r="E1152" i="1"/>
  <c r="D1151" i="1"/>
  <c r="H1151" i="1" s="1"/>
  <c r="E1245" i="1"/>
  <c r="D31" i="4"/>
  <c r="H32" i="4"/>
  <c r="E32" i="4"/>
  <c r="G32" i="4"/>
  <c r="F129" i="4"/>
  <c r="F33" i="4"/>
  <c r="F130" i="4"/>
  <c r="F236" i="4"/>
  <c r="B55" i="4"/>
  <c r="D1566" i="1" l="1"/>
  <c r="D1538" i="1"/>
  <c r="E1504" i="1"/>
  <c r="D1503" i="1"/>
  <c r="H1503" i="1" s="1"/>
  <c r="E1539" i="1"/>
  <c r="B1051" i="1"/>
  <c r="F1477" i="1"/>
  <c r="F1444" i="1"/>
  <c r="F1443" i="1"/>
  <c r="D1365" i="1"/>
  <c r="H1365" i="1" s="1"/>
  <c r="D1329" i="1"/>
  <c r="H1329" i="1" s="1"/>
  <c r="D1282" i="1"/>
  <c r="H1282" i="1" s="1"/>
  <c r="E1283" i="1"/>
  <c r="F1364" i="1"/>
  <c r="F1327" i="1"/>
  <c r="F1328" i="1"/>
  <c r="E1330" i="1"/>
  <c r="D1243" i="1"/>
  <c r="H1243" i="1" s="1"/>
  <c r="E1151" i="1"/>
  <c r="D1201" i="1"/>
  <c r="H1201" i="1" s="1"/>
  <c r="D1150" i="1"/>
  <c r="H1150" i="1" s="1"/>
  <c r="E1202" i="1"/>
  <c r="E1244" i="1"/>
  <c r="E1203" i="1"/>
  <c r="E31" i="4"/>
  <c r="D30" i="4"/>
  <c r="H31" i="4"/>
  <c r="G31" i="4"/>
  <c r="F32" i="4"/>
  <c r="F235" i="4"/>
  <c r="F128" i="4"/>
  <c r="B56" i="4"/>
  <c r="G55" i="4"/>
  <c r="G54" i="4"/>
  <c r="H1538" i="1" l="1"/>
  <c r="E1538" i="1"/>
  <c r="D1536" i="1"/>
  <c r="E1503" i="1"/>
  <c r="D1502" i="1"/>
  <c r="H1502" i="1" s="1"/>
  <c r="E1566" i="1"/>
  <c r="H1566" i="1"/>
  <c r="F1476" i="1"/>
  <c r="F1442" i="1"/>
  <c r="B1052" i="1"/>
  <c r="E1329" i="1"/>
  <c r="E1282" i="1"/>
  <c r="D1281" i="1"/>
  <c r="H1281" i="1" s="1"/>
  <c r="D1327" i="1"/>
  <c r="H1327" i="1" s="1"/>
  <c r="F1363" i="1"/>
  <c r="F1326" i="1"/>
  <c r="E1365" i="1"/>
  <c r="E1201" i="1"/>
  <c r="E1150" i="1"/>
  <c r="D1199" i="1"/>
  <c r="H1199" i="1" s="1"/>
  <c r="D1149" i="1"/>
  <c r="H1149" i="1" s="1"/>
  <c r="E1243" i="1"/>
  <c r="H30" i="4"/>
  <c r="D29" i="4"/>
  <c r="E30" i="4"/>
  <c r="G30" i="4"/>
  <c r="F234" i="4"/>
  <c r="F31" i="4"/>
  <c r="F127" i="4"/>
  <c r="F126" i="4"/>
  <c r="B57" i="4"/>
  <c r="E1536" i="1" l="1"/>
  <c r="H1536" i="1"/>
  <c r="D1564" i="1"/>
  <c r="E1502" i="1"/>
  <c r="D1535" i="1"/>
  <c r="B1053" i="1"/>
  <c r="F1475" i="1"/>
  <c r="F1441" i="1"/>
  <c r="F1440" i="1"/>
  <c r="E1327" i="1"/>
  <c r="F1362" i="1"/>
  <c r="F1325" i="1"/>
  <c r="F1324" i="1"/>
  <c r="D1363" i="1"/>
  <c r="H1363" i="1" s="1"/>
  <c r="D1280" i="1"/>
  <c r="H1280" i="1" s="1"/>
  <c r="D1326" i="1"/>
  <c r="H1326" i="1" s="1"/>
  <c r="E1281" i="1"/>
  <c r="D1241" i="1"/>
  <c r="H1241" i="1" s="1"/>
  <c r="D1198" i="1"/>
  <c r="H1198" i="1" s="1"/>
  <c r="E1149" i="1"/>
  <c r="E1200" i="1"/>
  <c r="E1242" i="1"/>
  <c r="E1199" i="1"/>
  <c r="E29" i="4"/>
  <c r="D28" i="4"/>
  <c r="H29" i="4"/>
  <c r="G29" i="4"/>
  <c r="F233" i="4"/>
  <c r="F30" i="4"/>
  <c r="F125" i="4"/>
  <c r="B58" i="4"/>
  <c r="G57" i="4" s="1"/>
  <c r="G56" i="4"/>
  <c r="E1535" i="1" l="1"/>
  <c r="H1535" i="1"/>
  <c r="H1564" i="1"/>
  <c r="E1564" i="1"/>
  <c r="D1533" i="1"/>
  <c r="E1501" i="1"/>
  <c r="D1500" i="1"/>
  <c r="H1500" i="1" s="1"/>
  <c r="F1474" i="1"/>
  <c r="F1439" i="1"/>
  <c r="B1054" i="1"/>
  <c r="D1324" i="1"/>
  <c r="H1324" i="1" s="1"/>
  <c r="E1280" i="1"/>
  <c r="D1279" i="1"/>
  <c r="H1279" i="1" s="1"/>
  <c r="F1361" i="1"/>
  <c r="F1323" i="1"/>
  <c r="E1363" i="1"/>
  <c r="E1326" i="1"/>
  <c r="E1198" i="1"/>
  <c r="D1196" i="1"/>
  <c r="H1196" i="1" s="1"/>
  <c r="E1148" i="1"/>
  <c r="D1147" i="1"/>
  <c r="H1147" i="1" s="1"/>
  <c r="E1241" i="1"/>
  <c r="D27" i="4"/>
  <c r="H28" i="4"/>
  <c r="E28" i="4"/>
  <c r="G28" i="4"/>
  <c r="F29" i="4"/>
  <c r="F123" i="4"/>
  <c r="F232" i="4"/>
  <c r="F124" i="4"/>
  <c r="B59" i="4"/>
  <c r="G58" i="4"/>
  <c r="D1562" i="1" l="1"/>
  <c r="D1532" i="1"/>
  <c r="E1500" i="1"/>
  <c r="D1499" i="1"/>
  <c r="H1499" i="1" s="1"/>
  <c r="E1533" i="1"/>
  <c r="H1533" i="1"/>
  <c r="B1055" i="1"/>
  <c r="F1473" i="1"/>
  <c r="F1437" i="1"/>
  <c r="F1438" i="1"/>
  <c r="G1053" i="1"/>
  <c r="D1361" i="1"/>
  <c r="H1361" i="1" s="1"/>
  <c r="D1323" i="1"/>
  <c r="H1323" i="1" s="1"/>
  <c r="E1279" i="1"/>
  <c r="F1322" i="1"/>
  <c r="F1321" i="1"/>
  <c r="F1360" i="1"/>
  <c r="E1324" i="1"/>
  <c r="D1239" i="1"/>
  <c r="H1239" i="1" s="1"/>
  <c r="E1147" i="1"/>
  <c r="D1195" i="1"/>
  <c r="H1195" i="1" s="1"/>
  <c r="D1146" i="1"/>
  <c r="H1146" i="1" s="1"/>
  <c r="E1196" i="1"/>
  <c r="E1240" i="1"/>
  <c r="E1197" i="1"/>
  <c r="E27" i="4"/>
  <c r="D26" i="4"/>
  <c r="H27" i="4"/>
  <c r="G27" i="4"/>
  <c r="F122" i="4"/>
  <c r="F231" i="4"/>
  <c r="F28" i="4"/>
  <c r="B60" i="4"/>
  <c r="E1532" i="1" l="1"/>
  <c r="H1532" i="1"/>
  <c r="D1530" i="1"/>
  <c r="E1499" i="1"/>
  <c r="D1498" i="1"/>
  <c r="H1498" i="1" s="1"/>
  <c r="E1562" i="1"/>
  <c r="H1562" i="1"/>
  <c r="F1472" i="1"/>
  <c r="F1436" i="1"/>
  <c r="B1056" i="1"/>
  <c r="F1359" i="1"/>
  <c r="F1320" i="1"/>
  <c r="D1321" i="1"/>
  <c r="H1321" i="1" s="1"/>
  <c r="E1278" i="1"/>
  <c r="D1277" i="1"/>
  <c r="H1277" i="1" s="1"/>
  <c r="E1323" i="1"/>
  <c r="E1361" i="1"/>
  <c r="E1195" i="1"/>
  <c r="E1146" i="1"/>
  <c r="D1193" i="1"/>
  <c r="H1193" i="1" s="1"/>
  <c r="D1145" i="1"/>
  <c r="H1145" i="1" s="1"/>
  <c r="E1239" i="1"/>
  <c r="H26" i="4"/>
  <c r="E26" i="4"/>
  <c r="D25" i="4"/>
  <c r="G26" i="4"/>
  <c r="F120" i="4"/>
  <c r="F230" i="4"/>
  <c r="F27" i="4"/>
  <c r="F121" i="4"/>
  <c r="F1097" i="1"/>
  <c r="F1096" i="1"/>
  <c r="F1120" i="1"/>
  <c r="B61" i="4"/>
  <c r="G60" i="4"/>
  <c r="G59" i="4"/>
  <c r="E1530" i="1" l="1"/>
  <c r="H1530" i="1"/>
  <c r="D1560" i="1"/>
  <c r="H1560" i="1" s="1"/>
  <c r="D1529" i="1"/>
  <c r="E1498" i="1"/>
  <c r="B1057" i="1"/>
  <c r="F1471" i="1"/>
  <c r="F1435" i="1"/>
  <c r="F1434" i="1"/>
  <c r="D1359" i="1"/>
  <c r="H1359" i="1" s="1"/>
  <c r="D1320" i="1"/>
  <c r="H1320" i="1" s="1"/>
  <c r="D1276" i="1"/>
  <c r="H1276" i="1" s="1"/>
  <c r="E1277" i="1"/>
  <c r="F1318" i="1"/>
  <c r="F1358" i="1"/>
  <c r="F1319" i="1"/>
  <c r="E1321" i="1"/>
  <c r="D1237" i="1"/>
  <c r="H1237" i="1" s="1"/>
  <c r="D1192" i="1"/>
  <c r="H1192" i="1" s="1"/>
  <c r="E1145" i="1"/>
  <c r="D1144" i="1"/>
  <c r="H1144" i="1" s="1"/>
  <c r="E1194" i="1"/>
  <c r="E1238" i="1"/>
  <c r="E1193" i="1"/>
  <c r="E25" i="4"/>
  <c r="H25" i="4"/>
  <c r="D24" i="4"/>
  <c r="G25" i="4"/>
  <c r="F229" i="4"/>
  <c r="F119" i="4"/>
  <c r="F26" i="4"/>
  <c r="D1062" i="1"/>
  <c r="H1062" i="1" s="1"/>
  <c r="E1063" i="1"/>
  <c r="F1095" i="1"/>
  <c r="F1119" i="1"/>
  <c r="B62" i="4"/>
  <c r="G61" i="4"/>
  <c r="E1529" i="1" l="1"/>
  <c r="H1529" i="1"/>
  <c r="D1527" i="1"/>
  <c r="E1497" i="1"/>
  <c r="D1496" i="1"/>
  <c r="H1496" i="1" s="1"/>
  <c r="E1560" i="1"/>
  <c r="F1470" i="1"/>
  <c r="F1433" i="1"/>
  <c r="B1058" i="1"/>
  <c r="E1359" i="1"/>
  <c r="F1357" i="1"/>
  <c r="F1317" i="1"/>
  <c r="E1276" i="1"/>
  <c r="D1275" i="1"/>
  <c r="H1275" i="1" s="1"/>
  <c r="D1318" i="1"/>
  <c r="H1318" i="1" s="1"/>
  <c r="E1320" i="1"/>
  <c r="E1192" i="1"/>
  <c r="D1190" i="1"/>
  <c r="H1190" i="1" s="1"/>
  <c r="E1144" i="1"/>
  <c r="D1143" i="1"/>
  <c r="H1143" i="1" s="1"/>
  <c r="E1237" i="1"/>
  <c r="D1095" i="1"/>
  <c r="H1095" i="1" s="1"/>
  <c r="D1119" i="1"/>
  <c r="H1119" i="1" s="1"/>
  <c r="D23" i="4"/>
  <c r="H24" i="4"/>
  <c r="E24" i="4"/>
  <c r="G24" i="4"/>
  <c r="F117" i="4"/>
  <c r="F118" i="4"/>
  <c r="F228" i="4"/>
  <c r="F25" i="4"/>
  <c r="E1062" i="1"/>
  <c r="F1093" i="1"/>
  <c r="F1118" i="1"/>
  <c r="F1094" i="1"/>
  <c r="B63" i="4"/>
  <c r="G62" i="4"/>
  <c r="H1527" i="1" l="1"/>
  <c r="E1527" i="1"/>
  <c r="D1558" i="1"/>
  <c r="H1558" i="1" s="1"/>
  <c r="D1526" i="1"/>
  <c r="E1496" i="1"/>
  <c r="F1432" i="1"/>
  <c r="F1469" i="1"/>
  <c r="F1431" i="1"/>
  <c r="B1059" i="1"/>
  <c r="D1357" i="1"/>
  <c r="H1357" i="1" s="1"/>
  <c r="D1317" i="1"/>
  <c r="H1317" i="1" s="1"/>
  <c r="E1275" i="1"/>
  <c r="E1318" i="1"/>
  <c r="F1315" i="1"/>
  <c r="F1356" i="1"/>
  <c r="F1316" i="1"/>
  <c r="D1235" i="1"/>
  <c r="H1235" i="1" s="1"/>
  <c r="E1143" i="1"/>
  <c r="D1189" i="1"/>
  <c r="H1189" i="1" s="1"/>
  <c r="E1236" i="1"/>
  <c r="E1190" i="1"/>
  <c r="E1191" i="1"/>
  <c r="E1119" i="1"/>
  <c r="E1095" i="1"/>
  <c r="E23" i="4"/>
  <c r="D22" i="4"/>
  <c r="H23" i="4"/>
  <c r="G23" i="4"/>
  <c r="F227" i="4"/>
  <c r="F24" i="4"/>
  <c r="F116" i="4"/>
  <c r="E1061" i="1"/>
  <c r="D1060" i="1"/>
  <c r="H1060" i="1" s="1"/>
  <c r="F1117" i="1"/>
  <c r="F1092" i="1"/>
  <c r="B64" i="4"/>
  <c r="G63" i="4"/>
  <c r="H1526" i="1" l="1"/>
  <c r="E1526" i="1"/>
  <c r="D1524" i="1"/>
  <c r="E1495" i="1"/>
  <c r="D1494" i="1"/>
  <c r="H1494" i="1" s="1"/>
  <c r="E1558" i="1"/>
  <c r="F1468" i="1"/>
  <c r="F1430" i="1"/>
  <c r="B1060" i="1"/>
  <c r="E1317" i="1"/>
  <c r="E1357" i="1"/>
  <c r="D1273" i="1"/>
  <c r="H1273" i="1" s="1"/>
  <c r="D1315" i="1"/>
  <c r="H1315" i="1" s="1"/>
  <c r="E1274" i="1"/>
  <c r="F1355" i="1"/>
  <c r="F1314" i="1"/>
  <c r="E1189" i="1"/>
  <c r="E1142" i="1"/>
  <c r="D1187" i="1"/>
  <c r="H1187" i="1" s="1"/>
  <c r="D1141" i="1"/>
  <c r="H1141" i="1" s="1"/>
  <c r="E1235" i="1"/>
  <c r="D1117" i="1"/>
  <c r="H1117" i="1" s="1"/>
  <c r="D1092" i="1"/>
  <c r="H1092" i="1" s="1"/>
  <c r="H22" i="4"/>
  <c r="E22" i="4"/>
  <c r="D21" i="4"/>
  <c r="G22" i="4"/>
  <c r="F23" i="4"/>
  <c r="F115" i="4"/>
  <c r="F114" i="4"/>
  <c r="F226" i="4"/>
  <c r="E1060" i="1"/>
  <c r="D1059" i="1"/>
  <c r="H1059" i="1" s="1"/>
  <c r="F1090" i="1"/>
  <c r="F1116" i="1"/>
  <c r="F1091" i="1"/>
  <c r="B65" i="4"/>
  <c r="E1524" i="1" l="1"/>
  <c r="H1524" i="1"/>
  <c r="D1556" i="1"/>
  <c r="H1556" i="1" s="1"/>
  <c r="D1523" i="1"/>
  <c r="E1494" i="1"/>
  <c r="G1059" i="1"/>
  <c r="F1467" i="1"/>
  <c r="F1428" i="1"/>
  <c r="F1429" i="1"/>
  <c r="B1061" i="1"/>
  <c r="G1060" i="1" s="1"/>
  <c r="F1354" i="1"/>
  <c r="F1313" i="1"/>
  <c r="F1312" i="1"/>
  <c r="E1315" i="1"/>
  <c r="D1355" i="1"/>
  <c r="H1355" i="1" s="1"/>
  <c r="D1272" i="1"/>
  <c r="H1272" i="1" s="1"/>
  <c r="D1314" i="1"/>
  <c r="H1314" i="1" s="1"/>
  <c r="E1273" i="1"/>
  <c r="E1234" i="1"/>
  <c r="E1187" i="1"/>
  <c r="D1233" i="1"/>
  <c r="H1233" i="1" s="1"/>
  <c r="D1186" i="1"/>
  <c r="H1186" i="1" s="1"/>
  <c r="E1141" i="1"/>
  <c r="D1140" i="1"/>
  <c r="H1140" i="1" s="1"/>
  <c r="E1188" i="1"/>
  <c r="E1092" i="1"/>
  <c r="D1090" i="1"/>
  <c r="H1090" i="1" s="1"/>
  <c r="E1117" i="1"/>
  <c r="E21" i="4"/>
  <c r="D20" i="4"/>
  <c r="H21" i="4"/>
  <c r="G21" i="4"/>
  <c r="F225" i="4"/>
  <c r="F22" i="4"/>
  <c r="F113" i="4"/>
  <c r="D1058" i="1"/>
  <c r="E1059" i="1"/>
  <c r="F1089" i="1"/>
  <c r="F1115" i="1"/>
  <c r="B66" i="4"/>
  <c r="G65" i="4" s="1"/>
  <c r="G64" i="4"/>
  <c r="E1523" i="1" l="1"/>
  <c r="H1523" i="1"/>
  <c r="D1521" i="1"/>
  <c r="E1493" i="1"/>
  <c r="D1492" i="1"/>
  <c r="H1492" i="1" s="1"/>
  <c r="E1556" i="1"/>
  <c r="H1058" i="1"/>
  <c r="G1058" i="1"/>
  <c r="F1466" i="1"/>
  <c r="F1427" i="1"/>
  <c r="B1062" i="1"/>
  <c r="G1061" i="1" s="1"/>
  <c r="E1314" i="1"/>
  <c r="F1311" i="1"/>
  <c r="F1353" i="1"/>
  <c r="E1355" i="1"/>
  <c r="D1312" i="1"/>
  <c r="H1312" i="1" s="1"/>
  <c r="D1271" i="1"/>
  <c r="H1271" i="1" s="1"/>
  <c r="E1272" i="1"/>
  <c r="E1186" i="1"/>
  <c r="D1184" i="1"/>
  <c r="H1184" i="1" s="1"/>
  <c r="E1140" i="1"/>
  <c r="D1139" i="1"/>
  <c r="H1139" i="1" s="1"/>
  <c r="E1233" i="1"/>
  <c r="D1089" i="1"/>
  <c r="H1089" i="1" s="1"/>
  <c r="D1115" i="1"/>
  <c r="H1115" i="1" s="1"/>
  <c r="E1090" i="1"/>
  <c r="E1116" i="1"/>
  <c r="E1091" i="1"/>
  <c r="D19" i="4"/>
  <c r="H20" i="4"/>
  <c r="E20" i="4"/>
  <c r="G20" i="4"/>
  <c r="F112" i="4"/>
  <c r="F21" i="4"/>
  <c r="F111" i="4"/>
  <c r="F224" i="4"/>
  <c r="D1057" i="1"/>
  <c r="E1058" i="1"/>
  <c r="F1114" i="1"/>
  <c r="F1088" i="1"/>
  <c r="F1087" i="1"/>
  <c r="B67" i="4"/>
  <c r="G66" i="4"/>
  <c r="H1521" i="1" l="1"/>
  <c r="E1521" i="1"/>
  <c r="D1520" i="1"/>
  <c r="E1492" i="1"/>
  <c r="D1491" i="1"/>
  <c r="H1491" i="1" s="1"/>
  <c r="D1554" i="1"/>
  <c r="H1554" i="1" s="1"/>
  <c r="H1057" i="1"/>
  <c r="G1057" i="1"/>
  <c r="F1465" i="1"/>
  <c r="F1425" i="1"/>
  <c r="F1426" i="1"/>
  <c r="B1063" i="1"/>
  <c r="G1062" i="1" s="1"/>
  <c r="E1312" i="1"/>
  <c r="D1353" i="1"/>
  <c r="H1353" i="1" s="1"/>
  <c r="D1270" i="1"/>
  <c r="H1270" i="1" s="1"/>
  <c r="D1311" i="1"/>
  <c r="H1311" i="1" s="1"/>
  <c r="E1271" i="1"/>
  <c r="F1352" i="1"/>
  <c r="F1309" i="1"/>
  <c r="F1310" i="1"/>
  <c r="D1231" i="1"/>
  <c r="H1231" i="1" s="1"/>
  <c r="E1139" i="1"/>
  <c r="D1183" i="1"/>
  <c r="H1183" i="1" s="1"/>
  <c r="E1184" i="1"/>
  <c r="E1232" i="1"/>
  <c r="E1185" i="1"/>
  <c r="E1115" i="1"/>
  <c r="D1087" i="1"/>
  <c r="H1087" i="1" s="1"/>
  <c r="E1089" i="1"/>
  <c r="E19" i="4"/>
  <c r="D18" i="4"/>
  <c r="H19" i="4"/>
  <c r="G19" i="4"/>
  <c r="F110" i="4"/>
  <c r="F223" i="4"/>
  <c r="F20" i="4"/>
  <c r="E1057" i="1"/>
  <c r="D1056" i="1"/>
  <c r="F1113" i="1"/>
  <c r="F1086" i="1"/>
  <c r="B68" i="4"/>
  <c r="G67" i="4" s="1"/>
  <c r="H1520" i="1" l="1"/>
  <c r="E1520" i="1"/>
  <c r="E1554" i="1"/>
  <c r="E1491" i="1"/>
  <c r="D1490" i="1"/>
  <c r="H1490" i="1" s="1"/>
  <c r="D1518" i="1"/>
  <c r="H1056" i="1"/>
  <c r="G1056" i="1"/>
  <c r="F1464" i="1"/>
  <c r="F1424" i="1"/>
  <c r="B1064" i="1"/>
  <c r="G1063" i="1" s="1"/>
  <c r="E1353" i="1"/>
  <c r="F1351" i="1"/>
  <c r="F1308" i="1"/>
  <c r="E1311" i="1"/>
  <c r="D1309" i="1"/>
  <c r="H1309" i="1" s="1"/>
  <c r="D1269" i="1"/>
  <c r="H1269" i="1" s="1"/>
  <c r="E1270" i="1"/>
  <c r="E1183" i="1"/>
  <c r="E1138" i="1"/>
  <c r="D1181" i="1"/>
  <c r="H1181" i="1" s="1"/>
  <c r="D1137" i="1"/>
  <c r="H1137" i="1" s="1"/>
  <c r="E1231" i="1"/>
  <c r="E1088" i="1"/>
  <c r="E1087" i="1"/>
  <c r="D1113" i="1"/>
  <c r="H1113" i="1" s="1"/>
  <c r="D1086" i="1"/>
  <c r="H1086" i="1" s="1"/>
  <c r="E1114" i="1"/>
  <c r="H18" i="4"/>
  <c r="E18" i="4"/>
  <c r="D17" i="4"/>
  <c r="G18" i="4"/>
  <c r="F108" i="4"/>
  <c r="F222" i="4"/>
  <c r="F19" i="4"/>
  <c r="F109" i="4"/>
  <c r="E1056" i="1"/>
  <c r="D1055" i="1"/>
  <c r="F1085" i="1"/>
  <c r="F1112" i="1"/>
  <c r="F1084" i="1"/>
  <c r="B69" i="4"/>
  <c r="E1518" i="1" l="1"/>
  <c r="H1518" i="1"/>
  <c r="D1552" i="1"/>
  <c r="H1552" i="1" s="1"/>
  <c r="D1517" i="1"/>
  <c r="H1517" i="1" s="1"/>
  <c r="E1490" i="1"/>
  <c r="H1055" i="1"/>
  <c r="G1055" i="1"/>
  <c r="F1463" i="1"/>
  <c r="F1423" i="1"/>
  <c r="F1422" i="1"/>
  <c r="B1065" i="1"/>
  <c r="E1309" i="1"/>
  <c r="F1350" i="1"/>
  <c r="F1307" i="1"/>
  <c r="F1306" i="1"/>
  <c r="D1351" i="1"/>
  <c r="H1351" i="1" s="1"/>
  <c r="D1308" i="1"/>
  <c r="H1308" i="1" s="1"/>
  <c r="D1268" i="1"/>
  <c r="H1268" i="1" s="1"/>
  <c r="E1269" i="1"/>
  <c r="D1229" i="1"/>
  <c r="H1229" i="1" s="1"/>
  <c r="D1180" i="1"/>
  <c r="H1180" i="1" s="1"/>
  <c r="E1137" i="1"/>
  <c r="D1136" i="1"/>
  <c r="H1136" i="1" s="1"/>
  <c r="E1182" i="1"/>
  <c r="E1230" i="1"/>
  <c r="E1181" i="1"/>
  <c r="E1086" i="1"/>
  <c r="E1113" i="1"/>
  <c r="D1084" i="1"/>
  <c r="H1084" i="1" s="1"/>
  <c r="E17" i="4"/>
  <c r="H17" i="4"/>
  <c r="D16" i="4"/>
  <c r="G17" i="4"/>
  <c r="F221" i="4"/>
  <c r="F107" i="4"/>
  <c r="F18" i="4"/>
  <c r="D1054" i="1"/>
  <c r="E1055" i="1"/>
  <c r="F1111" i="1"/>
  <c r="F1083" i="1"/>
  <c r="B70" i="4"/>
  <c r="G69" i="4"/>
  <c r="G68" i="4"/>
  <c r="D1515" i="1" l="1"/>
  <c r="H1515" i="1" s="1"/>
  <c r="E1489" i="1"/>
  <c r="D1488" i="1"/>
  <c r="H1488" i="1" s="1"/>
  <c r="E1552" i="1"/>
  <c r="E1517" i="1"/>
  <c r="H1054" i="1"/>
  <c r="G1054" i="1"/>
  <c r="B1066" i="1"/>
  <c r="F1462" i="1"/>
  <c r="F1421" i="1"/>
  <c r="G1064" i="1"/>
  <c r="E1308" i="1"/>
  <c r="E1351" i="1"/>
  <c r="D1267" i="1"/>
  <c r="H1267" i="1" s="1"/>
  <c r="D1306" i="1"/>
  <c r="H1306" i="1" s="1"/>
  <c r="E1268" i="1"/>
  <c r="F1349" i="1"/>
  <c r="F1305" i="1"/>
  <c r="D1178" i="1"/>
  <c r="H1178" i="1" s="1"/>
  <c r="E1136" i="1"/>
  <c r="D1135" i="1"/>
  <c r="H1135" i="1" s="1"/>
  <c r="E1180" i="1"/>
  <c r="E1229" i="1"/>
  <c r="D1083" i="1"/>
  <c r="H1083" i="1" s="1"/>
  <c r="D1111" i="1"/>
  <c r="H1111" i="1" s="1"/>
  <c r="E1084" i="1"/>
  <c r="E1112" i="1"/>
  <c r="E1085" i="1"/>
  <c r="D15" i="4"/>
  <c r="H16" i="4"/>
  <c r="E16" i="4"/>
  <c r="G16" i="4"/>
  <c r="F106" i="4"/>
  <c r="F220" i="4"/>
  <c r="F17" i="4"/>
  <c r="F105" i="4"/>
  <c r="E1054" i="1"/>
  <c r="F1081" i="1"/>
  <c r="F1110" i="1"/>
  <c r="F1082" i="1"/>
  <c r="B71" i="4"/>
  <c r="D1550" i="1" l="1"/>
  <c r="H1550" i="1" s="1"/>
  <c r="D1514" i="1"/>
  <c r="H1514" i="1" s="1"/>
  <c r="E1488" i="1"/>
  <c r="E1515" i="1"/>
  <c r="B1067" i="1"/>
  <c r="F1461" i="1"/>
  <c r="F1420" i="1"/>
  <c r="F1419" i="1"/>
  <c r="G1065" i="1"/>
  <c r="F1348" i="1"/>
  <c r="F1303" i="1"/>
  <c r="F1304" i="1"/>
  <c r="E1306" i="1"/>
  <c r="D1349" i="1"/>
  <c r="H1349" i="1" s="1"/>
  <c r="D1305" i="1"/>
  <c r="H1305" i="1" s="1"/>
  <c r="E1267" i="1"/>
  <c r="E1178" i="1"/>
  <c r="D1227" i="1"/>
  <c r="H1227" i="1" s="1"/>
  <c r="E1135" i="1"/>
  <c r="D1177" i="1"/>
  <c r="H1177" i="1" s="1"/>
  <c r="E1179" i="1"/>
  <c r="E1228" i="1"/>
  <c r="E1111" i="1"/>
  <c r="E1083" i="1"/>
  <c r="E15" i="4"/>
  <c r="D14" i="4"/>
  <c r="H15" i="4"/>
  <c r="G15" i="4"/>
  <c r="F16" i="4"/>
  <c r="F104" i="4"/>
  <c r="F219" i="4"/>
  <c r="D1052" i="1"/>
  <c r="E1053" i="1"/>
  <c r="F1109" i="1"/>
  <c r="F1080" i="1"/>
  <c r="B72" i="4"/>
  <c r="G70" i="4"/>
  <c r="E1514" i="1" l="1"/>
  <c r="E1487" i="1"/>
  <c r="D1486" i="1"/>
  <c r="H1486" i="1" s="1"/>
  <c r="D1512" i="1"/>
  <c r="H1512" i="1" s="1"/>
  <c r="E1550" i="1"/>
  <c r="H1052" i="1"/>
  <c r="G1052" i="1"/>
  <c r="F1460" i="1"/>
  <c r="F1418" i="1"/>
  <c r="B1068" i="1"/>
  <c r="G1067" i="1" s="1"/>
  <c r="G1066" i="1"/>
  <c r="E1349" i="1"/>
  <c r="F1347" i="1"/>
  <c r="F1302" i="1"/>
  <c r="E1305" i="1"/>
  <c r="D1265" i="1"/>
  <c r="H1265" i="1" s="1"/>
  <c r="D1303" i="1"/>
  <c r="H1303" i="1" s="1"/>
  <c r="E1266" i="1"/>
  <c r="E1177" i="1"/>
  <c r="E1227" i="1"/>
  <c r="E1134" i="1"/>
  <c r="D1175" i="1"/>
  <c r="H1175" i="1" s="1"/>
  <c r="D1133" i="1"/>
  <c r="H1133" i="1" s="1"/>
  <c r="D1080" i="1"/>
  <c r="H1080" i="1" s="1"/>
  <c r="D1109" i="1"/>
  <c r="H1109" i="1" s="1"/>
  <c r="H14" i="4"/>
  <c r="D13" i="4"/>
  <c r="E14" i="4"/>
  <c r="G14" i="4"/>
  <c r="F15" i="4"/>
  <c r="F103" i="4"/>
  <c r="F102" i="4"/>
  <c r="F218" i="4"/>
  <c r="E1052" i="1"/>
  <c r="D1051" i="1"/>
  <c r="F1078" i="1"/>
  <c r="F1108" i="1"/>
  <c r="F1079" i="1"/>
  <c r="B73" i="4"/>
  <c r="G71" i="4"/>
  <c r="D1548" i="1" l="1"/>
  <c r="H1548" i="1" s="1"/>
  <c r="D1511" i="1"/>
  <c r="H1511" i="1" s="1"/>
  <c r="E1486" i="1"/>
  <c r="E1512" i="1"/>
  <c r="H1051" i="1"/>
  <c r="G1051" i="1"/>
  <c r="F1459" i="1"/>
  <c r="F1416" i="1"/>
  <c r="F1417" i="1"/>
  <c r="B1069" i="1"/>
  <c r="E1303" i="1"/>
  <c r="D1347" i="1"/>
  <c r="H1347" i="1" s="1"/>
  <c r="D1302" i="1"/>
  <c r="H1302" i="1" s="1"/>
  <c r="E1265" i="1"/>
  <c r="F1346" i="1"/>
  <c r="F1301" i="1"/>
  <c r="F1300" i="1"/>
  <c r="E1175" i="1"/>
  <c r="E1176" i="1"/>
  <c r="D1225" i="1"/>
  <c r="H1225" i="1" s="1"/>
  <c r="D1174" i="1"/>
  <c r="H1174" i="1" s="1"/>
  <c r="E1133" i="1"/>
  <c r="D1132" i="1"/>
  <c r="H1132" i="1" s="1"/>
  <c r="E1226" i="1"/>
  <c r="E1080" i="1"/>
  <c r="D1078" i="1"/>
  <c r="H1078" i="1" s="1"/>
  <c r="E1109" i="1"/>
  <c r="E13" i="4"/>
  <c r="D12" i="4"/>
  <c r="H13" i="4"/>
  <c r="G13" i="4"/>
  <c r="F101" i="4"/>
  <c r="F217" i="4"/>
  <c r="F14" i="4"/>
  <c r="D1050" i="1"/>
  <c r="E1051" i="1"/>
  <c r="F1077" i="1"/>
  <c r="F1107" i="1"/>
  <c r="B74" i="4"/>
  <c r="G72" i="4"/>
  <c r="E1511" i="1" l="1"/>
  <c r="E1548" i="1"/>
  <c r="H1050" i="1"/>
  <c r="G1050" i="1"/>
  <c r="F1458" i="1"/>
  <c r="F1415" i="1"/>
  <c r="B1070" i="1"/>
  <c r="G1069" i="1" s="1"/>
  <c r="G1068" i="1"/>
  <c r="E1302" i="1"/>
  <c r="F1345" i="1"/>
  <c r="F1299" i="1"/>
  <c r="E1347" i="1"/>
  <c r="D1263" i="1"/>
  <c r="H1263" i="1" s="1"/>
  <c r="D1300" i="1"/>
  <c r="H1300" i="1" s="1"/>
  <c r="E1264" i="1"/>
  <c r="E1174" i="1"/>
  <c r="D1172" i="1"/>
  <c r="H1172" i="1" s="1"/>
  <c r="E1132" i="1"/>
  <c r="D1131" i="1"/>
  <c r="H1131" i="1" s="1"/>
  <c r="E1225" i="1"/>
  <c r="D1077" i="1"/>
  <c r="H1077" i="1" s="1"/>
  <c r="D1107" i="1"/>
  <c r="H1107" i="1" s="1"/>
  <c r="E1108" i="1"/>
  <c r="E1078" i="1"/>
  <c r="E1079" i="1"/>
  <c r="D11" i="4"/>
  <c r="H12" i="4"/>
  <c r="E12" i="4"/>
  <c r="G12" i="4"/>
  <c r="F13" i="4"/>
  <c r="F99" i="4"/>
  <c r="F216" i="4"/>
  <c r="F100" i="4"/>
  <c r="D1049" i="1"/>
  <c r="E1050" i="1"/>
  <c r="F1106" i="1"/>
  <c r="F1076" i="1"/>
  <c r="F1075" i="1"/>
  <c r="B75" i="4"/>
  <c r="G74" i="4" s="1"/>
  <c r="G73" i="4"/>
  <c r="H1049" i="1" l="1"/>
  <c r="G1049" i="1"/>
  <c r="F1457" i="1"/>
  <c r="F1413" i="1"/>
  <c r="F1414" i="1"/>
  <c r="B1071" i="1"/>
  <c r="G1070" i="1" s="1"/>
  <c r="E1300" i="1"/>
  <c r="D1345" i="1"/>
  <c r="H1345" i="1" s="1"/>
  <c r="D1299" i="1"/>
  <c r="H1299" i="1" s="1"/>
  <c r="E1263" i="1"/>
  <c r="F1344" i="1"/>
  <c r="F1297" i="1"/>
  <c r="F1298" i="1"/>
  <c r="E1172" i="1"/>
  <c r="E1173" i="1"/>
  <c r="E1224" i="1"/>
  <c r="D1223" i="1"/>
  <c r="H1223" i="1" s="1"/>
  <c r="E1131" i="1"/>
  <c r="D1171" i="1"/>
  <c r="H1171" i="1" s="1"/>
  <c r="E1107" i="1"/>
  <c r="D1075" i="1"/>
  <c r="H1075" i="1" s="1"/>
  <c r="E1077" i="1"/>
  <c r="E11" i="4"/>
  <c r="D10" i="4"/>
  <c r="H11" i="4"/>
  <c r="G11" i="4"/>
  <c r="F98" i="4"/>
  <c r="F215" i="4"/>
  <c r="F12" i="4"/>
  <c r="D1048" i="1"/>
  <c r="E1049" i="1"/>
  <c r="F1105" i="1"/>
  <c r="F1074" i="1"/>
  <c r="B76" i="4"/>
  <c r="H1048" i="1" l="1"/>
  <c r="G1048" i="1"/>
  <c r="F1456" i="1"/>
  <c r="F1412" i="1"/>
  <c r="B1072" i="1"/>
  <c r="G1071" i="1" s="1"/>
  <c r="F1343" i="1"/>
  <c r="F1296" i="1"/>
  <c r="E1345" i="1"/>
  <c r="E1299" i="1"/>
  <c r="D1297" i="1"/>
  <c r="H1297" i="1" s="1"/>
  <c r="D1261" i="1"/>
  <c r="H1261" i="1" s="1"/>
  <c r="E1262" i="1"/>
  <c r="D1169" i="1"/>
  <c r="H1169" i="1" s="1"/>
  <c r="E1130" i="1"/>
  <c r="D1129" i="1"/>
  <c r="H1129" i="1" s="1"/>
  <c r="E1171" i="1"/>
  <c r="E1223" i="1"/>
  <c r="D1105" i="1"/>
  <c r="H1105" i="1" s="1"/>
  <c r="D1074" i="1"/>
  <c r="H1074" i="1" s="1"/>
  <c r="E1106" i="1"/>
  <c r="E1076" i="1"/>
  <c r="E1075" i="1"/>
  <c r="H10" i="4"/>
  <c r="E10" i="4"/>
  <c r="D9" i="4"/>
  <c r="G10" i="4"/>
  <c r="F214" i="4"/>
  <c r="F97" i="4"/>
  <c r="F11" i="4"/>
  <c r="F96" i="4"/>
  <c r="E1048" i="1"/>
  <c r="F1073" i="1"/>
  <c r="F1072" i="1"/>
  <c r="F1104" i="1"/>
  <c r="B77" i="4"/>
  <c r="G76" i="4"/>
  <c r="G75" i="4"/>
  <c r="F1455" i="1" l="1"/>
  <c r="F1411" i="1"/>
  <c r="F1410" i="1"/>
  <c r="B1073" i="1"/>
  <c r="G1072" i="1" s="1"/>
  <c r="F1342" i="1"/>
  <c r="F1295" i="1"/>
  <c r="F1294" i="1"/>
  <c r="E1297" i="1"/>
  <c r="D1343" i="1"/>
  <c r="H1343" i="1" s="1"/>
  <c r="D1296" i="1"/>
  <c r="H1296" i="1" s="1"/>
  <c r="D1260" i="1"/>
  <c r="H1260" i="1" s="1"/>
  <c r="E1261" i="1"/>
  <c r="E1169" i="1"/>
  <c r="E1170" i="1"/>
  <c r="D1221" i="1"/>
  <c r="H1221" i="1" s="1"/>
  <c r="D1168" i="1"/>
  <c r="H1168" i="1" s="1"/>
  <c r="E1129" i="1"/>
  <c r="D1128" i="1"/>
  <c r="H1128" i="1" s="1"/>
  <c r="E1222" i="1"/>
  <c r="E1074" i="1"/>
  <c r="E1105" i="1"/>
  <c r="E9" i="4"/>
  <c r="H9" i="4"/>
  <c r="D8" i="4"/>
  <c r="G9" i="4"/>
  <c r="F95" i="4"/>
  <c r="F213" i="4"/>
  <c r="F10" i="4"/>
  <c r="F1071" i="1"/>
  <c r="F1103" i="1"/>
  <c r="B78" i="4"/>
  <c r="G77" i="4" s="1"/>
  <c r="B1074" i="1" l="1"/>
  <c r="F1454" i="1"/>
  <c r="F1409" i="1"/>
  <c r="E1296" i="1"/>
  <c r="F1341" i="1"/>
  <c r="F1293" i="1"/>
  <c r="E1343" i="1"/>
  <c r="D1294" i="1"/>
  <c r="H1294" i="1" s="1"/>
  <c r="D1259" i="1"/>
  <c r="H1259" i="1" s="1"/>
  <c r="E1260" i="1"/>
  <c r="E1168" i="1"/>
  <c r="D1166" i="1"/>
  <c r="H1166" i="1" s="1"/>
  <c r="E1128" i="1"/>
  <c r="D1127" i="1"/>
  <c r="H1127" i="1" s="1"/>
  <c r="E1221" i="1"/>
  <c r="D7" i="4"/>
  <c r="H8" i="4"/>
  <c r="E8" i="4"/>
  <c r="G8" i="4"/>
  <c r="F94" i="4"/>
  <c r="F93" i="4"/>
  <c r="F9" i="4"/>
  <c r="F212" i="4"/>
  <c r="F1069" i="1"/>
  <c r="F1102" i="1"/>
  <c r="F1070" i="1"/>
  <c r="B79" i="4"/>
  <c r="G78" i="4"/>
  <c r="B1075" i="1" l="1"/>
  <c r="G1074" i="1" s="1"/>
  <c r="F1453" i="1"/>
  <c r="F1407" i="1"/>
  <c r="F1408" i="1"/>
  <c r="G1073" i="1"/>
  <c r="D1341" i="1"/>
  <c r="H1341" i="1" s="1"/>
  <c r="D1293" i="1"/>
  <c r="H1293" i="1" s="1"/>
  <c r="E1259" i="1"/>
  <c r="E1294" i="1"/>
  <c r="F1340" i="1"/>
  <c r="F1291" i="1"/>
  <c r="F1292" i="1"/>
  <c r="D1219" i="1"/>
  <c r="H1219" i="1" s="1"/>
  <c r="D1165" i="1"/>
  <c r="H1165" i="1" s="1"/>
  <c r="E1127" i="1"/>
  <c r="D1126" i="1"/>
  <c r="H1126" i="1" s="1"/>
  <c r="E1166" i="1"/>
  <c r="E1220" i="1"/>
  <c r="E1167" i="1"/>
  <c r="E7" i="4"/>
  <c r="D6" i="4"/>
  <c r="H7" i="4"/>
  <c r="G7" i="4"/>
  <c r="F211" i="4"/>
  <c r="F8" i="4"/>
  <c r="F92" i="4"/>
  <c r="F1101" i="1"/>
  <c r="F1068" i="1"/>
  <c r="B80" i="4"/>
  <c r="G79" i="4"/>
  <c r="B1076" i="1" l="1"/>
  <c r="G1075" i="1" s="1"/>
  <c r="F1452" i="1"/>
  <c r="F1406" i="1"/>
  <c r="D1291" i="1"/>
  <c r="H1291" i="1" s="1"/>
  <c r="E1258" i="1"/>
  <c r="E1293" i="1"/>
  <c r="F1339" i="1"/>
  <c r="F1290" i="1"/>
  <c r="E1341" i="1"/>
  <c r="E1165" i="1"/>
  <c r="D1163" i="1"/>
  <c r="H1163" i="1" s="1"/>
  <c r="E1126" i="1"/>
  <c r="D1125" i="1"/>
  <c r="H1125" i="1" s="1"/>
  <c r="E1219" i="1"/>
  <c r="H6" i="4"/>
  <c r="D5" i="4"/>
  <c r="E6" i="4"/>
  <c r="G6" i="4"/>
  <c r="F210" i="4"/>
  <c r="F90" i="4"/>
  <c r="F7" i="4"/>
  <c r="F91" i="4"/>
  <c r="B81" i="4"/>
  <c r="G80" i="4" s="1"/>
  <c r="B1077" i="1" l="1"/>
  <c r="E1291" i="1"/>
  <c r="D1339" i="1"/>
  <c r="H1339" i="1" s="1"/>
  <c r="D1290" i="1"/>
  <c r="H1290" i="1" s="1"/>
  <c r="E1257" i="1"/>
  <c r="E1164" i="1"/>
  <c r="D1217" i="1"/>
  <c r="H1217" i="1" s="1"/>
  <c r="D1162" i="1"/>
  <c r="H1162" i="1" s="1"/>
  <c r="E1125" i="1"/>
  <c r="E1218" i="1"/>
  <c r="E1163" i="1"/>
  <c r="E5" i="4"/>
  <c r="H5" i="4"/>
  <c r="G5" i="4"/>
  <c r="F89" i="4"/>
  <c r="F209" i="4"/>
  <c r="F6" i="4"/>
  <c r="B82" i="4"/>
  <c r="G81" i="4" s="1"/>
  <c r="B1078" i="1" l="1"/>
  <c r="G1076" i="1"/>
  <c r="E1339" i="1"/>
  <c r="E1290" i="1"/>
  <c r="E1162" i="1"/>
  <c r="E1217" i="1"/>
  <c r="F5" i="4"/>
  <c r="F88" i="4"/>
  <c r="F208" i="4"/>
  <c r="F87" i="4"/>
  <c r="B83" i="4"/>
  <c r="G82" i="4"/>
  <c r="B1079" i="1" l="1"/>
  <c r="G1077" i="1"/>
  <c r="F207" i="4"/>
  <c r="F86" i="4"/>
  <c r="B84" i="4"/>
  <c r="G83" i="4"/>
  <c r="B1080" i="1" l="1"/>
  <c r="G1078" i="1"/>
  <c r="B85" i="4"/>
  <c r="G84" i="4" s="1"/>
  <c r="G4" i="4"/>
  <c r="B1081" i="1" l="1"/>
  <c r="G1079" i="1"/>
  <c r="B86" i="4"/>
  <c r="G85" i="4" s="1"/>
  <c r="B1082" i="1" l="1"/>
  <c r="G1081" i="1" s="1"/>
  <c r="G1080" i="1"/>
  <c r="B87" i="4"/>
  <c r="B1083" i="1" l="1"/>
  <c r="G1082" i="1" s="1"/>
  <c r="B88" i="4"/>
  <c r="G87" i="4"/>
  <c r="G86" i="4"/>
  <c r="B1084" i="1" l="1"/>
  <c r="G1083" i="1" s="1"/>
  <c r="B89" i="4"/>
  <c r="G88" i="4"/>
  <c r="B1085" i="1" l="1"/>
  <c r="B90" i="4"/>
  <c r="G89" i="4"/>
  <c r="B1086" i="1" l="1"/>
  <c r="G1084" i="1"/>
  <c r="B91" i="4"/>
  <c r="G90" i="4"/>
  <c r="B1087" i="1" l="1"/>
  <c r="G1085" i="1"/>
  <c r="B92" i="4"/>
  <c r="B1088" i="1" l="1"/>
  <c r="G1087" i="1" s="1"/>
  <c r="G1086" i="1"/>
  <c r="B93" i="4"/>
  <c r="G91" i="4"/>
  <c r="B1089" i="1" l="1"/>
  <c r="B94" i="4"/>
  <c r="G92" i="4"/>
  <c r="B1090" i="1" l="1"/>
  <c r="G1088" i="1"/>
  <c r="B95" i="4"/>
  <c r="G93" i="4"/>
  <c r="B1091" i="1" l="1"/>
  <c r="G1089" i="1"/>
  <c r="B96" i="4"/>
  <c r="G94" i="4"/>
  <c r="B1092" i="1" l="1"/>
  <c r="G1091" i="1" s="1"/>
  <c r="G1090" i="1"/>
  <c r="G96" i="4"/>
  <c r="B97" i="4"/>
  <c r="G95" i="4"/>
  <c r="B1093" i="1" l="1"/>
  <c r="G97" i="4"/>
  <c r="B98" i="4"/>
  <c r="B1094" i="1" l="1"/>
  <c r="G1092" i="1"/>
  <c r="B99" i="4"/>
  <c r="B1095" i="1" l="1"/>
  <c r="G1093" i="1"/>
  <c r="B100" i="4"/>
  <c r="G98" i="4"/>
  <c r="B1096" i="1" l="1"/>
  <c r="G1095" i="1" s="1"/>
  <c r="G1094" i="1"/>
  <c r="B101" i="4"/>
  <c r="G99" i="4"/>
  <c r="B1097" i="1" l="1"/>
  <c r="G1096" i="1" s="1"/>
  <c r="G101" i="4"/>
  <c r="B102" i="4"/>
  <c r="G100" i="4"/>
  <c r="B1098" i="1" l="1"/>
  <c r="G102" i="4"/>
  <c r="B103" i="4"/>
  <c r="B1099" i="1" l="1"/>
  <c r="G1097" i="1"/>
  <c r="B104" i="4"/>
  <c r="B1100" i="1" l="1"/>
  <c r="G1098" i="1"/>
  <c r="B105" i="4"/>
  <c r="G103" i="4"/>
  <c r="B1101" i="1" l="1"/>
  <c r="G1100" i="1" s="1"/>
  <c r="G1099" i="1"/>
  <c r="G105" i="4"/>
  <c r="B106" i="4"/>
  <c r="G104" i="4"/>
  <c r="B1102" i="1" l="1"/>
  <c r="G1101" i="1" s="1"/>
  <c r="B107" i="4"/>
  <c r="B1103" i="1" l="1"/>
  <c r="B108" i="4"/>
  <c r="G106" i="4"/>
  <c r="B1104" i="1" l="1"/>
  <c r="G1102" i="1"/>
  <c r="B109" i="4"/>
  <c r="G107" i="4"/>
  <c r="B1105" i="1" l="1"/>
  <c r="G1103" i="1"/>
  <c r="B110" i="4"/>
  <c r="G108" i="4"/>
  <c r="B1106" i="1" l="1"/>
  <c r="G1104" i="1"/>
  <c r="B111" i="4"/>
  <c r="G109" i="4"/>
  <c r="B1107" i="1" l="1"/>
  <c r="G1105" i="1"/>
  <c r="B112" i="4"/>
  <c r="G110" i="4"/>
  <c r="B1108" i="1" l="1"/>
  <c r="G1106" i="1"/>
  <c r="G112" i="4"/>
  <c r="B113" i="4"/>
  <c r="G111" i="4"/>
  <c r="B1109" i="1" l="1"/>
  <c r="G1107" i="1"/>
  <c r="G113" i="4"/>
  <c r="B114" i="4"/>
  <c r="B1110" i="1" l="1"/>
  <c r="G1108" i="1"/>
  <c r="B115" i="4"/>
  <c r="B1111" i="1" l="1"/>
  <c r="G1110" i="1" s="1"/>
  <c r="G1109" i="1"/>
  <c r="B116" i="4"/>
  <c r="G114" i="4"/>
  <c r="B1112" i="1" l="1"/>
  <c r="G116" i="4"/>
  <c r="B117" i="4"/>
  <c r="G115" i="4"/>
  <c r="B1113" i="1" l="1"/>
  <c r="G1111" i="1"/>
  <c r="G117" i="4"/>
  <c r="B118" i="4"/>
  <c r="B1114" i="1" l="1"/>
  <c r="G1112" i="1"/>
  <c r="B119" i="4"/>
  <c r="B1115" i="1" l="1"/>
  <c r="G1114" i="1" s="1"/>
  <c r="G1113" i="1"/>
  <c r="G119" i="4"/>
  <c r="B120" i="4"/>
  <c r="G118" i="4"/>
  <c r="B1116" i="1" l="1"/>
  <c r="G1115" i="1" s="1"/>
  <c r="G120" i="4"/>
  <c r="B121" i="4"/>
  <c r="B1117" i="1" l="1"/>
  <c r="B122" i="4"/>
  <c r="B1118" i="1" l="1"/>
  <c r="G1116" i="1"/>
  <c r="B123" i="4"/>
  <c r="G121" i="4"/>
  <c r="G208" i="4"/>
  <c r="G207" i="4"/>
  <c r="B1119" i="1" l="1"/>
  <c r="G1117" i="1"/>
  <c r="B124" i="4"/>
  <c r="G122" i="4"/>
  <c r="B1120" i="1" l="1"/>
  <c r="G1118" i="1"/>
  <c r="G209" i="4"/>
  <c r="G124" i="4"/>
  <c r="B125" i="4"/>
  <c r="G123" i="4"/>
  <c r="G210" i="4"/>
  <c r="B1121" i="1" l="1"/>
  <c r="G1120" i="1" s="1"/>
  <c r="G1119" i="1"/>
  <c r="G125" i="4"/>
  <c r="B126" i="4"/>
  <c r="B1122" i="1" l="1"/>
  <c r="G1121" i="1" s="1"/>
  <c r="G211" i="4"/>
  <c r="G126" i="4"/>
  <c r="B127" i="4"/>
  <c r="B1123" i="1" l="1"/>
  <c r="G1122" i="1" s="1"/>
  <c r="G127" i="4"/>
  <c r="B128" i="4"/>
  <c r="G212" i="4"/>
  <c r="F1123" i="1" l="1"/>
  <c r="B1124" i="1"/>
  <c r="G213" i="4"/>
  <c r="G128" i="4"/>
  <c r="B129" i="4"/>
  <c r="B1125" i="1" l="1"/>
  <c r="G1123" i="1"/>
  <c r="G214" i="4"/>
  <c r="G129" i="4"/>
  <c r="B130" i="4"/>
  <c r="B1126" i="1" l="1"/>
  <c r="G1125" i="1" s="1"/>
  <c r="G1124" i="1"/>
  <c r="G215" i="4"/>
  <c r="G130" i="4"/>
  <c r="B131" i="4"/>
  <c r="B1127" i="1" l="1"/>
  <c r="G216" i="4"/>
  <c r="G131" i="4"/>
  <c r="B132" i="4"/>
  <c r="B1128" i="1" l="1"/>
  <c r="G1126" i="1"/>
  <c r="G217" i="4"/>
  <c r="G132" i="4"/>
  <c r="B133" i="4"/>
  <c r="B1129" i="1" l="1"/>
  <c r="G1127" i="1"/>
  <c r="G218" i="4"/>
  <c r="G133" i="4"/>
  <c r="B134" i="4"/>
  <c r="B1130" i="1" l="1"/>
  <c r="G1129" i="1" s="1"/>
  <c r="G1128" i="1"/>
  <c r="G219" i="4"/>
  <c r="G134" i="4"/>
  <c r="B135" i="4"/>
  <c r="B1131" i="1" l="1"/>
  <c r="G1130" i="1" s="1"/>
  <c r="G220" i="4"/>
  <c r="G135" i="4"/>
  <c r="B136" i="4"/>
  <c r="B1132" i="1" l="1"/>
  <c r="G1131" i="1" s="1"/>
  <c r="G221" i="4"/>
  <c r="G136" i="4"/>
  <c r="B137" i="4"/>
  <c r="B1133" i="1" l="1"/>
  <c r="G222" i="4"/>
  <c r="G137" i="4"/>
  <c r="B138" i="4"/>
  <c r="B1134" i="1" l="1"/>
  <c r="G1132" i="1"/>
  <c r="G223" i="4"/>
  <c r="G138" i="4"/>
  <c r="B139" i="4"/>
  <c r="B1135" i="1" l="1"/>
  <c r="G1133" i="1"/>
  <c r="G139" i="4"/>
  <c r="B140" i="4"/>
  <c r="G224" i="4"/>
  <c r="B1136" i="1" l="1"/>
  <c r="G1134" i="1"/>
  <c r="G225" i="4"/>
  <c r="G140" i="4"/>
  <c r="B141" i="4"/>
  <c r="B1137" i="1" l="1"/>
  <c r="G1136" i="1" s="1"/>
  <c r="G1135" i="1"/>
  <c r="G226" i="4"/>
  <c r="G141" i="4"/>
  <c r="B142" i="4"/>
  <c r="B1138" i="1" l="1"/>
  <c r="G142" i="4"/>
  <c r="B143" i="4"/>
  <c r="G227" i="4"/>
  <c r="B1139" i="1" l="1"/>
  <c r="G1137" i="1"/>
  <c r="G228" i="4"/>
  <c r="B144" i="4"/>
  <c r="B1140" i="1" l="1"/>
  <c r="G1138" i="1"/>
  <c r="B145" i="4"/>
  <c r="G143" i="4"/>
  <c r="G230" i="4"/>
  <c r="G229" i="4"/>
  <c r="B1141" i="1" l="1"/>
  <c r="G1139" i="1"/>
  <c r="B146" i="4"/>
  <c r="G144" i="4"/>
  <c r="B1142" i="1" l="1"/>
  <c r="G1140" i="1"/>
  <c r="G231" i="4"/>
  <c r="G146" i="4"/>
  <c r="B147" i="4"/>
  <c r="G145" i="4"/>
  <c r="B1143" i="1" l="1"/>
  <c r="G1141" i="1"/>
  <c r="G147" i="4"/>
  <c r="B148" i="4"/>
  <c r="G232" i="4"/>
  <c r="B1144" i="1" l="1"/>
  <c r="G1142" i="1"/>
  <c r="G233" i="4"/>
  <c r="G148" i="4"/>
  <c r="B149" i="4"/>
  <c r="B1145" i="1" l="1"/>
  <c r="G1143" i="1"/>
  <c r="B150" i="4"/>
  <c r="G234" i="4"/>
  <c r="B1146" i="1" l="1"/>
  <c r="G1144" i="1"/>
  <c r="G235" i="4"/>
  <c r="G150" i="4"/>
  <c r="B151" i="4"/>
  <c r="G149" i="4"/>
  <c r="G236" i="4"/>
  <c r="B1147" i="1" l="1"/>
  <c r="G1145" i="1"/>
  <c r="G151" i="4"/>
  <c r="B152" i="4"/>
  <c r="B1148" i="1" l="1"/>
  <c r="G1146" i="1"/>
  <c r="G237" i="4"/>
  <c r="G152" i="4"/>
  <c r="B153" i="4"/>
  <c r="B1149" i="1" l="1"/>
  <c r="G1147" i="1"/>
  <c r="G238" i="4"/>
  <c r="G153" i="4"/>
  <c r="B154" i="4"/>
  <c r="B1150" i="1" l="1"/>
  <c r="G1148" i="1"/>
  <c r="G239" i="4"/>
  <c r="G154" i="4"/>
  <c r="B155" i="4"/>
  <c r="B1151" i="1" l="1"/>
  <c r="G1150" i="1" s="1"/>
  <c r="G1149" i="1"/>
  <c r="G240" i="4"/>
  <c r="G155" i="4"/>
  <c r="B156" i="4"/>
  <c r="B1152" i="1" l="1"/>
  <c r="G241" i="4"/>
  <c r="G156" i="4"/>
  <c r="B157" i="4"/>
  <c r="B1153" i="1" l="1"/>
  <c r="G1151" i="1"/>
  <c r="G242" i="4"/>
  <c r="G157" i="4"/>
  <c r="B158" i="4"/>
  <c r="B1154" i="1" l="1"/>
  <c r="G1152" i="1"/>
  <c r="G243" i="4"/>
  <c r="G158" i="4"/>
  <c r="B159" i="4"/>
  <c r="B1155" i="1" l="1"/>
  <c r="G1154" i="1" s="1"/>
  <c r="G1153" i="1"/>
  <c r="G244" i="4"/>
  <c r="G159" i="4"/>
  <c r="B160" i="4"/>
  <c r="B1156" i="1" l="1"/>
  <c r="G245" i="4"/>
  <c r="G160" i="4"/>
  <c r="B161" i="4"/>
  <c r="B1157" i="1" l="1"/>
  <c r="G1155" i="1"/>
  <c r="G246" i="4"/>
  <c r="B162" i="4"/>
  <c r="G247" i="4"/>
  <c r="B1158" i="1" l="1"/>
  <c r="G1157" i="1" s="1"/>
  <c r="G1156" i="1"/>
  <c r="G162" i="4"/>
  <c r="B163" i="4"/>
  <c r="G161" i="4"/>
  <c r="B1159" i="1" l="1"/>
  <c r="G1158" i="1" s="1"/>
  <c r="G248" i="4"/>
  <c r="G163" i="4"/>
  <c r="B164" i="4"/>
  <c r="B1160" i="1" l="1"/>
  <c r="G249" i="4"/>
  <c r="B165" i="4"/>
  <c r="B1161" i="1" l="1"/>
  <c r="G1160" i="1" s="1"/>
  <c r="G1159" i="1"/>
  <c r="G165" i="4"/>
  <c r="B166" i="4"/>
  <c r="G164" i="4"/>
  <c r="G251" i="4"/>
  <c r="G250" i="4"/>
  <c r="B1162" i="1" l="1"/>
  <c r="G252" i="4"/>
  <c r="B167" i="4"/>
  <c r="B1163" i="1" l="1"/>
  <c r="G1162" i="1" s="1"/>
  <c r="G1161" i="1"/>
  <c r="B168" i="4"/>
  <c r="G166" i="4"/>
  <c r="B1164" i="1" l="1"/>
  <c r="G168" i="4"/>
  <c r="B169" i="4"/>
  <c r="G167" i="4"/>
  <c r="G253" i="4"/>
  <c r="G254" i="4"/>
  <c r="B1165" i="1" l="1"/>
  <c r="G1163" i="1"/>
  <c r="G255" i="4"/>
  <c r="B170" i="4"/>
  <c r="B1166" i="1" l="1"/>
  <c r="G1164" i="1"/>
  <c r="B171" i="4"/>
  <c r="G169" i="4"/>
  <c r="B1167" i="1" l="1"/>
  <c r="G1165" i="1"/>
  <c r="G256" i="4"/>
  <c r="G171" i="4"/>
  <c r="B172" i="4"/>
  <c r="G170" i="4"/>
  <c r="G257" i="4"/>
  <c r="B1168" i="1" l="1"/>
  <c r="G1166" i="1"/>
  <c r="B173" i="4"/>
  <c r="G258" i="4"/>
  <c r="B1169" i="1" l="1"/>
  <c r="G1168" i="1" s="1"/>
  <c r="G1167" i="1"/>
  <c r="B174" i="4"/>
  <c r="G172" i="4"/>
  <c r="B1170" i="1" l="1"/>
  <c r="G1169" i="1" s="1"/>
  <c r="G259" i="4"/>
  <c r="G174" i="4"/>
  <c r="B175" i="4"/>
  <c r="G173" i="4"/>
  <c r="B1171" i="1" l="1"/>
  <c r="G175" i="4"/>
  <c r="B176" i="4"/>
  <c r="G260" i="4"/>
  <c r="B1172" i="1" l="1"/>
  <c r="G1170" i="1"/>
  <c r="G261" i="4"/>
  <c r="G176" i="4"/>
  <c r="B177" i="4"/>
  <c r="B1173" i="1" l="1"/>
  <c r="G1171" i="1"/>
  <c r="G262" i="4"/>
  <c r="G177" i="4"/>
  <c r="B178" i="4"/>
  <c r="B1174" i="1" l="1"/>
  <c r="G1172" i="1"/>
  <c r="G263" i="4"/>
  <c r="B179" i="4"/>
  <c r="G264" i="4"/>
  <c r="B1175" i="1" l="1"/>
  <c r="G1174" i="1" s="1"/>
  <c r="G1173" i="1"/>
  <c r="B180" i="4"/>
  <c r="G178" i="4"/>
  <c r="G265" i="4"/>
  <c r="B1176" i="1" l="1"/>
  <c r="G180" i="4"/>
  <c r="B181" i="4"/>
  <c r="G179" i="4"/>
  <c r="B1177" i="1" l="1"/>
  <c r="G1175" i="1"/>
  <c r="G266" i="4"/>
  <c r="G181" i="4"/>
  <c r="B182" i="4"/>
  <c r="B1178" i="1" l="1"/>
  <c r="G1176" i="1"/>
  <c r="G267" i="4"/>
  <c r="G182" i="4"/>
  <c r="B183" i="4"/>
  <c r="B1179" i="1" l="1"/>
  <c r="G1177" i="1"/>
  <c r="G268" i="4"/>
  <c r="G183" i="4"/>
  <c r="B184" i="4"/>
  <c r="B1180" i="1" l="1"/>
  <c r="G1178" i="1"/>
  <c r="G269" i="4"/>
  <c r="G184" i="4"/>
  <c r="B185" i="4"/>
  <c r="B1181" i="1" l="1"/>
  <c r="G1180" i="1" s="1"/>
  <c r="G1179" i="1"/>
  <c r="G270" i="4"/>
  <c r="G185" i="4"/>
  <c r="B186" i="4"/>
  <c r="B1182" i="1" l="1"/>
  <c r="G271" i="4"/>
  <c r="G186" i="4"/>
  <c r="B187" i="4"/>
  <c r="G272" i="4"/>
  <c r="B1183" i="1" l="1"/>
  <c r="G1181" i="1"/>
  <c r="G187" i="4"/>
  <c r="B188" i="4"/>
  <c r="B1184" i="1" l="1"/>
  <c r="G1183" i="1" s="1"/>
  <c r="G1182" i="1"/>
  <c r="G273" i="4"/>
  <c r="G188" i="4"/>
  <c r="B189" i="4"/>
  <c r="B1185" i="1" l="1"/>
  <c r="G274" i="4"/>
  <c r="G189" i="4"/>
  <c r="B190" i="4"/>
  <c r="B1186" i="1" l="1"/>
  <c r="G1184" i="1"/>
  <c r="G275" i="4"/>
  <c r="G190" i="4"/>
  <c r="B191" i="4"/>
  <c r="B1187" i="1" l="1"/>
  <c r="G1186" i="1" s="1"/>
  <c r="G1185" i="1"/>
  <c r="G276" i="4"/>
  <c r="G191" i="4"/>
  <c r="B192" i="4"/>
  <c r="B1188" i="1" l="1"/>
  <c r="G277" i="4"/>
  <c r="G192" i="4"/>
  <c r="B193" i="4"/>
  <c r="B1189" i="1" l="1"/>
  <c r="G1187" i="1"/>
  <c r="G278" i="4"/>
  <c r="G193" i="4"/>
  <c r="B194" i="4"/>
  <c r="B1190" i="1" l="1"/>
  <c r="G1188" i="1"/>
  <c r="G280" i="4"/>
  <c r="G279" i="4"/>
  <c r="G194" i="4"/>
  <c r="B195" i="4"/>
  <c r="B1191" i="1" l="1"/>
  <c r="G1189" i="1"/>
  <c r="B196" i="4"/>
  <c r="B1192" i="1" l="1"/>
  <c r="G1191" i="1" s="1"/>
  <c r="G1190" i="1"/>
  <c r="G282" i="4"/>
  <c r="B197" i="4"/>
  <c r="G195" i="4"/>
  <c r="G281" i="4"/>
  <c r="B1193" i="1" l="1"/>
  <c r="G1192" i="1" s="1"/>
  <c r="G197" i="4"/>
  <c r="B198" i="4"/>
  <c r="G196" i="4"/>
  <c r="B1194" i="1" l="1"/>
  <c r="G1193" i="1" s="1"/>
  <c r="G283" i="4"/>
  <c r="G198" i="4"/>
  <c r="B199" i="4"/>
  <c r="B1195" i="1" l="1"/>
  <c r="B200" i="4"/>
  <c r="G284" i="4"/>
  <c r="G285" i="4"/>
  <c r="B1196" i="1" l="1"/>
  <c r="G1194" i="1"/>
  <c r="B201" i="4"/>
  <c r="G199" i="4"/>
  <c r="G286" i="4"/>
  <c r="B1197" i="1" l="1"/>
  <c r="G1195" i="1"/>
  <c r="B202" i="4"/>
  <c r="G200" i="4"/>
  <c r="G287" i="4"/>
  <c r="F287" i="4"/>
  <c r="B1198" i="1" l="1"/>
  <c r="G1196" i="1"/>
  <c r="B203" i="4"/>
  <c r="G201" i="4"/>
  <c r="B1199" i="1" l="1"/>
  <c r="G1198" i="1" s="1"/>
  <c r="G1197" i="1"/>
  <c r="B204" i="4"/>
  <c r="G202" i="4"/>
  <c r="B1200" i="1" l="1"/>
  <c r="B205" i="4"/>
  <c r="G203" i="4"/>
  <c r="B1201" i="1" l="1"/>
  <c r="G1199" i="1"/>
  <c r="G204" i="4"/>
  <c r="B1202" i="1" l="1"/>
  <c r="G1200" i="1"/>
  <c r="F1121" i="1"/>
  <c r="B1203" i="1" l="1"/>
  <c r="G1201" i="1"/>
  <c r="B1204" i="1" l="1"/>
  <c r="G1202" i="1"/>
  <c r="B1205" i="1" l="1"/>
  <c r="G1203" i="1"/>
  <c r="B1206" i="1" l="1"/>
  <c r="G1205" i="1" s="1"/>
  <c r="G1204" i="1"/>
  <c r="B1207" i="1" l="1"/>
  <c r="B1208" i="1" l="1"/>
  <c r="G1207" i="1" s="1"/>
  <c r="G1206" i="1"/>
  <c r="B1209" i="1" l="1"/>
  <c r="B1210" i="1" l="1"/>
  <c r="G1208" i="1"/>
  <c r="B1211" i="1" l="1"/>
  <c r="G1209" i="1"/>
  <c r="B1212" i="1" l="1"/>
  <c r="G1210" i="1"/>
  <c r="B1213" i="1" l="1"/>
  <c r="G1211" i="1"/>
  <c r="B1214" i="1" l="1"/>
  <c r="G1213" i="1" s="1"/>
  <c r="G1212" i="1"/>
  <c r="B1215" i="1" l="1"/>
  <c r="B1217" i="1" l="1"/>
  <c r="B1216" i="1"/>
  <c r="G1215" i="1" s="1"/>
  <c r="G1214" i="1"/>
  <c r="G1216" i="1" l="1"/>
  <c r="B1218" i="1"/>
  <c r="G1217" i="1" s="1"/>
  <c r="B1219" i="1" l="1"/>
  <c r="B1220" i="1" l="1"/>
  <c r="G1218" i="1"/>
  <c r="B1221" i="1" l="1"/>
  <c r="G1219" i="1"/>
  <c r="B1222" i="1" l="1"/>
  <c r="G1220" i="1"/>
  <c r="B1223" i="1" l="1"/>
  <c r="G1221" i="1"/>
  <c r="B1224" i="1" l="1"/>
  <c r="G1222" i="1"/>
  <c r="B1225" i="1" l="1"/>
  <c r="G1223" i="1"/>
  <c r="B1226" i="1" l="1"/>
  <c r="G1224" i="1"/>
  <c r="B1227" i="1" l="1"/>
  <c r="G1225" i="1"/>
  <c r="B1228" i="1" l="1"/>
  <c r="G1226" i="1"/>
  <c r="B1229" i="1" l="1"/>
  <c r="G1227" i="1"/>
  <c r="B1230" i="1" l="1"/>
  <c r="G1228" i="1"/>
  <c r="B1231" i="1" l="1"/>
  <c r="G1229" i="1"/>
  <c r="B1232" i="1" l="1"/>
  <c r="G1230" i="1"/>
  <c r="B1233" i="1" l="1"/>
  <c r="G1231" i="1"/>
  <c r="B1234" i="1" l="1"/>
  <c r="G1232" i="1"/>
  <c r="B1235" i="1" l="1"/>
  <c r="G1233" i="1"/>
  <c r="B1236" i="1" l="1"/>
  <c r="G1234" i="1"/>
  <c r="B1237" i="1" l="1"/>
  <c r="G1235" i="1"/>
  <c r="B1238" i="1" l="1"/>
  <c r="G1236" i="1"/>
  <c r="B1239" i="1" l="1"/>
  <c r="G1237" i="1"/>
  <c r="B1240" i="1" l="1"/>
  <c r="G1238" i="1"/>
  <c r="B1241" i="1" l="1"/>
  <c r="G1239" i="1"/>
  <c r="B1242" i="1" l="1"/>
  <c r="G1240" i="1"/>
  <c r="B1243" i="1" l="1"/>
  <c r="G1242" i="1" s="1"/>
  <c r="G1241" i="1"/>
  <c r="B1244" i="1" l="1"/>
  <c r="B1245" i="1" l="1"/>
  <c r="G1243" i="1"/>
  <c r="B1246" i="1" l="1"/>
  <c r="G1244" i="1"/>
  <c r="B1247" i="1" l="1"/>
  <c r="G1245" i="1"/>
  <c r="B1248" i="1" l="1"/>
  <c r="G1246" i="1"/>
  <c r="B1249" i="1" l="1"/>
  <c r="G1247" i="1"/>
  <c r="B1250" i="1" l="1"/>
  <c r="G1248" i="1"/>
  <c r="B1251" i="1" l="1"/>
  <c r="G1249" i="1"/>
  <c r="B1252" i="1" l="1"/>
  <c r="G1250" i="1"/>
  <c r="B1253" i="1" l="1"/>
  <c r="G1252" i="1" s="1"/>
  <c r="G1251" i="1"/>
  <c r="B1254" i="1" l="1"/>
  <c r="G1253" i="1" s="1"/>
  <c r="F1253" i="1"/>
  <c r="B1255" i="1" l="1"/>
  <c r="F1255" i="1" l="1"/>
  <c r="B1256" i="1"/>
  <c r="G1254" i="1"/>
  <c r="B1257" i="1" l="1"/>
  <c r="G1255" i="1"/>
  <c r="B1258" i="1" l="1"/>
  <c r="G1257" i="1" s="1"/>
  <c r="G1256" i="1"/>
  <c r="B1259" i="1" l="1"/>
  <c r="B1260" i="1" l="1"/>
  <c r="G1259" i="1" s="1"/>
  <c r="G1258" i="1"/>
  <c r="B1261" i="1" l="1"/>
  <c r="B1262" i="1" l="1"/>
  <c r="G1260" i="1"/>
  <c r="B1263" i="1" l="1"/>
  <c r="G1262" i="1" s="1"/>
  <c r="G1261" i="1"/>
  <c r="B1264" i="1" l="1"/>
  <c r="B1265" i="1" l="1"/>
  <c r="G1264" i="1" s="1"/>
  <c r="G1263" i="1"/>
  <c r="B1266" i="1" l="1"/>
  <c r="G1265" i="1" s="1"/>
  <c r="B1267" i="1" l="1"/>
  <c r="G1266" i="1" s="1"/>
  <c r="B1268" i="1" l="1"/>
  <c r="B1269" i="1" l="1"/>
  <c r="G1267" i="1"/>
  <c r="B1270" i="1" l="1"/>
  <c r="G1268" i="1"/>
  <c r="B1271" i="1" l="1"/>
  <c r="G1269" i="1"/>
  <c r="B1272" i="1" l="1"/>
  <c r="G1270" i="1"/>
  <c r="B1273" i="1" l="1"/>
  <c r="G1271" i="1"/>
  <c r="B1274" i="1" l="1"/>
  <c r="G1273" i="1" s="1"/>
  <c r="G1272" i="1"/>
  <c r="B1275" i="1" l="1"/>
  <c r="B1276" i="1" l="1"/>
  <c r="G1274" i="1"/>
  <c r="B1277" i="1" l="1"/>
  <c r="G1276" i="1" s="1"/>
  <c r="G1275" i="1"/>
  <c r="B1278" i="1" l="1"/>
  <c r="B1279" i="1" l="1"/>
  <c r="G1277" i="1"/>
  <c r="B1280" i="1" l="1"/>
  <c r="G1279" i="1" s="1"/>
  <c r="G1278" i="1"/>
  <c r="B1281" i="1" l="1"/>
  <c r="B1282" i="1" l="1"/>
  <c r="G1280" i="1"/>
  <c r="B1283" i="1" l="1"/>
  <c r="G1281" i="1"/>
  <c r="B1284" i="1" l="1"/>
  <c r="G1282" i="1"/>
  <c r="B1285" i="1" l="1"/>
  <c r="G1283" i="1"/>
  <c r="B1286" i="1" l="1"/>
  <c r="G1284" i="1"/>
  <c r="B1287" i="1" l="1"/>
  <c r="G1285" i="1"/>
  <c r="B1288" i="1" l="1"/>
  <c r="G1286" i="1"/>
  <c r="B1289" i="1" l="1"/>
  <c r="G1287" i="1"/>
  <c r="B1290" i="1" l="1"/>
  <c r="G1288" i="1"/>
  <c r="B1291" i="1" l="1"/>
  <c r="G1290" i="1" s="1"/>
  <c r="G1289" i="1"/>
  <c r="B1292" i="1" l="1"/>
  <c r="G1291" i="1" s="1"/>
  <c r="B1293" i="1" l="1"/>
  <c r="G1292" i="1" s="1"/>
  <c r="B1294" i="1" l="1"/>
  <c r="G1293" i="1" s="1"/>
  <c r="B1295" i="1" l="1"/>
  <c r="G1294" i="1"/>
  <c r="B1296" i="1" l="1"/>
  <c r="G1295" i="1"/>
  <c r="B1297" i="1" l="1"/>
  <c r="G1296" i="1" s="1"/>
  <c r="B1298" i="1" l="1"/>
  <c r="G1297" i="1"/>
  <c r="B1299" i="1" l="1"/>
  <c r="G1298" i="1" s="1"/>
  <c r="B1300" i="1" l="1"/>
  <c r="G1299" i="1"/>
  <c r="B1301" i="1" l="1"/>
  <c r="G1300" i="1" s="1"/>
  <c r="B1302" i="1" l="1"/>
  <c r="B1303" i="1" l="1"/>
  <c r="G1302" i="1" s="1"/>
  <c r="G1301" i="1"/>
  <c r="B1304" i="1" l="1"/>
  <c r="B1305" i="1" l="1"/>
  <c r="G1303" i="1"/>
  <c r="B1306" i="1" l="1"/>
  <c r="G1305" i="1" s="1"/>
  <c r="G1304" i="1"/>
  <c r="B1307" i="1" l="1"/>
  <c r="G1306" i="1" s="1"/>
  <c r="B1308" i="1" l="1"/>
  <c r="G1307" i="1"/>
  <c r="B1309" i="1" l="1"/>
  <c r="G1308" i="1"/>
  <c r="B1310" i="1" l="1"/>
  <c r="G1309" i="1" s="1"/>
  <c r="B1311" i="1" l="1"/>
  <c r="B1312" i="1" l="1"/>
  <c r="G1310" i="1"/>
  <c r="B1313" i="1" l="1"/>
  <c r="G1312" i="1" s="1"/>
  <c r="G1311" i="1"/>
  <c r="B1314" i="1" l="1"/>
  <c r="B1315" i="1" l="1"/>
  <c r="G1313" i="1"/>
  <c r="B1316" i="1" l="1"/>
  <c r="G1314" i="1"/>
  <c r="B1317" i="1" l="1"/>
  <c r="G1316" i="1" s="1"/>
  <c r="G1315" i="1"/>
  <c r="B1318" i="1" l="1"/>
  <c r="G1317" i="1" s="1"/>
  <c r="B1319" i="1" l="1"/>
  <c r="G1318" i="1" s="1"/>
  <c r="B1320" i="1" l="1"/>
  <c r="G1319" i="1" s="1"/>
  <c r="B1321" i="1" l="1"/>
  <c r="B1322" i="1" l="1"/>
  <c r="G1321" i="1" s="1"/>
  <c r="G1320" i="1"/>
  <c r="B1323" i="1" l="1"/>
  <c r="B1324" i="1" l="1"/>
  <c r="G1323" i="1" s="1"/>
  <c r="G1322" i="1"/>
  <c r="B1325" i="1" l="1"/>
  <c r="B1326" i="1" l="1"/>
  <c r="G1324" i="1"/>
  <c r="B1327" i="1" l="1"/>
  <c r="G1326" i="1" s="1"/>
  <c r="G1325" i="1"/>
  <c r="B1328" i="1" l="1"/>
  <c r="G1327" i="1"/>
  <c r="B1329" i="1" l="1"/>
  <c r="G1328" i="1" s="1"/>
  <c r="B1330" i="1" l="1"/>
  <c r="G1329" i="1" s="1"/>
  <c r="B1331" i="1" l="1"/>
  <c r="B1332" i="1" l="1"/>
  <c r="G1330" i="1"/>
  <c r="B1333" i="1" l="1"/>
  <c r="G1331" i="1"/>
  <c r="B1334" i="1" l="1"/>
  <c r="G1332" i="1"/>
  <c r="B1335" i="1" l="1"/>
  <c r="G1334" i="1" s="1"/>
  <c r="G1333" i="1"/>
  <c r="B1336" i="1" l="1"/>
  <c r="G1335" i="1" s="1"/>
  <c r="B1337" i="1" l="1"/>
  <c r="G1336" i="1" s="1"/>
  <c r="B1338" i="1" l="1"/>
  <c r="G1337" i="1" s="1"/>
  <c r="B1339" i="1" l="1"/>
  <c r="G1338" i="1" s="1"/>
  <c r="B1340" i="1" l="1"/>
  <c r="B1341" i="1" l="1"/>
  <c r="G1339" i="1"/>
  <c r="B1342" i="1" l="1"/>
  <c r="G1340" i="1"/>
  <c r="B1343" i="1" l="1"/>
  <c r="G1341" i="1"/>
  <c r="B1344" i="1" l="1"/>
  <c r="G1342" i="1"/>
  <c r="B1345" i="1" l="1"/>
  <c r="G1343" i="1"/>
  <c r="B1346" i="1" l="1"/>
  <c r="G1345" i="1" s="1"/>
  <c r="G1344" i="1"/>
  <c r="B1347" i="1" l="1"/>
  <c r="B1348" i="1" l="1"/>
  <c r="G1346" i="1"/>
  <c r="B1349" i="1" l="1"/>
  <c r="G1348" i="1" s="1"/>
  <c r="G1347" i="1"/>
  <c r="B1350" i="1" l="1"/>
  <c r="G1349" i="1"/>
  <c r="B1351" i="1" l="1"/>
  <c r="G1350" i="1" s="1"/>
  <c r="B1352" i="1" l="1"/>
  <c r="G1351" i="1" s="1"/>
  <c r="B1353" i="1" l="1"/>
  <c r="B1354" i="1" l="1"/>
  <c r="G1353" i="1" s="1"/>
  <c r="G1352" i="1"/>
  <c r="B1355" i="1" l="1"/>
  <c r="G1354" i="1" s="1"/>
  <c r="B1356" i="1" l="1"/>
  <c r="G1355" i="1" s="1"/>
  <c r="B1357" i="1" l="1"/>
  <c r="G1356" i="1" s="1"/>
  <c r="B1358" i="1" l="1"/>
  <c r="G1357" i="1" s="1"/>
  <c r="B1359" i="1" l="1"/>
  <c r="G1358" i="1" s="1"/>
  <c r="B1360" i="1" l="1"/>
  <c r="G1359" i="1" s="1"/>
  <c r="B1361" i="1" l="1"/>
  <c r="G1360" i="1" s="1"/>
  <c r="B1362" i="1" l="1"/>
  <c r="G1361" i="1" s="1"/>
  <c r="B1363" i="1" l="1"/>
  <c r="G1362" i="1" s="1"/>
  <c r="B1364" i="1" l="1"/>
  <c r="G1363" i="1" s="1"/>
  <c r="B1365" i="1" l="1"/>
  <c r="G1364" i="1" s="1"/>
  <c r="B1366" i="1" l="1"/>
  <c r="B1367" i="1" l="1"/>
  <c r="G1366" i="1" s="1"/>
  <c r="G1365" i="1"/>
  <c r="B1368" i="1" l="1"/>
  <c r="G1367" i="1" s="1"/>
  <c r="B1369" i="1" l="1"/>
  <c r="G1368" i="1" s="1"/>
  <c r="B1370" i="1" l="1"/>
  <c r="G1369" i="1" s="1"/>
  <c r="B1371" i="1" l="1"/>
  <c r="G1370" i="1" s="1"/>
  <c r="B1372" i="1" l="1"/>
  <c r="G1371" i="1"/>
  <c r="F1371" i="1"/>
  <c r="B1373" i="1" l="1"/>
  <c r="B1374" i="1" l="1"/>
  <c r="G1373" i="1" s="1"/>
  <c r="F1373" i="1"/>
  <c r="G1372" i="1"/>
  <c r="B1375" i="1" l="1"/>
  <c r="G1374" i="1" l="1"/>
  <c r="B1376" i="1"/>
  <c r="G1375" i="1" l="1"/>
  <c r="B1377" i="1"/>
  <c r="G1376" i="1" l="1"/>
  <c r="B1378" i="1"/>
  <c r="G1377" i="1" l="1"/>
  <c r="B1379" i="1"/>
  <c r="G1378" i="1" l="1"/>
  <c r="B1380" i="1"/>
  <c r="G1379" i="1" l="1"/>
  <c r="B1381" i="1"/>
  <c r="G1380" i="1" l="1"/>
  <c r="B1382" i="1"/>
  <c r="G1381" i="1" l="1"/>
  <c r="B1383" i="1"/>
  <c r="G1382" i="1" l="1"/>
  <c r="B1384" i="1"/>
  <c r="G1383" i="1" l="1"/>
  <c r="B1385" i="1"/>
  <c r="G1384" i="1" l="1"/>
  <c r="B1386" i="1"/>
  <c r="G1385" i="1" l="1"/>
  <c r="B1387" i="1"/>
  <c r="G1386" i="1" l="1"/>
  <c r="B1388" i="1"/>
  <c r="G1387" i="1" l="1"/>
  <c r="B1389" i="1"/>
  <c r="G1388" i="1" l="1"/>
  <c r="B1390" i="1"/>
  <c r="G1389" i="1" s="1"/>
  <c r="B1391" i="1" l="1"/>
  <c r="G1390" i="1" s="1"/>
  <c r="B1392" i="1" l="1"/>
  <c r="G1391" i="1" s="1"/>
  <c r="B1393" i="1" l="1"/>
  <c r="G1392" i="1" s="1"/>
  <c r="B1394" i="1" l="1"/>
  <c r="G1393" i="1" l="1"/>
  <c r="B1395" i="1"/>
  <c r="G1394" i="1" l="1"/>
  <c r="B1396" i="1"/>
  <c r="G1395" i="1" l="1"/>
  <c r="B1397" i="1"/>
  <c r="G1396" i="1" s="1"/>
  <c r="B1398" i="1" l="1"/>
  <c r="G1397" i="1" s="1"/>
  <c r="B1399" i="1" l="1"/>
  <c r="G1398" i="1" l="1"/>
  <c r="B1400" i="1"/>
  <c r="G1399" i="1" l="1"/>
  <c r="B1401" i="1"/>
  <c r="G1400" i="1" l="1"/>
  <c r="B1402" i="1"/>
  <c r="G1401" i="1" l="1"/>
  <c r="B1403" i="1"/>
  <c r="B1404" i="1" l="1"/>
  <c r="G1402" i="1"/>
  <c r="B1405" i="1" l="1"/>
  <c r="G1403" i="1"/>
  <c r="B1406" i="1" l="1"/>
  <c r="G1404" i="1"/>
  <c r="B1407" i="1" l="1"/>
  <c r="G1405" i="1"/>
  <c r="B1408" i="1" l="1"/>
  <c r="G1406" i="1"/>
  <c r="B1409" i="1" l="1"/>
  <c r="G1407" i="1"/>
  <c r="B1410" i="1" l="1"/>
  <c r="G1408" i="1"/>
  <c r="B1411" i="1" l="1"/>
  <c r="G1410" i="1" s="1"/>
  <c r="G1409" i="1"/>
  <c r="B1412" i="1" l="1"/>
  <c r="B1413" i="1" l="1"/>
  <c r="G1412" i="1" s="1"/>
  <c r="G1411" i="1"/>
  <c r="B1414" i="1" l="1"/>
  <c r="G1413" i="1" s="1"/>
  <c r="B1415" i="1" l="1"/>
  <c r="G1414" i="1" s="1"/>
  <c r="B1416" i="1" l="1"/>
  <c r="G1415" i="1"/>
  <c r="B1417" i="1" l="1"/>
  <c r="G1416" i="1" s="1"/>
  <c r="B1418" i="1" l="1"/>
  <c r="G1417" i="1" s="1"/>
  <c r="B1419" i="1" l="1"/>
  <c r="G1418" i="1"/>
  <c r="B1420" i="1" l="1"/>
  <c r="G1419" i="1" s="1"/>
  <c r="B1421" i="1" l="1"/>
  <c r="B1422" i="1" l="1"/>
  <c r="G1421" i="1" s="1"/>
  <c r="G1420" i="1"/>
  <c r="B1423" i="1" l="1"/>
  <c r="G1422" i="1" s="1"/>
  <c r="B1424" i="1" l="1"/>
  <c r="G1423" i="1" s="1"/>
  <c r="B1425" i="1" l="1"/>
  <c r="B1426" i="1" l="1"/>
  <c r="G1425" i="1" s="1"/>
  <c r="G1424" i="1"/>
  <c r="B1427" i="1" l="1"/>
  <c r="G1426" i="1" s="1"/>
  <c r="B1428" i="1" l="1"/>
  <c r="B1429" i="1" l="1"/>
  <c r="G1428" i="1" s="1"/>
  <c r="G1427" i="1"/>
  <c r="B1430" i="1" l="1"/>
  <c r="G1429" i="1" s="1"/>
  <c r="B1431" i="1" l="1"/>
  <c r="G1430" i="1"/>
  <c r="B1432" i="1" l="1"/>
  <c r="B1433" i="1" l="1"/>
  <c r="G1432" i="1" s="1"/>
  <c r="G1431" i="1"/>
  <c r="B1434" i="1" l="1"/>
  <c r="B1435" i="1" l="1"/>
  <c r="G1433" i="1"/>
  <c r="B1436" i="1" l="1"/>
  <c r="G1434" i="1"/>
  <c r="B1437" i="1" l="1"/>
  <c r="G1436" i="1" s="1"/>
  <c r="G1435" i="1"/>
  <c r="B1438" i="1" l="1"/>
  <c r="G1437" i="1" s="1"/>
  <c r="B1439" i="1" l="1"/>
  <c r="G1438" i="1" s="1"/>
  <c r="B1440" i="1" l="1"/>
  <c r="G1439" i="1" s="1"/>
  <c r="B1441" i="1" l="1"/>
  <c r="B1442" i="1" l="1"/>
  <c r="G1441" i="1"/>
  <c r="G1440" i="1"/>
  <c r="B1443" i="1" l="1"/>
  <c r="B1444" i="1" l="1"/>
  <c r="G1443" i="1" s="1"/>
  <c r="G1442" i="1"/>
  <c r="B1445" i="1" l="1"/>
  <c r="G1444" i="1" s="1"/>
  <c r="B1446" i="1" l="1"/>
  <c r="G1445" i="1" s="1"/>
  <c r="B1447" i="1" l="1"/>
  <c r="B1448" i="1" l="1"/>
  <c r="G1447" i="1" s="1"/>
  <c r="G1446" i="1"/>
  <c r="B1449" i="1" l="1"/>
  <c r="B1450" i="1" l="1"/>
  <c r="G1449" i="1" s="1"/>
  <c r="G1448" i="1"/>
  <c r="B1451" i="1" l="1"/>
  <c r="B1452" i="1" l="1"/>
  <c r="G1451" i="1" s="1"/>
  <c r="G1450" i="1"/>
  <c r="B1453" i="1" l="1"/>
  <c r="B1454" i="1" l="1"/>
  <c r="G1453" i="1" s="1"/>
  <c r="G1452" i="1"/>
  <c r="B1455" i="1" l="1"/>
  <c r="B1456" i="1" l="1"/>
  <c r="G1455" i="1" s="1"/>
  <c r="G1454" i="1"/>
  <c r="B1457" i="1" l="1"/>
  <c r="G1456" i="1" s="1"/>
  <c r="B1458" i="1" l="1"/>
  <c r="B1459" i="1" l="1"/>
  <c r="G1458" i="1" s="1"/>
  <c r="G1457" i="1"/>
  <c r="B1460" i="1" l="1"/>
  <c r="G1459" i="1" s="1"/>
  <c r="B1461" i="1" l="1"/>
  <c r="G1460" i="1" s="1"/>
  <c r="B1462" i="1" l="1"/>
  <c r="B1463" i="1" l="1"/>
  <c r="G1462" i="1" s="1"/>
  <c r="G1461" i="1"/>
  <c r="B1464" i="1" l="1"/>
  <c r="G1463" i="1" s="1"/>
  <c r="B1465" i="1" l="1"/>
  <c r="G1464" i="1" s="1"/>
  <c r="B1466" i="1" l="1"/>
  <c r="G1465" i="1" s="1"/>
  <c r="B1467" i="1" l="1"/>
  <c r="G1466" i="1" s="1"/>
  <c r="B1468" i="1" l="1"/>
  <c r="G1467" i="1" s="1"/>
  <c r="B1469" i="1" l="1"/>
  <c r="G1468" i="1" s="1"/>
  <c r="B1470" i="1" l="1"/>
  <c r="G1469" i="1" s="1"/>
  <c r="B1471" i="1" l="1"/>
  <c r="G1470" i="1" s="1"/>
  <c r="B1472" i="1" l="1"/>
  <c r="G1471" i="1" s="1"/>
  <c r="B1473" i="1" l="1"/>
  <c r="G1472" i="1" s="1"/>
  <c r="B1474" i="1" l="1"/>
  <c r="G1473" i="1" s="1"/>
  <c r="B1475" i="1" l="1"/>
  <c r="G1474" i="1" s="1"/>
  <c r="B1476" i="1" l="1"/>
  <c r="G1475" i="1"/>
  <c r="B1477" i="1" l="1"/>
  <c r="G1476" i="1" s="1"/>
  <c r="B1478" i="1" l="1"/>
  <c r="G1477" i="1" s="1"/>
  <c r="B1479" i="1" l="1"/>
  <c r="B1480" i="1" l="1"/>
  <c r="G1479" i="1" s="1"/>
  <c r="G1478" i="1"/>
  <c r="B1481" i="1" l="1"/>
  <c r="G1480" i="1" s="1"/>
  <c r="B1482" i="1" l="1"/>
  <c r="G1481" i="1" s="1"/>
  <c r="G1482" i="1" l="1"/>
  <c r="B1483" i="1"/>
  <c r="F1482" i="1"/>
  <c r="B1484" i="1" l="1"/>
  <c r="F1484" i="1" l="1"/>
  <c r="B1485" i="1"/>
  <c r="G1483" i="1"/>
  <c r="B1486" i="1" l="1"/>
  <c r="G1485" i="1" s="1"/>
  <c r="G1484" i="1"/>
  <c r="B1487" i="1" l="1"/>
  <c r="G1486" i="1" s="1"/>
  <c r="B1488" i="1" l="1"/>
  <c r="G1487" i="1" s="1"/>
  <c r="B1489" i="1" l="1"/>
  <c r="B1490" i="1" l="1"/>
  <c r="G1489" i="1" s="1"/>
  <c r="G1488" i="1"/>
  <c r="B1491" i="1" l="1"/>
  <c r="B1492" i="1" l="1"/>
  <c r="G1491" i="1" s="1"/>
  <c r="G1490" i="1"/>
  <c r="B1493" i="1" l="1"/>
  <c r="G1492" i="1" s="1"/>
  <c r="B1494" i="1" l="1"/>
  <c r="G1493" i="1" s="1"/>
  <c r="B1495" i="1" l="1"/>
  <c r="G1494" i="1" s="1"/>
  <c r="B1496" i="1" l="1"/>
  <c r="G1495" i="1"/>
  <c r="B1497" i="1" l="1"/>
  <c r="G1496" i="1" s="1"/>
  <c r="B1498" i="1" l="1"/>
  <c r="G1497" i="1" s="1"/>
  <c r="B1499" i="1" l="1"/>
  <c r="G1498" i="1" s="1"/>
  <c r="B1500" i="1" l="1"/>
  <c r="G1499" i="1" s="1"/>
  <c r="B1501" i="1" l="1"/>
  <c r="G1500" i="1" s="1"/>
  <c r="B1502" i="1" l="1"/>
  <c r="G1501" i="1" s="1"/>
  <c r="B1503" i="1" l="1"/>
  <c r="G1502" i="1"/>
  <c r="B1504" i="1" l="1"/>
  <c r="G1503" i="1" s="1"/>
  <c r="B1505" i="1" l="1"/>
  <c r="G1504" i="1"/>
  <c r="B1506" i="1" l="1"/>
  <c r="B1507" i="1" l="1"/>
  <c r="G1506" i="1" s="1"/>
  <c r="G1505" i="1"/>
  <c r="B1508" i="1" l="1"/>
  <c r="B1509" i="1" l="1"/>
  <c r="G1507" i="1"/>
  <c r="B1510" i="1" l="1"/>
  <c r="G1508" i="1"/>
  <c r="B1511" i="1" l="1"/>
  <c r="G1510" i="1" s="1"/>
  <c r="G1509" i="1"/>
  <c r="B1512" i="1" l="1"/>
  <c r="G1511" i="1" s="1"/>
  <c r="B1513" i="1" l="1"/>
  <c r="B1514" i="1" l="1"/>
  <c r="G1513" i="1" s="1"/>
  <c r="G1512" i="1"/>
  <c r="B1515" i="1" l="1"/>
  <c r="G1514" i="1"/>
  <c r="B1516" i="1" l="1"/>
  <c r="B1517" i="1" l="1"/>
  <c r="G1516" i="1" s="1"/>
  <c r="G1515" i="1"/>
  <c r="B1518" i="1" l="1"/>
  <c r="B1519" i="1" l="1"/>
  <c r="G1517" i="1"/>
  <c r="B1520" i="1" l="1"/>
  <c r="G1519" i="1"/>
  <c r="G1518" i="1"/>
  <c r="B1521" i="1" l="1"/>
  <c r="B1522" i="1" l="1"/>
  <c r="G1520" i="1"/>
  <c r="B1523" i="1" l="1"/>
  <c r="B1524" i="1" s="1"/>
  <c r="G1521" i="1"/>
  <c r="G1523" i="1" l="1"/>
  <c r="B1525" i="1"/>
  <c r="G1524" i="1"/>
  <c r="G1522" i="1"/>
  <c r="B1526" i="1" l="1"/>
  <c r="G1525" i="1"/>
  <c r="B1527" i="1" l="1"/>
  <c r="G1526" i="1"/>
  <c r="B1528" i="1" l="1"/>
  <c r="B1529" i="1" s="1"/>
  <c r="G1527" i="1"/>
  <c r="G1528" i="1" l="1"/>
  <c r="B1530" i="1"/>
  <c r="G1529" i="1"/>
  <c r="B1531" i="1" l="1"/>
  <c r="B1532" i="1" l="1"/>
  <c r="G1530" i="1"/>
  <c r="B1533" i="1" l="1"/>
  <c r="G1531" i="1"/>
  <c r="B1534" i="1" l="1"/>
  <c r="B1535" i="1" s="1"/>
  <c r="G1532" i="1"/>
  <c r="G1534" i="1" l="1"/>
  <c r="B1536" i="1"/>
  <c r="G1535" i="1"/>
  <c r="G1533" i="1"/>
  <c r="B1537" i="1" l="1"/>
  <c r="B1538" i="1" s="1"/>
  <c r="G1537" i="1" l="1"/>
  <c r="B1539" i="1"/>
  <c r="G1536" i="1"/>
  <c r="G1538" i="1" l="1"/>
  <c r="B1540" i="1"/>
  <c r="B1541" i="1" l="1"/>
  <c r="G1540" i="1"/>
  <c r="G1539" i="1"/>
  <c r="B1542" i="1" l="1"/>
  <c r="G1541" i="1" s="1"/>
  <c r="B1543" i="1" l="1"/>
  <c r="G1542" i="1" s="1"/>
  <c r="B1544" i="1" l="1"/>
  <c r="B1545" i="1" l="1"/>
  <c r="G1544" i="1"/>
  <c r="G1543" i="1"/>
  <c r="B1546" i="1" l="1"/>
  <c r="B1547" i="1" l="1"/>
  <c r="G1546" i="1" s="1"/>
  <c r="G1545" i="1"/>
  <c r="B1548" i="1" l="1"/>
  <c r="G1547" i="1" s="1"/>
  <c r="B1549" i="1" l="1"/>
  <c r="B1550" i="1" l="1"/>
  <c r="G1549" i="1"/>
  <c r="G1548" i="1"/>
  <c r="B1551" i="1" l="1"/>
  <c r="G1550" i="1" s="1"/>
  <c r="B1552" i="1" l="1"/>
  <c r="G1551" i="1"/>
  <c r="B1553" i="1" l="1"/>
  <c r="G1552" i="1" s="1"/>
  <c r="B1554" i="1" l="1"/>
  <c r="G1553" i="1"/>
  <c r="B1555" i="1" l="1"/>
  <c r="G1554" i="1"/>
  <c r="B1556" i="1" l="1"/>
  <c r="G1555" i="1"/>
  <c r="B1557" i="1" l="1"/>
  <c r="G1556" i="1" s="1"/>
  <c r="B1558" i="1" l="1"/>
  <c r="G1557" i="1" s="1"/>
  <c r="B1559" i="1" l="1"/>
  <c r="G1558" i="1" s="1"/>
  <c r="B1560" i="1" l="1"/>
  <c r="G1559" i="1"/>
  <c r="B1561" i="1" l="1"/>
  <c r="G1560" i="1"/>
  <c r="B1562" i="1" l="1"/>
  <c r="B1563" i="1" l="1"/>
  <c r="G1562" i="1"/>
  <c r="G1561" i="1"/>
  <c r="B1564" i="1" l="1"/>
  <c r="B1565" i="1" s="1"/>
  <c r="G1564" i="1" l="1"/>
  <c r="B1566" i="1"/>
  <c r="G1563" i="1"/>
  <c r="G1565" i="1" l="1"/>
  <c r="B1567" i="1"/>
  <c r="G1566" i="1"/>
  <c r="B1568" i="1" l="1"/>
  <c r="B1569" i="1" l="1"/>
  <c r="B1570" i="1" s="1"/>
  <c r="G1568" i="1"/>
  <c r="G1567" i="1"/>
  <c r="G1569" i="1" l="1"/>
  <c r="B1571" i="1"/>
  <c r="B1572" i="1" l="1"/>
  <c r="G1571" i="1" s="1"/>
  <c r="G1570" i="1"/>
  <c r="G1572" i="1" l="1"/>
  <c r="F1572" i="1"/>
</calcChain>
</file>

<file path=xl/sharedStrings.xml><?xml version="1.0" encoding="utf-8"?>
<sst xmlns="http://schemas.openxmlformats.org/spreadsheetml/2006/main" count="4933" uniqueCount="549">
  <si>
    <t>LangID</t>
    <phoneticPr fontId="1"/>
  </si>
  <si>
    <t>StageID</t>
    <phoneticPr fontId="1"/>
  </si>
  <si>
    <t>LogID</t>
    <phoneticPr fontId="1"/>
  </si>
  <si>
    <t>Log</t>
    <phoneticPr fontId="1"/>
  </si>
  <si>
    <t>Lektion eins</t>
    <phoneticPr fontId="1"/>
  </si>
  <si>
    <t>Wie geht es Ihnen?</t>
  </si>
  <si>
    <t>Danke, gut. Und Ihnen?</t>
  </si>
  <si>
    <t>Also dann, Herr Tanaka, bis morgen.</t>
  </si>
  <si>
    <t>Bis morgen. Auf Wiedersehen.</t>
  </si>
  <si>
    <t>レッスン1</t>
    <phoneticPr fontId="1"/>
  </si>
  <si>
    <t>Chara</t>
    <phoneticPr fontId="1"/>
  </si>
  <si>
    <t>Hallo, Herr Tanaka.</t>
    <phoneticPr fontId="1"/>
  </si>
  <si>
    <t>Name</t>
    <phoneticPr fontId="1"/>
  </si>
  <si>
    <t>Chara</t>
    <phoneticPr fontId="1"/>
  </si>
  <si>
    <t>Name</t>
    <phoneticPr fontId="1"/>
  </si>
  <si>
    <t>Guten Tag, Frau Schneider.</t>
    <phoneticPr fontId="1"/>
  </si>
  <si>
    <t>Schneider.</t>
    <phoneticPr fontId="1"/>
  </si>
  <si>
    <t>ドイツ語</t>
    <rPh sb="3" eb="4">
      <t>ゴ</t>
    </rPh>
    <phoneticPr fontId="1"/>
  </si>
  <si>
    <t>こんにちは、シュナイダー夫人。</t>
  </si>
  <si>
    <t>こんにちは、田中さん。</t>
  </si>
  <si>
    <t>お元気ですか?</t>
    <rPh sb="1" eb="3">
      <t>ゲンキ</t>
    </rPh>
    <phoneticPr fontId="1"/>
  </si>
  <si>
    <t>ありがとう、元気です。それで、あなたは？</t>
    <rPh sb="6" eb="8">
      <t>ゲンキ</t>
    </rPh>
    <phoneticPr fontId="1"/>
  </si>
  <si>
    <t>Auch gut, danke. (Der Bus kommt.)</t>
    <phoneticPr fontId="1"/>
  </si>
  <si>
    <t>それでは、田中さん、また明日お会いしましょう。</t>
  </si>
  <si>
    <t>ではまた明日。じゃあ、さようなら。</t>
    <phoneticPr fontId="1"/>
  </si>
  <si>
    <t>次の日本語をドイツ語に訳して答えてね！</t>
    <rPh sb="0" eb="1">
      <t>ツギ</t>
    </rPh>
    <rPh sb="2" eb="5">
      <t>ニホンゴ</t>
    </rPh>
    <rPh sb="9" eb="10">
      <t>ゴ</t>
    </rPh>
    <rPh sb="11" eb="12">
      <t>ヤク</t>
    </rPh>
    <rPh sb="14" eb="15">
      <t>コタ</t>
    </rPh>
    <phoneticPr fontId="1"/>
  </si>
  <si>
    <t>とても良くできました。レッスン1はこれで終了です。</t>
    <rPh sb="3" eb="4">
      <t>ヨ</t>
    </rPh>
    <rPh sb="20" eb="22">
      <t>シュウリョウ</t>
    </rPh>
    <phoneticPr fontId="1"/>
  </si>
  <si>
    <t>設定</t>
    <rPh sb="0" eb="2">
      <t>セッテイ</t>
    </rPh>
    <phoneticPr fontId="1"/>
  </si>
  <si>
    <t>Lektion zwei</t>
  </si>
  <si>
    <t>Freut mich, Sie kennen zu lernen.</t>
  </si>
  <si>
    <t>Woher kommen Sie, Frau Weber?</t>
  </si>
  <si>
    <t>Ich komme aus Südtirol, aus Italien.</t>
  </si>
  <si>
    <t>Und Sie? Kommen Sie aus Korea?</t>
  </si>
  <si>
    <t>レッスン2</t>
    <phoneticPr fontId="1"/>
  </si>
  <si>
    <t>Guten Tag. Ich heiße Tanaka. Ken Tanaka.</t>
    <phoneticPr fontId="1"/>
  </si>
  <si>
    <t>こんにちは。わたしは田中といいます。田中健です。</t>
    <phoneticPr fontId="1"/>
  </si>
  <si>
    <t>私の名前はアンドレア・ウェーバーです。</t>
  </si>
  <si>
    <t>Mein Name ist Andrea Weber.</t>
    <phoneticPr fontId="1"/>
  </si>
  <si>
    <t>Weber</t>
  </si>
  <si>
    <t>お会いできて嬉しいです。</t>
    <rPh sb="6" eb="7">
      <t>ウレ</t>
    </rPh>
    <phoneticPr fontId="1"/>
  </si>
  <si>
    <t>Freut mich auch.</t>
    <phoneticPr fontId="1"/>
  </si>
  <si>
    <t>私も嬉しいです。</t>
  </si>
  <si>
    <t>ウェーバーさん、どこから来ましたか?</t>
  </si>
  <si>
    <t>私はイタリアにある南チロルから来ました。</t>
    <phoneticPr fontId="1"/>
  </si>
  <si>
    <t>そしてあなたは?あなたは韓国出身ですか?</t>
    <phoneticPr fontId="1"/>
  </si>
  <si>
    <t>Nein, ich komme nicht aus Korea, sondern aus Japan.</t>
    <phoneticPr fontId="1"/>
  </si>
  <si>
    <t>いいえ、韓国出身ではなく、日本出身です。</t>
    <phoneticPr fontId="1"/>
  </si>
  <si>
    <t>とても良くできました。レッスン2はこれで終了です。</t>
    <rPh sb="3" eb="4">
      <t>ヨ</t>
    </rPh>
    <rPh sb="20" eb="22">
      <t>シュウリョウ</t>
    </rPh>
    <phoneticPr fontId="1"/>
  </si>
  <si>
    <t>パス</t>
    <phoneticPr fontId="1"/>
  </si>
  <si>
    <t>画像</t>
    <rPh sb="0" eb="2">
      <t>ガゾウ</t>
    </rPh>
    <phoneticPr fontId="1"/>
  </si>
  <si>
    <t>フランス語</t>
    <rPh sb="4" eb="5">
      <t>ゴ</t>
    </rPh>
    <phoneticPr fontId="1"/>
  </si>
  <si>
    <t>Leçon un</t>
  </si>
  <si>
    <t>Et vous, vous êtes français ?</t>
  </si>
  <si>
    <t>レッスン 1</t>
  </si>
  <si>
    <t>Bonjour. Je m'appelle Minako. Et vous ?</t>
    <phoneticPr fontId="1"/>
  </si>
  <si>
    <t>Minako</t>
    <phoneticPr fontId="1"/>
  </si>
  <si>
    <t>こんにちは。美奈子と申します。それで、あなたは。</t>
  </si>
  <si>
    <t>Je m'appelle Céline. Vous êtes japonaise ?</t>
    <phoneticPr fontId="1"/>
  </si>
  <si>
    <t>Je suis française. Je suis d'Orléans.</t>
    <phoneticPr fontId="1"/>
  </si>
  <si>
    <t>Céline</t>
    <phoneticPr fontId="1"/>
  </si>
  <si>
    <t>私の名前はセリーヌです。あなたは日本人ですか?</t>
  </si>
  <si>
    <t>Oui. Je suis de Kyoto.</t>
    <phoneticPr fontId="1"/>
  </si>
  <si>
    <t>はい。京都出身です。</t>
  </si>
  <si>
    <t>私はフランス人です。私はオルレアン出身です。</t>
  </si>
  <si>
    <t>そして、あなたはフランス人ですか?</t>
    <phoneticPr fontId="1"/>
  </si>
  <si>
    <t>Non, je suis italien. Enchanté.</t>
    <phoneticPr fontId="1"/>
  </si>
  <si>
    <t>Luigi</t>
    <phoneticPr fontId="1"/>
  </si>
  <si>
    <t>いいえ、私はイタリア人です。はじめまして。</t>
  </si>
  <si>
    <t>Enchantée.</t>
    <phoneticPr fontId="1"/>
  </si>
  <si>
    <t>はじめまして。</t>
  </si>
  <si>
    <t>次の日本語をフランス語に訳して答えてね！</t>
    <rPh sb="0" eb="1">
      <t>ツギ</t>
    </rPh>
    <rPh sb="2" eb="5">
      <t>ニホンゴ</t>
    </rPh>
    <rPh sb="10" eb="11">
      <t>ゴ</t>
    </rPh>
    <rPh sb="12" eb="13">
      <t>ヤク</t>
    </rPh>
    <rPh sb="15" eb="16">
      <t>コタ</t>
    </rPh>
    <phoneticPr fontId="1"/>
  </si>
  <si>
    <t>Leçon deux</t>
  </si>
  <si>
    <t>Elle est très jolie.</t>
  </si>
  <si>
    <t>Et ça, qu'est-ce que c'est ?</t>
  </si>
  <si>
    <t>レッスン 2</t>
  </si>
  <si>
    <t>Voilà votre chambre.</t>
    <phoneticPr fontId="1"/>
  </si>
  <si>
    <t>M. Dubois</t>
    <phoneticPr fontId="1"/>
  </si>
  <si>
    <t>ここがあなたの部屋です。</t>
    <phoneticPr fontId="1"/>
  </si>
  <si>
    <t>（それは）とてもきれいですね。</t>
    <phoneticPr fontId="1"/>
  </si>
  <si>
    <t>Vous avez un lit, un bureau et une commode.</t>
    <phoneticPr fontId="1"/>
  </si>
  <si>
    <t>ベッド、机、箪笥があります。</t>
  </si>
  <si>
    <t>（そして、）それは何ですか?</t>
    <phoneticPr fontId="1"/>
  </si>
  <si>
    <t>C'est une table de nuit.</t>
    <phoneticPr fontId="1"/>
  </si>
  <si>
    <t>ベッドサイドテーブルです。</t>
  </si>
  <si>
    <t>Et ça ?</t>
    <phoneticPr fontId="1"/>
  </si>
  <si>
    <t>Ce sont des prises de courant.</t>
    <phoneticPr fontId="1"/>
  </si>
  <si>
    <t>これらは電源コンセントです。</t>
  </si>
  <si>
    <t>それで、これは?</t>
    <phoneticPr fontId="1"/>
  </si>
  <si>
    <t>type</t>
    <phoneticPr fontId="1"/>
  </si>
  <si>
    <t>それでは学習を始めましょう！</t>
    <rPh sb="4" eb="6">
      <t>ガクシュウ</t>
    </rPh>
    <rPh sb="7" eb="8">
      <t>ハジ</t>
    </rPh>
    <phoneticPr fontId="1"/>
  </si>
  <si>
    <t>icon</t>
    <phoneticPr fontId="1"/>
  </si>
  <si>
    <t>どの言語を学びたい？</t>
    <rPh sb="2" eb="4">
      <t>ゲンゴ</t>
    </rPh>
    <rPh sb="5" eb="6">
      <t>マナ</t>
    </rPh>
    <phoneticPr fontId="1"/>
  </si>
  <si>
    <t>最後に学習したのはステージいくつ？</t>
    <rPh sb="0" eb="2">
      <t>サイゴ</t>
    </rPh>
    <rPh sb="3" eb="5">
      <t>ガクシュウ</t>
    </rPh>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</si>
  <si>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</si>
  <si>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</si>
  <si>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</si>
  <si>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</si>
  <si>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</si>
  <si>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</si>
  <si>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</si>
  <si>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</si>
  <si>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</si>
  <si>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b</t>
    <phoneticPr fontId="1"/>
  </si>
  <si>
    <t>b</t>
    <phoneticPr fontId="1"/>
  </si>
  <si>
    <t>Lektion drei</t>
  </si>
  <si>
    <t>Frau Schneider, das ist Herr Bauer.</t>
  </si>
  <si>
    <t>Er ist mein Kollege. Wir arbeiten zusammen.</t>
  </si>
  <si>
    <t>Herr Bauer, das ist Frau Schneider.</t>
  </si>
  <si>
    <t>Sie ist meine Nachbarin und Kochlehrerin.</t>
  </si>
  <si>
    <t>Freut mich. Ich koche auch sehr gern.</t>
  </si>
  <si>
    <t>レッスン 3</t>
    <phoneticPr fontId="1"/>
  </si>
  <si>
    <t>田中さん、こんにちは。お元気ですか。</t>
    <phoneticPr fontId="1"/>
  </si>
  <si>
    <t>Hallo, Herr Tanaka. Wie geht's?</t>
    <phoneticPr fontId="1"/>
  </si>
  <si>
    <t>Tanaka</t>
    <phoneticPr fontId="1"/>
  </si>
  <si>
    <t>Navigator</t>
    <phoneticPr fontId="1"/>
  </si>
  <si>
    <t>Player</t>
    <phoneticPr fontId="1"/>
  </si>
  <si>
    <t>ありがとう、いいね。それで、あなたは。</t>
  </si>
  <si>
    <t>Ausgezeichnet, danke.</t>
    <phoneticPr fontId="1"/>
  </si>
  <si>
    <t>とても良いです、ありがとう。</t>
    <rPh sb="3" eb="4">
      <t>ヨ</t>
    </rPh>
    <phoneticPr fontId="1"/>
  </si>
  <si>
    <t>シュナイダーさん、こちらはバウアーさんです。</t>
    <phoneticPr fontId="1"/>
  </si>
  <si>
    <t>彼は私の同僚です。私たちは一緒に働きます。</t>
  </si>
  <si>
    <t>バウアーさん、こちらはシュナイダー夫人です。</t>
    <phoneticPr fontId="1"/>
  </si>
  <si>
    <t>彼女は私の隣人であり、料理の先生です。</t>
  </si>
  <si>
    <t>Bauer</t>
  </si>
  <si>
    <t>assets/icons/image009.png</t>
    <phoneticPr fontId="1"/>
  </si>
  <si>
    <t>嬉しい。料理も大好きです。</t>
  </si>
  <si>
    <t>Schön. Dann haben wir etwas gemeinsam.</t>
    <phoneticPr fontId="1"/>
  </si>
  <si>
    <t>素晴らしい。それに、共通点があります。</t>
    <rPh sb="0" eb="2">
      <t>スバ</t>
    </rPh>
    <phoneticPr fontId="1"/>
  </si>
  <si>
    <t>Lektion vier</t>
  </si>
  <si>
    <t>Entschuldigung, wo ist das Rathaus?</t>
  </si>
  <si>
    <t>すみません、市庁舎はどこですか?</t>
  </si>
  <si>
    <t>Passantin</t>
  </si>
  <si>
    <t>assets/icons/image081.png</t>
    <phoneticPr fontId="1"/>
  </si>
  <si>
    <t>Moment.</t>
    <phoneticPr fontId="1"/>
  </si>
  <si>
    <t>少々お待ちください。</t>
    <rPh sb="0" eb="4">
      <t>ショウショウオマ</t>
    </rPh>
    <phoneticPr fontId="1"/>
  </si>
  <si>
    <t>ここを直進し、右側の最初の通りを進みます。</t>
  </si>
  <si>
    <t>Gehen Sie hier geradeaus, und dann die erste Straße rechts.</t>
    <phoneticPr fontId="1"/>
  </si>
  <si>
    <t>Da ist das Rathaus.</t>
    <phoneticPr fontId="1"/>
  </si>
  <si>
    <t>そこに市庁舎があります。</t>
    <phoneticPr fontId="1"/>
  </si>
  <si>
    <t>Vielen Dank. Und noch eine Frage.</t>
    <phoneticPr fontId="1"/>
  </si>
  <si>
    <t>ありがとうございました。そしてもう1つの質問。</t>
  </si>
  <si>
    <t>Wo ist hier eine Bushaltestelle?</t>
    <phoneticPr fontId="1"/>
  </si>
  <si>
    <t>ここのバス停はどこですか?</t>
  </si>
  <si>
    <t>Da vorne ist die Haltestelle, 'Schillerstraße'</t>
    <phoneticPr fontId="1"/>
  </si>
  <si>
    <t>バス停、「シラー通り」があります</t>
    <phoneticPr fontId="1"/>
  </si>
  <si>
    <t>A ja. Danke schön.</t>
    <phoneticPr fontId="1"/>
  </si>
  <si>
    <t>あ はい。ありがとうございました。</t>
    <phoneticPr fontId="1"/>
  </si>
  <si>
    <t>Nichts zu danken. Auf Wiedersehen.</t>
    <phoneticPr fontId="1"/>
  </si>
  <si>
    <t>どういたしまして。じゃあまた。</t>
    <phoneticPr fontId="1"/>
  </si>
  <si>
    <t>Wiedersehen.</t>
    <phoneticPr fontId="1"/>
  </si>
  <si>
    <t>また。</t>
    <phoneticPr fontId="1"/>
  </si>
  <si>
    <t>Lektion fünf</t>
    <phoneticPr fontId="1"/>
  </si>
  <si>
    <t>Sag mal, Andrea, sprichst du eigentlich zu Hause Deutsch oder Italienisch?</t>
    <phoneticPr fontId="1"/>
  </si>
  <si>
    <t>Mein Vater und ich sprechen immer Deutsch, aber meine Mutter spricht nur Italienisch.</t>
    <phoneticPr fontId="1"/>
  </si>
  <si>
    <t>父と私はいつもドイツ語を話しますが、母はイタリア語しか話せません。</t>
  </si>
  <si>
    <t>このあたりのバス停はどこですか?</t>
    <phoneticPr fontId="1"/>
  </si>
  <si>
    <t>そこにバス停、「シラー通り」があります</t>
    <phoneticPr fontId="1"/>
  </si>
  <si>
    <t>教えてください、アンドレア、あなたは家ではドイツ語それともイタリア語を話しますか?</t>
    <phoneticPr fontId="1"/>
  </si>
  <si>
    <t>Sie ist Italienerin.</t>
    <phoneticPr fontId="1"/>
  </si>
  <si>
    <t>彼女はイタリア人です。</t>
  </si>
  <si>
    <t>Interessant. Hast du eigentlich Geschwister?</t>
  </si>
  <si>
    <t>面白いね。兄弟がいますか?</t>
    <phoneticPr fontId="1"/>
  </si>
  <si>
    <t>Ja, ich habe einen Bruder und eine Schwester.</t>
    <phoneticPr fontId="1"/>
  </si>
  <si>
    <t>はい、私には弟と妹がいます。</t>
    <rPh sb="6" eb="7">
      <t>オトウト</t>
    </rPh>
    <phoneticPr fontId="1"/>
  </si>
  <si>
    <t>Mein Bruder studiert in Salzburg.</t>
  </si>
  <si>
    <t>私の弟はザルツブルクで勉強しています。</t>
    <rPh sb="2" eb="3">
      <t>オトウト</t>
    </rPh>
    <phoneticPr fontId="1"/>
  </si>
  <si>
    <t>Das ist ja witzig. Mein Bruder wohnt auch in Salzburg.</t>
  </si>
  <si>
    <t>面白いです。私の兄もザルツブルクに住んでいます。</t>
    <rPh sb="0" eb="2">
      <t>オモシロ</t>
    </rPh>
    <phoneticPr fontId="1"/>
  </si>
  <si>
    <t>Er hat eine Konditorei dort.</t>
  </si>
  <si>
    <t>彼はそこにケーキ屋をやっています。</t>
    <rPh sb="8" eb="9">
      <t>ヤ</t>
    </rPh>
    <phoneticPr fontId="1"/>
  </si>
  <si>
    <t>中国語</t>
    <rPh sb="0" eb="3">
      <t>チュウゴクゴ</t>
    </rPh>
    <phoneticPr fontId="1"/>
  </si>
  <si>
    <t>李明</t>
  </si>
  <si>
    <t>assets/icons/image144.png</t>
    <phoneticPr fontId="1"/>
  </si>
  <si>
    <t>鈴木</t>
    <rPh sb="0" eb="2">
      <t>スズキ</t>
    </rPh>
    <phoneticPr fontId="1"/>
  </si>
  <si>
    <t>assets/icons/image037.png</t>
    <phoneticPr fontId="1"/>
  </si>
  <si>
    <t>すみません、鈴木さんですか?</t>
  </si>
  <si>
    <t>はい、私は鈴木恵子です。</t>
    <phoneticPr fontId="1"/>
  </si>
  <si>
    <t>リーさんですか?</t>
  </si>
  <si>
    <t>是, 我 是 李明。</t>
    <phoneticPr fontId="1"/>
  </si>
  <si>
    <t>はい、私はリー・ミンです。</t>
  </si>
  <si>
    <t>リー・ミンさん こんにちは!</t>
  </si>
  <si>
    <t>李明 先生, 你 好!</t>
    <phoneticPr fontId="1"/>
  </si>
  <si>
    <r>
      <t>请问</t>
    </r>
    <r>
      <rPr>
        <sz val="11"/>
        <color theme="1"/>
        <rFont val="ＭＳ Ｐゴシック"/>
        <family val="2"/>
        <charset val="128"/>
        <scheme val="minor"/>
      </rPr>
      <t xml:space="preserve">, 您 是 </t>
    </r>
    <r>
      <rPr>
        <sz val="11"/>
        <color theme="1"/>
        <rFont val="ＭＳ Ｐゴシック"/>
        <family val="3"/>
        <charset val="134"/>
        <scheme val="minor"/>
      </rPr>
      <t>铃</t>
    </r>
    <r>
      <rPr>
        <sz val="11"/>
        <color theme="1"/>
        <rFont val="ＭＳ Ｐゴシック"/>
        <family val="2"/>
        <charset val="128"/>
        <scheme val="minor"/>
      </rPr>
      <t xml:space="preserve">木 小姐 </t>
    </r>
    <r>
      <rPr>
        <sz val="11"/>
        <color theme="1"/>
        <rFont val="ＭＳ Ｐゴシック"/>
        <family val="3"/>
        <charset val="134"/>
        <scheme val="minor"/>
      </rPr>
      <t>吗</t>
    </r>
    <r>
      <rPr>
        <sz val="11"/>
        <color theme="1"/>
        <rFont val="ＭＳ Ｐゴシック"/>
        <family val="2"/>
        <charset val="128"/>
        <scheme val="minor"/>
      </rPr>
      <t>?</t>
    </r>
    <phoneticPr fontId="1"/>
  </si>
  <si>
    <t>是, 我 是 铃木 惠子。</t>
    <phoneticPr fontId="1"/>
  </si>
  <si>
    <t>您 是 李 先生 吗?</t>
    <phoneticPr fontId="1"/>
  </si>
  <si>
    <t>你 好, 铃木 小姐!</t>
    <phoneticPr fontId="1"/>
  </si>
  <si>
    <t>こんにちは 鈴木さん!</t>
  </si>
  <si>
    <t>url</t>
    <phoneticPr fontId="1"/>
  </si>
  <si>
    <t>お父さんは元気?</t>
  </si>
  <si>
    <r>
      <t xml:space="preserve">你 爸爸 好 </t>
    </r>
    <r>
      <rPr>
        <sz val="11"/>
        <color theme="1"/>
        <rFont val="ＭＳ Ｐゴシック"/>
        <family val="3"/>
        <charset val="134"/>
        <scheme val="minor"/>
      </rPr>
      <t>吗</t>
    </r>
    <r>
      <rPr>
        <sz val="11"/>
        <color theme="1"/>
        <rFont val="ＭＳ Ｐゴシック"/>
        <family val="2"/>
        <charset val="128"/>
        <scheme val="minor"/>
      </rPr>
      <t>?</t>
    </r>
    <phoneticPr fontId="1"/>
  </si>
  <si>
    <r>
      <t>谢谢</t>
    </r>
    <r>
      <rPr>
        <sz val="11"/>
        <color theme="1"/>
        <rFont val="ＭＳ Ｐゴシック"/>
        <family val="2"/>
        <charset val="128"/>
        <scheme val="minor"/>
      </rPr>
      <t>, 他 很 好。</t>
    </r>
    <phoneticPr fontId="1"/>
  </si>
  <si>
    <t>ありがとう、彼は元気です。</t>
  </si>
  <si>
    <t>你 爸爸 忙 不忙?</t>
    <phoneticPr fontId="1"/>
  </si>
  <si>
    <t>お父さんは 忙しいの?</t>
    <rPh sb="1" eb="2">
      <t>トウ</t>
    </rPh>
    <phoneticPr fontId="1"/>
  </si>
  <si>
    <t>他　很　忙。</t>
    <phoneticPr fontId="1"/>
  </si>
  <si>
    <t>彼はとても忙しい。</t>
  </si>
  <si>
    <r>
      <t>你　妈妈</t>
    </r>
    <r>
      <rPr>
        <sz val="11"/>
        <color theme="1"/>
        <rFont val="ＭＳ Ｐゴシック"/>
        <family val="3"/>
        <charset val="128"/>
        <scheme val="minor"/>
      </rPr>
      <t>　呢?</t>
    </r>
    <phoneticPr fontId="1"/>
  </si>
  <si>
    <t>お母さんは?</t>
    <rPh sb="1" eb="2">
      <t>カア</t>
    </rPh>
    <phoneticPr fontId="1"/>
  </si>
  <si>
    <t>她　不　太　忙。</t>
    <phoneticPr fontId="1"/>
  </si>
  <si>
    <t>彼女はそれほど忙しくありません。</t>
    <phoneticPr fontId="1"/>
  </si>
  <si>
    <t>Lektion sechs</t>
    <phoneticPr fontId="1"/>
  </si>
  <si>
    <t>Das ist ein Judogi. Ich mache Judo.</t>
  </si>
  <si>
    <t>Toll! Machen Sie das regelmäßig?</t>
  </si>
  <si>
    <t>Ja, ich gehe jeden Morgen zum Training.</t>
    <phoneticPr fontId="1"/>
  </si>
  <si>
    <t>Machen Sie auch Sport, Frau Schneider?</t>
  </si>
  <si>
    <t>Ja, ich fahre gern Rad.</t>
  </si>
  <si>
    <t>Auch mein Mann fährt gern Rad.</t>
  </si>
  <si>
    <t>Wir machen oft Radtouren am Wochenende.</t>
    <phoneticPr fontId="1"/>
  </si>
  <si>
    <t>Das ist ja schön. Radfahren ist auch mein Hobby.</t>
  </si>
  <si>
    <t>Morgen, Herr Tanaka. Oh, was haben Sie da?</t>
    <phoneticPr fontId="1"/>
  </si>
  <si>
    <t>おはよう田中さん。あら、何を持っているんですか?</t>
    <phoneticPr fontId="1"/>
  </si>
  <si>
    <t>これは柔道着です。わたしは柔道をやっています。</t>
    <phoneticPr fontId="1"/>
  </si>
  <si>
    <t>凄い！それは定期的に行っていますか?</t>
    <phoneticPr fontId="1"/>
  </si>
  <si>
    <t>はい、毎朝トレーニングに行きます。</t>
  </si>
  <si>
    <t>シュナイダーさんも、スポーツをしますか?</t>
    <phoneticPr fontId="1"/>
  </si>
  <si>
    <t>はい、サイクリングが好きです。</t>
  </si>
  <si>
    <t>夫もサイクリングが好きです。</t>
  </si>
  <si>
    <t>週末には自転車ツアーをよくします。</t>
  </si>
  <si>
    <t>それはいいですね。サイクリングも私の趣味です。</t>
    <rPh sb="16" eb="17">
      <t>ワタシ</t>
    </rPh>
    <phoneticPr fontId="1"/>
  </si>
  <si>
    <t>Lektion sieben</t>
    <phoneticPr fontId="1"/>
  </si>
  <si>
    <t>Kellnerin</t>
  </si>
  <si>
    <t>assets/icons/image021.png</t>
    <phoneticPr fontId="1"/>
  </si>
  <si>
    <t>Guten Tag. Was darf's denn sein?</t>
  </si>
  <si>
    <t>Ich hätte gern einen Käsekuchen und eine Tasse Tee.</t>
  </si>
  <si>
    <t>Entschuldigung. Zahlen, bitte.</t>
  </si>
  <si>
    <t>Acht, bitte.</t>
  </si>
  <si>
    <t>Ein Käsekuchen und eine Tasse Tee, das macht zusammen Sieben Euro Fünfzig, bitte.</t>
    <phoneticPr fontId="1"/>
  </si>
  <si>
    <t>Danke, gleichfalls.</t>
  </si>
  <si>
    <t>こんにちは。ご注文は何ですか?(あなたは何が欲しいですか?)</t>
    <rPh sb="7" eb="9">
      <t>チュウモン</t>
    </rPh>
    <rPh sb="10" eb="11">
      <t>ナニ</t>
    </rPh>
    <rPh sb="20" eb="21">
      <t>ナニ</t>
    </rPh>
    <rPh sb="22" eb="23">
      <t>ホ</t>
    </rPh>
    <phoneticPr fontId="1"/>
  </si>
  <si>
    <t>チーズケーキとお茶をお願いします。</t>
  </si>
  <si>
    <t>Kommt sofort.</t>
    <phoneticPr fontId="1"/>
  </si>
  <si>
    <t>すぐにお持ちします。</t>
    <rPh sb="4" eb="5">
      <t>モ</t>
    </rPh>
    <phoneticPr fontId="1"/>
  </si>
  <si>
    <t>すみません。お会計をお願いします。</t>
    <rPh sb="7" eb="9">
      <t>カイケイ</t>
    </rPh>
    <phoneticPr fontId="1"/>
  </si>
  <si>
    <t>チーズケーキとお茶、合計7ユーロ50をお願いします。</t>
  </si>
  <si>
    <t>8ユーロでお願いします。</t>
    <phoneticPr fontId="1"/>
  </si>
  <si>
    <t>Danke schön. Und zwei zurück. Schönen Tag noch.</t>
    <phoneticPr fontId="1"/>
  </si>
  <si>
    <t>ありがとうございました。そして2つのお釣りです。よい一日を。</t>
    <rPh sb="19" eb="20">
      <t>ツ</t>
    </rPh>
    <phoneticPr fontId="1"/>
  </si>
  <si>
    <t>どうもありがとうございました。</t>
  </si>
  <si>
    <t>Lektion acht</t>
    <phoneticPr fontId="1"/>
  </si>
  <si>
    <t>Guten Tag. Ich möchte eine Fahrkarte nach Berlin.</t>
  </si>
  <si>
    <t>Zweiter Klasse.</t>
  </si>
  <si>
    <t>Angestellte</t>
  </si>
  <si>
    <t>assets/icons/image022.png</t>
  </si>
  <si>
    <t>Einfach oder hin und zurück?</t>
  </si>
  <si>
    <t xml:space="preserve">9.23 Uhr,　ja? </t>
    <phoneticPr fontId="1"/>
  </si>
  <si>
    <t>Raucher oder Nichtraucher?</t>
  </si>
  <si>
    <t>Nichtraucher, bitte.</t>
  </si>
  <si>
    <t>Wann kommt der Zug in Berlin an?</t>
  </si>
  <si>
    <t>Um 13.15 Uhr.</t>
  </si>
  <si>
    <t>Das steht alles hier.</t>
  </si>
  <si>
    <t>Danke. Auf Wiedersehen.</t>
  </si>
  <si>
    <t>Danke. Gute Reise.</t>
    <phoneticPr fontId="1"/>
  </si>
  <si>
    <t>55,70 Euro dann, bitte.</t>
    <phoneticPr fontId="1"/>
  </si>
  <si>
    <t>こんにちは。ベルリン行きのチケットが欲しいです。</t>
  </si>
  <si>
    <t>Danke schön. Und fuenfzig cent zurück. Schönen Tag noch.</t>
    <phoneticPr fontId="1"/>
  </si>
  <si>
    <t>ありがとうございました。そして50セントのお釣りです。よい一日を。</t>
    <rPh sb="22" eb="23">
      <t>ツ</t>
    </rPh>
    <phoneticPr fontId="1"/>
  </si>
  <si>
    <t>2等席で。</t>
    <rPh sb="1" eb="3">
      <t>トウセキ</t>
    </rPh>
    <phoneticPr fontId="1"/>
  </si>
  <si>
    <t>片道ですか、それとも往復ですか?</t>
    <rPh sb="0" eb="2">
      <t>カタミチ</t>
    </rPh>
    <rPh sb="10" eb="12">
      <t>オウフク</t>
    </rPh>
    <phoneticPr fontId="1"/>
  </si>
  <si>
    <t>片道でお願いします。それで席も予約したいのですが。</t>
    <rPh sb="0" eb="2">
      <t>カタミチ</t>
    </rPh>
    <rPh sb="13" eb="14">
      <t>セキ</t>
    </rPh>
    <rPh sb="15" eb="17">
      <t>ヨヤク</t>
    </rPh>
    <phoneticPr fontId="1"/>
  </si>
  <si>
    <t xml:space="preserve">Einfach, bitte. Und ich möchte auch einen Platz reservieren. </t>
    <phoneticPr fontId="1"/>
  </si>
  <si>
    <t>Für jetzt gleich.</t>
    <phoneticPr fontId="1"/>
  </si>
  <si>
    <t>すぐに出ます。</t>
    <rPh sb="3" eb="4">
      <t>デ</t>
    </rPh>
    <phoneticPr fontId="1"/>
  </si>
  <si>
    <t>午前9時23分、で良いですか?</t>
    <rPh sb="9" eb="10">
      <t>ヨ</t>
    </rPh>
    <phoneticPr fontId="1"/>
  </si>
  <si>
    <t>禁煙でお願いします。</t>
  </si>
  <si>
    <t>喫煙ですか、それとも禁煙ですか?</t>
    <rPh sb="10" eb="12">
      <t>キンエン</t>
    </rPh>
    <phoneticPr fontId="1"/>
  </si>
  <si>
    <t>列車は何時にベルリンに到着しますか?</t>
  </si>
  <si>
    <t>午後1時15分です。</t>
    <phoneticPr fontId="1"/>
  </si>
  <si>
    <t>ここにすべて書いてあります。</t>
    <rPh sb="6" eb="7">
      <t>カ</t>
    </rPh>
    <phoneticPr fontId="1"/>
  </si>
  <si>
    <t>それでは55,70ユーロ、お願いします。</t>
    <phoneticPr fontId="1"/>
  </si>
  <si>
    <t>ありがとうございました。良い旅を。</t>
    <rPh sb="12" eb="13">
      <t>ヨ</t>
    </rPh>
    <phoneticPr fontId="1"/>
  </si>
  <si>
    <t>ありがとうございました。じゃあ、また。</t>
  </si>
  <si>
    <t>Lektion neun</t>
  </si>
  <si>
    <t>Hallo, Ken. Hier spricht Andrea.</t>
    <phoneticPr fontId="1"/>
  </si>
  <si>
    <t>Weißt du, Peter und ich gehen in ein Konzert.</t>
    <phoneticPr fontId="1"/>
  </si>
  <si>
    <t>Beethovens Neunte. Kommst du auch mit?</t>
  </si>
  <si>
    <t>Ja, gerne. Wann beginnt es denn?</t>
  </si>
  <si>
    <t>Um sieben. Ich hole dich um sechs zu Hause ab, ja?</t>
  </si>
  <si>
    <t>Das ist nett von dir. Aber ich muss noch einkaufen.</t>
  </si>
  <si>
    <t>Kannst du gegen halb sieben vorbeikommen?</t>
  </si>
  <si>
    <t>Gut, dann komme ich erst um halb sieben.</t>
  </si>
  <si>
    <t>Bis dann!</t>
  </si>
  <si>
    <t>Bis später. Tschüs!</t>
  </si>
  <si>
    <t>こんにちは、ケン。アンドレアです。</t>
    <phoneticPr fontId="1"/>
  </si>
  <si>
    <t>ねえ、ピーターと私はコンサートに行きます。</t>
    <phoneticPr fontId="1"/>
  </si>
  <si>
    <t>ベートーベンの第九です。一緒に行きませんか?</t>
    <rPh sb="15" eb="16">
      <t>イ</t>
    </rPh>
    <phoneticPr fontId="1"/>
  </si>
  <si>
    <t>はい、喜んで。それはいつ始まりますか?</t>
  </si>
  <si>
    <t>7時に。6時に迎えに行くので良いですか？</t>
    <rPh sb="14" eb="15">
      <t>ヨ</t>
    </rPh>
    <phoneticPr fontId="1"/>
  </si>
  <si>
    <t>それはご親切に。しかし、私はまだ買い物をしなければなりません。</t>
    <rPh sb="4" eb="6">
      <t>シンセツ</t>
    </rPh>
    <phoneticPr fontId="1"/>
  </si>
  <si>
    <t>6時半頃には来てもらえますか?</t>
    <phoneticPr fontId="1"/>
  </si>
  <si>
    <t>はい、それでは6時半に行きます。</t>
    <rPh sb="11" eb="12">
      <t>イ</t>
    </rPh>
    <phoneticPr fontId="1"/>
  </si>
  <si>
    <t>じゃあ、また。さようなら！</t>
  </si>
  <si>
    <t>じゃあ、また!</t>
    <phoneticPr fontId="1"/>
  </si>
  <si>
    <t>Lektion zehn</t>
  </si>
  <si>
    <t>Herr Tanaka, wie alt sind eigentlich Ihre Kinder?</t>
  </si>
  <si>
    <t>6 und 3. Leider habe ich kein Foto dabei.</t>
  </si>
  <si>
    <t>Oder doch! Hier. Soll ich es Ihnen mal zeigen?</t>
  </si>
  <si>
    <t>Ja, bitte.</t>
  </si>
  <si>
    <t>So wie Sie! Und sind das Ihre Eltern?</t>
  </si>
  <si>
    <t>Genau. Und das hier ist unser Hund Rocky.</t>
  </si>
  <si>
    <t>Wie süß! So einen Hund möchte ich auch haben.</t>
  </si>
  <si>
    <t xml:space="preserve">Also, das ist meine Frau und das da sind meine Kinder. </t>
    <phoneticPr fontId="1"/>
  </si>
  <si>
    <t>Sehen Sie, mein Sohn trägt ein Judogi.</t>
  </si>
  <si>
    <t>田中さん、お子さんは何歳ですか?</t>
  </si>
  <si>
    <t>6歳と3歳です。残念ながら、写真を持っていませんが。</t>
    <rPh sb="1" eb="2">
      <t>サイ</t>
    </rPh>
    <rPh sb="4" eb="5">
      <t>サイ</t>
    </rPh>
    <phoneticPr fontId="1"/>
  </si>
  <si>
    <t>いや、あった! これです。お見せしましょうか?</t>
    <phoneticPr fontId="1"/>
  </si>
  <si>
    <t>はい、お願いします。</t>
    <phoneticPr fontId="1"/>
  </si>
  <si>
    <t>まず、これが私の妻で、これらが私の子供たちです。</t>
    <phoneticPr fontId="1"/>
  </si>
  <si>
    <t>ほら、私の息子は柔道着を着ています。</t>
  </si>
  <si>
    <t>あなたと同じ! それで、彼らはあなたの両親ですか?</t>
    <rPh sb="4" eb="5">
      <t>オナ</t>
    </rPh>
    <phoneticPr fontId="1"/>
  </si>
  <si>
    <t>その通り。そして、これは私たちの犬ロッキーです。</t>
  </si>
  <si>
    <t>可愛い! 私もそんな犬を飼いたいです。</t>
    <phoneticPr fontId="1"/>
  </si>
  <si>
    <t>6 und 3. Leider habe ich kein Foto dabei.</t>
    <phoneticPr fontId="1"/>
  </si>
  <si>
    <t>私も元気です。ありがとう。(バスが来る)</t>
    <rPh sb="0" eb="1">
      <t>ワタシ</t>
    </rPh>
    <rPh sb="2" eb="4">
      <t>ゲンキ</t>
    </rPh>
    <rPh sb="17" eb="18">
      <t>ク</t>
    </rPh>
    <phoneticPr fontId="1"/>
  </si>
  <si>
    <t>(しばらくして)</t>
  </si>
  <si>
    <t>(Nach einer Weile)</t>
  </si>
  <si>
    <t>(nach einer minute)</t>
  </si>
  <si>
    <t>(PRRR.)はい、田中。</t>
  </si>
  <si>
    <t>(prrr.)Tanaka.</t>
  </si>
  <si>
    <t>(nach einer Minute)</t>
  </si>
  <si>
    <t>Navigator</t>
  </si>
  <si>
    <t>e</t>
  </si>
  <si>
    <t>a</t>
  </si>
  <si>
    <t>まずは対話文を流します。その後に、日本語とドイツ語を一文ずつ流すのでドイツ語を真似して下さい。最後に日本語のみを流すので、ドイツ語で答えてください。</t>
  </si>
  <si>
    <t>Tanaka</t>
  </si>
  <si>
    <t>Schneider.</t>
  </si>
  <si>
    <t>次のドイツ語を真似してね！</t>
  </si>
  <si>
    <t>Player</t>
  </si>
  <si>
    <t>q</t>
  </si>
  <si>
    <t>次の日本語をドイツ語に訳して答えてね！</t>
  </si>
  <si>
    <t>まずは対話文を流します。その後に、日本語とフランス語を一文ずつ流すのでフランス語を真似して下さい。最後に日本語のみを流すので、フランス語で答えてください。</t>
  </si>
  <si>
    <t>Minako</t>
  </si>
  <si>
    <t>Céline</t>
  </si>
  <si>
    <t>Luigi</t>
  </si>
  <si>
    <t>次のフランス語を真似してね！</t>
  </si>
  <si>
    <t>M. Dubois</t>
  </si>
  <si>
    <t>とても良くできました。レッスン2はこれで終了です。</t>
  </si>
  <si>
    <t>assets/icons/image009.png</t>
  </si>
  <si>
    <t>とても良くできました。レッスン3はこれで終了です。</t>
  </si>
  <si>
    <t>まずは対話文を流します。その後に、日本語と中国語を一文ずつ流すので中国語を真似して下さい。最後に日本語のみを流すので、中国語で答えてください。</t>
  </si>
  <si>
    <t>assets/icons/image081.png</t>
  </si>
  <si>
    <t>とても良くできました。レッスン4はこれで終了です。</t>
  </si>
  <si>
    <t>レッスン5</t>
  </si>
  <si>
    <t>とても良くできました。レッスンドイツ語はこれで終了です。</t>
  </si>
  <si>
    <t>レッスン1</t>
  </si>
  <si>
    <t>assets/icons/image144.png</t>
  </si>
  <si>
    <t>鈴木</t>
  </si>
  <si>
    <t>assets/icons/image037.png</t>
  </si>
  <si>
    <t>次の日本語を中国語に訳して答えてね！</t>
  </si>
  <si>
    <t>とても良くできました。レッスン1はこれで終了です。</t>
  </si>
  <si>
    <t>レッスン2</t>
  </si>
  <si>
    <t>レッスン6</t>
  </si>
  <si>
    <t>とても良くできました。レッスン6はこれで終了です。</t>
  </si>
  <si>
    <t>レッスン7</t>
  </si>
  <si>
    <t>まずは対話文を流します。その後に、日本語とを一文ずつ流すのでを真似して下さい。最後に日本語のみを流すので、で答えてください。</t>
  </si>
  <si>
    <t>assets/icons/image021.png</t>
  </si>
  <si>
    <t>次のを真似してね！</t>
  </si>
  <si>
    <t>とても良くできました。レッスン7はこれで終了です。</t>
  </si>
  <si>
    <t>レッスン8</t>
  </si>
  <si>
    <t>とても良くできました。レッスン8はこれで終了です。</t>
  </si>
  <si>
    <t>レッスン9</t>
  </si>
  <si>
    <t>とても良くできました。レッスン9はこれで終了です。</t>
  </si>
  <si>
    <t>レッスン10</t>
  </si>
  <si>
    <t>とても良くできました。レッスン10はこれで終了です。</t>
  </si>
  <si>
    <t>Lektion elf</t>
  </si>
  <si>
    <t>Grüß Gott.</t>
  </si>
  <si>
    <t>Verkäuferin</t>
  </si>
  <si>
    <t>assets/icons/image088.png</t>
    <phoneticPr fontId="1"/>
  </si>
  <si>
    <t>Grüß Gott.</t>
    <phoneticPr fontId="1"/>
  </si>
  <si>
    <t>Ich suche eine Trachtenjacke für meine Frau.</t>
    <phoneticPr fontId="1"/>
  </si>
  <si>
    <t>Welche Größe hat denn Ihre Frau?</t>
    <phoneticPr fontId="1"/>
  </si>
  <si>
    <t>zwei­und­vierzig</t>
    <phoneticPr fontId="1"/>
  </si>
  <si>
    <t>Haben Sie die auch in hellen Farben?</t>
    <phoneticPr fontId="1"/>
  </si>
  <si>
    <t>Ja, hier.</t>
    <phoneticPr fontId="1"/>
  </si>
  <si>
    <t>Was kostet sie?</t>
    <phoneticPr fontId="1"/>
  </si>
  <si>
    <t>1680 Euro.</t>
    <phoneticPr fontId="1"/>
  </si>
  <si>
    <t>Gut, die nehme ich. Ich zahle mit Kreditkarte.</t>
    <phoneticPr fontId="1"/>
  </si>
  <si>
    <t>Danke schön. Kommen Sie bitte hier rüber.</t>
    <phoneticPr fontId="1"/>
  </si>
  <si>
    <t>こんにちは。</t>
  </si>
  <si>
    <t>奥様のサイズは?</t>
    <rPh sb="0" eb="2">
      <t>オクサマ</t>
    </rPh>
    <phoneticPr fontId="1"/>
  </si>
  <si>
    <t>42です。</t>
    <phoneticPr fontId="1"/>
  </si>
  <si>
    <t>Wie finden Sie diese hier?</t>
    <phoneticPr fontId="1"/>
  </si>
  <si>
    <t>Das ist echte Handarbeit.</t>
    <phoneticPr fontId="1"/>
  </si>
  <si>
    <t>明るい色もありますか?</t>
  </si>
  <si>
    <t>こちらはいかがでしょうか?</t>
    <phoneticPr fontId="1"/>
  </si>
  <si>
    <t>これは本物の手作りです。</t>
    <rPh sb="3" eb="5">
      <t>ホンモノ</t>
    </rPh>
    <rPh sb="6" eb="8">
      <t>テヅク</t>
    </rPh>
    <phoneticPr fontId="1"/>
  </si>
  <si>
    <t>はい、こちらです。</t>
    <phoneticPr fontId="1"/>
  </si>
  <si>
    <t>とても良いです。</t>
    <rPh sb="3" eb="4">
      <t>ヨ</t>
    </rPh>
    <phoneticPr fontId="1"/>
  </si>
  <si>
    <t>Sehr schön.</t>
    <phoneticPr fontId="1"/>
  </si>
  <si>
    <t>彼女もきっと気に入ります。</t>
    <rPh sb="6" eb="7">
      <t>キ</t>
    </rPh>
    <rPh sb="8" eb="9">
      <t>イ</t>
    </rPh>
    <phoneticPr fontId="1"/>
  </si>
  <si>
    <t>Die gefällt ihr bestimmt.</t>
    <phoneticPr fontId="1"/>
  </si>
  <si>
    <t>いくらですか。</t>
  </si>
  <si>
    <t>1680ユーロです。</t>
    <phoneticPr fontId="1"/>
  </si>
  <si>
    <t>よし、ではそれをいただきます。クレジットカードで支払います。</t>
    <phoneticPr fontId="1"/>
  </si>
  <si>
    <t>ありがとうございます。どうぞこちらにいらしてください。</t>
    <phoneticPr fontId="1"/>
  </si>
  <si>
    <t>私は妻のための伝統的な上着を探しています。</t>
    <rPh sb="11" eb="13">
      <t>ウワギ</t>
    </rPh>
    <phoneticPr fontId="1"/>
  </si>
  <si>
    <t>Lektion zwölf</t>
    <phoneticPr fontId="1"/>
  </si>
  <si>
    <t>So, ich muss jetzt gehen.</t>
    <phoneticPr fontId="1"/>
  </si>
  <si>
    <t>Heute ist der Geburtstag meiner Schwester und ich muss ihr beim Kochen helfen.</t>
    <phoneticPr fontId="1"/>
  </si>
  <si>
    <t>Wie alt wird sie denn?</t>
  </si>
  <si>
    <t>siebzehn</t>
  </si>
  <si>
    <t>Sie will natürlich mit allen ihren Freunden feiern.</t>
  </si>
  <si>
    <t>Deshalb müssen wir heute viel vorbereiten.</t>
  </si>
  <si>
    <t xml:space="preserve">Schön. </t>
  </si>
  <si>
    <t>Moment, ich kann ihr vielleicht etwas schenken….</t>
    <phoneticPr fontId="1"/>
  </si>
  <si>
    <t>Bitte, das ist für deine Schwester.</t>
  </si>
  <si>
    <t>Briefpapier aus Japan mit Umschlägen.</t>
  </si>
  <si>
    <t>Danke! Das wird sie sicher freuen.</t>
  </si>
  <si>
    <t>さて、私はそろそろ行かなければなりません。</t>
    <phoneticPr fontId="1"/>
  </si>
  <si>
    <t>今日は妹の誕生日で、私は彼女の料理を手伝わなければなりません。</t>
    <phoneticPr fontId="1"/>
  </si>
  <si>
    <t>彼女は何歳になりますか?</t>
  </si>
  <si>
    <t>17です。</t>
    <phoneticPr fontId="1"/>
  </si>
  <si>
    <t>彼女はもちろん、友達のみんなと祝いたいと思っています。</t>
    <phoneticPr fontId="1"/>
  </si>
  <si>
    <t>だから、今日は準備することがたくさんあります。</t>
    <phoneticPr fontId="1"/>
  </si>
  <si>
    <t>よいですね。</t>
    <phoneticPr fontId="1"/>
  </si>
  <si>
    <t>ちょっと待って、彼女にもしかしたら何かをあげられるかも....</t>
    <phoneticPr fontId="1"/>
  </si>
  <si>
    <t>どうぞ、これは妹さんに。</t>
    <phoneticPr fontId="1"/>
  </si>
  <si>
    <t>封筒付きの日本からの便箋です。</t>
    <rPh sb="10" eb="12">
      <t>ビンセン</t>
    </rPh>
    <phoneticPr fontId="1"/>
  </si>
  <si>
    <t>ありがとうございます！きっと喜ぶと思います。</t>
    <phoneticPr fontId="1"/>
  </si>
  <si>
    <t>Lektion dreizehn</t>
    <phoneticPr fontId="1"/>
  </si>
  <si>
    <t xml:space="preserve">Guten Tag, Herr Tanaka. </t>
  </si>
  <si>
    <t>Lange nicht gesehen.</t>
  </si>
  <si>
    <t>Waren Sie verreist?</t>
  </si>
  <si>
    <t>Ja.</t>
  </si>
  <si>
    <t xml:space="preserve"> Ich war eine Woche in Salzburg.</t>
  </si>
  <si>
    <t>Das klingt schön.</t>
  </si>
  <si>
    <t>Was haben Sie dort gemacht?</t>
  </si>
  <si>
    <t>Ich habe meinen Bruder besucht.</t>
    <phoneticPr fontId="1"/>
  </si>
  <si>
    <t>Er ist Patissier und hat ein Geschäft dort.</t>
  </si>
  <si>
    <t>Ach, stimmt.</t>
  </si>
  <si>
    <t>Das haben Sie mir mal erzählt.</t>
  </si>
  <si>
    <t>Sind Sie mit der Bahn gefahren?</t>
  </si>
  <si>
    <t>Nein, mit dem Auto.</t>
  </si>
  <si>
    <t>Wir sind zu dritt gefahren.</t>
  </si>
  <si>
    <t>Frau Weber, ihr Freund und ich.</t>
  </si>
  <si>
    <t>Und hat es Ihnen in Salzburg gefallen?</t>
  </si>
  <si>
    <t>Ja, sehr.</t>
    <phoneticPr fontId="1"/>
  </si>
  <si>
    <t>Ich möchte wieder mal dorthin.</t>
  </si>
  <si>
    <t>お久しぶりです。</t>
  </si>
  <si>
    <t>はい。</t>
  </si>
  <si>
    <t>旅行していたんですか?</t>
    <phoneticPr fontId="1"/>
  </si>
  <si>
    <t>ザルツブルクで一週間過ごしました。</t>
    <phoneticPr fontId="1"/>
  </si>
  <si>
    <t>それはいいですね。</t>
  </si>
  <si>
    <t>そこで何をしていましたか?</t>
    <phoneticPr fontId="1"/>
  </si>
  <si>
    <t>私は弟を訪ねていました。</t>
    <rPh sb="2" eb="3">
      <t>オトウト</t>
    </rPh>
    <phoneticPr fontId="1"/>
  </si>
  <si>
    <t>彼はパティシエで、そこに店を持っています。</t>
    <phoneticPr fontId="1"/>
  </si>
  <si>
    <t>あ、そうですね。</t>
    <phoneticPr fontId="1"/>
  </si>
  <si>
    <t>前にそう言ってました。</t>
    <rPh sb="0" eb="1">
      <t>マエ</t>
    </rPh>
    <phoneticPr fontId="1"/>
  </si>
  <si>
    <t>電車で旅行したんですか?</t>
    <phoneticPr fontId="1"/>
  </si>
  <si>
    <t>いいえ、車で。</t>
  </si>
  <si>
    <t>私たちは3人でした。</t>
    <phoneticPr fontId="1"/>
  </si>
  <si>
    <t>ウェーバーさん、彼女のボーイフレンドと私。</t>
    <phoneticPr fontId="1"/>
  </si>
  <si>
    <t>それで、ザルツブルクは気に入りましたか?</t>
    <rPh sb="11" eb="12">
      <t>キ</t>
    </rPh>
    <rPh sb="13" eb="14">
      <t>イ</t>
    </rPh>
    <phoneticPr fontId="1"/>
  </si>
  <si>
    <t>はい、とても。</t>
  </si>
  <si>
    <t>また行きたいです。</t>
  </si>
  <si>
    <t>Lektion vierzehn</t>
    <phoneticPr fontId="1"/>
  </si>
  <si>
    <t>Mayer</t>
  </si>
  <si>
    <t>assets/icons/image208.png</t>
    <phoneticPr fontId="1"/>
  </si>
  <si>
    <t>Herr Tanaka, waren Sie schon einmal in China?</t>
  </si>
  <si>
    <t>Ja, da war ich zwei Mal.</t>
  </si>
  <si>
    <t xml:space="preserve"> Warum?</t>
  </si>
  <si>
    <t>Meine Tochter heiratet einen Chinesen.</t>
  </si>
  <si>
    <t>Oh, herzlichen Glückwunsch!</t>
  </si>
  <si>
    <t xml:space="preserve">Danke. </t>
  </si>
  <si>
    <t xml:space="preserve">Nun, im Dezember fahren wir zur Hochzeitsfeier nach Peking. </t>
    <phoneticPr fontId="1"/>
  </si>
  <si>
    <t>Aber wie ist es denn so in China?</t>
  </si>
  <si>
    <t>Kommt man da mit Englisch durch?</t>
    <phoneticPr fontId="1"/>
  </si>
  <si>
    <t>Na ja, mit Englisch kann es etwas schwierig sein.</t>
  </si>
  <si>
    <t>Aber Ihre Tochter spricht sicher gut Chinesisch, oder?</t>
  </si>
  <si>
    <t xml:space="preserve">Ja, sie hat Sinologie studiert und hatte damals schon viele Freunde aus China. </t>
    <phoneticPr fontId="1"/>
  </si>
  <si>
    <t xml:space="preserve">Einmal wollte sie uns einen Freund vorstellen und ... </t>
    <phoneticPr fontId="1"/>
  </si>
  <si>
    <t>das war er dann.</t>
  </si>
  <si>
    <t xml:space="preserve">Aha. </t>
  </si>
  <si>
    <t>Da müssen Sie jetzt Chinesisch lernen.</t>
  </si>
  <si>
    <t>田中さんは中国に行ったことはありますか?</t>
  </si>
  <si>
    <t>はい、私は2回いったことがあります。</t>
    <phoneticPr fontId="1"/>
  </si>
  <si>
    <t>なぜですか。</t>
    <phoneticPr fontId="1"/>
  </si>
  <si>
    <t>私の娘が中国人と結婚するのです。</t>
    <phoneticPr fontId="1"/>
  </si>
  <si>
    <t>それは、おめでとうございます!</t>
    <phoneticPr fontId="1"/>
  </si>
  <si>
    <t>ありがとうございます。</t>
    <phoneticPr fontId="1"/>
  </si>
  <si>
    <t>それで、12月に私たちは結婚披露宴のために北京に行くのです。</t>
    <phoneticPr fontId="1"/>
  </si>
  <si>
    <t>しかし、中国はどのような感じですか?</t>
    <rPh sb="12" eb="13">
      <t>カン</t>
    </rPh>
    <phoneticPr fontId="1"/>
  </si>
  <si>
    <t>英語は通じますか?</t>
    <rPh sb="3" eb="4">
      <t>ツウ</t>
    </rPh>
    <phoneticPr fontId="1"/>
  </si>
  <si>
    <t>まあ、英語では少し難しいかもしれません。</t>
  </si>
  <si>
    <t>しかし、あなたの娘さんは中国語を上手に話せますよね？</t>
    <phoneticPr fontId="1"/>
  </si>
  <si>
    <t>はい、彼女は中国学を学び、すでに中国からの多くの友人がいました。</t>
  </si>
  <si>
    <t>その時、彼女は私たちに友人を紹介したいと言いました...</t>
    <rPh sb="2" eb="3">
      <t>トキ</t>
    </rPh>
    <rPh sb="20" eb="21">
      <t>イ</t>
    </rPh>
    <phoneticPr fontId="1"/>
  </si>
  <si>
    <t>それが彼でした。</t>
  </si>
  <si>
    <t>なるほど。</t>
    <phoneticPr fontId="1"/>
  </si>
  <si>
    <t>では、あなたは中国語を学ぶ必要がありますね。</t>
    <phoneticPr fontId="1"/>
  </si>
  <si>
    <t>Lektion fünfzehn</t>
    <phoneticPr fontId="1"/>
  </si>
  <si>
    <t>Andrea, kannst du mir einen Tipp geben?</t>
  </si>
  <si>
    <t>Ja, was ist denn?</t>
  </si>
  <si>
    <t>Wo kann man eigentlich Perücken kaufen?</t>
  </si>
  <si>
    <t xml:space="preserve">Perücken? </t>
  </si>
  <si>
    <t>Du brauchst doch noch keine Perücke!</t>
  </si>
  <si>
    <t xml:space="preserve">Nein, nein! </t>
  </si>
  <si>
    <t>Herr Bauer hat mich zur Faschingsparty eingeladen und ich soll mich da verkleiden.</t>
    <phoneticPr fontId="1"/>
  </si>
  <si>
    <t>Als Samurai.</t>
  </si>
  <si>
    <t xml:space="preserve">Du verkleidest dich als Samurai? </t>
  </si>
  <si>
    <t>Das ist ja witzig.</t>
  </si>
  <si>
    <t>Da kannst du in die Altstadt fahren.</t>
    <phoneticPr fontId="1"/>
  </si>
  <si>
    <t>Dort gibt es einen Laden für Partysachen.</t>
    <phoneticPr fontId="1"/>
  </si>
  <si>
    <t>Ah, ist das in der Wielandstraße?</t>
  </si>
  <si>
    <t xml:space="preserve">Genau. </t>
  </si>
  <si>
    <t>Lass uns heute zusammen dorthin gehen!</t>
  </si>
  <si>
    <t>アンドレア、アドバイスをもらえますか?</t>
    <phoneticPr fontId="1"/>
  </si>
  <si>
    <t>はい、何ですか?</t>
    <phoneticPr fontId="1"/>
  </si>
  <si>
    <t>かつらはどこで買えますか?</t>
    <phoneticPr fontId="1"/>
  </si>
  <si>
    <t>かつら？</t>
    <phoneticPr fontId="1"/>
  </si>
  <si>
    <t>まだかつらは必要ないでしょう!</t>
    <phoneticPr fontId="1"/>
  </si>
  <si>
    <t>いえいえ！</t>
  </si>
  <si>
    <t>バウアーさんが私をカーニバルパーティーに招待しました、そして私に仮装して欲しいと。</t>
    <rPh sb="32" eb="34">
      <t>カソウ</t>
    </rPh>
    <rPh sb="36" eb="37">
      <t>ホ</t>
    </rPh>
    <phoneticPr fontId="1"/>
  </si>
  <si>
    <t>侍として。</t>
  </si>
  <si>
    <t>あなたが侍に扮するの?</t>
    <phoneticPr fontId="1"/>
  </si>
  <si>
    <t>それはおもしろい。</t>
    <phoneticPr fontId="1"/>
  </si>
  <si>
    <t>それなら車で旧市街まで行くと良いです。</t>
    <rPh sb="14" eb="15">
      <t>ヨ</t>
    </rPh>
    <phoneticPr fontId="1"/>
  </si>
  <si>
    <t>パーティー用品のお店があります。</t>
  </si>
  <si>
    <t>ああ、ヴィーラント通りにある?</t>
    <phoneticPr fontId="1"/>
  </si>
  <si>
    <t>その通り。</t>
  </si>
  <si>
    <t>今日一緒に行きましょう!</t>
    <phoneticPr fontId="1"/>
  </si>
  <si>
    <t>Lektion sechzehn</t>
    <phoneticPr fontId="1"/>
  </si>
  <si>
    <t>Hallo, Herr Tanaka!</t>
  </si>
  <si>
    <t>Herr Bauer</t>
    <phoneticPr fontId="1"/>
  </si>
  <si>
    <t>Schön, dass Sie da sind!</t>
  </si>
  <si>
    <t>Bitte, kommen Sie doch rein!</t>
    <phoneticPr fontId="1"/>
  </si>
  <si>
    <t>Vielen Dank noch mal für die Einladung.</t>
  </si>
  <si>
    <t>Herr Tanaka, das ist meine Frau Helga.</t>
  </si>
  <si>
    <t>Freut mich. Stammen Sie aus einer Samurai-Familie?</t>
  </si>
  <si>
    <t>Frau Bauer</t>
    <phoneticPr fontId="1"/>
  </si>
  <si>
    <t>Quatsch!</t>
  </si>
  <si>
    <t>Ich habe ihn gefragt, ob er nicht als Samurai kommen möchte.</t>
    <phoneticPr fontId="1"/>
  </si>
  <si>
    <t>Sie haben aber Recht, Frau Bauer.</t>
  </si>
  <si>
    <t>Mein Ururgroßvater war ein Samurai.</t>
  </si>
  <si>
    <t xml:space="preserve">Ach, wirklich? </t>
  </si>
  <si>
    <t>Nehmen Sie doch Platz und erzählen Sie noch ein bisschen!</t>
    <phoneticPr fontId="1"/>
  </si>
  <si>
    <t>assets/icons/image026.png</t>
    <phoneticPr fontId="1"/>
  </si>
  <si>
    <t>assets/icons/image035.png</t>
    <phoneticPr fontId="1"/>
  </si>
  <si>
    <t>田中さん、こんにちは!</t>
  </si>
  <si>
    <t>来てくれて、うれしいです!</t>
    <rPh sb="0" eb="1">
      <t>キ</t>
    </rPh>
    <phoneticPr fontId="1"/>
  </si>
  <si>
    <t>どうぞ、お入りください!</t>
  </si>
  <si>
    <t>お招きいただき、誠にありがとうございます。</t>
  </si>
  <si>
    <t>田中さん、妻のヘルガです。</t>
  </si>
  <si>
    <t>はじめまして。あなたは武士の家の出身ですか?</t>
    <rPh sb="16" eb="18">
      <t>シュッシン</t>
    </rPh>
    <phoneticPr fontId="1"/>
  </si>
  <si>
    <t>そんな馬鹿な！</t>
    <rPh sb="3" eb="5">
      <t>バカ</t>
    </rPh>
    <phoneticPr fontId="1"/>
  </si>
  <si>
    <t>私が彼に侍として来てほしいとお願いしたんだ。</t>
    <rPh sb="15" eb="16">
      <t>ネガ</t>
    </rPh>
    <phoneticPr fontId="1"/>
  </si>
  <si>
    <t>いや、あなたは正しいです、バウアー夫人。</t>
    <phoneticPr fontId="1"/>
  </si>
  <si>
    <t>私の曽祖父は武士でした。</t>
  </si>
  <si>
    <t>あら、本当に？</t>
    <phoneticPr fontId="1"/>
  </si>
  <si>
    <t>席に着いて、もう少し教えてください!</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</si>
</sst>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3"/>
      <charset val="134"/>
      <scheme val="minor"/>
    </font>
    <font>
      <sz val="11"/>
      <color theme="1"/>
      <name val="ＭＳ Ｐゴシック"/>
      <family val="3"/>
      <charset val="128"/>
      <scheme val="minor"/>
    </font>
    <font>
      <sz val="12"/>
      <color rgb="FFE8EAED"/>
      <name val="Roboto"/>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0" fontId="0" fillId="0" borderId="0" xfId="0" applyAlignment="1">
      <alignment vertical="center" wrapText="1"/>
    </xf>
    <xf numFmtId="0" fontId="0" fillId="0" borderId="0" xfId="0" applyAlignment="1" applyProtection="1">
      <alignment vertical="center" wrapText="1"/>
      <protection locked="0"/>
    </xf>
    <xf numFmtId="0" fontId="2" fillId="0" borderId="0" xfId="0" applyFont="1">
      <alignment vertical="center"/>
    </xf>
    <xf numFmtId="0" fontId="0" fillId="0" borderId="0" xfId="0" applyFont="1" applyAlignment="1">
      <alignment vertical="center" wrapText="1"/>
    </xf>
    <xf numFmtId="0" fontId="4" fillId="0" borderId="0" xfId="0" applyFont="1">
      <alignment vertical="center"/>
    </xf>
    <xf numFmtId="0" fontId="4" fillId="0" borderId="0" xfId="0" applyFont="1" applyAlignment="1">
      <alignment vertical="center" wrapText="1"/>
    </xf>
    <xf numFmtId="0" fontId="0" fillId="0" borderId="0" xfId="0" applyAlignment="1">
      <alignment horizontal="left" vertical="center"/>
    </xf>
  </cellXfs>
  <cellStyles count="1">
    <cellStyle name="標準" xfId="0" builtinId="0"/>
  </cellStyles>
  <dxfs count="10">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594"/>
  <sheetViews>
    <sheetView tabSelected="1" zoomScale="84" zoomScaleNormal="84" workbookViewId="0">
      <selection activeCell="C5" sqref="C5"/>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8" x14ac:dyDescent="0.15">
      <c r="A1" t="s">
        <v>0</v>
      </c>
      <c r="B1" t="s">
        <v>1</v>
      </c>
      <c r="C1" t="s">
        <v>2</v>
      </c>
      <c r="D1" t="s">
        <v>10</v>
      </c>
      <c r="E1" t="s">
        <v>12</v>
      </c>
      <c r="F1" t="s">
        <v>3</v>
      </c>
      <c r="G1" t="s">
        <v>88</v>
      </c>
      <c r="H1" t="s">
        <v>90</v>
      </c>
    </row>
    <row r="2" spans="1:8" x14ac:dyDescent="0.15">
      <c r="A2" t="s">
        <v>27</v>
      </c>
      <c r="B2">
        <v>0</v>
      </c>
      <c r="C2">
        <v>1</v>
      </c>
      <c r="D2">
        <v>1</v>
      </c>
      <c r="E2" t="s">
        <v>319</v>
      </c>
      <c r="F2" s="1" t="s">
        <v>91</v>
      </c>
      <c r="G2" t="s">
        <v>102</v>
      </c>
      <c r="H2" t="s">
        <v>94</v>
      </c>
    </row>
    <row r="3" spans="1:8" x14ac:dyDescent="0.15">
      <c r="A3" t="s">
        <v>27</v>
      </c>
      <c r="B3">
        <v>0</v>
      </c>
      <c r="C3">
        <v>2</v>
      </c>
      <c r="D3">
        <v>1</v>
      </c>
      <c r="E3" t="s">
        <v>319</v>
      </c>
      <c r="F3" s="1" t="s">
        <v>92</v>
      </c>
      <c r="G3" t="s">
        <v>103</v>
      </c>
      <c r="H3" t="s">
        <v>94</v>
      </c>
    </row>
    <row r="4" spans="1:8" x14ac:dyDescent="0.15">
      <c r="A4" t="s">
        <v>27</v>
      </c>
      <c r="B4">
        <v>0</v>
      </c>
      <c r="C4">
        <v>3</v>
      </c>
      <c r="D4">
        <v>1</v>
      </c>
      <c r="E4" t="s">
        <v>319</v>
      </c>
      <c r="F4" t="s">
        <v>89</v>
      </c>
      <c r="G4" t="s">
        <v>320</v>
      </c>
      <c r="H4" t="s">
        <v>94</v>
      </c>
    </row>
    <row r="5" spans="1:8" x14ac:dyDescent="0.15">
      <c r="A5" t="s">
        <v>17</v>
      </c>
      <c r="B5">
        <v>1</v>
      </c>
      <c r="C5">
        <v>1</v>
      </c>
      <c r="D5">
        <v>1</v>
      </c>
      <c r="E5" t="s">
        <v>319</v>
      </c>
      <c r="F5" t="s">
        <v>4</v>
      </c>
      <c r="G5" t="s">
        <v>321</v>
      </c>
      <c r="H5" t="s">
        <v>94</v>
      </c>
    </row>
    <row r="6" spans="1:8" x14ac:dyDescent="0.15">
      <c r="A6" t="s">
        <v>17</v>
      </c>
      <c r="B6">
        <v>1</v>
      </c>
      <c r="C6">
        <v>2</v>
      </c>
      <c r="D6">
        <v>1</v>
      </c>
      <c r="E6" t="s">
        <v>319</v>
      </c>
      <c r="F6" t="s">
        <v>9</v>
      </c>
      <c r="G6" t="s">
        <v>321</v>
      </c>
      <c r="H6" t="s">
        <v>94</v>
      </c>
    </row>
    <row r="7" spans="1:8" ht="40.5" x14ac:dyDescent="0.15">
      <c r="A7" t="s">
        <v>17</v>
      </c>
      <c r="B7">
        <v>1</v>
      </c>
      <c r="C7">
        <v>3</v>
      </c>
      <c r="D7">
        <v>1</v>
      </c>
      <c r="E7" t="s">
        <v>319</v>
      </c>
      <c r="F7" s="1" t="s">
        <v>322</v>
      </c>
      <c r="G7" t="s">
        <v>321</v>
      </c>
      <c r="H7" t="s">
        <v>94</v>
      </c>
    </row>
    <row r="8" spans="1:8" x14ac:dyDescent="0.15">
      <c r="A8" t="s">
        <v>17</v>
      </c>
      <c r="B8">
        <v>1</v>
      </c>
      <c r="C8">
        <v>4</v>
      </c>
      <c r="D8">
        <v>2</v>
      </c>
      <c r="E8" t="s">
        <v>323</v>
      </c>
      <c r="F8" t="s">
        <v>18</v>
      </c>
      <c r="G8" t="s">
        <v>321</v>
      </c>
      <c r="H8" t="s">
        <v>95</v>
      </c>
    </row>
    <row r="9" spans="1:8" x14ac:dyDescent="0.15">
      <c r="A9" t="s">
        <v>17</v>
      </c>
      <c r="B9">
        <v>1</v>
      </c>
      <c r="C9">
        <v>5</v>
      </c>
      <c r="D9">
        <v>2</v>
      </c>
      <c r="E9" t="s">
        <v>323</v>
      </c>
      <c r="F9" t="s">
        <v>15</v>
      </c>
      <c r="G9" t="s">
        <v>321</v>
      </c>
      <c r="H9" t="s">
        <v>95</v>
      </c>
    </row>
    <row r="10" spans="1:8" x14ac:dyDescent="0.15">
      <c r="A10" t="s">
        <v>17</v>
      </c>
      <c r="B10">
        <v>1</v>
      </c>
      <c r="C10">
        <v>6</v>
      </c>
      <c r="D10">
        <v>3</v>
      </c>
      <c r="E10" t="s">
        <v>324</v>
      </c>
      <c r="F10" t="s">
        <v>19</v>
      </c>
      <c r="G10" t="s">
        <v>321</v>
      </c>
      <c r="H10" t="s">
        <v>96</v>
      </c>
    </row>
    <row r="11" spans="1:8" x14ac:dyDescent="0.15">
      <c r="A11" t="s">
        <v>17</v>
      </c>
      <c r="B11">
        <v>1</v>
      </c>
      <c r="C11">
        <v>7</v>
      </c>
      <c r="D11">
        <v>3</v>
      </c>
      <c r="E11" t="s">
        <v>324</v>
      </c>
      <c r="F11" t="s">
        <v>11</v>
      </c>
      <c r="G11" t="s">
        <v>321</v>
      </c>
      <c r="H11" t="s">
        <v>96</v>
      </c>
    </row>
    <row r="12" spans="1:8" x14ac:dyDescent="0.15">
      <c r="A12" t="s">
        <v>17</v>
      </c>
      <c r="B12">
        <v>1</v>
      </c>
      <c r="C12">
        <v>8</v>
      </c>
      <c r="D12">
        <v>3</v>
      </c>
      <c r="E12" t="s">
        <v>324</v>
      </c>
      <c r="F12" t="s">
        <v>20</v>
      </c>
      <c r="G12" t="s">
        <v>321</v>
      </c>
      <c r="H12" t="s">
        <v>96</v>
      </c>
    </row>
    <row r="13" spans="1:8" x14ac:dyDescent="0.15">
      <c r="A13" t="s">
        <v>17</v>
      </c>
      <c r="B13">
        <v>1</v>
      </c>
      <c r="C13">
        <v>9</v>
      </c>
      <c r="D13">
        <v>3</v>
      </c>
      <c r="E13" t="s">
        <v>324</v>
      </c>
      <c r="F13" t="s">
        <v>5</v>
      </c>
      <c r="G13" t="s">
        <v>321</v>
      </c>
      <c r="H13" t="s">
        <v>96</v>
      </c>
    </row>
    <row r="14" spans="1:8" x14ac:dyDescent="0.15">
      <c r="A14" t="s">
        <v>17</v>
      </c>
      <c r="B14">
        <v>1</v>
      </c>
      <c r="C14">
        <v>10</v>
      </c>
      <c r="D14">
        <v>2</v>
      </c>
      <c r="E14" t="s">
        <v>323</v>
      </c>
      <c r="F14" t="s">
        <v>21</v>
      </c>
      <c r="G14" t="s">
        <v>321</v>
      </c>
      <c r="H14" t="s">
        <v>95</v>
      </c>
    </row>
    <row r="15" spans="1:8" x14ac:dyDescent="0.15">
      <c r="A15" t="s">
        <v>17</v>
      </c>
      <c r="B15">
        <v>1</v>
      </c>
      <c r="C15">
        <v>11</v>
      </c>
      <c r="D15">
        <v>2</v>
      </c>
      <c r="E15" t="s">
        <v>323</v>
      </c>
      <c r="F15" t="s">
        <v>6</v>
      </c>
      <c r="G15" t="s">
        <v>321</v>
      </c>
      <c r="H15" t="s">
        <v>95</v>
      </c>
    </row>
    <row r="16" spans="1:8" x14ac:dyDescent="0.15">
      <c r="A16" t="s">
        <v>17</v>
      </c>
      <c r="B16">
        <v>1</v>
      </c>
      <c r="C16">
        <v>12</v>
      </c>
      <c r="D16">
        <v>3</v>
      </c>
      <c r="E16" t="s">
        <v>324</v>
      </c>
      <c r="F16" t="s">
        <v>312</v>
      </c>
      <c r="G16" t="s">
        <v>321</v>
      </c>
      <c r="H16" t="s">
        <v>96</v>
      </c>
    </row>
    <row r="17" spans="1:8" x14ac:dyDescent="0.15">
      <c r="A17" t="s">
        <v>17</v>
      </c>
      <c r="B17">
        <v>1</v>
      </c>
      <c r="C17">
        <v>13</v>
      </c>
      <c r="D17">
        <v>3</v>
      </c>
      <c r="E17" t="s">
        <v>324</v>
      </c>
      <c r="F17" t="s">
        <v>22</v>
      </c>
      <c r="G17" t="s">
        <v>321</v>
      </c>
      <c r="H17" t="s">
        <v>96</v>
      </c>
    </row>
    <row r="18" spans="1:8" x14ac:dyDescent="0.15">
      <c r="A18" t="s">
        <v>17</v>
      </c>
      <c r="B18">
        <v>1</v>
      </c>
      <c r="C18">
        <v>14</v>
      </c>
      <c r="D18">
        <v>3</v>
      </c>
      <c r="E18" t="s">
        <v>324</v>
      </c>
      <c r="F18" t="s">
        <v>23</v>
      </c>
      <c r="G18" t="s">
        <v>321</v>
      </c>
      <c r="H18" t="s">
        <v>96</v>
      </c>
    </row>
    <row r="19" spans="1:8" x14ac:dyDescent="0.15">
      <c r="A19" t="s">
        <v>17</v>
      </c>
      <c r="B19">
        <v>1</v>
      </c>
      <c r="C19">
        <v>15</v>
      </c>
      <c r="D19">
        <v>3</v>
      </c>
      <c r="E19" t="s">
        <v>324</v>
      </c>
      <c r="F19" t="s">
        <v>7</v>
      </c>
      <c r="G19" t="s">
        <v>321</v>
      </c>
      <c r="H19" t="s">
        <v>96</v>
      </c>
    </row>
    <row r="20" spans="1:8" x14ac:dyDescent="0.15">
      <c r="A20" t="s">
        <v>17</v>
      </c>
      <c r="B20">
        <v>1</v>
      </c>
      <c r="C20">
        <v>16</v>
      </c>
      <c r="D20">
        <v>2</v>
      </c>
      <c r="E20" t="s">
        <v>323</v>
      </c>
      <c r="F20" t="s">
        <v>24</v>
      </c>
      <c r="G20" t="s">
        <v>321</v>
      </c>
      <c r="H20" t="s">
        <v>95</v>
      </c>
    </row>
    <row r="21" spans="1:8" x14ac:dyDescent="0.15">
      <c r="A21" t="s">
        <v>17</v>
      </c>
      <c r="B21">
        <v>1</v>
      </c>
      <c r="C21">
        <v>17</v>
      </c>
      <c r="D21">
        <v>2</v>
      </c>
      <c r="E21" t="s">
        <v>323</v>
      </c>
      <c r="F21" t="s">
        <v>8</v>
      </c>
      <c r="G21" t="s">
        <v>321</v>
      </c>
      <c r="H21" t="s">
        <v>95</v>
      </c>
    </row>
    <row r="22" spans="1:8" x14ac:dyDescent="0.15">
      <c r="A22" t="s">
        <v>17</v>
      </c>
      <c r="B22">
        <v>1</v>
      </c>
      <c r="C22">
        <v>18</v>
      </c>
      <c r="D22">
        <v>1</v>
      </c>
      <c r="E22" t="s">
        <v>319</v>
      </c>
      <c r="F22" t="s">
        <v>325</v>
      </c>
      <c r="G22" t="s">
        <v>321</v>
      </c>
      <c r="H22" t="s">
        <v>94</v>
      </c>
    </row>
    <row r="23" spans="1:8" x14ac:dyDescent="0.15">
      <c r="A23" t="s">
        <v>17</v>
      </c>
      <c r="B23">
        <v>1</v>
      </c>
      <c r="C23">
        <v>19</v>
      </c>
      <c r="D23">
        <v>2</v>
      </c>
      <c r="E23" t="s">
        <v>323</v>
      </c>
      <c r="F23" t="s">
        <v>18</v>
      </c>
      <c r="G23" t="s">
        <v>321</v>
      </c>
      <c r="H23" t="s">
        <v>95</v>
      </c>
    </row>
    <row r="24" spans="1:8" x14ac:dyDescent="0.15">
      <c r="A24" t="s">
        <v>17</v>
      </c>
      <c r="B24">
        <v>1</v>
      </c>
      <c r="C24">
        <v>20</v>
      </c>
      <c r="D24">
        <v>2</v>
      </c>
      <c r="E24" t="s">
        <v>323</v>
      </c>
      <c r="F24" t="s">
        <v>15</v>
      </c>
      <c r="G24" t="s">
        <v>321</v>
      </c>
      <c r="H24" t="s">
        <v>95</v>
      </c>
    </row>
    <row r="25" spans="1:8" x14ac:dyDescent="0.15">
      <c r="A25" t="s">
        <v>17</v>
      </c>
      <c r="B25">
        <v>1</v>
      </c>
      <c r="C25">
        <v>21</v>
      </c>
      <c r="D25">
        <v>0</v>
      </c>
      <c r="E25" t="s">
        <v>326</v>
      </c>
      <c r="F25" t="s">
        <v>15</v>
      </c>
      <c r="G25" t="s">
        <v>327</v>
      </c>
      <c r="H25" t="s">
        <v>93</v>
      </c>
    </row>
    <row r="26" spans="1:8" x14ac:dyDescent="0.15">
      <c r="A26" t="s">
        <v>17</v>
      </c>
      <c r="B26">
        <v>1</v>
      </c>
      <c r="C26">
        <v>22</v>
      </c>
      <c r="D26">
        <v>3</v>
      </c>
      <c r="E26" t="s">
        <v>324</v>
      </c>
      <c r="F26" t="s">
        <v>19</v>
      </c>
      <c r="G26" t="s">
        <v>321</v>
      </c>
      <c r="H26" t="s">
        <v>96</v>
      </c>
    </row>
    <row r="27" spans="1:8" x14ac:dyDescent="0.15">
      <c r="A27" t="s">
        <v>17</v>
      </c>
      <c r="B27">
        <v>1</v>
      </c>
      <c r="C27">
        <v>23</v>
      </c>
      <c r="D27">
        <v>3</v>
      </c>
      <c r="E27" t="s">
        <v>324</v>
      </c>
      <c r="F27" t="s">
        <v>11</v>
      </c>
      <c r="G27" t="s">
        <v>321</v>
      </c>
      <c r="H27" t="s">
        <v>96</v>
      </c>
    </row>
    <row r="28" spans="1:8" x14ac:dyDescent="0.15">
      <c r="A28" t="s">
        <v>17</v>
      </c>
      <c r="B28">
        <v>1</v>
      </c>
      <c r="C28">
        <v>24</v>
      </c>
      <c r="D28">
        <v>0</v>
      </c>
      <c r="E28" t="s">
        <v>326</v>
      </c>
      <c r="F28" t="s">
        <v>11</v>
      </c>
      <c r="G28" t="s">
        <v>327</v>
      </c>
      <c r="H28" t="s">
        <v>93</v>
      </c>
    </row>
    <row r="29" spans="1:8" x14ac:dyDescent="0.15">
      <c r="A29" t="s">
        <v>17</v>
      </c>
      <c r="B29">
        <v>1</v>
      </c>
      <c r="C29">
        <v>25</v>
      </c>
      <c r="D29">
        <v>3</v>
      </c>
      <c r="E29" t="s">
        <v>324</v>
      </c>
      <c r="F29" t="s">
        <v>20</v>
      </c>
      <c r="G29" t="s">
        <v>321</v>
      </c>
      <c r="H29" t="s">
        <v>96</v>
      </c>
    </row>
    <row r="30" spans="1:8" x14ac:dyDescent="0.15">
      <c r="A30" t="s">
        <v>17</v>
      </c>
      <c r="B30">
        <v>1</v>
      </c>
      <c r="C30">
        <v>26</v>
      </c>
      <c r="D30">
        <v>3</v>
      </c>
      <c r="E30" t="s">
        <v>324</v>
      </c>
      <c r="F30" t="s">
        <v>5</v>
      </c>
      <c r="G30" t="s">
        <v>321</v>
      </c>
      <c r="H30" t="s">
        <v>96</v>
      </c>
    </row>
    <row r="31" spans="1:8" x14ac:dyDescent="0.15">
      <c r="A31" t="s">
        <v>17</v>
      </c>
      <c r="B31">
        <v>1</v>
      </c>
      <c r="C31">
        <v>27</v>
      </c>
      <c r="D31">
        <v>0</v>
      </c>
      <c r="E31" t="s">
        <v>326</v>
      </c>
      <c r="F31" t="s">
        <v>5</v>
      </c>
      <c r="G31" t="s">
        <v>327</v>
      </c>
      <c r="H31" t="s">
        <v>93</v>
      </c>
    </row>
    <row r="32" spans="1:8" x14ac:dyDescent="0.15">
      <c r="A32" t="s">
        <v>17</v>
      </c>
      <c r="B32">
        <v>1</v>
      </c>
      <c r="C32">
        <v>28</v>
      </c>
      <c r="D32">
        <v>2</v>
      </c>
      <c r="E32" t="s">
        <v>323</v>
      </c>
      <c r="F32" t="s">
        <v>21</v>
      </c>
      <c r="G32" t="s">
        <v>321</v>
      </c>
      <c r="H32" t="s">
        <v>95</v>
      </c>
    </row>
    <row r="33" spans="1:8" x14ac:dyDescent="0.15">
      <c r="A33" t="s">
        <v>17</v>
      </c>
      <c r="B33">
        <v>1</v>
      </c>
      <c r="C33">
        <v>29</v>
      </c>
      <c r="D33">
        <v>2</v>
      </c>
      <c r="E33" t="s">
        <v>323</v>
      </c>
      <c r="F33" t="s">
        <v>6</v>
      </c>
      <c r="G33" t="s">
        <v>321</v>
      </c>
      <c r="H33" t="s">
        <v>95</v>
      </c>
    </row>
    <row r="34" spans="1:8" x14ac:dyDescent="0.15">
      <c r="A34" t="s">
        <v>17</v>
      </c>
      <c r="B34">
        <v>1</v>
      </c>
      <c r="C34">
        <v>30</v>
      </c>
      <c r="D34">
        <v>0</v>
      </c>
      <c r="E34" t="s">
        <v>326</v>
      </c>
      <c r="F34" t="s">
        <v>6</v>
      </c>
      <c r="G34" t="s">
        <v>327</v>
      </c>
      <c r="H34" t="s">
        <v>93</v>
      </c>
    </row>
    <row r="35" spans="1:8" x14ac:dyDescent="0.15">
      <c r="A35" t="s">
        <v>17</v>
      </c>
      <c r="B35">
        <v>1</v>
      </c>
      <c r="C35">
        <v>31</v>
      </c>
      <c r="D35">
        <v>3</v>
      </c>
      <c r="E35" t="s">
        <v>324</v>
      </c>
      <c r="F35" t="s">
        <v>312</v>
      </c>
      <c r="G35" t="s">
        <v>321</v>
      </c>
      <c r="H35" t="s">
        <v>96</v>
      </c>
    </row>
    <row r="36" spans="1:8" x14ac:dyDescent="0.15">
      <c r="A36" t="s">
        <v>17</v>
      </c>
      <c r="B36">
        <v>1</v>
      </c>
      <c r="C36">
        <v>32</v>
      </c>
      <c r="D36">
        <v>3</v>
      </c>
      <c r="E36" t="s">
        <v>324</v>
      </c>
      <c r="F36" t="s">
        <v>22</v>
      </c>
      <c r="G36" t="s">
        <v>321</v>
      </c>
      <c r="H36" t="s">
        <v>96</v>
      </c>
    </row>
    <row r="37" spans="1:8" x14ac:dyDescent="0.15">
      <c r="A37" t="s">
        <v>17</v>
      </c>
      <c r="B37">
        <v>1</v>
      </c>
      <c r="C37">
        <v>33</v>
      </c>
      <c r="D37">
        <v>0</v>
      </c>
      <c r="E37" t="s">
        <v>326</v>
      </c>
      <c r="F37" t="s">
        <v>22</v>
      </c>
      <c r="G37" t="s">
        <v>327</v>
      </c>
      <c r="H37" t="s">
        <v>93</v>
      </c>
    </row>
    <row r="38" spans="1:8" x14ac:dyDescent="0.15">
      <c r="A38" t="s">
        <v>17</v>
      </c>
      <c r="B38">
        <v>1</v>
      </c>
      <c r="C38">
        <v>34</v>
      </c>
      <c r="D38">
        <v>3</v>
      </c>
      <c r="E38" t="s">
        <v>324</v>
      </c>
      <c r="F38" t="s">
        <v>23</v>
      </c>
      <c r="G38" t="s">
        <v>321</v>
      </c>
      <c r="H38" t="s">
        <v>96</v>
      </c>
    </row>
    <row r="39" spans="1:8" x14ac:dyDescent="0.15">
      <c r="A39" t="s">
        <v>17</v>
      </c>
      <c r="B39">
        <v>1</v>
      </c>
      <c r="C39">
        <v>35</v>
      </c>
      <c r="D39">
        <v>3</v>
      </c>
      <c r="E39" t="s">
        <v>324</v>
      </c>
      <c r="F39" t="s">
        <v>7</v>
      </c>
      <c r="G39" t="s">
        <v>321</v>
      </c>
      <c r="H39" t="s">
        <v>96</v>
      </c>
    </row>
    <row r="40" spans="1:8" x14ac:dyDescent="0.15">
      <c r="A40" t="s">
        <v>17</v>
      </c>
      <c r="B40">
        <v>1</v>
      </c>
      <c r="C40">
        <v>36</v>
      </c>
      <c r="D40">
        <v>0</v>
      </c>
      <c r="E40" t="s">
        <v>326</v>
      </c>
      <c r="F40" t="s">
        <v>7</v>
      </c>
      <c r="G40" t="s">
        <v>327</v>
      </c>
      <c r="H40" t="s">
        <v>93</v>
      </c>
    </row>
    <row r="41" spans="1:8" x14ac:dyDescent="0.15">
      <c r="A41" t="s">
        <v>17</v>
      </c>
      <c r="B41">
        <v>1</v>
      </c>
      <c r="C41">
        <v>37</v>
      </c>
      <c r="D41">
        <v>2</v>
      </c>
      <c r="E41" t="s">
        <v>323</v>
      </c>
      <c r="F41" t="s">
        <v>24</v>
      </c>
      <c r="G41" t="s">
        <v>321</v>
      </c>
      <c r="H41" t="s">
        <v>95</v>
      </c>
    </row>
    <row r="42" spans="1:8" x14ac:dyDescent="0.15">
      <c r="A42" t="s">
        <v>17</v>
      </c>
      <c r="B42">
        <v>1</v>
      </c>
      <c r="C42">
        <v>38</v>
      </c>
      <c r="D42">
        <v>2</v>
      </c>
      <c r="E42" t="s">
        <v>323</v>
      </c>
      <c r="F42" t="s">
        <v>8</v>
      </c>
      <c r="G42" t="s">
        <v>321</v>
      </c>
      <c r="H42" t="s">
        <v>95</v>
      </c>
    </row>
    <row r="43" spans="1:8" x14ac:dyDescent="0.15">
      <c r="A43" t="s">
        <v>17</v>
      </c>
      <c r="B43">
        <v>1</v>
      </c>
      <c r="C43">
        <v>39</v>
      </c>
      <c r="D43">
        <v>0</v>
      </c>
      <c r="E43" t="s">
        <v>326</v>
      </c>
      <c r="F43" t="s">
        <v>8</v>
      </c>
      <c r="G43" t="s">
        <v>327</v>
      </c>
      <c r="H43" t="s">
        <v>93</v>
      </c>
    </row>
    <row r="44" spans="1:8" x14ac:dyDescent="0.15">
      <c r="A44" t="s">
        <v>17</v>
      </c>
      <c r="B44">
        <v>1</v>
      </c>
      <c r="C44">
        <v>40</v>
      </c>
      <c r="D44">
        <v>1</v>
      </c>
      <c r="E44" t="s">
        <v>319</v>
      </c>
      <c r="F44" t="s">
        <v>328</v>
      </c>
      <c r="G44" t="s">
        <v>321</v>
      </c>
      <c r="H44" t="s">
        <v>94</v>
      </c>
    </row>
    <row r="45" spans="1:8" x14ac:dyDescent="0.15">
      <c r="A45" t="s">
        <v>17</v>
      </c>
      <c r="B45">
        <v>1</v>
      </c>
      <c r="C45">
        <v>41</v>
      </c>
      <c r="D45">
        <v>2</v>
      </c>
      <c r="E45" t="s">
        <v>323</v>
      </c>
      <c r="F45" t="s">
        <v>18</v>
      </c>
      <c r="G45" t="s">
        <v>321</v>
      </c>
      <c r="H45" t="s">
        <v>95</v>
      </c>
    </row>
    <row r="46" spans="1:8" x14ac:dyDescent="0.15">
      <c r="A46" t="s">
        <v>17</v>
      </c>
      <c r="B46">
        <v>1</v>
      </c>
      <c r="C46">
        <v>42</v>
      </c>
      <c r="D46">
        <v>0</v>
      </c>
      <c r="E46" t="s">
        <v>326</v>
      </c>
      <c r="F46" t="s">
        <v>15</v>
      </c>
      <c r="G46" t="s">
        <v>327</v>
      </c>
      <c r="H46" t="s">
        <v>93</v>
      </c>
    </row>
    <row r="47" spans="1:8" x14ac:dyDescent="0.15">
      <c r="A47" t="s">
        <v>17</v>
      </c>
      <c r="B47">
        <v>1</v>
      </c>
      <c r="C47">
        <v>43</v>
      </c>
      <c r="D47">
        <v>3</v>
      </c>
      <c r="E47" t="s">
        <v>324</v>
      </c>
      <c r="F47" t="s">
        <v>19</v>
      </c>
      <c r="G47" t="s">
        <v>321</v>
      </c>
      <c r="H47" t="s">
        <v>96</v>
      </c>
    </row>
    <row r="48" spans="1:8" x14ac:dyDescent="0.15">
      <c r="A48" t="s">
        <v>17</v>
      </c>
      <c r="B48">
        <v>1</v>
      </c>
      <c r="C48">
        <v>44</v>
      </c>
      <c r="D48">
        <v>0</v>
      </c>
      <c r="E48" t="s">
        <v>326</v>
      </c>
      <c r="F48" t="s">
        <v>11</v>
      </c>
      <c r="G48" t="s">
        <v>327</v>
      </c>
      <c r="H48" t="s">
        <v>93</v>
      </c>
    </row>
    <row r="49" spans="1:8" x14ac:dyDescent="0.15">
      <c r="A49" t="s">
        <v>17</v>
      </c>
      <c r="B49">
        <v>1</v>
      </c>
      <c r="C49">
        <v>45</v>
      </c>
      <c r="D49">
        <v>3</v>
      </c>
      <c r="E49" t="s">
        <v>324</v>
      </c>
      <c r="F49" t="s">
        <v>20</v>
      </c>
      <c r="G49" t="s">
        <v>321</v>
      </c>
      <c r="H49" t="s">
        <v>96</v>
      </c>
    </row>
    <row r="50" spans="1:8" x14ac:dyDescent="0.15">
      <c r="A50" t="s">
        <v>17</v>
      </c>
      <c r="B50">
        <v>1</v>
      </c>
      <c r="C50">
        <v>46</v>
      </c>
      <c r="D50">
        <v>0</v>
      </c>
      <c r="E50" t="s">
        <v>326</v>
      </c>
      <c r="F50" t="s">
        <v>5</v>
      </c>
      <c r="G50" t="s">
        <v>327</v>
      </c>
      <c r="H50" t="s">
        <v>93</v>
      </c>
    </row>
    <row r="51" spans="1:8" x14ac:dyDescent="0.15">
      <c r="A51" t="s">
        <v>17</v>
      </c>
      <c r="B51">
        <v>1</v>
      </c>
      <c r="C51">
        <v>47</v>
      </c>
      <c r="D51">
        <v>2</v>
      </c>
      <c r="E51" t="s">
        <v>323</v>
      </c>
      <c r="F51" t="s">
        <v>21</v>
      </c>
      <c r="G51" t="s">
        <v>321</v>
      </c>
      <c r="H51" t="s">
        <v>95</v>
      </c>
    </row>
    <row r="52" spans="1:8" x14ac:dyDescent="0.15">
      <c r="A52" t="s">
        <v>17</v>
      </c>
      <c r="B52">
        <v>1</v>
      </c>
      <c r="C52">
        <v>48</v>
      </c>
      <c r="D52">
        <v>0</v>
      </c>
      <c r="E52" t="s">
        <v>326</v>
      </c>
      <c r="F52" t="s">
        <v>6</v>
      </c>
      <c r="G52" t="s">
        <v>327</v>
      </c>
      <c r="H52" t="s">
        <v>93</v>
      </c>
    </row>
    <row r="53" spans="1:8" x14ac:dyDescent="0.15">
      <c r="A53" t="s">
        <v>17</v>
      </c>
      <c r="B53">
        <v>1</v>
      </c>
      <c r="C53">
        <v>49</v>
      </c>
      <c r="D53">
        <v>3</v>
      </c>
      <c r="E53" t="s">
        <v>324</v>
      </c>
      <c r="F53" t="s">
        <v>312</v>
      </c>
      <c r="G53" t="s">
        <v>321</v>
      </c>
      <c r="H53" t="s">
        <v>96</v>
      </c>
    </row>
    <row r="54" spans="1:8" x14ac:dyDescent="0.15">
      <c r="A54" t="s">
        <v>17</v>
      </c>
      <c r="B54">
        <v>1</v>
      </c>
      <c r="C54">
        <v>50</v>
      </c>
      <c r="D54">
        <v>0</v>
      </c>
      <c r="E54" t="s">
        <v>326</v>
      </c>
      <c r="F54" t="s">
        <v>22</v>
      </c>
      <c r="G54" t="s">
        <v>327</v>
      </c>
      <c r="H54" t="s">
        <v>93</v>
      </c>
    </row>
    <row r="55" spans="1:8" x14ac:dyDescent="0.15">
      <c r="A55" t="s">
        <v>17</v>
      </c>
      <c r="B55">
        <v>1</v>
      </c>
      <c r="C55">
        <v>51</v>
      </c>
      <c r="D55">
        <v>3</v>
      </c>
      <c r="E55" t="s">
        <v>324</v>
      </c>
      <c r="F55" t="s">
        <v>23</v>
      </c>
      <c r="G55" t="s">
        <v>321</v>
      </c>
      <c r="H55" t="s">
        <v>96</v>
      </c>
    </row>
    <row r="56" spans="1:8" x14ac:dyDescent="0.15">
      <c r="A56" t="s">
        <v>17</v>
      </c>
      <c r="B56">
        <v>1</v>
      </c>
      <c r="C56">
        <v>52</v>
      </c>
      <c r="D56">
        <v>0</v>
      </c>
      <c r="E56" t="s">
        <v>326</v>
      </c>
      <c r="F56" t="s">
        <v>7</v>
      </c>
      <c r="G56" t="s">
        <v>327</v>
      </c>
      <c r="H56" t="s">
        <v>93</v>
      </c>
    </row>
    <row r="57" spans="1:8" x14ac:dyDescent="0.15">
      <c r="A57" t="s">
        <v>17</v>
      </c>
      <c r="B57">
        <v>1</v>
      </c>
      <c r="C57">
        <v>53</v>
      </c>
      <c r="D57">
        <v>2</v>
      </c>
      <c r="E57" t="s">
        <v>323</v>
      </c>
      <c r="F57" t="s">
        <v>24</v>
      </c>
      <c r="G57" t="s">
        <v>321</v>
      </c>
      <c r="H57" t="s">
        <v>95</v>
      </c>
    </row>
    <row r="58" spans="1:8" x14ac:dyDescent="0.15">
      <c r="A58" t="s">
        <v>17</v>
      </c>
      <c r="B58">
        <v>1</v>
      </c>
      <c r="C58">
        <v>54</v>
      </c>
      <c r="D58">
        <v>0</v>
      </c>
      <c r="E58" t="s">
        <v>326</v>
      </c>
      <c r="F58" t="s">
        <v>8</v>
      </c>
      <c r="G58" t="s">
        <v>327</v>
      </c>
      <c r="H58" t="s">
        <v>93</v>
      </c>
    </row>
    <row r="59" spans="1:8" x14ac:dyDescent="0.15">
      <c r="A59" t="s">
        <v>17</v>
      </c>
      <c r="B59">
        <v>1</v>
      </c>
      <c r="C59">
        <v>55</v>
      </c>
      <c r="D59">
        <v>1</v>
      </c>
      <c r="E59" t="s">
        <v>319</v>
      </c>
      <c r="F59" t="s">
        <v>26</v>
      </c>
      <c r="G59" t="s">
        <v>320</v>
      </c>
      <c r="H59" t="s">
        <v>94</v>
      </c>
    </row>
    <row r="60" spans="1:8" x14ac:dyDescent="0.15">
      <c r="A60" t="s">
        <v>17</v>
      </c>
      <c r="B60">
        <v>2</v>
      </c>
      <c r="C60">
        <v>1</v>
      </c>
      <c r="D60">
        <v>1</v>
      </c>
      <c r="E60" t="s">
        <v>319</v>
      </c>
      <c r="F60" t="s">
        <v>28</v>
      </c>
      <c r="G60" t="s">
        <v>321</v>
      </c>
      <c r="H60" t="s">
        <v>94</v>
      </c>
    </row>
    <row r="61" spans="1:8" x14ac:dyDescent="0.15">
      <c r="A61" t="s">
        <v>17</v>
      </c>
      <c r="B61">
        <v>2</v>
      </c>
      <c r="C61">
        <v>2</v>
      </c>
      <c r="D61">
        <v>1</v>
      </c>
      <c r="E61" t="s">
        <v>319</v>
      </c>
      <c r="F61" t="s">
        <v>33</v>
      </c>
      <c r="G61" t="s">
        <v>321</v>
      </c>
      <c r="H61" t="s">
        <v>94</v>
      </c>
    </row>
    <row r="62" spans="1:8" ht="40.5" x14ac:dyDescent="0.15">
      <c r="A62" t="s">
        <v>17</v>
      </c>
      <c r="B62">
        <v>2</v>
      </c>
      <c r="C62">
        <v>3</v>
      </c>
      <c r="D62">
        <v>1</v>
      </c>
      <c r="E62" t="s">
        <v>319</v>
      </c>
      <c r="F62" s="1" t="s">
        <v>322</v>
      </c>
      <c r="G62" t="s">
        <v>321</v>
      </c>
      <c r="H62" t="s">
        <v>94</v>
      </c>
    </row>
    <row r="63" spans="1:8" x14ac:dyDescent="0.15">
      <c r="A63" t="s">
        <v>17</v>
      </c>
      <c r="B63">
        <v>2</v>
      </c>
      <c r="C63">
        <v>4</v>
      </c>
      <c r="D63">
        <v>2</v>
      </c>
      <c r="E63" t="s">
        <v>323</v>
      </c>
      <c r="F63" t="s">
        <v>35</v>
      </c>
      <c r="G63" t="s">
        <v>321</v>
      </c>
      <c r="H63" t="s">
        <v>95</v>
      </c>
    </row>
    <row r="64" spans="1:8" x14ac:dyDescent="0.15">
      <c r="A64" t="s">
        <v>17</v>
      </c>
      <c r="B64">
        <v>2</v>
      </c>
      <c r="C64">
        <v>5</v>
      </c>
      <c r="D64">
        <v>2</v>
      </c>
      <c r="E64" t="s">
        <v>323</v>
      </c>
      <c r="F64" t="s">
        <v>34</v>
      </c>
      <c r="G64" t="s">
        <v>321</v>
      </c>
      <c r="H64" t="s">
        <v>95</v>
      </c>
    </row>
    <row r="65" spans="1:8" x14ac:dyDescent="0.15">
      <c r="A65" t="s">
        <v>17</v>
      </c>
      <c r="B65">
        <v>2</v>
      </c>
      <c r="C65">
        <v>6</v>
      </c>
      <c r="D65">
        <v>4</v>
      </c>
      <c r="E65" t="s">
        <v>38</v>
      </c>
      <c r="F65" t="s">
        <v>36</v>
      </c>
      <c r="G65" t="s">
        <v>321</v>
      </c>
      <c r="H65" t="s">
        <v>97</v>
      </c>
    </row>
    <row r="66" spans="1:8" x14ac:dyDescent="0.15">
      <c r="A66" t="s">
        <v>17</v>
      </c>
      <c r="B66">
        <v>2</v>
      </c>
      <c r="C66">
        <v>7</v>
      </c>
      <c r="D66">
        <v>4</v>
      </c>
      <c r="E66" t="s">
        <v>38</v>
      </c>
      <c r="F66" t="s">
        <v>37</v>
      </c>
      <c r="G66" t="s">
        <v>321</v>
      </c>
      <c r="H66" t="s">
        <v>97</v>
      </c>
    </row>
    <row r="67" spans="1:8" x14ac:dyDescent="0.15">
      <c r="A67" t="s">
        <v>17</v>
      </c>
      <c r="B67">
        <v>2</v>
      </c>
      <c r="C67">
        <v>8</v>
      </c>
      <c r="D67">
        <v>4</v>
      </c>
      <c r="E67" t="s">
        <v>38</v>
      </c>
      <c r="F67" t="s">
        <v>39</v>
      </c>
      <c r="G67" t="s">
        <v>321</v>
      </c>
      <c r="H67" t="s">
        <v>97</v>
      </c>
    </row>
    <row r="68" spans="1:8" x14ac:dyDescent="0.15">
      <c r="A68" t="s">
        <v>17</v>
      </c>
      <c r="B68">
        <v>2</v>
      </c>
      <c r="C68">
        <v>9</v>
      </c>
      <c r="D68">
        <v>4</v>
      </c>
      <c r="E68" t="s">
        <v>38</v>
      </c>
      <c r="F68" t="s">
        <v>29</v>
      </c>
      <c r="G68" t="s">
        <v>321</v>
      </c>
      <c r="H68" t="s">
        <v>97</v>
      </c>
    </row>
    <row r="69" spans="1:8" x14ac:dyDescent="0.15">
      <c r="A69" t="s">
        <v>17</v>
      </c>
      <c r="B69">
        <v>2</v>
      </c>
      <c r="C69">
        <v>10</v>
      </c>
      <c r="D69">
        <v>2</v>
      </c>
      <c r="E69" t="s">
        <v>323</v>
      </c>
      <c r="F69" t="s">
        <v>41</v>
      </c>
      <c r="G69" t="s">
        <v>321</v>
      </c>
      <c r="H69" t="s">
        <v>95</v>
      </c>
    </row>
    <row r="70" spans="1:8" x14ac:dyDescent="0.15">
      <c r="A70" t="s">
        <v>17</v>
      </c>
      <c r="B70">
        <v>2</v>
      </c>
      <c r="C70">
        <v>11</v>
      </c>
      <c r="D70">
        <v>2</v>
      </c>
      <c r="E70" t="s">
        <v>323</v>
      </c>
      <c r="F70" t="s">
        <v>40</v>
      </c>
      <c r="G70" t="s">
        <v>321</v>
      </c>
      <c r="H70" t="s">
        <v>95</v>
      </c>
    </row>
    <row r="71" spans="1:8" x14ac:dyDescent="0.15">
      <c r="A71" t="s">
        <v>17</v>
      </c>
      <c r="B71">
        <v>2</v>
      </c>
      <c r="C71">
        <v>12</v>
      </c>
      <c r="D71">
        <v>2</v>
      </c>
      <c r="E71" t="s">
        <v>323</v>
      </c>
      <c r="F71" t="s">
        <v>42</v>
      </c>
      <c r="G71" t="s">
        <v>321</v>
      </c>
      <c r="H71" t="s">
        <v>95</v>
      </c>
    </row>
    <row r="72" spans="1:8" x14ac:dyDescent="0.15">
      <c r="A72" t="s">
        <v>17</v>
      </c>
      <c r="B72">
        <v>2</v>
      </c>
      <c r="C72">
        <v>13</v>
      </c>
      <c r="D72">
        <v>2</v>
      </c>
      <c r="E72" t="s">
        <v>323</v>
      </c>
      <c r="F72" t="s">
        <v>30</v>
      </c>
      <c r="G72" t="s">
        <v>321</v>
      </c>
      <c r="H72" t="s">
        <v>95</v>
      </c>
    </row>
    <row r="73" spans="1:8" x14ac:dyDescent="0.15">
      <c r="A73" t="s">
        <v>17</v>
      </c>
      <c r="B73">
        <v>2</v>
      </c>
      <c r="C73">
        <v>14</v>
      </c>
      <c r="D73">
        <v>4</v>
      </c>
      <c r="E73" t="s">
        <v>38</v>
      </c>
      <c r="F73" t="s">
        <v>43</v>
      </c>
      <c r="G73" t="s">
        <v>321</v>
      </c>
      <c r="H73" t="s">
        <v>97</v>
      </c>
    </row>
    <row r="74" spans="1:8" x14ac:dyDescent="0.15">
      <c r="A74" t="s">
        <v>17</v>
      </c>
      <c r="B74">
        <v>2</v>
      </c>
      <c r="C74">
        <v>15</v>
      </c>
      <c r="D74">
        <v>4</v>
      </c>
      <c r="E74" t="s">
        <v>38</v>
      </c>
      <c r="F74" t="s">
        <v>31</v>
      </c>
      <c r="G74" t="s">
        <v>321</v>
      </c>
      <c r="H74" t="s">
        <v>97</v>
      </c>
    </row>
    <row r="75" spans="1:8" x14ac:dyDescent="0.15">
      <c r="A75" t="s">
        <v>17</v>
      </c>
      <c r="B75">
        <v>2</v>
      </c>
      <c r="C75">
        <v>16</v>
      </c>
      <c r="D75">
        <v>4</v>
      </c>
      <c r="E75" t="s">
        <v>38</v>
      </c>
      <c r="F75" t="s">
        <v>44</v>
      </c>
      <c r="G75" t="s">
        <v>321</v>
      </c>
      <c r="H75" t="s">
        <v>97</v>
      </c>
    </row>
    <row r="76" spans="1:8" x14ac:dyDescent="0.15">
      <c r="A76" t="s">
        <v>17</v>
      </c>
      <c r="B76">
        <v>2</v>
      </c>
      <c r="C76">
        <v>17</v>
      </c>
      <c r="D76">
        <v>4</v>
      </c>
      <c r="E76" t="s">
        <v>38</v>
      </c>
      <c r="F76" t="s">
        <v>32</v>
      </c>
      <c r="G76" t="s">
        <v>321</v>
      </c>
      <c r="H76" t="s">
        <v>97</v>
      </c>
    </row>
    <row r="77" spans="1:8" x14ac:dyDescent="0.15">
      <c r="A77" t="s">
        <v>17</v>
      </c>
      <c r="B77">
        <v>2</v>
      </c>
      <c r="C77">
        <v>18</v>
      </c>
      <c r="D77">
        <v>2</v>
      </c>
      <c r="E77" t="s">
        <v>323</v>
      </c>
      <c r="F77" t="s">
        <v>46</v>
      </c>
      <c r="G77" t="s">
        <v>321</v>
      </c>
      <c r="H77" t="s">
        <v>95</v>
      </c>
    </row>
    <row r="78" spans="1:8" x14ac:dyDescent="0.15">
      <c r="A78" t="s">
        <v>17</v>
      </c>
      <c r="B78">
        <v>2</v>
      </c>
      <c r="C78">
        <v>19</v>
      </c>
      <c r="D78">
        <v>2</v>
      </c>
      <c r="E78" t="s">
        <v>323</v>
      </c>
      <c r="F78" t="s">
        <v>45</v>
      </c>
      <c r="G78" t="s">
        <v>321</v>
      </c>
      <c r="H78" t="s">
        <v>95</v>
      </c>
    </row>
    <row r="79" spans="1:8" x14ac:dyDescent="0.15">
      <c r="A79" t="s">
        <v>17</v>
      </c>
      <c r="B79">
        <v>2</v>
      </c>
      <c r="C79">
        <v>20</v>
      </c>
      <c r="D79">
        <v>1</v>
      </c>
      <c r="E79" t="s">
        <v>319</v>
      </c>
      <c r="F79" t="s">
        <v>325</v>
      </c>
      <c r="G79" t="s">
        <v>321</v>
      </c>
      <c r="H79" t="s">
        <v>94</v>
      </c>
    </row>
    <row r="80" spans="1:8" x14ac:dyDescent="0.15">
      <c r="A80" t="s">
        <v>17</v>
      </c>
      <c r="B80">
        <v>2</v>
      </c>
      <c r="C80">
        <v>21</v>
      </c>
      <c r="D80">
        <v>2</v>
      </c>
      <c r="E80" t="s">
        <v>323</v>
      </c>
      <c r="F80" t="s">
        <v>35</v>
      </c>
      <c r="G80" t="s">
        <v>321</v>
      </c>
      <c r="H80" t="s">
        <v>95</v>
      </c>
    </row>
    <row r="81" spans="1:8" x14ac:dyDescent="0.15">
      <c r="A81" t="s">
        <v>17</v>
      </c>
      <c r="B81">
        <v>2</v>
      </c>
      <c r="C81">
        <v>22</v>
      </c>
      <c r="D81">
        <v>2</v>
      </c>
      <c r="E81" t="s">
        <v>323</v>
      </c>
      <c r="F81" t="s">
        <v>34</v>
      </c>
      <c r="G81" t="s">
        <v>321</v>
      </c>
      <c r="H81" t="s">
        <v>95</v>
      </c>
    </row>
    <row r="82" spans="1:8" x14ac:dyDescent="0.15">
      <c r="A82" t="s">
        <v>17</v>
      </c>
      <c r="B82">
        <v>2</v>
      </c>
      <c r="C82">
        <v>23</v>
      </c>
      <c r="D82">
        <v>0</v>
      </c>
      <c r="E82" t="s">
        <v>326</v>
      </c>
      <c r="F82" t="s">
        <v>34</v>
      </c>
      <c r="G82" t="s">
        <v>327</v>
      </c>
      <c r="H82" t="s">
        <v>93</v>
      </c>
    </row>
    <row r="83" spans="1:8" x14ac:dyDescent="0.15">
      <c r="A83" t="s">
        <v>17</v>
      </c>
      <c r="B83">
        <v>2</v>
      </c>
      <c r="C83">
        <v>24</v>
      </c>
      <c r="D83">
        <v>4</v>
      </c>
      <c r="E83" t="s">
        <v>38</v>
      </c>
      <c r="F83" t="s">
        <v>36</v>
      </c>
      <c r="G83" t="s">
        <v>321</v>
      </c>
      <c r="H83" t="s">
        <v>97</v>
      </c>
    </row>
    <row r="84" spans="1:8" x14ac:dyDescent="0.15">
      <c r="A84" t="s">
        <v>17</v>
      </c>
      <c r="B84">
        <v>2</v>
      </c>
      <c r="C84">
        <v>25</v>
      </c>
      <c r="D84">
        <v>4</v>
      </c>
      <c r="E84" t="s">
        <v>38</v>
      </c>
      <c r="F84" t="s">
        <v>37</v>
      </c>
      <c r="G84" t="s">
        <v>321</v>
      </c>
      <c r="H84" t="s">
        <v>97</v>
      </c>
    </row>
    <row r="85" spans="1:8" x14ac:dyDescent="0.15">
      <c r="A85" t="s">
        <v>17</v>
      </c>
      <c r="B85">
        <v>2</v>
      </c>
      <c r="C85">
        <v>26</v>
      </c>
      <c r="D85">
        <v>0</v>
      </c>
      <c r="E85" t="s">
        <v>326</v>
      </c>
      <c r="F85" t="s">
        <v>37</v>
      </c>
      <c r="G85" t="s">
        <v>327</v>
      </c>
      <c r="H85" t="s">
        <v>93</v>
      </c>
    </row>
    <row r="86" spans="1:8" x14ac:dyDescent="0.15">
      <c r="A86" t="s">
        <v>17</v>
      </c>
      <c r="B86">
        <v>2</v>
      </c>
      <c r="C86">
        <v>27</v>
      </c>
      <c r="D86">
        <v>4</v>
      </c>
      <c r="E86" t="s">
        <v>38</v>
      </c>
      <c r="F86" t="s">
        <v>39</v>
      </c>
      <c r="G86" t="s">
        <v>321</v>
      </c>
      <c r="H86" t="s">
        <v>97</v>
      </c>
    </row>
    <row r="87" spans="1:8" x14ac:dyDescent="0.15">
      <c r="A87" t="s">
        <v>17</v>
      </c>
      <c r="B87">
        <v>2</v>
      </c>
      <c r="C87">
        <v>28</v>
      </c>
      <c r="D87">
        <v>4</v>
      </c>
      <c r="E87" t="s">
        <v>38</v>
      </c>
      <c r="F87" t="s">
        <v>29</v>
      </c>
      <c r="G87" t="s">
        <v>321</v>
      </c>
      <c r="H87" t="s">
        <v>97</v>
      </c>
    </row>
    <row r="88" spans="1:8" x14ac:dyDescent="0.15">
      <c r="A88" t="s">
        <v>17</v>
      </c>
      <c r="B88">
        <v>2</v>
      </c>
      <c r="C88">
        <v>29</v>
      </c>
      <c r="D88">
        <v>0</v>
      </c>
      <c r="E88" t="s">
        <v>326</v>
      </c>
      <c r="F88" t="s">
        <v>29</v>
      </c>
      <c r="G88" t="s">
        <v>327</v>
      </c>
      <c r="H88" t="s">
        <v>93</v>
      </c>
    </row>
    <row r="89" spans="1:8" x14ac:dyDescent="0.15">
      <c r="A89" t="s">
        <v>17</v>
      </c>
      <c r="B89">
        <v>2</v>
      </c>
      <c r="C89">
        <v>30</v>
      </c>
      <c r="D89">
        <v>2</v>
      </c>
      <c r="E89" t="s">
        <v>323</v>
      </c>
      <c r="F89" t="s">
        <v>41</v>
      </c>
      <c r="G89" t="s">
        <v>321</v>
      </c>
      <c r="H89" t="s">
        <v>95</v>
      </c>
    </row>
    <row r="90" spans="1:8" x14ac:dyDescent="0.15">
      <c r="A90" t="s">
        <v>17</v>
      </c>
      <c r="B90">
        <v>2</v>
      </c>
      <c r="C90">
        <v>31</v>
      </c>
      <c r="D90">
        <v>2</v>
      </c>
      <c r="E90" t="s">
        <v>323</v>
      </c>
      <c r="F90" t="s">
        <v>40</v>
      </c>
      <c r="G90" t="s">
        <v>321</v>
      </c>
      <c r="H90" t="s">
        <v>95</v>
      </c>
    </row>
    <row r="91" spans="1:8" x14ac:dyDescent="0.15">
      <c r="A91" t="s">
        <v>17</v>
      </c>
      <c r="B91">
        <v>2</v>
      </c>
      <c r="C91">
        <v>32</v>
      </c>
      <c r="D91">
        <v>0</v>
      </c>
      <c r="E91" t="s">
        <v>326</v>
      </c>
      <c r="F91" t="s">
        <v>40</v>
      </c>
      <c r="G91" t="s">
        <v>327</v>
      </c>
      <c r="H91" t="s">
        <v>93</v>
      </c>
    </row>
    <row r="92" spans="1:8" x14ac:dyDescent="0.15">
      <c r="A92" t="s">
        <v>17</v>
      </c>
      <c r="B92">
        <v>2</v>
      </c>
      <c r="C92">
        <v>33</v>
      </c>
      <c r="D92">
        <v>2</v>
      </c>
      <c r="E92" t="s">
        <v>323</v>
      </c>
      <c r="F92" t="s">
        <v>42</v>
      </c>
      <c r="G92" t="s">
        <v>321</v>
      </c>
      <c r="H92" t="s">
        <v>95</v>
      </c>
    </row>
    <row r="93" spans="1:8" x14ac:dyDescent="0.15">
      <c r="A93" t="s">
        <v>17</v>
      </c>
      <c r="B93">
        <v>2</v>
      </c>
      <c r="C93">
        <v>34</v>
      </c>
      <c r="D93">
        <v>2</v>
      </c>
      <c r="E93" t="s">
        <v>323</v>
      </c>
      <c r="F93" t="s">
        <v>30</v>
      </c>
      <c r="G93" t="s">
        <v>321</v>
      </c>
      <c r="H93" t="s">
        <v>95</v>
      </c>
    </row>
    <row r="94" spans="1:8" x14ac:dyDescent="0.15">
      <c r="A94" t="s">
        <v>17</v>
      </c>
      <c r="B94">
        <v>2</v>
      </c>
      <c r="C94">
        <v>35</v>
      </c>
      <c r="D94">
        <v>0</v>
      </c>
      <c r="E94" t="s">
        <v>326</v>
      </c>
      <c r="F94" t="s">
        <v>30</v>
      </c>
      <c r="G94" t="s">
        <v>327</v>
      </c>
      <c r="H94" t="s">
        <v>93</v>
      </c>
    </row>
    <row r="95" spans="1:8" x14ac:dyDescent="0.15">
      <c r="A95" t="s">
        <v>17</v>
      </c>
      <c r="B95">
        <v>2</v>
      </c>
      <c r="C95">
        <v>36</v>
      </c>
      <c r="D95">
        <v>4</v>
      </c>
      <c r="E95" t="s">
        <v>38</v>
      </c>
      <c r="F95" t="s">
        <v>43</v>
      </c>
      <c r="G95" t="s">
        <v>321</v>
      </c>
      <c r="H95" t="s">
        <v>97</v>
      </c>
    </row>
    <row r="96" spans="1:8" x14ac:dyDescent="0.15">
      <c r="A96" t="s">
        <v>17</v>
      </c>
      <c r="B96">
        <v>2</v>
      </c>
      <c r="C96">
        <v>37</v>
      </c>
      <c r="D96">
        <v>4</v>
      </c>
      <c r="E96" t="s">
        <v>38</v>
      </c>
      <c r="F96" t="s">
        <v>31</v>
      </c>
      <c r="G96" t="s">
        <v>321</v>
      </c>
      <c r="H96" t="s">
        <v>97</v>
      </c>
    </row>
    <row r="97" spans="1:8" x14ac:dyDescent="0.15">
      <c r="A97" t="s">
        <v>17</v>
      </c>
      <c r="B97">
        <v>2</v>
      </c>
      <c r="C97">
        <v>38</v>
      </c>
      <c r="D97">
        <v>0</v>
      </c>
      <c r="E97" t="s">
        <v>326</v>
      </c>
      <c r="F97" t="s">
        <v>31</v>
      </c>
      <c r="G97" t="s">
        <v>327</v>
      </c>
      <c r="H97" t="s">
        <v>93</v>
      </c>
    </row>
    <row r="98" spans="1:8" x14ac:dyDescent="0.15">
      <c r="A98" t="s">
        <v>17</v>
      </c>
      <c r="B98">
        <v>2</v>
      </c>
      <c r="C98">
        <v>39</v>
      </c>
      <c r="D98">
        <v>4</v>
      </c>
      <c r="E98" t="s">
        <v>38</v>
      </c>
      <c r="F98" t="s">
        <v>44</v>
      </c>
      <c r="G98" t="s">
        <v>321</v>
      </c>
      <c r="H98" t="s">
        <v>97</v>
      </c>
    </row>
    <row r="99" spans="1:8" x14ac:dyDescent="0.15">
      <c r="A99" t="s">
        <v>17</v>
      </c>
      <c r="B99">
        <v>2</v>
      </c>
      <c r="C99">
        <v>40</v>
      </c>
      <c r="D99">
        <v>4</v>
      </c>
      <c r="E99" t="s">
        <v>38</v>
      </c>
      <c r="F99" t="s">
        <v>32</v>
      </c>
      <c r="G99" t="s">
        <v>321</v>
      </c>
      <c r="H99" t="s">
        <v>97</v>
      </c>
    </row>
    <row r="100" spans="1:8" x14ac:dyDescent="0.15">
      <c r="A100" t="s">
        <v>17</v>
      </c>
      <c r="B100">
        <v>2</v>
      </c>
      <c r="C100">
        <v>41</v>
      </c>
      <c r="D100">
        <v>0</v>
      </c>
      <c r="E100" t="s">
        <v>326</v>
      </c>
      <c r="F100" t="s">
        <v>32</v>
      </c>
      <c r="G100" t="s">
        <v>327</v>
      </c>
      <c r="H100" t="s">
        <v>93</v>
      </c>
    </row>
    <row r="101" spans="1:8" x14ac:dyDescent="0.15">
      <c r="A101" t="s">
        <v>17</v>
      </c>
      <c r="B101">
        <v>2</v>
      </c>
      <c r="C101">
        <v>42</v>
      </c>
      <c r="D101">
        <v>2</v>
      </c>
      <c r="E101" t="s">
        <v>323</v>
      </c>
      <c r="F101" t="s">
        <v>46</v>
      </c>
      <c r="G101" t="s">
        <v>321</v>
      </c>
      <c r="H101" t="s">
        <v>95</v>
      </c>
    </row>
    <row r="102" spans="1:8" x14ac:dyDescent="0.15">
      <c r="A102" t="s">
        <v>17</v>
      </c>
      <c r="B102">
        <v>2</v>
      </c>
      <c r="C102">
        <v>43</v>
      </c>
      <c r="D102">
        <v>2</v>
      </c>
      <c r="E102" t="s">
        <v>323</v>
      </c>
      <c r="F102" t="s">
        <v>45</v>
      </c>
      <c r="G102" t="s">
        <v>321</v>
      </c>
      <c r="H102" t="s">
        <v>95</v>
      </c>
    </row>
    <row r="103" spans="1:8" x14ac:dyDescent="0.15">
      <c r="A103" t="s">
        <v>17</v>
      </c>
      <c r="B103">
        <v>2</v>
      </c>
      <c r="C103">
        <v>44</v>
      </c>
      <c r="D103">
        <v>0</v>
      </c>
      <c r="E103" t="s">
        <v>326</v>
      </c>
      <c r="F103" t="s">
        <v>45</v>
      </c>
      <c r="G103" t="s">
        <v>327</v>
      </c>
      <c r="H103" t="s">
        <v>93</v>
      </c>
    </row>
    <row r="104" spans="1:8" x14ac:dyDescent="0.15">
      <c r="A104" t="s">
        <v>17</v>
      </c>
      <c r="B104">
        <v>2</v>
      </c>
      <c r="C104">
        <v>45</v>
      </c>
      <c r="D104">
        <v>1</v>
      </c>
      <c r="E104" t="s">
        <v>319</v>
      </c>
      <c r="F104" t="s">
        <v>25</v>
      </c>
      <c r="G104" t="s">
        <v>321</v>
      </c>
      <c r="H104" t="s">
        <v>94</v>
      </c>
    </row>
    <row r="105" spans="1:8" x14ac:dyDescent="0.15">
      <c r="A105" t="s">
        <v>17</v>
      </c>
      <c r="B105">
        <v>2</v>
      </c>
      <c r="C105">
        <v>46</v>
      </c>
      <c r="D105">
        <v>2</v>
      </c>
      <c r="E105" t="s">
        <v>323</v>
      </c>
      <c r="F105" t="s">
        <v>35</v>
      </c>
      <c r="G105" t="s">
        <v>321</v>
      </c>
      <c r="H105" t="s">
        <v>95</v>
      </c>
    </row>
    <row r="106" spans="1:8" x14ac:dyDescent="0.15">
      <c r="A106" t="s">
        <v>17</v>
      </c>
      <c r="B106">
        <v>2</v>
      </c>
      <c r="C106">
        <v>47</v>
      </c>
      <c r="D106">
        <v>0</v>
      </c>
      <c r="E106" t="s">
        <v>326</v>
      </c>
      <c r="F106" t="s">
        <v>34</v>
      </c>
      <c r="G106" t="s">
        <v>327</v>
      </c>
      <c r="H106" t="s">
        <v>93</v>
      </c>
    </row>
    <row r="107" spans="1:8" x14ac:dyDescent="0.15">
      <c r="A107" t="s">
        <v>17</v>
      </c>
      <c r="B107">
        <v>2</v>
      </c>
      <c r="C107">
        <v>48</v>
      </c>
      <c r="D107">
        <v>4</v>
      </c>
      <c r="E107" t="s">
        <v>38</v>
      </c>
      <c r="F107" t="s">
        <v>36</v>
      </c>
      <c r="G107" t="s">
        <v>321</v>
      </c>
      <c r="H107" t="s">
        <v>97</v>
      </c>
    </row>
    <row r="108" spans="1:8" x14ac:dyDescent="0.15">
      <c r="A108" t="s">
        <v>17</v>
      </c>
      <c r="B108">
        <v>2</v>
      </c>
      <c r="C108">
        <v>49</v>
      </c>
      <c r="D108">
        <v>0</v>
      </c>
      <c r="E108" t="s">
        <v>326</v>
      </c>
      <c r="F108" t="s">
        <v>37</v>
      </c>
      <c r="G108" t="s">
        <v>327</v>
      </c>
      <c r="H108" t="s">
        <v>93</v>
      </c>
    </row>
    <row r="109" spans="1:8" x14ac:dyDescent="0.15">
      <c r="A109" t="s">
        <v>17</v>
      </c>
      <c r="B109">
        <v>2</v>
      </c>
      <c r="C109">
        <v>50</v>
      </c>
      <c r="D109">
        <v>4</v>
      </c>
      <c r="E109" t="s">
        <v>38</v>
      </c>
      <c r="F109" t="s">
        <v>39</v>
      </c>
      <c r="G109" t="s">
        <v>321</v>
      </c>
      <c r="H109" t="s">
        <v>97</v>
      </c>
    </row>
    <row r="110" spans="1:8" x14ac:dyDescent="0.15">
      <c r="A110" t="s">
        <v>17</v>
      </c>
      <c r="B110">
        <v>2</v>
      </c>
      <c r="C110">
        <v>51</v>
      </c>
      <c r="D110">
        <v>0</v>
      </c>
      <c r="E110" t="s">
        <v>326</v>
      </c>
      <c r="F110" t="s">
        <v>29</v>
      </c>
      <c r="G110" t="s">
        <v>327</v>
      </c>
      <c r="H110" t="s">
        <v>93</v>
      </c>
    </row>
    <row r="111" spans="1:8" x14ac:dyDescent="0.15">
      <c r="A111" t="s">
        <v>17</v>
      </c>
      <c r="B111">
        <v>2</v>
      </c>
      <c r="C111">
        <v>52</v>
      </c>
      <c r="D111">
        <v>2</v>
      </c>
      <c r="E111" t="s">
        <v>323</v>
      </c>
      <c r="F111" t="s">
        <v>41</v>
      </c>
      <c r="G111" t="s">
        <v>321</v>
      </c>
      <c r="H111" t="s">
        <v>95</v>
      </c>
    </row>
    <row r="112" spans="1:8" x14ac:dyDescent="0.15">
      <c r="A112" t="s">
        <v>17</v>
      </c>
      <c r="B112">
        <v>2</v>
      </c>
      <c r="C112">
        <v>53</v>
      </c>
      <c r="D112">
        <v>0</v>
      </c>
      <c r="E112" t="s">
        <v>326</v>
      </c>
      <c r="F112" t="s">
        <v>40</v>
      </c>
      <c r="G112" t="s">
        <v>327</v>
      </c>
      <c r="H112" t="s">
        <v>93</v>
      </c>
    </row>
    <row r="113" spans="1:8" x14ac:dyDescent="0.15">
      <c r="A113" t="s">
        <v>17</v>
      </c>
      <c r="B113">
        <v>2</v>
      </c>
      <c r="C113">
        <v>54</v>
      </c>
      <c r="D113">
        <v>2</v>
      </c>
      <c r="E113" t="s">
        <v>323</v>
      </c>
      <c r="F113" t="s">
        <v>42</v>
      </c>
      <c r="G113" t="s">
        <v>321</v>
      </c>
      <c r="H113" t="s">
        <v>95</v>
      </c>
    </row>
    <row r="114" spans="1:8" x14ac:dyDescent="0.15">
      <c r="A114" t="s">
        <v>17</v>
      </c>
      <c r="B114">
        <v>2</v>
      </c>
      <c r="C114">
        <v>55</v>
      </c>
      <c r="D114">
        <v>0</v>
      </c>
      <c r="E114" t="s">
        <v>326</v>
      </c>
      <c r="F114" t="s">
        <v>30</v>
      </c>
      <c r="G114" t="s">
        <v>327</v>
      </c>
      <c r="H114" t="s">
        <v>93</v>
      </c>
    </row>
    <row r="115" spans="1:8" x14ac:dyDescent="0.15">
      <c r="A115" t="s">
        <v>17</v>
      </c>
      <c r="B115">
        <v>2</v>
      </c>
      <c r="C115">
        <v>56</v>
      </c>
      <c r="D115">
        <v>4</v>
      </c>
      <c r="E115" t="s">
        <v>38</v>
      </c>
      <c r="F115" t="s">
        <v>43</v>
      </c>
      <c r="G115" t="s">
        <v>321</v>
      </c>
      <c r="H115" t="s">
        <v>97</v>
      </c>
    </row>
    <row r="116" spans="1:8" x14ac:dyDescent="0.15">
      <c r="A116" t="s">
        <v>17</v>
      </c>
      <c r="B116">
        <v>2</v>
      </c>
      <c r="C116">
        <v>57</v>
      </c>
      <c r="D116">
        <v>0</v>
      </c>
      <c r="E116" t="s">
        <v>326</v>
      </c>
      <c r="F116" t="s">
        <v>31</v>
      </c>
      <c r="G116" t="s">
        <v>327</v>
      </c>
      <c r="H116" t="s">
        <v>93</v>
      </c>
    </row>
    <row r="117" spans="1:8" x14ac:dyDescent="0.15">
      <c r="A117" t="s">
        <v>17</v>
      </c>
      <c r="B117">
        <v>2</v>
      </c>
      <c r="C117">
        <v>58</v>
      </c>
      <c r="D117">
        <v>4</v>
      </c>
      <c r="E117" t="s">
        <v>38</v>
      </c>
      <c r="F117" t="s">
        <v>44</v>
      </c>
      <c r="G117" t="s">
        <v>321</v>
      </c>
      <c r="H117" t="s">
        <v>97</v>
      </c>
    </row>
    <row r="118" spans="1:8" x14ac:dyDescent="0.15">
      <c r="A118" t="s">
        <v>17</v>
      </c>
      <c r="B118">
        <v>2</v>
      </c>
      <c r="C118">
        <v>59</v>
      </c>
      <c r="D118">
        <v>0</v>
      </c>
      <c r="E118" t="s">
        <v>326</v>
      </c>
      <c r="F118" t="s">
        <v>32</v>
      </c>
      <c r="G118" t="s">
        <v>327</v>
      </c>
      <c r="H118" t="s">
        <v>93</v>
      </c>
    </row>
    <row r="119" spans="1:8" x14ac:dyDescent="0.15">
      <c r="A119" t="s">
        <v>17</v>
      </c>
      <c r="B119">
        <v>2</v>
      </c>
      <c r="C119">
        <v>60</v>
      </c>
      <c r="D119">
        <v>2</v>
      </c>
      <c r="E119" t="s">
        <v>323</v>
      </c>
      <c r="F119" t="s">
        <v>46</v>
      </c>
      <c r="G119" t="s">
        <v>321</v>
      </c>
      <c r="H119" t="s">
        <v>95</v>
      </c>
    </row>
    <row r="120" spans="1:8" x14ac:dyDescent="0.15">
      <c r="A120" t="s">
        <v>17</v>
      </c>
      <c r="B120">
        <v>2</v>
      </c>
      <c r="C120">
        <v>61</v>
      </c>
      <c r="D120">
        <v>0</v>
      </c>
      <c r="E120" t="s">
        <v>326</v>
      </c>
      <c r="F120" t="s">
        <v>45</v>
      </c>
      <c r="G120" t="s">
        <v>327</v>
      </c>
      <c r="H120" t="s">
        <v>93</v>
      </c>
    </row>
    <row r="121" spans="1:8" x14ac:dyDescent="0.15">
      <c r="A121" t="s">
        <v>17</v>
      </c>
      <c r="B121">
        <v>2</v>
      </c>
      <c r="C121">
        <v>62</v>
      </c>
      <c r="D121">
        <v>1</v>
      </c>
      <c r="E121" t="s">
        <v>319</v>
      </c>
      <c r="F121" t="s">
        <v>47</v>
      </c>
      <c r="G121" t="s">
        <v>320</v>
      </c>
      <c r="H121" t="s">
        <v>94</v>
      </c>
    </row>
    <row r="122" spans="1:8" x14ac:dyDescent="0.15">
      <c r="A122" t="s">
        <v>50</v>
      </c>
      <c r="B122">
        <v>1</v>
      </c>
      <c r="C122">
        <v>1</v>
      </c>
      <c r="D122">
        <v>1</v>
      </c>
      <c r="E122" t="s">
        <v>319</v>
      </c>
      <c r="F122" t="s">
        <v>51</v>
      </c>
      <c r="G122" t="s">
        <v>321</v>
      </c>
      <c r="H122" t="s">
        <v>94</v>
      </c>
    </row>
    <row r="123" spans="1:8" x14ac:dyDescent="0.15">
      <c r="A123" t="s">
        <v>50</v>
      </c>
      <c r="B123">
        <v>1</v>
      </c>
      <c r="C123">
        <v>2</v>
      </c>
      <c r="D123">
        <v>1</v>
      </c>
      <c r="E123" t="s">
        <v>319</v>
      </c>
      <c r="F123" t="s">
        <v>53</v>
      </c>
      <c r="G123" t="s">
        <v>321</v>
      </c>
      <c r="H123" t="s">
        <v>94</v>
      </c>
    </row>
    <row r="124" spans="1:8" ht="40.5" x14ac:dyDescent="0.15">
      <c r="A124" t="s">
        <v>50</v>
      </c>
      <c r="B124">
        <v>1</v>
      </c>
      <c r="C124">
        <v>3</v>
      </c>
      <c r="D124">
        <v>1</v>
      </c>
      <c r="E124" t="s">
        <v>319</v>
      </c>
      <c r="F124" s="1" t="s">
        <v>329</v>
      </c>
      <c r="G124" t="s">
        <v>321</v>
      </c>
      <c r="H124" t="s">
        <v>94</v>
      </c>
    </row>
    <row r="125" spans="1:8" x14ac:dyDescent="0.15">
      <c r="A125" t="s">
        <v>50</v>
      </c>
      <c r="B125">
        <v>1</v>
      </c>
      <c r="C125">
        <v>4</v>
      </c>
      <c r="D125">
        <v>5</v>
      </c>
      <c r="E125" t="s">
        <v>330</v>
      </c>
      <c r="F125" t="s">
        <v>56</v>
      </c>
      <c r="G125" t="s">
        <v>321</v>
      </c>
      <c r="H125" t="s">
        <v>98</v>
      </c>
    </row>
    <row r="126" spans="1:8" x14ac:dyDescent="0.15">
      <c r="A126" t="s">
        <v>50</v>
      </c>
      <c r="B126">
        <v>1</v>
      </c>
      <c r="C126">
        <v>5</v>
      </c>
      <c r="D126">
        <v>5</v>
      </c>
      <c r="E126" t="s">
        <v>330</v>
      </c>
      <c r="F126" t="s">
        <v>54</v>
      </c>
      <c r="G126" t="s">
        <v>321</v>
      </c>
      <c r="H126" t="s">
        <v>98</v>
      </c>
    </row>
    <row r="127" spans="1:8" x14ac:dyDescent="0.15">
      <c r="A127" t="s">
        <v>50</v>
      </c>
      <c r="B127">
        <v>1</v>
      </c>
      <c r="C127">
        <v>6</v>
      </c>
      <c r="D127">
        <v>6</v>
      </c>
      <c r="E127" t="s">
        <v>331</v>
      </c>
      <c r="F127" t="s">
        <v>60</v>
      </c>
      <c r="G127" t="s">
        <v>321</v>
      </c>
      <c r="H127" t="s">
        <v>99</v>
      </c>
    </row>
    <row r="128" spans="1:8" x14ac:dyDescent="0.15">
      <c r="A128" t="s">
        <v>50</v>
      </c>
      <c r="B128">
        <v>1</v>
      </c>
      <c r="C128">
        <v>7</v>
      </c>
      <c r="D128">
        <v>6</v>
      </c>
      <c r="E128" t="s">
        <v>331</v>
      </c>
      <c r="F128" t="s">
        <v>57</v>
      </c>
      <c r="G128" t="s">
        <v>321</v>
      </c>
      <c r="H128" t="s">
        <v>99</v>
      </c>
    </row>
    <row r="129" spans="1:8" x14ac:dyDescent="0.15">
      <c r="A129" t="s">
        <v>50</v>
      </c>
      <c r="B129">
        <v>1</v>
      </c>
      <c r="C129">
        <v>8</v>
      </c>
      <c r="D129">
        <v>5</v>
      </c>
      <c r="E129" t="s">
        <v>330</v>
      </c>
      <c r="F129" t="s">
        <v>62</v>
      </c>
      <c r="G129" t="s">
        <v>321</v>
      </c>
      <c r="H129" t="s">
        <v>98</v>
      </c>
    </row>
    <row r="130" spans="1:8" x14ac:dyDescent="0.15">
      <c r="A130" t="s">
        <v>50</v>
      </c>
      <c r="B130">
        <v>1</v>
      </c>
      <c r="C130">
        <v>9</v>
      </c>
      <c r="D130">
        <v>5</v>
      </c>
      <c r="E130" t="s">
        <v>330</v>
      </c>
      <c r="F130" t="s">
        <v>61</v>
      </c>
      <c r="G130" t="s">
        <v>321</v>
      </c>
      <c r="H130" t="s">
        <v>98</v>
      </c>
    </row>
    <row r="131" spans="1:8" x14ac:dyDescent="0.15">
      <c r="A131" t="s">
        <v>50</v>
      </c>
      <c r="B131">
        <v>1</v>
      </c>
      <c r="C131">
        <v>10</v>
      </c>
      <c r="D131">
        <v>6</v>
      </c>
      <c r="E131" t="s">
        <v>331</v>
      </c>
      <c r="F131" t="s">
        <v>63</v>
      </c>
      <c r="G131" t="s">
        <v>321</v>
      </c>
      <c r="H131" t="s">
        <v>99</v>
      </c>
    </row>
    <row r="132" spans="1:8" x14ac:dyDescent="0.15">
      <c r="A132" t="s">
        <v>50</v>
      </c>
      <c r="B132">
        <v>1</v>
      </c>
      <c r="C132">
        <v>11</v>
      </c>
      <c r="D132">
        <v>6</v>
      </c>
      <c r="E132" t="s">
        <v>331</v>
      </c>
      <c r="F132" t="s">
        <v>58</v>
      </c>
      <c r="G132" t="s">
        <v>321</v>
      </c>
      <c r="H132" t="s">
        <v>99</v>
      </c>
    </row>
    <row r="133" spans="1:8" x14ac:dyDescent="0.15">
      <c r="A133" t="s">
        <v>50</v>
      </c>
      <c r="B133">
        <v>1</v>
      </c>
      <c r="C133">
        <v>12</v>
      </c>
      <c r="D133">
        <v>6</v>
      </c>
      <c r="E133" t="s">
        <v>331</v>
      </c>
      <c r="F133" t="s">
        <v>64</v>
      </c>
      <c r="G133" t="s">
        <v>321</v>
      </c>
      <c r="H133" t="s">
        <v>99</v>
      </c>
    </row>
    <row r="134" spans="1:8" x14ac:dyDescent="0.15">
      <c r="A134" t="s">
        <v>50</v>
      </c>
      <c r="B134">
        <v>1</v>
      </c>
      <c r="C134">
        <v>13</v>
      </c>
      <c r="D134">
        <v>6</v>
      </c>
      <c r="E134" t="s">
        <v>331</v>
      </c>
      <c r="F134" t="s">
        <v>52</v>
      </c>
      <c r="G134" t="s">
        <v>321</v>
      </c>
      <c r="H134" t="s">
        <v>99</v>
      </c>
    </row>
    <row r="135" spans="1:8" x14ac:dyDescent="0.15">
      <c r="A135" t="s">
        <v>50</v>
      </c>
      <c r="B135">
        <v>1</v>
      </c>
      <c r="C135">
        <v>14</v>
      </c>
      <c r="D135">
        <v>7</v>
      </c>
      <c r="E135" t="s">
        <v>332</v>
      </c>
      <c r="F135" t="s">
        <v>67</v>
      </c>
      <c r="G135" t="s">
        <v>321</v>
      </c>
      <c r="H135" t="s">
        <v>100</v>
      </c>
    </row>
    <row r="136" spans="1:8" x14ac:dyDescent="0.15">
      <c r="A136" t="s">
        <v>50</v>
      </c>
      <c r="B136">
        <v>1</v>
      </c>
      <c r="C136">
        <v>15</v>
      </c>
      <c r="D136">
        <v>7</v>
      </c>
      <c r="E136" t="s">
        <v>332</v>
      </c>
      <c r="F136" t="s">
        <v>65</v>
      </c>
      <c r="G136" t="s">
        <v>321</v>
      </c>
      <c r="H136" t="s">
        <v>100</v>
      </c>
    </row>
    <row r="137" spans="1:8" x14ac:dyDescent="0.15">
      <c r="A137" t="s">
        <v>50</v>
      </c>
      <c r="B137">
        <v>1</v>
      </c>
      <c r="C137">
        <v>16</v>
      </c>
      <c r="D137">
        <v>5</v>
      </c>
      <c r="E137" t="s">
        <v>330</v>
      </c>
      <c r="F137" t="s">
        <v>69</v>
      </c>
      <c r="G137" t="s">
        <v>321</v>
      </c>
      <c r="H137" t="s">
        <v>98</v>
      </c>
    </row>
    <row r="138" spans="1:8" x14ac:dyDescent="0.15">
      <c r="A138" t="s">
        <v>50</v>
      </c>
      <c r="B138">
        <v>1</v>
      </c>
      <c r="C138">
        <v>17</v>
      </c>
      <c r="D138">
        <v>5</v>
      </c>
      <c r="E138" t="s">
        <v>330</v>
      </c>
      <c r="F138" t="s">
        <v>68</v>
      </c>
      <c r="G138" t="s">
        <v>321</v>
      </c>
      <c r="H138" t="s">
        <v>98</v>
      </c>
    </row>
    <row r="139" spans="1:8" x14ac:dyDescent="0.15">
      <c r="A139" t="s">
        <v>50</v>
      </c>
      <c r="B139">
        <v>1</v>
      </c>
      <c r="C139">
        <v>18</v>
      </c>
      <c r="D139">
        <v>1</v>
      </c>
      <c r="E139" t="s">
        <v>319</v>
      </c>
      <c r="F139" t="s">
        <v>333</v>
      </c>
      <c r="G139" t="s">
        <v>321</v>
      </c>
      <c r="H139" t="s">
        <v>94</v>
      </c>
    </row>
    <row r="140" spans="1:8" x14ac:dyDescent="0.15">
      <c r="A140" t="s">
        <v>50</v>
      </c>
      <c r="B140">
        <v>1</v>
      </c>
      <c r="C140">
        <v>19</v>
      </c>
      <c r="D140">
        <v>5</v>
      </c>
      <c r="E140" t="s">
        <v>330</v>
      </c>
      <c r="F140" t="s">
        <v>56</v>
      </c>
      <c r="G140" t="s">
        <v>321</v>
      </c>
      <c r="H140" t="s">
        <v>98</v>
      </c>
    </row>
    <row r="141" spans="1:8" x14ac:dyDescent="0.15">
      <c r="A141" t="s">
        <v>50</v>
      </c>
      <c r="B141">
        <v>1</v>
      </c>
      <c r="C141">
        <v>20</v>
      </c>
      <c r="D141">
        <v>5</v>
      </c>
      <c r="E141" t="s">
        <v>330</v>
      </c>
      <c r="F141" t="s">
        <v>54</v>
      </c>
      <c r="G141" t="s">
        <v>321</v>
      </c>
      <c r="H141" t="s">
        <v>98</v>
      </c>
    </row>
    <row r="142" spans="1:8" x14ac:dyDescent="0.15">
      <c r="A142" t="s">
        <v>50</v>
      </c>
      <c r="B142">
        <v>1</v>
      </c>
      <c r="C142">
        <v>21</v>
      </c>
      <c r="D142">
        <v>0</v>
      </c>
      <c r="E142" t="s">
        <v>326</v>
      </c>
      <c r="F142" t="s">
        <v>54</v>
      </c>
      <c r="G142" t="s">
        <v>327</v>
      </c>
      <c r="H142" t="s">
        <v>93</v>
      </c>
    </row>
    <row r="143" spans="1:8" x14ac:dyDescent="0.15">
      <c r="A143" t="s">
        <v>50</v>
      </c>
      <c r="B143">
        <v>1</v>
      </c>
      <c r="C143">
        <v>22</v>
      </c>
      <c r="D143">
        <v>6</v>
      </c>
      <c r="E143" t="s">
        <v>331</v>
      </c>
      <c r="F143" t="s">
        <v>60</v>
      </c>
      <c r="G143" t="s">
        <v>321</v>
      </c>
      <c r="H143" t="s">
        <v>99</v>
      </c>
    </row>
    <row r="144" spans="1:8" x14ac:dyDescent="0.15">
      <c r="A144" t="s">
        <v>50</v>
      </c>
      <c r="B144">
        <v>1</v>
      </c>
      <c r="C144">
        <v>23</v>
      </c>
      <c r="D144">
        <v>6</v>
      </c>
      <c r="E144" t="s">
        <v>331</v>
      </c>
      <c r="F144" t="s">
        <v>57</v>
      </c>
      <c r="G144" t="s">
        <v>321</v>
      </c>
      <c r="H144" t="s">
        <v>99</v>
      </c>
    </row>
    <row r="145" spans="1:8" x14ac:dyDescent="0.15">
      <c r="A145" t="s">
        <v>50</v>
      </c>
      <c r="B145">
        <v>1</v>
      </c>
      <c r="C145">
        <v>24</v>
      </c>
      <c r="D145">
        <v>0</v>
      </c>
      <c r="E145" t="s">
        <v>326</v>
      </c>
      <c r="F145" t="s">
        <v>57</v>
      </c>
      <c r="G145" t="s">
        <v>327</v>
      </c>
      <c r="H145" t="s">
        <v>93</v>
      </c>
    </row>
    <row r="146" spans="1:8" x14ac:dyDescent="0.15">
      <c r="A146" t="s">
        <v>50</v>
      </c>
      <c r="B146">
        <v>1</v>
      </c>
      <c r="C146">
        <v>25</v>
      </c>
      <c r="D146">
        <v>5</v>
      </c>
      <c r="E146" t="s">
        <v>330</v>
      </c>
      <c r="F146" t="s">
        <v>62</v>
      </c>
      <c r="G146" t="s">
        <v>321</v>
      </c>
      <c r="H146" t="s">
        <v>98</v>
      </c>
    </row>
    <row r="147" spans="1:8" x14ac:dyDescent="0.15">
      <c r="A147" t="s">
        <v>50</v>
      </c>
      <c r="B147">
        <v>1</v>
      </c>
      <c r="C147">
        <v>26</v>
      </c>
      <c r="D147">
        <v>5</v>
      </c>
      <c r="E147" t="s">
        <v>330</v>
      </c>
      <c r="F147" t="s">
        <v>61</v>
      </c>
      <c r="G147" t="s">
        <v>321</v>
      </c>
      <c r="H147" t="s">
        <v>98</v>
      </c>
    </row>
    <row r="148" spans="1:8" x14ac:dyDescent="0.15">
      <c r="A148" t="s">
        <v>50</v>
      </c>
      <c r="B148">
        <v>1</v>
      </c>
      <c r="C148">
        <v>27</v>
      </c>
      <c r="D148">
        <v>0</v>
      </c>
      <c r="E148" t="s">
        <v>326</v>
      </c>
      <c r="F148" t="s">
        <v>61</v>
      </c>
      <c r="G148" t="s">
        <v>327</v>
      </c>
      <c r="H148" t="s">
        <v>93</v>
      </c>
    </row>
    <row r="149" spans="1:8" x14ac:dyDescent="0.15">
      <c r="A149" t="s">
        <v>50</v>
      </c>
      <c r="B149">
        <v>1</v>
      </c>
      <c r="C149">
        <v>28</v>
      </c>
      <c r="D149">
        <v>6</v>
      </c>
      <c r="E149" t="s">
        <v>331</v>
      </c>
      <c r="F149" t="s">
        <v>63</v>
      </c>
      <c r="G149" t="s">
        <v>321</v>
      </c>
      <c r="H149" t="s">
        <v>99</v>
      </c>
    </row>
    <row r="150" spans="1:8" x14ac:dyDescent="0.15">
      <c r="A150" t="s">
        <v>50</v>
      </c>
      <c r="B150">
        <v>1</v>
      </c>
      <c r="C150">
        <v>29</v>
      </c>
      <c r="D150">
        <v>6</v>
      </c>
      <c r="E150" t="s">
        <v>331</v>
      </c>
      <c r="F150" t="s">
        <v>58</v>
      </c>
      <c r="G150" t="s">
        <v>321</v>
      </c>
      <c r="H150" t="s">
        <v>99</v>
      </c>
    </row>
    <row r="151" spans="1:8" x14ac:dyDescent="0.15">
      <c r="A151" t="s">
        <v>50</v>
      </c>
      <c r="B151">
        <v>1</v>
      </c>
      <c r="C151">
        <v>30</v>
      </c>
      <c r="D151">
        <v>0</v>
      </c>
      <c r="E151" t="s">
        <v>326</v>
      </c>
      <c r="F151" t="s">
        <v>58</v>
      </c>
      <c r="G151" t="s">
        <v>327</v>
      </c>
      <c r="H151" t="s">
        <v>93</v>
      </c>
    </row>
    <row r="152" spans="1:8" x14ac:dyDescent="0.15">
      <c r="A152" t="s">
        <v>50</v>
      </c>
      <c r="B152">
        <v>1</v>
      </c>
      <c r="C152">
        <v>31</v>
      </c>
      <c r="D152">
        <v>6</v>
      </c>
      <c r="E152" t="s">
        <v>331</v>
      </c>
      <c r="F152" t="s">
        <v>64</v>
      </c>
      <c r="G152" t="s">
        <v>321</v>
      </c>
      <c r="H152" t="s">
        <v>99</v>
      </c>
    </row>
    <row r="153" spans="1:8" x14ac:dyDescent="0.15">
      <c r="A153" t="s">
        <v>50</v>
      </c>
      <c r="B153">
        <v>1</v>
      </c>
      <c r="C153">
        <v>32</v>
      </c>
      <c r="D153">
        <v>6</v>
      </c>
      <c r="E153" t="s">
        <v>331</v>
      </c>
      <c r="F153" t="s">
        <v>52</v>
      </c>
      <c r="G153" t="s">
        <v>321</v>
      </c>
      <c r="H153" t="s">
        <v>99</v>
      </c>
    </row>
    <row r="154" spans="1:8" x14ac:dyDescent="0.15">
      <c r="A154" t="s">
        <v>50</v>
      </c>
      <c r="B154">
        <v>1</v>
      </c>
      <c r="C154">
        <v>33</v>
      </c>
      <c r="D154">
        <v>0</v>
      </c>
      <c r="E154" t="s">
        <v>326</v>
      </c>
      <c r="F154" t="s">
        <v>52</v>
      </c>
      <c r="G154" t="s">
        <v>327</v>
      </c>
      <c r="H154" t="s">
        <v>93</v>
      </c>
    </row>
    <row r="155" spans="1:8" x14ac:dyDescent="0.15">
      <c r="A155" t="s">
        <v>50</v>
      </c>
      <c r="B155">
        <v>1</v>
      </c>
      <c r="C155">
        <v>34</v>
      </c>
      <c r="D155">
        <v>7</v>
      </c>
      <c r="E155" t="s">
        <v>332</v>
      </c>
      <c r="F155" t="s">
        <v>67</v>
      </c>
      <c r="G155" t="s">
        <v>321</v>
      </c>
      <c r="H155" t="s">
        <v>100</v>
      </c>
    </row>
    <row r="156" spans="1:8" x14ac:dyDescent="0.15">
      <c r="A156" t="s">
        <v>50</v>
      </c>
      <c r="B156">
        <v>1</v>
      </c>
      <c r="C156">
        <v>35</v>
      </c>
      <c r="D156">
        <v>7</v>
      </c>
      <c r="E156" t="s">
        <v>332</v>
      </c>
      <c r="F156" t="s">
        <v>65</v>
      </c>
      <c r="G156" t="s">
        <v>321</v>
      </c>
      <c r="H156" t="s">
        <v>100</v>
      </c>
    </row>
    <row r="157" spans="1:8" x14ac:dyDescent="0.15">
      <c r="A157" t="s">
        <v>50</v>
      </c>
      <c r="B157">
        <v>1</v>
      </c>
      <c r="C157">
        <v>36</v>
      </c>
      <c r="D157">
        <v>0</v>
      </c>
      <c r="E157" t="s">
        <v>326</v>
      </c>
      <c r="F157" t="s">
        <v>65</v>
      </c>
      <c r="G157" t="s">
        <v>327</v>
      </c>
      <c r="H157" t="s">
        <v>93</v>
      </c>
    </row>
    <row r="158" spans="1:8" x14ac:dyDescent="0.15">
      <c r="A158" t="s">
        <v>50</v>
      </c>
      <c r="B158">
        <v>1</v>
      </c>
      <c r="C158">
        <v>37</v>
      </c>
      <c r="D158">
        <v>5</v>
      </c>
      <c r="E158" t="s">
        <v>330</v>
      </c>
      <c r="F158" t="s">
        <v>69</v>
      </c>
      <c r="G158" t="s">
        <v>321</v>
      </c>
      <c r="H158" t="s">
        <v>98</v>
      </c>
    </row>
    <row r="159" spans="1:8" x14ac:dyDescent="0.15">
      <c r="A159" t="s">
        <v>50</v>
      </c>
      <c r="B159">
        <v>1</v>
      </c>
      <c r="C159">
        <v>38</v>
      </c>
      <c r="D159">
        <v>5</v>
      </c>
      <c r="E159" t="s">
        <v>330</v>
      </c>
      <c r="F159" t="s">
        <v>68</v>
      </c>
      <c r="G159" t="s">
        <v>321</v>
      </c>
      <c r="H159" t="s">
        <v>98</v>
      </c>
    </row>
    <row r="160" spans="1:8" x14ac:dyDescent="0.15">
      <c r="A160" t="s">
        <v>50</v>
      </c>
      <c r="B160">
        <v>1</v>
      </c>
      <c r="C160">
        <v>39</v>
      </c>
      <c r="D160">
        <v>0</v>
      </c>
      <c r="E160" t="s">
        <v>326</v>
      </c>
      <c r="F160" t="s">
        <v>68</v>
      </c>
      <c r="G160" t="s">
        <v>327</v>
      </c>
      <c r="H160" t="s">
        <v>93</v>
      </c>
    </row>
    <row r="161" spans="1:8" x14ac:dyDescent="0.15">
      <c r="A161" t="s">
        <v>50</v>
      </c>
      <c r="B161">
        <v>1</v>
      </c>
      <c r="C161">
        <v>40</v>
      </c>
      <c r="D161">
        <v>1</v>
      </c>
      <c r="E161" t="s">
        <v>319</v>
      </c>
      <c r="F161" t="s">
        <v>70</v>
      </c>
      <c r="G161" t="s">
        <v>321</v>
      </c>
      <c r="H161" t="s">
        <v>94</v>
      </c>
    </row>
    <row r="162" spans="1:8" x14ac:dyDescent="0.15">
      <c r="A162" t="s">
        <v>50</v>
      </c>
      <c r="B162">
        <v>1</v>
      </c>
      <c r="C162">
        <v>41</v>
      </c>
      <c r="D162">
        <v>5</v>
      </c>
      <c r="E162" t="s">
        <v>330</v>
      </c>
      <c r="F162" t="s">
        <v>56</v>
      </c>
      <c r="G162" t="s">
        <v>321</v>
      </c>
      <c r="H162" t="s">
        <v>98</v>
      </c>
    </row>
    <row r="163" spans="1:8" x14ac:dyDescent="0.15">
      <c r="A163" t="s">
        <v>50</v>
      </c>
      <c r="B163">
        <v>1</v>
      </c>
      <c r="C163">
        <v>42</v>
      </c>
      <c r="D163">
        <v>0</v>
      </c>
      <c r="E163" t="s">
        <v>326</v>
      </c>
      <c r="F163" t="s">
        <v>54</v>
      </c>
      <c r="G163" t="s">
        <v>327</v>
      </c>
      <c r="H163" t="s">
        <v>93</v>
      </c>
    </row>
    <row r="164" spans="1:8" x14ac:dyDescent="0.15">
      <c r="A164" t="s">
        <v>50</v>
      </c>
      <c r="B164">
        <v>1</v>
      </c>
      <c r="C164">
        <v>43</v>
      </c>
      <c r="D164">
        <v>6</v>
      </c>
      <c r="E164" t="s">
        <v>331</v>
      </c>
      <c r="F164" t="s">
        <v>60</v>
      </c>
      <c r="G164" t="s">
        <v>321</v>
      </c>
      <c r="H164" t="s">
        <v>99</v>
      </c>
    </row>
    <row r="165" spans="1:8" x14ac:dyDescent="0.15">
      <c r="A165" t="s">
        <v>50</v>
      </c>
      <c r="B165">
        <v>1</v>
      </c>
      <c r="C165">
        <v>44</v>
      </c>
      <c r="D165">
        <v>0</v>
      </c>
      <c r="E165" t="s">
        <v>326</v>
      </c>
      <c r="F165" t="s">
        <v>57</v>
      </c>
      <c r="G165" t="s">
        <v>327</v>
      </c>
      <c r="H165" t="s">
        <v>93</v>
      </c>
    </row>
    <row r="166" spans="1:8" x14ac:dyDescent="0.15">
      <c r="A166" t="s">
        <v>50</v>
      </c>
      <c r="B166">
        <v>1</v>
      </c>
      <c r="C166">
        <v>45</v>
      </c>
      <c r="D166">
        <v>5</v>
      </c>
      <c r="E166" t="s">
        <v>330</v>
      </c>
      <c r="F166" t="s">
        <v>62</v>
      </c>
      <c r="G166" t="s">
        <v>321</v>
      </c>
      <c r="H166" t="s">
        <v>98</v>
      </c>
    </row>
    <row r="167" spans="1:8" x14ac:dyDescent="0.15">
      <c r="A167" t="s">
        <v>50</v>
      </c>
      <c r="B167">
        <v>1</v>
      </c>
      <c r="C167">
        <v>46</v>
      </c>
      <c r="D167">
        <v>0</v>
      </c>
      <c r="E167" t="s">
        <v>326</v>
      </c>
      <c r="F167" t="s">
        <v>61</v>
      </c>
      <c r="G167" t="s">
        <v>327</v>
      </c>
      <c r="H167" t="s">
        <v>93</v>
      </c>
    </row>
    <row r="168" spans="1:8" x14ac:dyDescent="0.15">
      <c r="A168" t="s">
        <v>50</v>
      </c>
      <c r="B168">
        <v>1</v>
      </c>
      <c r="C168">
        <v>47</v>
      </c>
      <c r="D168">
        <v>6</v>
      </c>
      <c r="E168" t="s">
        <v>331</v>
      </c>
      <c r="F168" t="s">
        <v>63</v>
      </c>
      <c r="G168" t="s">
        <v>321</v>
      </c>
      <c r="H168" t="s">
        <v>99</v>
      </c>
    </row>
    <row r="169" spans="1:8" x14ac:dyDescent="0.15">
      <c r="A169" t="s">
        <v>50</v>
      </c>
      <c r="B169">
        <v>1</v>
      </c>
      <c r="C169">
        <v>48</v>
      </c>
      <c r="D169">
        <v>0</v>
      </c>
      <c r="E169" t="s">
        <v>326</v>
      </c>
      <c r="F169" t="s">
        <v>58</v>
      </c>
      <c r="G169" t="s">
        <v>327</v>
      </c>
      <c r="H169" t="s">
        <v>93</v>
      </c>
    </row>
    <row r="170" spans="1:8" x14ac:dyDescent="0.15">
      <c r="A170" t="s">
        <v>50</v>
      </c>
      <c r="B170">
        <v>1</v>
      </c>
      <c r="C170">
        <v>49</v>
      </c>
      <c r="D170">
        <v>6</v>
      </c>
      <c r="E170" t="s">
        <v>331</v>
      </c>
      <c r="F170" t="s">
        <v>64</v>
      </c>
      <c r="G170" t="s">
        <v>321</v>
      </c>
      <c r="H170" t="s">
        <v>99</v>
      </c>
    </row>
    <row r="171" spans="1:8" x14ac:dyDescent="0.15">
      <c r="A171" t="s">
        <v>50</v>
      </c>
      <c r="B171">
        <v>1</v>
      </c>
      <c r="C171">
        <v>50</v>
      </c>
      <c r="D171">
        <v>0</v>
      </c>
      <c r="E171" t="s">
        <v>326</v>
      </c>
      <c r="F171" t="s">
        <v>52</v>
      </c>
      <c r="G171" t="s">
        <v>327</v>
      </c>
      <c r="H171" t="s">
        <v>93</v>
      </c>
    </row>
    <row r="172" spans="1:8" x14ac:dyDescent="0.15">
      <c r="A172" t="s">
        <v>50</v>
      </c>
      <c r="B172">
        <v>1</v>
      </c>
      <c r="C172">
        <v>51</v>
      </c>
      <c r="D172">
        <v>7</v>
      </c>
      <c r="E172" t="s">
        <v>332</v>
      </c>
      <c r="F172" t="s">
        <v>67</v>
      </c>
      <c r="G172" t="s">
        <v>321</v>
      </c>
      <c r="H172" t="s">
        <v>100</v>
      </c>
    </row>
    <row r="173" spans="1:8" x14ac:dyDescent="0.15">
      <c r="A173" t="s">
        <v>50</v>
      </c>
      <c r="B173">
        <v>1</v>
      </c>
      <c r="C173">
        <v>52</v>
      </c>
      <c r="D173">
        <v>0</v>
      </c>
      <c r="E173" t="s">
        <v>326</v>
      </c>
      <c r="F173" t="s">
        <v>65</v>
      </c>
      <c r="G173" t="s">
        <v>327</v>
      </c>
      <c r="H173" t="s">
        <v>93</v>
      </c>
    </row>
    <row r="174" spans="1:8" x14ac:dyDescent="0.15">
      <c r="A174" t="s">
        <v>50</v>
      </c>
      <c r="B174">
        <v>1</v>
      </c>
      <c r="C174">
        <v>53</v>
      </c>
      <c r="D174">
        <v>5</v>
      </c>
      <c r="E174" t="s">
        <v>330</v>
      </c>
      <c r="F174" t="s">
        <v>69</v>
      </c>
      <c r="G174" t="s">
        <v>321</v>
      </c>
      <c r="H174" t="s">
        <v>98</v>
      </c>
    </row>
    <row r="175" spans="1:8" x14ac:dyDescent="0.15">
      <c r="A175" t="s">
        <v>50</v>
      </c>
      <c r="B175">
        <v>1</v>
      </c>
      <c r="C175">
        <v>54</v>
      </c>
      <c r="D175">
        <v>0</v>
      </c>
      <c r="E175" t="s">
        <v>326</v>
      </c>
      <c r="F175" t="s">
        <v>68</v>
      </c>
      <c r="G175" t="s">
        <v>327</v>
      </c>
      <c r="H175" t="s">
        <v>93</v>
      </c>
    </row>
    <row r="176" spans="1:8" x14ac:dyDescent="0.15">
      <c r="A176" t="s">
        <v>50</v>
      </c>
      <c r="B176">
        <v>1</v>
      </c>
      <c r="C176">
        <v>55</v>
      </c>
      <c r="D176">
        <v>1</v>
      </c>
      <c r="E176" t="s">
        <v>319</v>
      </c>
      <c r="F176" t="s">
        <v>26</v>
      </c>
      <c r="G176" t="s">
        <v>320</v>
      </c>
      <c r="H176" t="s">
        <v>94</v>
      </c>
    </row>
    <row r="177" spans="1:8" x14ac:dyDescent="0.15">
      <c r="A177" t="s">
        <v>50</v>
      </c>
      <c r="B177">
        <v>2</v>
      </c>
      <c r="C177">
        <v>1</v>
      </c>
      <c r="D177">
        <v>1</v>
      </c>
      <c r="E177" t="s">
        <v>319</v>
      </c>
      <c r="F177" t="s">
        <v>71</v>
      </c>
      <c r="G177" t="s">
        <v>321</v>
      </c>
      <c r="H177" t="s">
        <v>94</v>
      </c>
    </row>
    <row r="178" spans="1:8" x14ac:dyDescent="0.15">
      <c r="A178" t="s">
        <v>50</v>
      </c>
      <c r="B178">
        <v>2</v>
      </c>
      <c r="C178">
        <v>2</v>
      </c>
      <c r="D178">
        <v>1</v>
      </c>
      <c r="E178" t="s">
        <v>319</v>
      </c>
      <c r="F178" t="s">
        <v>74</v>
      </c>
      <c r="G178" t="s">
        <v>321</v>
      </c>
      <c r="H178" t="s">
        <v>94</v>
      </c>
    </row>
    <row r="179" spans="1:8" ht="40.5" x14ac:dyDescent="0.15">
      <c r="A179" t="s">
        <v>50</v>
      </c>
      <c r="B179">
        <v>2</v>
      </c>
      <c r="C179">
        <v>3</v>
      </c>
      <c r="D179">
        <v>1</v>
      </c>
      <c r="E179" t="s">
        <v>319</v>
      </c>
      <c r="F179" s="1" t="s">
        <v>329</v>
      </c>
      <c r="G179" t="s">
        <v>321</v>
      </c>
      <c r="H179" t="s">
        <v>94</v>
      </c>
    </row>
    <row r="180" spans="1:8" x14ac:dyDescent="0.15">
      <c r="A180" t="s">
        <v>50</v>
      </c>
      <c r="B180">
        <v>2</v>
      </c>
      <c r="C180">
        <v>4</v>
      </c>
      <c r="D180">
        <v>8</v>
      </c>
      <c r="E180" t="s">
        <v>334</v>
      </c>
      <c r="F180" t="s">
        <v>77</v>
      </c>
      <c r="G180" t="s">
        <v>321</v>
      </c>
      <c r="H180" t="s">
        <v>101</v>
      </c>
    </row>
    <row r="181" spans="1:8" x14ac:dyDescent="0.15">
      <c r="A181" t="s">
        <v>50</v>
      </c>
      <c r="B181">
        <v>2</v>
      </c>
      <c r="C181">
        <v>5</v>
      </c>
      <c r="D181">
        <v>8</v>
      </c>
      <c r="E181" t="s">
        <v>334</v>
      </c>
      <c r="F181" t="s">
        <v>75</v>
      </c>
      <c r="G181" t="s">
        <v>321</v>
      </c>
      <c r="H181" t="s">
        <v>101</v>
      </c>
    </row>
    <row r="182" spans="1:8" x14ac:dyDescent="0.15">
      <c r="A182" t="s">
        <v>50</v>
      </c>
      <c r="B182">
        <v>2</v>
      </c>
      <c r="C182">
        <v>6</v>
      </c>
      <c r="D182">
        <v>5</v>
      </c>
      <c r="E182" t="s">
        <v>330</v>
      </c>
      <c r="F182" t="s">
        <v>78</v>
      </c>
      <c r="G182" t="s">
        <v>321</v>
      </c>
      <c r="H182" t="s">
        <v>98</v>
      </c>
    </row>
    <row r="183" spans="1:8" x14ac:dyDescent="0.15">
      <c r="A183" t="s">
        <v>50</v>
      </c>
      <c r="B183">
        <v>2</v>
      </c>
      <c r="C183">
        <v>7</v>
      </c>
      <c r="D183">
        <v>5</v>
      </c>
      <c r="E183" t="s">
        <v>330</v>
      </c>
      <c r="F183" t="s">
        <v>72</v>
      </c>
      <c r="G183" t="s">
        <v>321</v>
      </c>
      <c r="H183" t="s">
        <v>98</v>
      </c>
    </row>
    <row r="184" spans="1:8" x14ac:dyDescent="0.15">
      <c r="A184" t="s">
        <v>50</v>
      </c>
      <c r="B184">
        <v>2</v>
      </c>
      <c r="C184">
        <v>8</v>
      </c>
      <c r="D184">
        <v>8</v>
      </c>
      <c r="E184" t="s">
        <v>334</v>
      </c>
      <c r="F184" t="s">
        <v>80</v>
      </c>
      <c r="G184" t="s">
        <v>321</v>
      </c>
      <c r="H184" t="s">
        <v>101</v>
      </c>
    </row>
    <row r="185" spans="1:8" x14ac:dyDescent="0.15">
      <c r="A185" t="s">
        <v>50</v>
      </c>
      <c r="B185">
        <v>2</v>
      </c>
      <c r="C185">
        <v>9</v>
      </c>
      <c r="D185">
        <v>8</v>
      </c>
      <c r="E185" t="s">
        <v>334</v>
      </c>
      <c r="F185" t="s">
        <v>79</v>
      </c>
      <c r="G185" t="s">
        <v>321</v>
      </c>
      <c r="H185" t="s">
        <v>101</v>
      </c>
    </row>
    <row r="186" spans="1:8" x14ac:dyDescent="0.15">
      <c r="A186" t="s">
        <v>50</v>
      </c>
      <c r="B186">
        <v>2</v>
      </c>
      <c r="C186">
        <v>10</v>
      </c>
      <c r="D186">
        <v>5</v>
      </c>
      <c r="E186" t="s">
        <v>330</v>
      </c>
      <c r="F186" t="s">
        <v>81</v>
      </c>
      <c r="G186" t="s">
        <v>321</v>
      </c>
      <c r="H186" t="s">
        <v>98</v>
      </c>
    </row>
    <row r="187" spans="1:8" x14ac:dyDescent="0.15">
      <c r="A187" t="s">
        <v>50</v>
      </c>
      <c r="B187">
        <v>2</v>
      </c>
      <c r="C187">
        <v>11</v>
      </c>
      <c r="D187">
        <v>5</v>
      </c>
      <c r="E187" t="s">
        <v>330</v>
      </c>
      <c r="F187" t="s">
        <v>73</v>
      </c>
      <c r="G187" t="s">
        <v>321</v>
      </c>
      <c r="H187" t="s">
        <v>98</v>
      </c>
    </row>
    <row r="188" spans="1:8" x14ac:dyDescent="0.15">
      <c r="A188" t="s">
        <v>50</v>
      </c>
      <c r="B188">
        <v>2</v>
      </c>
      <c r="C188">
        <v>12</v>
      </c>
      <c r="D188">
        <v>8</v>
      </c>
      <c r="E188" t="s">
        <v>334</v>
      </c>
      <c r="F188" t="s">
        <v>83</v>
      </c>
      <c r="G188" t="s">
        <v>321</v>
      </c>
      <c r="H188" t="s">
        <v>101</v>
      </c>
    </row>
    <row r="189" spans="1:8" x14ac:dyDescent="0.15">
      <c r="A189" t="s">
        <v>50</v>
      </c>
      <c r="B189">
        <v>2</v>
      </c>
      <c r="C189">
        <v>13</v>
      </c>
      <c r="D189">
        <v>8</v>
      </c>
      <c r="E189" t="s">
        <v>334</v>
      </c>
      <c r="F189" t="s">
        <v>82</v>
      </c>
      <c r="G189" t="s">
        <v>321</v>
      </c>
      <c r="H189" t="s">
        <v>101</v>
      </c>
    </row>
    <row r="190" spans="1:8" x14ac:dyDescent="0.15">
      <c r="A190" t="s">
        <v>50</v>
      </c>
      <c r="B190">
        <v>2</v>
      </c>
      <c r="C190">
        <v>14</v>
      </c>
      <c r="D190">
        <v>5</v>
      </c>
      <c r="E190" t="s">
        <v>330</v>
      </c>
      <c r="F190" t="s">
        <v>87</v>
      </c>
      <c r="G190" t="s">
        <v>321</v>
      </c>
      <c r="H190" t="s">
        <v>98</v>
      </c>
    </row>
    <row r="191" spans="1:8" x14ac:dyDescent="0.15">
      <c r="A191" t="s">
        <v>50</v>
      </c>
      <c r="B191">
        <v>2</v>
      </c>
      <c r="C191">
        <v>15</v>
      </c>
      <c r="D191">
        <v>5</v>
      </c>
      <c r="E191" t="s">
        <v>330</v>
      </c>
      <c r="F191" t="s">
        <v>84</v>
      </c>
      <c r="G191" t="s">
        <v>321</v>
      </c>
      <c r="H191" t="s">
        <v>98</v>
      </c>
    </row>
    <row r="192" spans="1:8" x14ac:dyDescent="0.15">
      <c r="A192" t="s">
        <v>50</v>
      </c>
      <c r="B192">
        <v>2</v>
      </c>
      <c r="C192">
        <v>16</v>
      </c>
      <c r="D192">
        <v>8</v>
      </c>
      <c r="E192" t="s">
        <v>334</v>
      </c>
      <c r="F192" t="s">
        <v>86</v>
      </c>
      <c r="G192" t="s">
        <v>321</v>
      </c>
      <c r="H192" t="s">
        <v>101</v>
      </c>
    </row>
    <row r="193" spans="1:8" x14ac:dyDescent="0.15">
      <c r="A193" t="s">
        <v>50</v>
      </c>
      <c r="B193">
        <v>2</v>
      </c>
      <c r="C193">
        <v>17</v>
      </c>
      <c r="D193">
        <v>8</v>
      </c>
      <c r="E193" t="s">
        <v>334</v>
      </c>
      <c r="F193" t="s">
        <v>85</v>
      </c>
      <c r="G193" t="s">
        <v>321</v>
      </c>
      <c r="H193" t="s">
        <v>101</v>
      </c>
    </row>
    <row r="194" spans="1:8" x14ac:dyDescent="0.15">
      <c r="A194" t="s">
        <v>50</v>
      </c>
      <c r="B194">
        <v>2</v>
      </c>
      <c r="C194">
        <v>18</v>
      </c>
      <c r="D194">
        <v>1</v>
      </c>
      <c r="E194" t="s">
        <v>319</v>
      </c>
      <c r="F194" t="s">
        <v>333</v>
      </c>
      <c r="G194" t="s">
        <v>321</v>
      </c>
      <c r="H194" t="s">
        <v>94</v>
      </c>
    </row>
    <row r="195" spans="1:8" x14ac:dyDescent="0.15">
      <c r="A195" t="s">
        <v>50</v>
      </c>
      <c r="B195">
        <v>2</v>
      </c>
      <c r="C195">
        <v>19</v>
      </c>
      <c r="D195">
        <v>8</v>
      </c>
      <c r="E195" t="s">
        <v>334</v>
      </c>
      <c r="F195" t="s">
        <v>77</v>
      </c>
      <c r="G195" t="s">
        <v>321</v>
      </c>
      <c r="H195" t="s">
        <v>101</v>
      </c>
    </row>
    <row r="196" spans="1:8" x14ac:dyDescent="0.15">
      <c r="A196" t="s">
        <v>50</v>
      </c>
      <c r="B196">
        <v>2</v>
      </c>
      <c r="C196">
        <v>20</v>
      </c>
      <c r="D196">
        <v>8</v>
      </c>
      <c r="E196" t="s">
        <v>334</v>
      </c>
      <c r="F196" t="s">
        <v>75</v>
      </c>
      <c r="G196" t="s">
        <v>321</v>
      </c>
      <c r="H196" t="s">
        <v>101</v>
      </c>
    </row>
    <row r="197" spans="1:8" x14ac:dyDescent="0.15">
      <c r="A197" t="s">
        <v>50</v>
      </c>
      <c r="B197">
        <v>2</v>
      </c>
      <c r="C197">
        <v>21</v>
      </c>
      <c r="D197">
        <v>0</v>
      </c>
      <c r="E197" t="s">
        <v>326</v>
      </c>
      <c r="F197" t="s">
        <v>75</v>
      </c>
      <c r="G197" t="s">
        <v>327</v>
      </c>
      <c r="H197" t="s">
        <v>93</v>
      </c>
    </row>
    <row r="198" spans="1:8" x14ac:dyDescent="0.15">
      <c r="A198" t="s">
        <v>50</v>
      </c>
      <c r="B198">
        <v>2</v>
      </c>
      <c r="C198">
        <v>22</v>
      </c>
      <c r="D198">
        <v>5</v>
      </c>
      <c r="E198" t="s">
        <v>330</v>
      </c>
      <c r="F198" t="s">
        <v>78</v>
      </c>
      <c r="G198" t="s">
        <v>321</v>
      </c>
      <c r="H198" t="s">
        <v>98</v>
      </c>
    </row>
    <row r="199" spans="1:8" x14ac:dyDescent="0.15">
      <c r="A199" t="s">
        <v>50</v>
      </c>
      <c r="B199">
        <v>2</v>
      </c>
      <c r="C199">
        <v>23</v>
      </c>
      <c r="D199">
        <v>5</v>
      </c>
      <c r="E199" t="s">
        <v>330</v>
      </c>
      <c r="F199" t="s">
        <v>72</v>
      </c>
      <c r="G199" t="s">
        <v>321</v>
      </c>
      <c r="H199" t="s">
        <v>98</v>
      </c>
    </row>
    <row r="200" spans="1:8" x14ac:dyDescent="0.15">
      <c r="A200" t="s">
        <v>50</v>
      </c>
      <c r="B200">
        <v>2</v>
      </c>
      <c r="C200">
        <v>24</v>
      </c>
      <c r="D200">
        <v>0</v>
      </c>
      <c r="E200" t="s">
        <v>326</v>
      </c>
      <c r="F200" t="s">
        <v>72</v>
      </c>
      <c r="G200" t="s">
        <v>327</v>
      </c>
      <c r="H200" t="s">
        <v>93</v>
      </c>
    </row>
    <row r="201" spans="1:8" x14ac:dyDescent="0.15">
      <c r="A201" t="s">
        <v>50</v>
      </c>
      <c r="B201">
        <v>2</v>
      </c>
      <c r="C201">
        <v>25</v>
      </c>
      <c r="D201">
        <v>8</v>
      </c>
      <c r="E201" t="s">
        <v>334</v>
      </c>
      <c r="F201" t="s">
        <v>80</v>
      </c>
      <c r="G201" t="s">
        <v>321</v>
      </c>
      <c r="H201" t="s">
        <v>101</v>
      </c>
    </row>
    <row r="202" spans="1:8" x14ac:dyDescent="0.15">
      <c r="A202" t="s">
        <v>50</v>
      </c>
      <c r="B202">
        <v>2</v>
      </c>
      <c r="C202">
        <v>26</v>
      </c>
      <c r="D202">
        <v>8</v>
      </c>
      <c r="E202" t="s">
        <v>334</v>
      </c>
      <c r="F202" t="s">
        <v>79</v>
      </c>
      <c r="G202" t="s">
        <v>321</v>
      </c>
      <c r="H202" t="s">
        <v>101</v>
      </c>
    </row>
    <row r="203" spans="1:8" x14ac:dyDescent="0.15">
      <c r="A203" t="s">
        <v>50</v>
      </c>
      <c r="B203">
        <v>2</v>
      </c>
      <c r="C203">
        <v>27</v>
      </c>
      <c r="D203">
        <v>0</v>
      </c>
      <c r="E203" t="s">
        <v>326</v>
      </c>
      <c r="F203" t="s">
        <v>79</v>
      </c>
      <c r="G203" t="s">
        <v>327</v>
      </c>
      <c r="H203" t="s">
        <v>93</v>
      </c>
    </row>
    <row r="204" spans="1:8" x14ac:dyDescent="0.15">
      <c r="A204" t="s">
        <v>50</v>
      </c>
      <c r="B204">
        <v>2</v>
      </c>
      <c r="C204">
        <v>28</v>
      </c>
      <c r="D204">
        <v>5</v>
      </c>
      <c r="E204" t="s">
        <v>330</v>
      </c>
      <c r="F204" t="s">
        <v>81</v>
      </c>
      <c r="G204" t="s">
        <v>321</v>
      </c>
      <c r="H204" t="s">
        <v>98</v>
      </c>
    </row>
    <row r="205" spans="1:8" x14ac:dyDescent="0.15">
      <c r="A205" t="s">
        <v>50</v>
      </c>
      <c r="B205">
        <v>2</v>
      </c>
      <c r="C205">
        <v>29</v>
      </c>
      <c r="D205">
        <v>5</v>
      </c>
      <c r="E205" t="s">
        <v>330</v>
      </c>
      <c r="F205" t="s">
        <v>73</v>
      </c>
      <c r="G205" t="s">
        <v>321</v>
      </c>
      <c r="H205" t="s">
        <v>98</v>
      </c>
    </row>
    <row r="206" spans="1:8" x14ac:dyDescent="0.15">
      <c r="A206" t="s">
        <v>50</v>
      </c>
      <c r="B206">
        <v>2</v>
      </c>
      <c r="C206">
        <v>30</v>
      </c>
      <c r="D206">
        <v>0</v>
      </c>
      <c r="E206" t="s">
        <v>326</v>
      </c>
      <c r="F206" t="s">
        <v>73</v>
      </c>
      <c r="G206" t="s">
        <v>327</v>
      </c>
      <c r="H206" t="s">
        <v>93</v>
      </c>
    </row>
    <row r="207" spans="1:8" x14ac:dyDescent="0.15">
      <c r="A207" t="s">
        <v>50</v>
      </c>
      <c r="B207">
        <v>2</v>
      </c>
      <c r="C207">
        <v>31</v>
      </c>
      <c r="D207">
        <v>8</v>
      </c>
      <c r="E207" t="s">
        <v>334</v>
      </c>
      <c r="F207" t="s">
        <v>83</v>
      </c>
      <c r="G207" t="s">
        <v>321</v>
      </c>
      <c r="H207" t="s">
        <v>101</v>
      </c>
    </row>
    <row r="208" spans="1:8" x14ac:dyDescent="0.15">
      <c r="A208" t="s">
        <v>50</v>
      </c>
      <c r="B208">
        <v>2</v>
      </c>
      <c r="C208">
        <v>32</v>
      </c>
      <c r="D208">
        <v>8</v>
      </c>
      <c r="E208" t="s">
        <v>334</v>
      </c>
      <c r="F208" t="s">
        <v>82</v>
      </c>
      <c r="G208" t="s">
        <v>321</v>
      </c>
      <c r="H208" t="s">
        <v>101</v>
      </c>
    </row>
    <row r="209" spans="1:8" x14ac:dyDescent="0.15">
      <c r="A209" t="s">
        <v>50</v>
      </c>
      <c r="B209">
        <v>2</v>
      </c>
      <c r="C209">
        <v>33</v>
      </c>
      <c r="D209">
        <v>0</v>
      </c>
      <c r="E209" t="s">
        <v>326</v>
      </c>
      <c r="F209" t="s">
        <v>82</v>
      </c>
      <c r="G209" t="s">
        <v>327</v>
      </c>
      <c r="H209" t="s">
        <v>93</v>
      </c>
    </row>
    <row r="210" spans="1:8" x14ac:dyDescent="0.15">
      <c r="A210" t="s">
        <v>50</v>
      </c>
      <c r="B210">
        <v>2</v>
      </c>
      <c r="C210">
        <v>34</v>
      </c>
      <c r="D210">
        <v>5</v>
      </c>
      <c r="E210" t="s">
        <v>330</v>
      </c>
      <c r="F210" t="s">
        <v>87</v>
      </c>
      <c r="G210" t="s">
        <v>321</v>
      </c>
      <c r="H210" t="s">
        <v>98</v>
      </c>
    </row>
    <row r="211" spans="1:8" x14ac:dyDescent="0.15">
      <c r="A211" t="s">
        <v>50</v>
      </c>
      <c r="B211">
        <v>2</v>
      </c>
      <c r="C211">
        <v>35</v>
      </c>
      <c r="D211">
        <v>5</v>
      </c>
      <c r="E211" t="s">
        <v>330</v>
      </c>
      <c r="F211" t="s">
        <v>84</v>
      </c>
      <c r="G211" t="s">
        <v>321</v>
      </c>
      <c r="H211" t="s">
        <v>98</v>
      </c>
    </row>
    <row r="212" spans="1:8" x14ac:dyDescent="0.15">
      <c r="A212" t="s">
        <v>50</v>
      </c>
      <c r="B212">
        <v>2</v>
      </c>
      <c r="C212">
        <v>36</v>
      </c>
      <c r="D212">
        <v>0</v>
      </c>
      <c r="E212" t="s">
        <v>326</v>
      </c>
      <c r="F212" t="s">
        <v>84</v>
      </c>
      <c r="G212" t="s">
        <v>327</v>
      </c>
      <c r="H212" t="s">
        <v>93</v>
      </c>
    </row>
    <row r="213" spans="1:8" x14ac:dyDescent="0.15">
      <c r="A213" t="s">
        <v>50</v>
      </c>
      <c r="B213">
        <v>2</v>
      </c>
      <c r="C213">
        <v>37</v>
      </c>
      <c r="D213">
        <v>8</v>
      </c>
      <c r="E213" t="s">
        <v>334</v>
      </c>
      <c r="F213" t="s">
        <v>86</v>
      </c>
      <c r="G213" t="s">
        <v>321</v>
      </c>
      <c r="H213" t="s">
        <v>101</v>
      </c>
    </row>
    <row r="214" spans="1:8" x14ac:dyDescent="0.15">
      <c r="A214" t="s">
        <v>50</v>
      </c>
      <c r="B214">
        <v>2</v>
      </c>
      <c r="C214">
        <v>38</v>
      </c>
      <c r="D214">
        <v>8</v>
      </c>
      <c r="E214" t="s">
        <v>334</v>
      </c>
      <c r="F214" t="s">
        <v>85</v>
      </c>
      <c r="G214" t="s">
        <v>321</v>
      </c>
      <c r="H214" t="s">
        <v>101</v>
      </c>
    </row>
    <row r="215" spans="1:8" x14ac:dyDescent="0.15">
      <c r="A215" t="s">
        <v>50</v>
      </c>
      <c r="B215">
        <v>2</v>
      </c>
      <c r="C215">
        <v>39</v>
      </c>
      <c r="D215">
        <v>0</v>
      </c>
      <c r="E215" t="s">
        <v>326</v>
      </c>
      <c r="F215" t="s">
        <v>85</v>
      </c>
      <c r="G215" t="s">
        <v>327</v>
      </c>
      <c r="H215" t="s">
        <v>93</v>
      </c>
    </row>
    <row r="216" spans="1:8" x14ac:dyDescent="0.15">
      <c r="A216" t="s">
        <v>50</v>
      </c>
      <c r="B216">
        <v>2</v>
      </c>
      <c r="C216">
        <v>40</v>
      </c>
      <c r="D216">
        <v>1</v>
      </c>
      <c r="E216" t="s">
        <v>319</v>
      </c>
      <c r="F216" t="s">
        <v>70</v>
      </c>
      <c r="G216" t="s">
        <v>321</v>
      </c>
      <c r="H216" t="s">
        <v>94</v>
      </c>
    </row>
    <row r="217" spans="1:8" x14ac:dyDescent="0.15">
      <c r="A217" t="s">
        <v>50</v>
      </c>
      <c r="B217">
        <v>2</v>
      </c>
      <c r="C217">
        <v>41</v>
      </c>
      <c r="D217">
        <v>8</v>
      </c>
      <c r="E217" t="s">
        <v>334</v>
      </c>
      <c r="F217" t="s">
        <v>77</v>
      </c>
      <c r="G217" t="s">
        <v>321</v>
      </c>
      <c r="H217" t="s">
        <v>101</v>
      </c>
    </row>
    <row r="218" spans="1:8" x14ac:dyDescent="0.15">
      <c r="A218" t="s">
        <v>50</v>
      </c>
      <c r="B218">
        <v>2</v>
      </c>
      <c r="C218">
        <v>42</v>
      </c>
      <c r="D218">
        <v>0</v>
      </c>
      <c r="E218" t="s">
        <v>326</v>
      </c>
      <c r="F218" t="s">
        <v>75</v>
      </c>
      <c r="G218" t="s">
        <v>327</v>
      </c>
      <c r="H218" t="s">
        <v>93</v>
      </c>
    </row>
    <row r="219" spans="1:8" x14ac:dyDescent="0.15">
      <c r="A219" t="s">
        <v>50</v>
      </c>
      <c r="B219">
        <v>2</v>
      </c>
      <c r="C219">
        <v>43</v>
      </c>
      <c r="D219">
        <v>5</v>
      </c>
      <c r="E219" t="s">
        <v>330</v>
      </c>
      <c r="F219" t="s">
        <v>78</v>
      </c>
      <c r="G219" t="s">
        <v>321</v>
      </c>
      <c r="H219" t="s">
        <v>98</v>
      </c>
    </row>
    <row r="220" spans="1:8" x14ac:dyDescent="0.15">
      <c r="A220" t="s">
        <v>50</v>
      </c>
      <c r="B220">
        <v>2</v>
      </c>
      <c r="C220">
        <v>44</v>
      </c>
      <c r="D220">
        <v>0</v>
      </c>
      <c r="E220" t="s">
        <v>326</v>
      </c>
      <c r="F220" t="s">
        <v>72</v>
      </c>
      <c r="G220" t="s">
        <v>327</v>
      </c>
      <c r="H220" t="s">
        <v>93</v>
      </c>
    </row>
    <row r="221" spans="1:8" x14ac:dyDescent="0.15">
      <c r="A221" t="s">
        <v>50</v>
      </c>
      <c r="B221">
        <v>2</v>
      </c>
      <c r="C221">
        <v>45</v>
      </c>
      <c r="D221">
        <v>8</v>
      </c>
      <c r="E221" t="s">
        <v>334</v>
      </c>
      <c r="F221" t="s">
        <v>80</v>
      </c>
      <c r="G221" t="s">
        <v>321</v>
      </c>
      <c r="H221" t="s">
        <v>101</v>
      </c>
    </row>
    <row r="222" spans="1:8" x14ac:dyDescent="0.15">
      <c r="A222" t="s">
        <v>50</v>
      </c>
      <c r="B222">
        <v>2</v>
      </c>
      <c r="C222">
        <v>46</v>
      </c>
      <c r="D222">
        <v>0</v>
      </c>
      <c r="E222" t="s">
        <v>326</v>
      </c>
      <c r="F222" t="s">
        <v>79</v>
      </c>
      <c r="G222" t="s">
        <v>327</v>
      </c>
      <c r="H222" t="s">
        <v>93</v>
      </c>
    </row>
    <row r="223" spans="1:8" x14ac:dyDescent="0.15">
      <c r="A223" t="s">
        <v>50</v>
      </c>
      <c r="B223">
        <v>2</v>
      </c>
      <c r="C223">
        <v>47</v>
      </c>
      <c r="D223">
        <v>5</v>
      </c>
      <c r="E223" t="s">
        <v>330</v>
      </c>
      <c r="F223" t="s">
        <v>81</v>
      </c>
      <c r="G223" t="s">
        <v>321</v>
      </c>
      <c r="H223" t="s">
        <v>98</v>
      </c>
    </row>
    <row r="224" spans="1:8" x14ac:dyDescent="0.15">
      <c r="A224" t="s">
        <v>50</v>
      </c>
      <c r="B224">
        <v>2</v>
      </c>
      <c r="C224">
        <v>48</v>
      </c>
      <c r="D224">
        <v>0</v>
      </c>
      <c r="E224" t="s">
        <v>326</v>
      </c>
      <c r="F224" t="s">
        <v>73</v>
      </c>
      <c r="G224" t="s">
        <v>327</v>
      </c>
      <c r="H224" t="s">
        <v>93</v>
      </c>
    </row>
    <row r="225" spans="1:8" x14ac:dyDescent="0.15">
      <c r="A225" t="s">
        <v>50</v>
      </c>
      <c r="B225">
        <v>2</v>
      </c>
      <c r="C225">
        <v>49</v>
      </c>
      <c r="D225">
        <v>8</v>
      </c>
      <c r="E225" t="s">
        <v>334</v>
      </c>
      <c r="F225" t="s">
        <v>83</v>
      </c>
      <c r="G225" t="s">
        <v>321</v>
      </c>
      <c r="H225" t="s">
        <v>101</v>
      </c>
    </row>
    <row r="226" spans="1:8" x14ac:dyDescent="0.15">
      <c r="A226" t="s">
        <v>50</v>
      </c>
      <c r="B226">
        <v>2</v>
      </c>
      <c r="C226">
        <v>50</v>
      </c>
      <c r="D226">
        <v>0</v>
      </c>
      <c r="E226" t="s">
        <v>326</v>
      </c>
      <c r="F226" t="s">
        <v>82</v>
      </c>
      <c r="G226" t="s">
        <v>327</v>
      </c>
      <c r="H226" t="s">
        <v>93</v>
      </c>
    </row>
    <row r="227" spans="1:8" x14ac:dyDescent="0.15">
      <c r="A227" t="s">
        <v>50</v>
      </c>
      <c r="B227">
        <v>2</v>
      </c>
      <c r="C227">
        <v>51</v>
      </c>
      <c r="D227">
        <v>5</v>
      </c>
      <c r="E227" t="s">
        <v>330</v>
      </c>
      <c r="F227" t="s">
        <v>87</v>
      </c>
      <c r="G227" t="s">
        <v>321</v>
      </c>
      <c r="H227" t="s">
        <v>98</v>
      </c>
    </row>
    <row r="228" spans="1:8" x14ac:dyDescent="0.15">
      <c r="A228" t="s">
        <v>50</v>
      </c>
      <c r="B228">
        <v>2</v>
      </c>
      <c r="C228">
        <v>52</v>
      </c>
      <c r="D228">
        <v>0</v>
      </c>
      <c r="E228" t="s">
        <v>326</v>
      </c>
      <c r="F228" t="s">
        <v>84</v>
      </c>
      <c r="G228" t="s">
        <v>327</v>
      </c>
      <c r="H228" t="s">
        <v>93</v>
      </c>
    </row>
    <row r="229" spans="1:8" x14ac:dyDescent="0.15">
      <c r="A229" t="s">
        <v>50</v>
      </c>
      <c r="B229">
        <v>2</v>
      </c>
      <c r="C229">
        <v>53</v>
      </c>
      <c r="D229">
        <v>8</v>
      </c>
      <c r="E229" t="s">
        <v>334</v>
      </c>
      <c r="F229" t="s">
        <v>86</v>
      </c>
      <c r="G229" t="s">
        <v>321</v>
      </c>
      <c r="H229" t="s">
        <v>101</v>
      </c>
    </row>
    <row r="230" spans="1:8" x14ac:dyDescent="0.15">
      <c r="A230" t="s">
        <v>50</v>
      </c>
      <c r="B230">
        <v>2</v>
      </c>
      <c r="C230">
        <v>54</v>
      </c>
      <c r="D230">
        <v>0</v>
      </c>
      <c r="E230" t="s">
        <v>326</v>
      </c>
      <c r="F230" t="s">
        <v>85</v>
      </c>
      <c r="G230" t="s">
        <v>327</v>
      </c>
      <c r="H230" t="s">
        <v>93</v>
      </c>
    </row>
    <row r="231" spans="1:8" x14ac:dyDescent="0.15">
      <c r="A231" t="s">
        <v>50</v>
      </c>
      <c r="B231">
        <v>2</v>
      </c>
      <c r="C231">
        <v>55</v>
      </c>
      <c r="D231">
        <v>1</v>
      </c>
      <c r="E231" t="s">
        <v>319</v>
      </c>
      <c r="F231" t="s">
        <v>335</v>
      </c>
      <c r="G231" t="s">
        <v>320</v>
      </c>
      <c r="H231" t="s">
        <v>94</v>
      </c>
    </row>
    <row r="232" spans="1:8" x14ac:dyDescent="0.15">
      <c r="A232" t="s">
        <v>17</v>
      </c>
      <c r="B232">
        <v>3</v>
      </c>
      <c r="C232">
        <v>1</v>
      </c>
      <c r="D232">
        <v>1</v>
      </c>
      <c r="E232" t="s">
        <v>319</v>
      </c>
      <c r="F232" t="s">
        <v>104</v>
      </c>
      <c r="G232" t="s">
        <v>321</v>
      </c>
      <c r="H232" t="s">
        <v>94</v>
      </c>
    </row>
    <row r="233" spans="1:8" x14ac:dyDescent="0.15">
      <c r="A233" t="s">
        <v>17</v>
      </c>
      <c r="B233">
        <v>3</v>
      </c>
      <c r="C233">
        <v>2</v>
      </c>
      <c r="D233">
        <v>1</v>
      </c>
      <c r="E233" t="s">
        <v>319</v>
      </c>
      <c r="F233" t="s">
        <v>110</v>
      </c>
      <c r="G233" t="s">
        <v>321</v>
      </c>
      <c r="H233" t="s">
        <v>94</v>
      </c>
    </row>
    <row r="234" spans="1:8" ht="40.5" x14ac:dyDescent="0.15">
      <c r="A234" t="s">
        <v>17</v>
      </c>
      <c r="B234">
        <v>3</v>
      </c>
      <c r="C234">
        <v>3</v>
      </c>
      <c r="D234">
        <v>1</v>
      </c>
      <c r="E234" t="s">
        <v>319</v>
      </c>
      <c r="F234" s="1" t="s">
        <v>322</v>
      </c>
      <c r="G234" t="s">
        <v>321</v>
      </c>
      <c r="H234" t="s">
        <v>94</v>
      </c>
    </row>
    <row r="235" spans="1:8" x14ac:dyDescent="0.15">
      <c r="A235" t="s">
        <v>17</v>
      </c>
      <c r="B235">
        <v>3</v>
      </c>
      <c r="C235">
        <v>4</v>
      </c>
      <c r="D235">
        <v>3</v>
      </c>
      <c r="E235" t="s">
        <v>324</v>
      </c>
      <c r="F235" t="s">
        <v>111</v>
      </c>
      <c r="G235" t="s">
        <v>321</v>
      </c>
      <c r="H235" t="s">
        <v>96</v>
      </c>
    </row>
    <row r="236" spans="1:8" x14ac:dyDescent="0.15">
      <c r="A236" t="s">
        <v>17</v>
      </c>
      <c r="B236">
        <v>3</v>
      </c>
      <c r="C236">
        <v>5</v>
      </c>
      <c r="D236">
        <v>3</v>
      </c>
      <c r="E236" t="s">
        <v>324</v>
      </c>
      <c r="F236" t="s">
        <v>112</v>
      </c>
      <c r="G236" t="s">
        <v>321</v>
      </c>
      <c r="H236" t="s">
        <v>96</v>
      </c>
    </row>
    <row r="237" spans="1:8" x14ac:dyDescent="0.15">
      <c r="A237" t="s">
        <v>17</v>
      </c>
      <c r="B237">
        <v>3</v>
      </c>
      <c r="C237">
        <v>6</v>
      </c>
      <c r="D237">
        <v>2</v>
      </c>
      <c r="E237" t="s">
        <v>323</v>
      </c>
      <c r="F237" t="s">
        <v>116</v>
      </c>
      <c r="G237" t="s">
        <v>321</v>
      </c>
      <c r="H237" t="s">
        <v>95</v>
      </c>
    </row>
    <row r="238" spans="1:8" x14ac:dyDescent="0.15">
      <c r="A238" t="s">
        <v>17</v>
      </c>
      <c r="B238">
        <v>3</v>
      </c>
      <c r="C238">
        <v>7</v>
      </c>
      <c r="D238">
        <v>2</v>
      </c>
      <c r="E238" t="s">
        <v>323</v>
      </c>
      <c r="F238" t="s">
        <v>6</v>
      </c>
      <c r="G238" t="s">
        <v>321</v>
      </c>
      <c r="H238" t="s">
        <v>95</v>
      </c>
    </row>
    <row r="239" spans="1:8" x14ac:dyDescent="0.15">
      <c r="A239" t="s">
        <v>17</v>
      </c>
      <c r="B239">
        <v>3</v>
      </c>
      <c r="C239">
        <v>8</v>
      </c>
      <c r="D239">
        <v>3</v>
      </c>
      <c r="E239" t="s">
        <v>324</v>
      </c>
      <c r="F239" t="s">
        <v>118</v>
      </c>
      <c r="G239" t="s">
        <v>321</v>
      </c>
      <c r="H239" t="s">
        <v>96</v>
      </c>
    </row>
    <row r="240" spans="1:8" x14ac:dyDescent="0.15">
      <c r="A240" t="s">
        <v>17</v>
      </c>
      <c r="B240">
        <v>3</v>
      </c>
      <c r="C240">
        <v>9</v>
      </c>
      <c r="D240">
        <v>3</v>
      </c>
      <c r="E240" t="s">
        <v>324</v>
      </c>
      <c r="F240" t="s">
        <v>117</v>
      </c>
      <c r="G240" t="s">
        <v>321</v>
      </c>
      <c r="H240" t="s">
        <v>96</v>
      </c>
    </row>
    <row r="241" spans="1:8" x14ac:dyDescent="0.15">
      <c r="A241" t="s">
        <v>17</v>
      </c>
      <c r="B241">
        <v>3</v>
      </c>
      <c r="C241">
        <v>10</v>
      </c>
      <c r="D241">
        <v>2</v>
      </c>
      <c r="E241" t="s">
        <v>323</v>
      </c>
      <c r="F241" t="s">
        <v>119</v>
      </c>
      <c r="G241" t="s">
        <v>321</v>
      </c>
      <c r="H241" t="s">
        <v>95</v>
      </c>
    </row>
    <row r="242" spans="1:8" x14ac:dyDescent="0.15">
      <c r="A242" t="s">
        <v>17</v>
      </c>
      <c r="B242">
        <v>3</v>
      </c>
      <c r="C242">
        <v>11</v>
      </c>
      <c r="D242">
        <v>2</v>
      </c>
      <c r="E242" t="s">
        <v>323</v>
      </c>
      <c r="F242" t="s">
        <v>105</v>
      </c>
      <c r="G242" t="s">
        <v>321</v>
      </c>
      <c r="H242" t="s">
        <v>95</v>
      </c>
    </row>
    <row r="243" spans="1:8" x14ac:dyDescent="0.15">
      <c r="A243" t="s">
        <v>17</v>
      </c>
      <c r="B243">
        <v>3</v>
      </c>
      <c r="C243">
        <v>12</v>
      </c>
      <c r="D243">
        <v>2</v>
      </c>
      <c r="E243" t="s">
        <v>323</v>
      </c>
      <c r="F243" t="s">
        <v>120</v>
      </c>
      <c r="G243" t="s">
        <v>321</v>
      </c>
      <c r="H243" t="s">
        <v>95</v>
      </c>
    </row>
    <row r="244" spans="1:8" x14ac:dyDescent="0.15">
      <c r="A244" t="s">
        <v>17</v>
      </c>
      <c r="B244">
        <v>3</v>
      </c>
      <c r="C244">
        <v>13</v>
      </c>
      <c r="D244">
        <v>2</v>
      </c>
      <c r="E244" t="s">
        <v>323</v>
      </c>
      <c r="F244" t="s">
        <v>106</v>
      </c>
      <c r="G244" t="s">
        <v>321</v>
      </c>
      <c r="H244" t="s">
        <v>95</v>
      </c>
    </row>
    <row r="245" spans="1:8" x14ac:dyDescent="0.15">
      <c r="A245" t="s">
        <v>17</v>
      </c>
      <c r="B245">
        <v>3</v>
      </c>
      <c r="C245">
        <v>14</v>
      </c>
      <c r="D245">
        <v>2</v>
      </c>
      <c r="E245" t="s">
        <v>323</v>
      </c>
      <c r="F245" t="s">
        <v>121</v>
      </c>
      <c r="G245" t="s">
        <v>321</v>
      </c>
      <c r="H245" t="s">
        <v>95</v>
      </c>
    </row>
    <row r="246" spans="1:8" x14ac:dyDescent="0.15">
      <c r="A246" t="s">
        <v>17</v>
      </c>
      <c r="B246">
        <v>3</v>
      </c>
      <c r="C246">
        <v>15</v>
      </c>
      <c r="D246">
        <v>2</v>
      </c>
      <c r="E246" t="s">
        <v>323</v>
      </c>
      <c r="F246" t="s">
        <v>107</v>
      </c>
      <c r="G246" t="s">
        <v>321</v>
      </c>
      <c r="H246" t="s">
        <v>95</v>
      </c>
    </row>
    <row r="247" spans="1:8" x14ac:dyDescent="0.15">
      <c r="A247" t="s">
        <v>17</v>
      </c>
      <c r="B247">
        <v>3</v>
      </c>
      <c r="C247">
        <v>16</v>
      </c>
      <c r="D247">
        <v>2</v>
      </c>
      <c r="E247" t="s">
        <v>323</v>
      </c>
      <c r="F247" t="s">
        <v>122</v>
      </c>
      <c r="G247" t="s">
        <v>321</v>
      </c>
      <c r="H247" t="s">
        <v>95</v>
      </c>
    </row>
    <row r="248" spans="1:8" x14ac:dyDescent="0.15">
      <c r="A248" t="s">
        <v>17</v>
      </c>
      <c r="B248">
        <v>3</v>
      </c>
      <c r="C248">
        <v>17</v>
      </c>
      <c r="D248">
        <v>2</v>
      </c>
      <c r="E248" t="s">
        <v>323</v>
      </c>
      <c r="F248" t="s">
        <v>108</v>
      </c>
      <c r="G248" t="s">
        <v>321</v>
      </c>
      <c r="H248" t="s">
        <v>95</v>
      </c>
    </row>
    <row r="249" spans="1:8" x14ac:dyDescent="0.15">
      <c r="A249" t="s">
        <v>17</v>
      </c>
      <c r="B249">
        <v>3</v>
      </c>
      <c r="C249">
        <v>18</v>
      </c>
      <c r="D249">
        <v>9</v>
      </c>
      <c r="E249" t="s">
        <v>123</v>
      </c>
      <c r="F249" t="s">
        <v>125</v>
      </c>
      <c r="G249" t="s">
        <v>321</v>
      </c>
      <c r="H249" t="s">
        <v>336</v>
      </c>
    </row>
    <row r="250" spans="1:8" x14ac:dyDescent="0.15">
      <c r="A250" t="s">
        <v>17</v>
      </c>
      <c r="B250">
        <v>3</v>
      </c>
      <c r="C250">
        <v>19</v>
      </c>
      <c r="D250">
        <v>9</v>
      </c>
      <c r="E250" t="s">
        <v>123</v>
      </c>
      <c r="F250" t="s">
        <v>109</v>
      </c>
      <c r="G250" t="s">
        <v>321</v>
      </c>
      <c r="H250" t="s">
        <v>336</v>
      </c>
    </row>
    <row r="251" spans="1:8" x14ac:dyDescent="0.15">
      <c r="A251" t="s">
        <v>17</v>
      </c>
      <c r="B251">
        <v>3</v>
      </c>
      <c r="C251">
        <v>20</v>
      </c>
      <c r="D251">
        <v>3</v>
      </c>
      <c r="E251" t="s">
        <v>324</v>
      </c>
      <c r="F251" t="s">
        <v>127</v>
      </c>
      <c r="G251" t="s">
        <v>321</v>
      </c>
      <c r="H251" t="s">
        <v>96</v>
      </c>
    </row>
    <row r="252" spans="1:8" x14ac:dyDescent="0.15">
      <c r="A252" t="s">
        <v>17</v>
      </c>
      <c r="B252">
        <v>3</v>
      </c>
      <c r="C252">
        <v>21</v>
      </c>
      <c r="D252">
        <v>3</v>
      </c>
      <c r="E252" t="s">
        <v>324</v>
      </c>
      <c r="F252" t="s">
        <v>126</v>
      </c>
      <c r="G252" t="s">
        <v>321</v>
      </c>
      <c r="H252" t="s">
        <v>96</v>
      </c>
    </row>
    <row r="253" spans="1:8" x14ac:dyDescent="0.15">
      <c r="A253" t="s">
        <v>17</v>
      </c>
      <c r="B253">
        <v>3</v>
      </c>
      <c r="C253">
        <v>22</v>
      </c>
      <c r="D253">
        <v>1</v>
      </c>
      <c r="E253" t="s">
        <v>319</v>
      </c>
      <c r="F253" t="s">
        <v>325</v>
      </c>
      <c r="G253" t="s">
        <v>321</v>
      </c>
      <c r="H253" t="s">
        <v>94</v>
      </c>
    </row>
    <row r="254" spans="1:8" x14ac:dyDescent="0.15">
      <c r="A254" t="s">
        <v>17</v>
      </c>
      <c r="B254">
        <v>3</v>
      </c>
      <c r="C254">
        <v>23</v>
      </c>
      <c r="D254">
        <v>3</v>
      </c>
      <c r="E254" t="s">
        <v>324</v>
      </c>
      <c r="F254" t="s">
        <v>111</v>
      </c>
      <c r="G254" t="s">
        <v>321</v>
      </c>
      <c r="H254" t="s">
        <v>96</v>
      </c>
    </row>
    <row r="255" spans="1:8" x14ac:dyDescent="0.15">
      <c r="A255" t="s">
        <v>17</v>
      </c>
      <c r="B255">
        <v>3</v>
      </c>
      <c r="C255">
        <v>24</v>
      </c>
      <c r="D255">
        <v>3</v>
      </c>
      <c r="E255" t="s">
        <v>324</v>
      </c>
      <c r="F255" t="s">
        <v>112</v>
      </c>
      <c r="G255" t="s">
        <v>321</v>
      </c>
      <c r="H255" t="s">
        <v>96</v>
      </c>
    </row>
    <row r="256" spans="1:8" x14ac:dyDescent="0.15">
      <c r="A256" t="s">
        <v>17</v>
      </c>
      <c r="B256">
        <v>3</v>
      </c>
      <c r="C256">
        <v>25</v>
      </c>
      <c r="D256">
        <v>0</v>
      </c>
      <c r="E256" t="s">
        <v>326</v>
      </c>
      <c r="F256" t="s">
        <v>112</v>
      </c>
      <c r="G256" t="s">
        <v>327</v>
      </c>
      <c r="H256" t="s">
        <v>93</v>
      </c>
    </row>
    <row r="257" spans="1:8" x14ac:dyDescent="0.15">
      <c r="A257" t="s">
        <v>17</v>
      </c>
      <c r="B257">
        <v>3</v>
      </c>
      <c r="C257">
        <v>26</v>
      </c>
      <c r="D257">
        <v>2</v>
      </c>
      <c r="E257" t="s">
        <v>323</v>
      </c>
      <c r="F257" t="s">
        <v>116</v>
      </c>
      <c r="G257" t="s">
        <v>321</v>
      </c>
      <c r="H257" t="s">
        <v>95</v>
      </c>
    </row>
    <row r="258" spans="1:8" x14ac:dyDescent="0.15">
      <c r="A258" t="s">
        <v>17</v>
      </c>
      <c r="B258">
        <v>3</v>
      </c>
      <c r="C258">
        <v>27</v>
      </c>
      <c r="D258">
        <v>2</v>
      </c>
      <c r="E258" t="s">
        <v>323</v>
      </c>
      <c r="F258" t="s">
        <v>6</v>
      </c>
      <c r="G258" t="s">
        <v>321</v>
      </c>
      <c r="H258" t="s">
        <v>95</v>
      </c>
    </row>
    <row r="259" spans="1:8" x14ac:dyDescent="0.15">
      <c r="A259" t="s">
        <v>17</v>
      </c>
      <c r="B259">
        <v>3</v>
      </c>
      <c r="C259">
        <v>28</v>
      </c>
      <c r="D259">
        <v>0</v>
      </c>
      <c r="E259" t="s">
        <v>326</v>
      </c>
      <c r="F259" t="s">
        <v>6</v>
      </c>
      <c r="G259" t="s">
        <v>327</v>
      </c>
      <c r="H259" t="s">
        <v>93</v>
      </c>
    </row>
    <row r="260" spans="1:8" x14ac:dyDescent="0.15">
      <c r="A260" t="s">
        <v>17</v>
      </c>
      <c r="B260">
        <v>3</v>
      </c>
      <c r="C260">
        <v>29</v>
      </c>
      <c r="D260">
        <v>3</v>
      </c>
      <c r="E260" t="s">
        <v>324</v>
      </c>
      <c r="F260" t="s">
        <v>118</v>
      </c>
      <c r="G260" t="s">
        <v>321</v>
      </c>
      <c r="H260" t="s">
        <v>96</v>
      </c>
    </row>
    <row r="261" spans="1:8" x14ac:dyDescent="0.15">
      <c r="A261" t="s">
        <v>17</v>
      </c>
      <c r="B261">
        <v>3</v>
      </c>
      <c r="C261">
        <v>30</v>
      </c>
      <c r="D261">
        <v>3</v>
      </c>
      <c r="E261" t="s">
        <v>324</v>
      </c>
      <c r="F261" t="s">
        <v>117</v>
      </c>
      <c r="G261" t="s">
        <v>321</v>
      </c>
      <c r="H261" t="s">
        <v>96</v>
      </c>
    </row>
    <row r="262" spans="1:8" x14ac:dyDescent="0.15">
      <c r="A262" t="s">
        <v>17</v>
      </c>
      <c r="B262">
        <v>3</v>
      </c>
      <c r="C262">
        <v>31</v>
      </c>
      <c r="D262">
        <v>0</v>
      </c>
      <c r="E262" t="s">
        <v>326</v>
      </c>
      <c r="F262" t="s">
        <v>117</v>
      </c>
      <c r="G262" t="s">
        <v>327</v>
      </c>
      <c r="H262" t="s">
        <v>93</v>
      </c>
    </row>
    <row r="263" spans="1:8" x14ac:dyDescent="0.15">
      <c r="A263" t="s">
        <v>17</v>
      </c>
      <c r="B263">
        <v>3</v>
      </c>
      <c r="C263">
        <v>32</v>
      </c>
      <c r="D263">
        <v>2</v>
      </c>
      <c r="E263" t="s">
        <v>323</v>
      </c>
      <c r="F263" t="s">
        <v>119</v>
      </c>
      <c r="G263" t="s">
        <v>321</v>
      </c>
      <c r="H263" t="s">
        <v>95</v>
      </c>
    </row>
    <row r="264" spans="1:8" x14ac:dyDescent="0.15">
      <c r="A264" t="s">
        <v>17</v>
      </c>
      <c r="B264">
        <v>3</v>
      </c>
      <c r="C264">
        <v>33</v>
      </c>
      <c r="D264">
        <v>2</v>
      </c>
      <c r="E264" t="s">
        <v>323</v>
      </c>
      <c r="F264" t="s">
        <v>105</v>
      </c>
      <c r="G264" t="s">
        <v>321</v>
      </c>
      <c r="H264" t="s">
        <v>95</v>
      </c>
    </row>
    <row r="265" spans="1:8" x14ac:dyDescent="0.15">
      <c r="A265" t="s">
        <v>17</v>
      </c>
      <c r="B265">
        <v>3</v>
      </c>
      <c r="C265">
        <v>34</v>
      </c>
      <c r="D265">
        <v>0</v>
      </c>
      <c r="E265" t="s">
        <v>326</v>
      </c>
      <c r="F265" t="s">
        <v>105</v>
      </c>
      <c r="G265" t="s">
        <v>327</v>
      </c>
      <c r="H265" t="s">
        <v>93</v>
      </c>
    </row>
    <row r="266" spans="1:8" x14ac:dyDescent="0.15">
      <c r="A266" t="s">
        <v>17</v>
      </c>
      <c r="B266">
        <v>3</v>
      </c>
      <c r="C266">
        <v>35</v>
      </c>
      <c r="D266">
        <v>2</v>
      </c>
      <c r="E266" t="s">
        <v>323</v>
      </c>
      <c r="F266" t="s">
        <v>120</v>
      </c>
      <c r="G266" t="s">
        <v>321</v>
      </c>
      <c r="H266" t="s">
        <v>95</v>
      </c>
    </row>
    <row r="267" spans="1:8" x14ac:dyDescent="0.15">
      <c r="A267" t="s">
        <v>17</v>
      </c>
      <c r="B267">
        <v>3</v>
      </c>
      <c r="C267">
        <v>36</v>
      </c>
      <c r="D267">
        <v>2</v>
      </c>
      <c r="E267" t="s">
        <v>323</v>
      </c>
      <c r="F267" t="s">
        <v>106</v>
      </c>
      <c r="G267" t="s">
        <v>321</v>
      </c>
      <c r="H267" t="s">
        <v>95</v>
      </c>
    </row>
    <row r="268" spans="1:8" x14ac:dyDescent="0.15">
      <c r="A268" t="s">
        <v>17</v>
      </c>
      <c r="B268">
        <v>3</v>
      </c>
      <c r="C268">
        <v>37</v>
      </c>
      <c r="D268">
        <v>0</v>
      </c>
      <c r="E268" t="s">
        <v>326</v>
      </c>
      <c r="F268" t="s">
        <v>106</v>
      </c>
      <c r="G268" t="s">
        <v>327</v>
      </c>
      <c r="H268" t="s">
        <v>93</v>
      </c>
    </row>
    <row r="269" spans="1:8" x14ac:dyDescent="0.15">
      <c r="A269" t="s">
        <v>17</v>
      </c>
      <c r="B269">
        <v>3</v>
      </c>
      <c r="C269">
        <v>38</v>
      </c>
      <c r="D269">
        <v>2</v>
      </c>
      <c r="E269" t="s">
        <v>323</v>
      </c>
      <c r="F269" t="s">
        <v>121</v>
      </c>
      <c r="G269" t="s">
        <v>321</v>
      </c>
      <c r="H269" t="s">
        <v>95</v>
      </c>
    </row>
    <row r="270" spans="1:8" x14ac:dyDescent="0.15">
      <c r="A270" t="s">
        <v>17</v>
      </c>
      <c r="B270">
        <v>3</v>
      </c>
      <c r="C270">
        <v>39</v>
      </c>
      <c r="D270">
        <v>2</v>
      </c>
      <c r="E270" t="s">
        <v>323</v>
      </c>
      <c r="F270" t="s">
        <v>107</v>
      </c>
      <c r="G270" t="s">
        <v>321</v>
      </c>
      <c r="H270" t="s">
        <v>95</v>
      </c>
    </row>
    <row r="271" spans="1:8" x14ac:dyDescent="0.15">
      <c r="A271" t="s">
        <v>17</v>
      </c>
      <c r="B271">
        <v>3</v>
      </c>
      <c r="C271">
        <v>40</v>
      </c>
      <c r="D271">
        <v>0</v>
      </c>
      <c r="E271" t="s">
        <v>326</v>
      </c>
      <c r="F271" t="s">
        <v>107</v>
      </c>
      <c r="G271" t="s">
        <v>327</v>
      </c>
      <c r="H271" t="s">
        <v>93</v>
      </c>
    </row>
    <row r="272" spans="1:8" x14ac:dyDescent="0.15">
      <c r="A272" t="s">
        <v>17</v>
      </c>
      <c r="B272">
        <v>3</v>
      </c>
      <c r="C272">
        <v>41</v>
      </c>
      <c r="D272">
        <v>2</v>
      </c>
      <c r="E272" t="s">
        <v>323</v>
      </c>
      <c r="F272" t="s">
        <v>122</v>
      </c>
      <c r="G272" t="s">
        <v>321</v>
      </c>
      <c r="H272" t="s">
        <v>95</v>
      </c>
    </row>
    <row r="273" spans="1:8" x14ac:dyDescent="0.15">
      <c r="A273" t="s">
        <v>17</v>
      </c>
      <c r="B273">
        <v>3</v>
      </c>
      <c r="C273">
        <v>42</v>
      </c>
      <c r="D273">
        <v>2</v>
      </c>
      <c r="E273" t="s">
        <v>323</v>
      </c>
      <c r="F273" t="s">
        <v>108</v>
      </c>
      <c r="G273" t="s">
        <v>321</v>
      </c>
      <c r="H273" t="s">
        <v>95</v>
      </c>
    </row>
    <row r="274" spans="1:8" x14ac:dyDescent="0.15">
      <c r="A274" t="s">
        <v>17</v>
      </c>
      <c r="B274">
        <v>3</v>
      </c>
      <c r="C274">
        <v>43</v>
      </c>
      <c r="D274">
        <v>0</v>
      </c>
      <c r="E274" t="s">
        <v>326</v>
      </c>
      <c r="F274" t="s">
        <v>108</v>
      </c>
      <c r="G274" t="s">
        <v>327</v>
      </c>
      <c r="H274" t="s">
        <v>93</v>
      </c>
    </row>
    <row r="275" spans="1:8" x14ac:dyDescent="0.15">
      <c r="A275" t="s">
        <v>17</v>
      </c>
      <c r="B275">
        <v>3</v>
      </c>
      <c r="C275">
        <v>44</v>
      </c>
      <c r="D275">
        <v>9</v>
      </c>
      <c r="E275" t="s">
        <v>123</v>
      </c>
      <c r="F275" t="s">
        <v>125</v>
      </c>
      <c r="G275" t="s">
        <v>321</v>
      </c>
      <c r="H275" t="s">
        <v>336</v>
      </c>
    </row>
    <row r="276" spans="1:8" x14ac:dyDescent="0.15">
      <c r="A276" t="s">
        <v>17</v>
      </c>
      <c r="B276">
        <v>3</v>
      </c>
      <c r="C276">
        <v>45</v>
      </c>
      <c r="D276">
        <v>9</v>
      </c>
      <c r="E276" t="s">
        <v>123</v>
      </c>
      <c r="F276" t="s">
        <v>109</v>
      </c>
      <c r="G276" t="s">
        <v>321</v>
      </c>
      <c r="H276" t="s">
        <v>336</v>
      </c>
    </row>
    <row r="277" spans="1:8" x14ac:dyDescent="0.15">
      <c r="A277" t="s">
        <v>17</v>
      </c>
      <c r="B277">
        <v>3</v>
      </c>
      <c r="C277">
        <v>46</v>
      </c>
      <c r="D277">
        <v>0</v>
      </c>
      <c r="E277" t="s">
        <v>326</v>
      </c>
      <c r="F277" t="s">
        <v>109</v>
      </c>
      <c r="G277" t="s">
        <v>327</v>
      </c>
      <c r="H277" t="s">
        <v>93</v>
      </c>
    </row>
    <row r="278" spans="1:8" x14ac:dyDescent="0.15">
      <c r="A278" t="s">
        <v>17</v>
      </c>
      <c r="B278">
        <v>3</v>
      </c>
      <c r="C278">
        <v>47</v>
      </c>
      <c r="D278">
        <v>3</v>
      </c>
      <c r="E278" t="s">
        <v>324</v>
      </c>
      <c r="F278" t="s">
        <v>127</v>
      </c>
      <c r="G278" t="s">
        <v>321</v>
      </c>
      <c r="H278" t="s">
        <v>96</v>
      </c>
    </row>
    <row r="279" spans="1:8" x14ac:dyDescent="0.15">
      <c r="A279" t="s">
        <v>17</v>
      </c>
      <c r="B279">
        <v>3</v>
      </c>
      <c r="C279">
        <v>48</v>
      </c>
      <c r="D279">
        <v>3</v>
      </c>
      <c r="E279" t="s">
        <v>324</v>
      </c>
      <c r="F279" t="s">
        <v>126</v>
      </c>
      <c r="G279" t="s">
        <v>321</v>
      </c>
      <c r="H279" t="s">
        <v>96</v>
      </c>
    </row>
    <row r="280" spans="1:8" x14ac:dyDescent="0.15">
      <c r="A280" t="s">
        <v>17</v>
      </c>
      <c r="B280">
        <v>3</v>
      </c>
      <c r="C280">
        <v>49</v>
      </c>
      <c r="D280">
        <v>0</v>
      </c>
      <c r="E280" t="s">
        <v>326</v>
      </c>
      <c r="F280" t="s">
        <v>126</v>
      </c>
      <c r="G280" t="s">
        <v>327</v>
      </c>
      <c r="H280" t="s">
        <v>93</v>
      </c>
    </row>
    <row r="281" spans="1:8" x14ac:dyDescent="0.15">
      <c r="A281" t="s">
        <v>17</v>
      </c>
      <c r="B281">
        <v>3</v>
      </c>
      <c r="C281">
        <v>50</v>
      </c>
      <c r="D281">
        <v>1</v>
      </c>
      <c r="E281" t="s">
        <v>319</v>
      </c>
      <c r="F281" t="s">
        <v>70</v>
      </c>
      <c r="G281" t="s">
        <v>321</v>
      </c>
      <c r="H281" t="s">
        <v>94</v>
      </c>
    </row>
    <row r="282" spans="1:8" x14ac:dyDescent="0.15">
      <c r="A282" t="s">
        <v>17</v>
      </c>
      <c r="B282">
        <v>3</v>
      </c>
      <c r="C282">
        <v>51</v>
      </c>
      <c r="D282">
        <v>3</v>
      </c>
      <c r="E282" t="s">
        <v>324</v>
      </c>
      <c r="F282" t="s">
        <v>111</v>
      </c>
      <c r="G282" t="s">
        <v>321</v>
      </c>
      <c r="H282" t="s">
        <v>96</v>
      </c>
    </row>
    <row r="283" spans="1:8" x14ac:dyDescent="0.15">
      <c r="A283" t="s">
        <v>17</v>
      </c>
      <c r="B283">
        <v>3</v>
      </c>
      <c r="C283">
        <v>52</v>
      </c>
      <c r="D283">
        <v>3</v>
      </c>
      <c r="E283" t="s">
        <v>324</v>
      </c>
      <c r="F283" t="s">
        <v>112</v>
      </c>
      <c r="G283" t="s">
        <v>321</v>
      </c>
      <c r="H283" t="s">
        <v>96</v>
      </c>
    </row>
    <row r="284" spans="1:8" x14ac:dyDescent="0.15">
      <c r="A284" t="s">
        <v>17</v>
      </c>
      <c r="B284">
        <v>3</v>
      </c>
      <c r="C284">
        <v>53</v>
      </c>
      <c r="D284">
        <v>2</v>
      </c>
      <c r="E284" t="s">
        <v>323</v>
      </c>
      <c r="F284" t="s">
        <v>116</v>
      </c>
      <c r="G284" t="s">
        <v>321</v>
      </c>
      <c r="H284" t="s">
        <v>95</v>
      </c>
    </row>
    <row r="285" spans="1:8" x14ac:dyDescent="0.15">
      <c r="A285" t="s">
        <v>17</v>
      </c>
      <c r="B285">
        <v>3</v>
      </c>
      <c r="C285">
        <v>54</v>
      </c>
      <c r="D285">
        <v>2</v>
      </c>
      <c r="E285" t="s">
        <v>323</v>
      </c>
      <c r="F285" t="s">
        <v>6</v>
      </c>
      <c r="G285" t="s">
        <v>321</v>
      </c>
      <c r="H285" t="s">
        <v>95</v>
      </c>
    </row>
    <row r="286" spans="1:8" x14ac:dyDescent="0.15">
      <c r="A286" t="s">
        <v>17</v>
      </c>
      <c r="B286">
        <v>3</v>
      </c>
      <c r="C286">
        <v>55</v>
      </c>
      <c r="D286">
        <v>3</v>
      </c>
      <c r="E286" t="s">
        <v>324</v>
      </c>
      <c r="F286" t="s">
        <v>118</v>
      </c>
      <c r="G286" t="s">
        <v>321</v>
      </c>
      <c r="H286" t="s">
        <v>96</v>
      </c>
    </row>
    <row r="287" spans="1:8" x14ac:dyDescent="0.15">
      <c r="A287" t="s">
        <v>17</v>
      </c>
      <c r="B287">
        <v>3</v>
      </c>
      <c r="C287">
        <v>56</v>
      </c>
      <c r="D287">
        <v>3</v>
      </c>
      <c r="E287" t="s">
        <v>324</v>
      </c>
      <c r="F287" t="s">
        <v>117</v>
      </c>
      <c r="G287" t="s">
        <v>321</v>
      </c>
      <c r="H287" t="s">
        <v>96</v>
      </c>
    </row>
    <row r="288" spans="1:8" x14ac:dyDescent="0.15">
      <c r="A288" t="s">
        <v>17</v>
      </c>
      <c r="B288">
        <v>3</v>
      </c>
      <c r="C288">
        <v>57</v>
      </c>
      <c r="D288">
        <v>2</v>
      </c>
      <c r="E288" t="s">
        <v>323</v>
      </c>
      <c r="F288" t="s">
        <v>119</v>
      </c>
      <c r="G288" t="s">
        <v>321</v>
      </c>
      <c r="H288" t="s">
        <v>95</v>
      </c>
    </row>
    <row r="289" spans="1:12" x14ac:dyDescent="0.15">
      <c r="A289" t="s">
        <v>17</v>
      </c>
      <c r="B289">
        <v>3</v>
      </c>
      <c r="C289">
        <v>58</v>
      </c>
      <c r="D289">
        <v>2</v>
      </c>
      <c r="E289" t="s">
        <v>323</v>
      </c>
      <c r="F289" t="s">
        <v>105</v>
      </c>
      <c r="G289" t="s">
        <v>321</v>
      </c>
      <c r="H289" t="s">
        <v>95</v>
      </c>
    </row>
    <row r="290" spans="1:12" x14ac:dyDescent="0.15">
      <c r="A290" t="s">
        <v>17</v>
      </c>
      <c r="B290">
        <v>3</v>
      </c>
      <c r="C290">
        <v>59</v>
      </c>
      <c r="D290">
        <v>2</v>
      </c>
      <c r="E290" t="s">
        <v>323</v>
      </c>
      <c r="F290" t="s">
        <v>120</v>
      </c>
      <c r="G290" t="s">
        <v>321</v>
      </c>
      <c r="H290" t="s">
        <v>95</v>
      </c>
    </row>
    <row r="291" spans="1:12" x14ac:dyDescent="0.15">
      <c r="A291" t="s">
        <v>17</v>
      </c>
      <c r="B291">
        <v>3</v>
      </c>
      <c r="C291">
        <v>60</v>
      </c>
      <c r="D291">
        <v>2</v>
      </c>
      <c r="E291" t="s">
        <v>323</v>
      </c>
      <c r="F291" t="s">
        <v>106</v>
      </c>
      <c r="G291" t="s">
        <v>321</v>
      </c>
      <c r="H291" t="s">
        <v>95</v>
      </c>
    </row>
    <row r="292" spans="1:12" x14ac:dyDescent="0.15">
      <c r="A292" t="s">
        <v>17</v>
      </c>
      <c r="B292">
        <v>3</v>
      </c>
      <c r="C292">
        <v>61</v>
      </c>
      <c r="D292">
        <v>2</v>
      </c>
      <c r="E292" t="s">
        <v>323</v>
      </c>
      <c r="F292" t="s">
        <v>121</v>
      </c>
      <c r="G292" t="s">
        <v>321</v>
      </c>
      <c r="H292" t="s">
        <v>95</v>
      </c>
    </row>
    <row r="293" spans="1:12" x14ac:dyDescent="0.15">
      <c r="A293" t="s">
        <v>17</v>
      </c>
      <c r="B293">
        <v>3</v>
      </c>
      <c r="C293">
        <v>62</v>
      </c>
      <c r="D293">
        <v>2</v>
      </c>
      <c r="E293" t="s">
        <v>323</v>
      </c>
      <c r="F293" t="s">
        <v>107</v>
      </c>
      <c r="G293" t="s">
        <v>321</v>
      </c>
      <c r="H293" t="s">
        <v>95</v>
      </c>
    </row>
    <row r="294" spans="1:12" x14ac:dyDescent="0.15">
      <c r="A294" t="s">
        <v>17</v>
      </c>
      <c r="B294">
        <v>3</v>
      </c>
      <c r="C294">
        <v>63</v>
      </c>
      <c r="D294">
        <v>2</v>
      </c>
      <c r="E294" t="s">
        <v>323</v>
      </c>
      <c r="F294" t="s">
        <v>122</v>
      </c>
      <c r="G294" t="s">
        <v>321</v>
      </c>
      <c r="H294" t="s">
        <v>95</v>
      </c>
    </row>
    <row r="295" spans="1:12" x14ac:dyDescent="0.15">
      <c r="A295" t="s">
        <v>17</v>
      </c>
      <c r="B295">
        <v>3</v>
      </c>
      <c r="C295">
        <v>64</v>
      </c>
      <c r="D295">
        <v>2</v>
      </c>
      <c r="E295" t="s">
        <v>323</v>
      </c>
      <c r="F295" t="s">
        <v>108</v>
      </c>
      <c r="G295" t="s">
        <v>321</v>
      </c>
      <c r="H295" t="s">
        <v>95</v>
      </c>
    </row>
    <row r="296" spans="1:12" x14ac:dyDescent="0.15">
      <c r="A296" t="s">
        <v>17</v>
      </c>
      <c r="B296">
        <v>3</v>
      </c>
      <c r="C296">
        <v>65</v>
      </c>
      <c r="D296">
        <v>9</v>
      </c>
      <c r="E296" t="s">
        <v>123</v>
      </c>
      <c r="F296" t="s">
        <v>125</v>
      </c>
      <c r="G296" t="s">
        <v>321</v>
      </c>
      <c r="H296" t="s">
        <v>336</v>
      </c>
    </row>
    <row r="297" spans="1:12" x14ac:dyDescent="0.15">
      <c r="A297" t="s">
        <v>17</v>
      </c>
      <c r="B297">
        <v>3</v>
      </c>
      <c r="C297">
        <v>66</v>
      </c>
      <c r="D297">
        <v>9</v>
      </c>
      <c r="E297" t="s">
        <v>123</v>
      </c>
      <c r="F297" t="s">
        <v>109</v>
      </c>
      <c r="G297" t="s">
        <v>321</v>
      </c>
      <c r="H297" t="s">
        <v>336</v>
      </c>
    </row>
    <row r="298" spans="1:12" x14ac:dyDescent="0.15">
      <c r="A298" t="s">
        <v>17</v>
      </c>
      <c r="B298">
        <v>3</v>
      </c>
      <c r="C298">
        <v>67</v>
      </c>
      <c r="D298">
        <v>3</v>
      </c>
      <c r="E298" t="s">
        <v>324</v>
      </c>
      <c r="F298" t="s">
        <v>127</v>
      </c>
      <c r="G298" t="s">
        <v>321</v>
      </c>
      <c r="H298" t="s">
        <v>96</v>
      </c>
    </row>
    <row r="299" spans="1:12" x14ac:dyDescent="0.15">
      <c r="A299" t="s">
        <v>17</v>
      </c>
      <c r="B299">
        <v>3</v>
      </c>
      <c r="C299">
        <v>68</v>
      </c>
      <c r="D299">
        <v>3</v>
      </c>
      <c r="E299" t="s">
        <v>324</v>
      </c>
      <c r="F299" t="s">
        <v>126</v>
      </c>
      <c r="G299" t="s">
        <v>321</v>
      </c>
      <c r="H299" t="s">
        <v>96</v>
      </c>
    </row>
    <row r="300" spans="1:12" x14ac:dyDescent="0.15">
      <c r="A300" t="s">
        <v>17</v>
      </c>
      <c r="B300">
        <v>3</v>
      </c>
      <c r="C300">
        <v>69</v>
      </c>
      <c r="D300">
        <v>1</v>
      </c>
      <c r="E300" t="s">
        <v>319</v>
      </c>
      <c r="F300" t="s">
        <v>337</v>
      </c>
      <c r="G300" t="s">
        <v>320</v>
      </c>
      <c r="H300" t="s">
        <v>94</v>
      </c>
    </row>
    <row r="301" spans="1:12" x14ac:dyDescent="0.15">
      <c r="A301" t="s">
        <v>17</v>
      </c>
      <c r="B301">
        <v>4</v>
      </c>
      <c r="C301">
        <v>1</v>
      </c>
      <c r="D301">
        <v>1</v>
      </c>
      <c r="E301" t="s">
        <v>319</v>
      </c>
      <c r="F301" t="s">
        <v>128</v>
      </c>
      <c r="G301" t="s">
        <v>321</v>
      </c>
      <c r="H301" t="s">
        <v>94</v>
      </c>
      <c r="L301" s="2"/>
    </row>
    <row r="302" spans="1:12" x14ac:dyDescent="0.15">
      <c r="A302" t="s">
        <v>17</v>
      </c>
      <c r="B302">
        <v>4</v>
      </c>
      <c r="C302">
        <v>2</v>
      </c>
      <c r="D302">
        <v>1</v>
      </c>
      <c r="E302" t="s">
        <v>319</v>
      </c>
      <c r="F302" t="s">
        <v>53</v>
      </c>
      <c r="G302" t="s">
        <v>321</v>
      </c>
      <c r="H302" t="s">
        <v>94</v>
      </c>
    </row>
    <row r="303" spans="1:12" ht="40.5" x14ac:dyDescent="0.15">
      <c r="A303" t="s">
        <v>17</v>
      </c>
      <c r="B303">
        <v>4</v>
      </c>
      <c r="C303">
        <v>3</v>
      </c>
      <c r="D303">
        <v>1</v>
      </c>
      <c r="E303" t="s">
        <v>319</v>
      </c>
      <c r="F303" s="1" t="s">
        <v>338</v>
      </c>
      <c r="G303" t="s">
        <v>321</v>
      </c>
      <c r="H303" t="s">
        <v>94</v>
      </c>
    </row>
    <row r="304" spans="1:12" x14ac:dyDescent="0.15">
      <c r="A304" t="s">
        <v>17</v>
      </c>
      <c r="B304">
        <v>4</v>
      </c>
      <c r="C304">
        <v>4</v>
      </c>
      <c r="D304">
        <v>3</v>
      </c>
      <c r="E304" t="s">
        <v>324</v>
      </c>
      <c r="F304" t="s">
        <v>130</v>
      </c>
      <c r="G304" t="s">
        <v>321</v>
      </c>
      <c r="H304" t="s">
        <v>96</v>
      </c>
    </row>
    <row r="305" spans="1:8" x14ac:dyDescent="0.15">
      <c r="A305" t="s">
        <v>17</v>
      </c>
      <c r="B305">
        <v>4</v>
      </c>
      <c r="C305">
        <v>5</v>
      </c>
      <c r="D305">
        <v>3</v>
      </c>
      <c r="E305" t="s">
        <v>324</v>
      </c>
      <c r="F305" t="s">
        <v>129</v>
      </c>
      <c r="G305" t="s">
        <v>321</v>
      </c>
      <c r="H305" t="s">
        <v>96</v>
      </c>
    </row>
    <row r="306" spans="1:8" x14ac:dyDescent="0.15">
      <c r="A306" t="s">
        <v>17</v>
      </c>
      <c r="B306">
        <v>4</v>
      </c>
      <c r="C306">
        <v>6</v>
      </c>
      <c r="D306">
        <v>10</v>
      </c>
      <c r="E306" t="s">
        <v>131</v>
      </c>
      <c r="F306" t="s">
        <v>134</v>
      </c>
      <c r="G306" t="s">
        <v>321</v>
      </c>
      <c r="H306" t="s">
        <v>339</v>
      </c>
    </row>
    <row r="307" spans="1:8" x14ac:dyDescent="0.15">
      <c r="A307" t="s">
        <v>17</v>
      </c>
      <c r="B307">
        <v>4</v>
      </c>
      <c r="C307">
        <v>7</v>
      </c>
      <c r="D307">
        <v>10</v>
      </c>
      <c r="E307" t="s">
        <v>131</v>
      </c>
      <c r="F307" t="s">
        <v>133</v>
      </c>
      <c r="G307" t="s">
        <v>321</v>
      </c>
      <c r="H307" t="s">
        <v>339</v>
      </c>
    </row>
    <row r="308" spans="1:8" x14ac:dyDescent="0.15">
      <c r="A308" t="s">
        <v>17</v>
      </c>
      <c r="B308">
        <v>4</v>
      </c>
      <c r="C308">
        <v>8</v>
      </c>
      <c r="D308">
        <v>10</v>
      </c>
      <c r="E308" t="s">
        <v>131</v>
      </c>
      <c r="F308" t="s">
        <v>135</v>
      </c>
      <c r="G308" t="s">
        <v>321</v>
      </c>
      <c r="H308" t="s">
        <v>339</v>
      </c>
    </row>
    <row r="309" spans="1:8" ht="27" x14ac:dyDescent="0.15">
      <c r="A309" t="s">
        <v>17</v>
      </c>
      <c r="B309">
        <v>4</v>
      </c>
      <c r="C309">
        <v>9</v>
      </c>
      <c r="D309">
        <v>10</v>
      </c>
      <c r="E309" t="s">
        <v>131</v>
      </c>
      <c r="F309" s="1" t="s">
        <v>136</v>
      </c>
      <c r="G309" t="s">
        <v>321</v>
      </c>
      <c r="H309" t="s">
        <v>339</v>
      </c>
    </row>
    <row r="310" spans="1:8" x14ac:dyDescent="0.15">
      <c r="A310" t="s">
        <v>17</v>
      </c>
      <c r="B310">
        <v>4</v>
      </c>
      <c r="C310">
        <v>10</v>
      </c>
      <c r="D310">
        <v>10</v>
      </c>
      <c r="E310" t="s">
        <v>131</v>
      </c>
      <c r="F310" s="1" t="s">
        <v>138</v>
      </c>
      <c r="G310" t="s">
        <v>321</v>
      </c>
      <c r="H310" t="s">
        <v>339</v>
      </c>
    </row>
    <row r="311" spans="1:8" x14ac:dyDescent="0.15">
      <c r="A311" t="s">
        <v>17</v>
      </c>
      <c r="B311">
        <v>4</v>
      </c>
      <c r="C311">
        <v>11</v>
      </c>
      <c r="D311">
        <v>10</v>
      </c>
      <c r="E311" t="s">
        <v>131</v>
      </c>
      <c r="F311" s="1" t="s">
        <v>137</v>
      </c>
      <c r="G311" t="s">
        <v>321</v>
      </c>
      <c r="H311" t="s">
        <v>339</v>
      </c>
    </row>
    <row r="312" spans="1:8" x14ac:dyDescent="0.15">
      <c r="A312" t="s">
        <v>17</v>
      </c>
      <c r="B312">
        <v>4</v>
      </c>
      <c r="C312">
        <v>12</v>
      </c>
      <c r="D312">
        <v>3</v>
      </c>
      <c r="E312" t="s">
        <v>324</v>
      </c>
      <c r="F312" s="1" t="s">
        <v>140</v>
      </c>
      <c r="G312" t="s">
        <v>321</v>
      </c>
      <c r="H312" t="s">
        <v>96</v>
      </c>
    </row>
    <row r="313" spans="1:8" x14ac:dyDescent="0.15">
      <c r="A313" t="s">
        <v>17</v>
      </c>
      <c r="B313">
        <v>4</v>
      </c>
      <c r="C313">
        <v>13</v>
      </c>
      <c r="D313">
        <v>3</v>
      </c>
      <c r="E313" t="s">
        <v>324</v>
      </c>
      <c r="F313" s="1" t="s">
        <v>139</v>
      </c>
      <c r="G313" t="s">
        <v>321</v>
      </c>
      <c r="H313" t="s">
        <v>96</v>
      </c>
    </row>
    <row r="314" spans="1:8" x14ac:dyDescent="0.15">
      <c r="A314" t="s">
        <v>17</v>
      </c>
      <c r="B314">
        <v>4</v>
      </c>
      <c r="C314">
        <v>14</v>
      </c>
      <c r="D314">
        <v>3</v>
      </c>
      <c r="E314" t="s">
        <v>324</v>
      </c>
      <c r="F314" s="1" t="s">
        <v>142</v>
      </c>
      <c r="G314" t="s">
        <v>321</v>
      </c>
      <c r="H314" t="s">
        <v>96</v>
      </c>
    </row>
    <row r="315" spans="1:8" x14ac:dyDescent="0.15">
      <c r="A315" t="s">
        <v>17</v>
      </c>
      <c r="B315">
        <v>4</v>
      </c>
      <c r="C315">
        <v>15</v>
      </c>
      <c r="D315">
        <v>3</v>
      </c>
      <c r="E315" t="s">
        <v>324</v>
      </c>
      <c r="F315" s="1" t="s">
        <v>141</v>
      </c>
      <c r="G315" t="s">
        <v>321</v>
      </c>
      <c r="H315" t="s">
        <v>96</v>
      </c>
    </row>
    <row r="316" spans="1:8" x14ac:dyDescent="0.15">
      <c r="A316" t="s">
        <v>17</v>
      </c>
      <c r="B316">
        <v>4</v>
      </c>
      <c r="C316">
        <v>16</v>
      </c>
      <c r="D316">
        <v>10</v>
      </c>
      <c r="E316" t="s">
        <v>131</v>
      </c>
      <c r="F316" s="1" t="s">
        <v>144</v>
      </c>
      <c r="G316" t="s">
        <v>321</v>
      </c>
      <c r="H316" t="s">
        <v>339</v>
      </c>
    </row>
    <row r="317" spans="1:8" x14ac:dyDescent="0.15">
      <c r="A317" t="s">
        <v>17</v>
      </c>
      <c r="B317">
        <v>4</v>
      </c>
      <c r="C317">
        <v>17</v>
      </c>
      <c r="D317">
        <v>10</v>
      </c>
      <c r="E317" t="s">
        <v>131</v>
      </c>
      <c r="F317" s="1" t="s">
        <v>143</v>
      </c>
      <c r="G317" t="s">
        <v>321</v>
      </c>
      <c r="H317" t="s">
        <v>339</v>
      </c>
    </row>
    <row r="318" spans="1:8" x14ac:dyDescent="0.15">
      <c r="A318" t="s">
        <v>17</v>
      </c>
      <c r="B318">
        <v>4</v>
      </c>
      <c r="C318">
        <v>18</v>
      </c>
      <c r="D318">
        <v>3</v>
      </c>
      <c r="E318" t="s">
        <v>324</v>
      </c>
      <c r="F318" s="1" t="s">
        <v>146</v>
      </c>
      <c r="G318" t="s">
        <v>321</v>
      </c>
      <c r="H318" t="s">
        <v>96</v>
      </c>
    </row>
    <row r="319" spans="1:8" x14ac:dyDescent="0.15">
      <c r="A319" t="s">
        <v>17</v>
      </c>
      <c r="B319">
        <v>4</v>
      </c>
      <c r="C319">
        <v>19</v>
      </c>
      <c r="D319">
        <v>3</v>
      </c>
      <c r="E319" t="s">
        <v>324</v>
      </c>
      <c r="F319" s="1" t="s">
        <v>145</v>
      </c>
      <c r="G319" t="s">
        <v>321</v>
      </c>
      <c r="H319" t="s">
        <v>96</v>
      </c>
    </row>
    <row r="320" spans="1:8" x14ac:dyDescent="0.15">
      <c r="A320" t="s">
        <v>17</v>
      </c>
      <c r="B320">
        <v>4</v>
      </c>
      <c r="C320">
        <v>20</v>
      </c>
      <c r="D320">
        <v>10</v>
      </c>
      <c r="E320" t="s">
        <v>131</v>
      </c>
      <c r="F320" s="1" t="s">
        <v>148</v>
      </c>
      <c r="G320" t="s">
        <v>321</v>
      </c>
      <c r="H320" t="s">
        <v>339</v>
      </c>
    </row>
    <row r="321" spans="1:8" x14ac:dyDescent="0.15">
      <c r="A321" t="s">
        <v>17</v>
      </c>
      <c r="B321">
        <v>4</v>
      </c>
      <c r="C321">
        <v>21</v>
      </c>
      <c r="D321">
        <v>10</v>
      </c>
      <c r="E321" t="s">
        <v>131</v>
      </c>
      <c r="F321" s="1" t="s">
        <v>147</v>
      </c>
      <c r="G321" t="s">
        <v>321</v>
      </c>
      <c r="H321" t="s">
        <v>339</v>
      </c>
    </row>
    <row r="322" spans="1:8" x14ac:dyDescent="0.15">
      <c r="A322" t="s">
        <v>17</v>
      </c>
      <c r="B322">
        <v>4</v>
      </c>
      <c r="C322">
        <v>22</v>
      </c>
      <c r="D322">
        <v>3</v>
      </c>
      <c r="E322" t="s">
        <v>324</v>
      </c>
      <c r="F322" s="1" t="s">
        <v>150</v>
      </c>
      <c r="G322" t="s">
        <v>321</v>
      </c>
      <c r="H322" t="s">
        <v>96</v>
      </c>
    </row>
    <row r="323" spans="1:8" x14ac:dyDescent="0.15">
      <c r="A323" t="s">
        <v>17</v>
      </c>
      <c r="B323">
        <v>4</v>
      </c>
      <c r="C323">
        <v>23</v>
      </c>
      <c r="D323">
        <v>3</v>
      </c>
      <c r="E323" t="s">
        <v>324</v>
      </c>
      <c r="F323" s="1" t="s">
        <v>149</v>
      </c>
      <c r="G323" t="s">
        <v>321</v>
      </c>
      <c r="H323" t="s">
        <v>96</v>
      </c>
    </row>
    <row r="324" spans="1:8" x14ac:dyDescent="0.15">
      <c r="A324" t="s">
        <v>17</v>
      </c>
      <c r="B324">
        <v>4</v>
      </c>
      <c r="C324">
        <v>24</v>
      </c>
      <c r="D324">
        <v>1</v>
      </c>
      <c r="E324" t="s">
        <v>319</v>
      </c>
      <c r="F324" t="s">
        <v>325</v>
      </c>
      <c r="G324" t="s">
        <v>321</v>
      </c>
      <c r="H324" t="s">
        <v>94</v>
      </c>
    </row>
    <row r="325" spans="1:8" x14ac:dyDescent="0.15">
      <c r="A325" t="s">
        <v>17</v>
      </c>
      <c r="B325">
        <v>4</v>
      </c>
      <c r="C325">
        <v>25</v>
      </c>
      <c r="D325">
        <v>3</v>
      </c>
      <c r="E325" t="s">
        <v>324</v>
      </c>
      <c r="F325" t="s">
        <v>130</v>
      </c>
      <c r="G325" t="s">
        <v>321</v>
      </c>
      <c r="H325" t="s">
        <v>96</v>
      </c>
    </row>
    <row r="326" spans="1:8" x14ac:dyDescent="0.15">
      <c r="A326" t="s">
        <v>17</v>
      </c>
      <c r="B326">
        <v>4</v>
      </c>
      <c r="C326">
        <v>26</v>
      </c>
      <c r="D326">
        <v>3</v>
      </c>
      <c r="E326" t="s">
        <v>324</v>
      </c>
      <c r="F326" t="s">
        <v>129</v>
      </c>
      <c r="G326" t="s">
        <v>321</v>
      </c>
      <c r="H326" t="s">
        <v>96</v>
      </c>
    </row>
    <row r="327" spans="1:8" x14ac:dyDescent="0.15">
      <c r="A327" t="s">
        <v>17</v>
      </c>
      <c r="B327">
        <v>4</v>
      </c>
      <c r="C327">
        <v>27</v>
      </c>
      <c r="D327">
        <v>0</v>
      </c>
      <c r="E327" t="s">
        <v>326</v>
      </c>
      <c r="F327" t="s">
        <v>129</v>
      </c>
      <c r="G327" t="s">
        <v>327</v>
      </c>
      <c r="H327" t="s">
        <v>93</v>
      </c>
    </row>
    <row r="328" spans="1:8" x14ac:dyDescent="0.15">
      <c r="A328" t="s">
        <v>17</v>
      </c>
      <c r="B328">
        <v>4</v>
      </c>
      <c r="C328">
        <v>28</v>
      </c>
      <c r="D328">
        <v>10</v>
      </c>
      <c r="E328" t="s">
        <v>131</v>
      </c>
      <c r="F328" t="s">
        <v>134</v>
      </c>
      <c r="G328" t="s">
        <v>321</v>
      </c>
      <c r="H328" t="s">
        <v>339</v>
      </c>
    </row>
    <row r="329" spans="1:8" x14ac:dyDescent="0.15">
      <c r="A329" t="s">
        <v>17</v>
      </c>
      <c r="B329">
        <v>4</v>
      </c>
      <c r="C329">
        <v>29</v>
      </c>
      <c r="D329">
        <v>10</v>
      </c>
      <c r="E329" t="s">
        <v>131</v>
      </c>
      <c r="F329" t="s">
        <v>133</v>
      </c>
      <c r="G329" t="s">
        <v>321</v>
      </c>
      <c r="H329" t="s">
        <v>339</v>
      </c>
    </row>
    <row r="330" spans="1:8" x14ac:dyDescent="0.15">
      <c r="A330" t="s">
        <v>17</v>
      </c>
      <c r="B330">
        <v>4</v>
      </c>
      <c r="C330">
        <v>30</v>
      </c>
      <c r="D330">
        <v>0</v>
      </c>
      <c r="E330" t="s">
        <v>326</v>
      </c>
      <c r="F330" t="s">
        <v>133</v>
      </c>
      <c r="G330" t="s">
        <v>327</v>
      </c>
      <c r="H330" t="s">
        <v>93</v>
      </c>
    </row>
    <row r="331" spans="1:8" x14ac:dyDescent="0.15">
      <c r="A331" t="s">
        <v>17</v>
      </c>
      <c r="B331">
        <v>4</v>
      </c>
      <c r="C331">
        <v>31</v>
      </c>
      <c r="D331">
        <v>10</v>
      </c>
      <c r="E331" t="s">
        <v>131</v>
      </c>
      <c r="F331" t="s">
        <v>135</v>
      </c>
      <c r="G331" t="s">
        <v>321</v>
      </c>
      <c r="H331" t="s">
        <v>339</v>
      </c>
    </row>
    <row r="332" spans="1:8" ht="27" x14ac:dyDescent="0.15">
      <c r="A332" t="s">
        <v>17</v>
      </c>
      <c r="B332">
        <v>4</v>
      </c>
      <c r="C332">
        <v>32</v>
      </c>
      <c r="D332">
        <v>10</v>
      </c>
      <c r="E332" t="s">
        <v>131</v>
      </c>
      <c r="F332" s="1" t="s">
        <v>136</v>
      </c>
      <c r="G332" t="s">
        <v>321</v>
      </c>
      <c r="H332" t="s">
        <v>339</v>
      </c>
    </row>
    <row r="333" spans="1:8" ht="27" x14ac:dyDescent="0.15">
      <c r="A333" t="s">
        <v>17</v>
      </c>
      <c r="B333">
        <v>4</v>
      </c>
      <c r="C333">
        <v>33</v>
      </c>
      <c r="D333">
        <v>0</v>
      </c>
      <c r="E333" t="s">
        <v>326</v>
      </c>
      <c r="F333" s="1" t="s">
        <v>136</v>
      </c>
      <c r="G333" t="s">
        <v>327</v>
      </c>
      <c r="H333" t="s">
        <v>93</v>
      </c>
    </row>
    <row r="334" spans="1:8" x14ac:dyDescent="0.15">
      <c r="A334" t="s">
        <v>17</v>
      </c>
      <c r="B334">
        <v>4</v>
      </c>
      <c r="C334">
        <v>34</v>
      </c>
      <c r="D334">
        <v>10</v>
      </c>
      <c r="E334" t="s">
        <v>131</v>
      </c>
      <c r="F334" s="1" t="s">
        <v>138</v>
      </c>
      <c r="G334" t="s">
        <v>321</v>
      </c>
      <c r="H334" t="s">
        <v>339</v>
      </c>
    </row>
    <row r="335" spans="1:8" x14ac:dyDescent="0.15">
      <c r="A335" t="s">
        <v>17</v>
      </c>
      <c r="B335">
        <v>4</v>
      </c>
      <c r="C335">
        <v>35</v>
      </c>
      <c r="D335">
        <v>10</v>
      </c>
      <c r="E335" t="s">
        <v>131</v>
      </c>
      <c r="F335" s="1" t="s">
        <v>137</v>
      </c>
      <c r="G335" t="s">
        <v>321</v>
      </c>
      <c r="H335" t="s">
        <v>339</v>
      </c>
    </row>
    <row r="336" spans="1:8" x14ac:dyDescent="0.15">
      <c r="A336" t="s">
        <v>17</v>
      </c>
      <c r="B336">
        <v>4</v>
      </c>
      <c r="C336">
        <v>36</v>
      </c>
      <c r="D336">
        <v>0</v>
      </c>
      <c r="E336" t="s">
        <v>326</v>
      </c>
      <c r="F336" s="1" t="s">
        <v>137</v>
      </c>
      <c r="G336" t="s">
        <v>327</v>
      </c>
      <c r="H336" t="s">
        <v>93</v>
      </c>
    </row>
    <row r="337" spans="1:12" x14ac:dyDescent="0.15">
      <c r="A337" t="s">
        <v>17</v>
      </c>
      <c r="B337">
        <v>4</v>
      </c>
      <c r="C337">
        <v>37</v>
      </c>
      <c r="D337">
        <v>3</v>
      </c>
      <c r="E337" t="s">
        <v>324</v>
      </c>
      <c r="F337" s="1" t="s">
        <v>140</v>
      </c>
      <c r="G337" t="s">
        <v>321</v>
      </c>
      <c r="H337" t="s">
        <v>96</v>
      </c>
    </row>
    <row r="338" spans="1:12" x14ac:dyDescent="0.15">
      <c r="A338" t="s">
        <v>17</v>
      </c>
      <c r="B338">
        <v>4</v>
      </c>
      <c r="C338">
        <v>38</v>
      </c>
      <c r="D338">
        <v>3</v>
      </c>
      <c r="E338" t="s">
        <v>324</v>
      </c>
      <c r="F338" s="1" t="s">
        <v>139</v>
      </c>
      <c r="G338" t="s">
        <v>321</v>
      </c>
      <c r="H338" t="s">
        <v>96</v>
      </c>
    </row>
    <row r="339" spans="1:12" x14ac:dyDescent="0.15">
      <c r="A339" t="s">
        <v>17</v>
      </c>
      <c r="B339">
        <v>4</v>
      </c>
      <c r="C339">
        <v>39</v>
      </c>
      <c r="D339">
        <v>0</v>
      </c>
      <c r="E339" t="s">
        <v>326</v>
      </c>
      <c r="F339" s="1" t="s">
        <v>139</v>
      </c>
      <c r="G339" t="s">
        <v>327</v>
      </c>
      <c r="H339" t="s">
        <v>93</v>
      </c>
    </row>
    <row r="340" spans="1:12" x14ac:dyDescent="0.15">
      <c r="A340" t="s">
        <v>17</v>
      </c>
      <c r="B340">
        <v>4</v>
      </c>
      <c r="C340">
        <v>40</v>
      </c>
      <c r="D340">
        <v>3</v>
      </c>
      <c r="E340" t="s">
        <v>324</v>
      </c>
      <c r="F340" s="1" t="s">
        <v>142</v>
      </c>
      <c r="G340" t="s">
        <v>321</v>
      </c>
      <c r="H340" t="s">
        <v>96</v>
      </c>
    </row>
    <row r="341" spans="1:12" x14ac:dyDescent="0.15">
      <c r="A341" t="s">
        <v>17</v>
      </c>
      <c r="B341">
        <v>4</v>
      </c>
      <c r="C341">
        <v>41</v>
      </c>
      <c r="D341">
        <v>3</v>
      </c>
      <c r="E341" t="s">
        <v>324</v>
      </c>
      <c r="F341" s="1" t="s">
        <v>141</v>
      </c>
      <c r="G341" t="s">
        <v>321</v>
      </c>
      <c r="H341" t="s">
        <v>96</v>
      </c>
    </row>
    <row r="342" spans="1:12" x14ac:dyDescent="0.15">
      <c r="A342" t="s">
        <v>17</v>
      </c>
      <c r="B342">
        <v>4</v>
      </c>
      <c r="C342">
        <v>42</v>
      </c>
      <c r="D342">
        <v>0</v>
      </c>
      <c r="E342" t="s">
        <v>326</v>
      </c>
      <c r="F342" s="1" t="s">
        <v>141</v>
      </c>
      <c r="G342" t="s">
        <v>327</v>
      </c>
      <c r="H342" t="s">
        <v>93</v>
      </c>
    </row>
    <row r="343" spans="1:12" x14ac:dyDescent="0.15">
      <c r="A343" t="s">
        <v>17</v>
      </c>
      <c r="B343">
        <v>4</v>
      </c>
      <c r="C343">
        <v>43</v>
      </c>
      <c r="D343">
        <v>10</v>
      </c>
      <c r="E343" t="s">
        <v>131</v>
      </c>
      <c r="F343" s="1" t="s">
        <v>144</v>
      </c>
      <c r="G343" t="s">
        <v>321</v>
      </c>
      <c r="H343" t="s">
        <v>339</v>
      </c>
    </row>
    <row r="344" spans="1:12" x14ac:dyDescent="0.15">
      <c r="A344" t="s">
        <v>17</v>
      </c>
      <c r="B344">
        <v>4</v>
      </c>
      <c r="C344">
        <v>44</v>
      </c>
      <c r="D344">
        <v>10</v>
      </c>
      <c r="E344" t="s">
        <v>131</v>
      </c>
      <c r="F344" s="1" t="s">
        <v>143</v>
      </c>
      <c r="G344" t="s">
        <v>321</v>
      </c>
      <c r="H344" t="s">
        <v>339</v>
      </c>
    </row>
    <row r="345" spans="1:12" x14ac:dyDescent="0.15">
      <c r="A345" t="s">
        <v>17</v>
      </c>
      <c r="B345">
        <v>4</v>
      </c>
      <c r="C345">
        <v>45</v>
      </c>
      <c r="D345">
        <v>0</v>
      </c>
      <c r="E345" t="s">
        <v>326</v>
      </c>
      <c r="F345" s="1" t="s">
        <v>143</v>
      </c>
      <c r="G345" t="s">
        <v>327</v>
      </c>
      <c r="H345" t="s">
        <v>93</v>
      </c>
    </row>
    <row r="346" spans="1:12" x14ac:dyDescent="0.15">
      <c r="A346" t="s">
        <v>17</v>
      </c>
      <c r="B346">
        <v>4</v>
      </c>
      <c r="C346">
        <v>46</v>
      </c>
      <c r="D346">
        <v>3</v>
      </c>
      <c r="E346" t="s">
        <v>324</v>
      </c>
      <c r="F346" s="1" t="s">
        <v>146</v>
      </c>
      <c r="G346" t="s">
        <v>321</v>
      </c>
      <c r="H346" t="s">
        <v>96</v>
      </c>
    </row>
    <row r="347" spans="1:12" x14ac:dyDescent="0.15">
      <c r="A347" t="s">
        <v>17</v>
      </c>
      <c r="B347">
        <v>4</v>
      </c>
      <c r="C347">
        <v>47</v>
      </c>
      <c r="D347">
        <v>3</v>
      </c>
      <c r="E347" t="s">
        <v>324</v>
      </c>
      <c r="F347" s="1" t="s">
        <v>145</v>
      </c>
      <c r="G347" t="s">
        <v>321</v>
      </c>
      <c r="H347" t="s">
        <v>96</v>
      </c>
    </row>
    <row r="348" spans="1:12" x14ac:dyDescent="0.15">
      <c r="A348" t="s">
        <v>17</v>
      </c>
      <c r="B348">
        <v>4</v>
      </c>
      <c r="C348">
        <v>48</v>
      </c>
      <c r="D348">
        <v>0</v>
      </c>
      <c r="E348" t="s">
        <v>326</v>
      </c>
      <c r="F348" s="1" t="s">
        <v>145</v>
      </c>
      <c r="G348" t="s">
        <v>327</v>
      </c>
      <c r="H348" t="s">
        <v>93</v>
      </c>
    </row>
    <row r="349" spans="1:12" x14ac:dyDescent="0.15">
      <c r="A349" t="s">
        <v>17</v>
      </c>
      <c r="B349">
        <v>4</v>
      </c>
      <c r="C349">
        <v>49</v>
      </c>
      <c r="D349">
        <v>10</v>
      </c>
      <c r="E349" t="s">
        <v>131</v>
      </c>
      <c r="F349" s="1" t="s">
        <v>148</v>
      </c>
      <c r="G349" t="s">
        <v>321</v>
      </c>
      <c r="H349" t="s">
        <v>339</v>
      </c>
    </row>
    <row r="350" spans="1:12" x14ac:dyDescent="0.15">
      <c r="A350" t="s">
        <v>17</v>
      </c>
      <c r="B350">
        <v>4</v>
      </c>
      <c r="C350">
        <v>50</v>
      </c>
      <c r="D350">
        <v>10</v>
      </c>
      <c r="E350" t="s">
        <v>131</v>
      </c>
      <c r="F350" s="1" t="s">
        <v>147</v>
      </c>
      <c r="G350" t="s">
        <v>321</v>
      </c>
      <c r="H350" t="s">
        <v>339</v>
      </c>
    </row>
    <row r="351" spans="1:12" x14ac:dyDescent="0.15">
      <c r="A351" t="s">
        <v>17</v>
      </c>
      <c r="B351">
        <v>4</v>
      </c>
      <c r="C351">
        <v>51</v>
      </c>
      <c r="D351">
        <v>0</v>
      </c>
      <c r="E351" t="s">
        <v>326</v>
      </c>
      <c r="F351" s="1" t="s">
        <v>147</v>
      </c>
      <c r="G351" t="s">
        <v>327</v>
      </c>
      <c r="H351" t="s">
        <v>93</v>
      </c>
    </row>
    <row r="352" spans="1:12" x14ac:dyDescent="0.15">
      <c r="A352" t="s">
        <v>17</v>
      </c>
      <c r="B352">
        <v>4</v>
      </c>
      <c r="C352">
        <v>52</v>
      </c>
      <c r="D352">
        <v>3</v>
      </c>
      <c r="E352" t="s">
        <v>324</v>
      </c>
      <c r="F352" s="1" t="s">
        <v>150</v>
      </c>
      <c r="G352" t="s">
        <v>321</v>
      </c>
      <c r="H352" t="s">
        <v>96</v>
      </c>
      <c r="L352" s="1"/>
    </row>
    <row r="353" spans="1:12" x14ac:dyDescent="0.15">
      <c r="A353" t="s">
        <v>17</v>
      </c>
      <c r="B353">
        <v>4</v>
      </c>
      <c r="C353">
        <v>53</v>
      </c>
      <c r="D353">
        <v>3</v>
      </c>
      <c r="E353" t="s">
        <v>324</v>
      </c>
      <c r="F353" s="1" t="s">
        <v>149</v>
      </c>
      <c r="G353" t="s">
        <v>321</v>
      </c>
      <c r="H353" t="s">
        <v>96</v>
      </c>
      <c r="L353" s="1"/>
    </row>
    <row r="354" spans="1:12" x14ac:dyDescent="0.15">
      <c r="A354" t="s">
        <v>17</v>
      </c>
      <c r="B354">
        <v>4</v>
      </c>
      <c r="C354">
        <v>54</v>
      </c>
      <c r="D354">
        <v>0</v>
      </c>
      <c r="E354" t="s">
        <v>326</v>
      </c>
      <c r="F354" s="1" t="s">
        <v>149</v>
      </c>
      <c r="G354" t="s">
        <v>327</v>
      </c>
      <c r="H354" t="s">
        <v>93</v>
      </c>
      <c r="L354" s="1"/>
    </row>
    <row r="355" spans="1:12" x14ac:dyDescent="0.15">
      <c r="A355" t="s">
        <v>17</v>
      </c>
      <c r="B355">
        <v>4</v>
      </c>
      <c r="C355">
        <v>55</v>
      </c>
      <c r="D355">
        <v>1</v>
      </c>
      <c r="E355" t="s">
        <v>319</v>
      </c>
      <c r="F355" t="s">
        <v>328</v>
      </c>
      <c r="G355" t="s">
        <v>321</v>
      </c>
      <c r="H355" t="s">
        <v>94</v>
      </c>
      <c r="L355" s="1"/>
    </row>
    <row r="356" spans="1:12" x14ac:dyDescent="0.15">
      <c r="A356" t="s">
        <v>17</v>
      </c>
      <c r="B356">
        <v>4</v>
      </c>
      <c r="C356">
        <v>56</v>
      </c>
      <c r="D356">
        <v>3</v>
      </c>
      <c r="E356" t="s">
        <v>324</v>
      </c>
      <c r="F356" t="s">
        <v>130</v>
      </c>
      <c r="G356" t="s">
        <v>321</v>
      </c>
      <c r="H356" t="s">
        <v>96</v>
      </c>
    </row>
    <row r="357" spans="1:12" x14ac:dyDescent="0.15">
      <c r="A357" t="s">
        <v>17</v>
      </c>
      <c r="B357">
        <v>4</v>
      </c>
      <c r="C357">
        <v>57</v>
      </c>
      <c r="D357">
        <v>0</v>
      </c>
      <c r="E357" t="s">
        <v>326</v>
      </c>
      <c r="F357" t="s">
        <v>129</v>
      </c>
      <c r="G357" t="s">
        <v>327</v>
      </c>
      <c r="H357" t="s">
        <v>93</v>
      </c>
    </row>
    <row r="358" spans="1:12" x14ac:dyDescent="0.15">
      <c r="A358" t="s">
        <v>17</v>
      </c>
      <c r="B358">
        <v>4</v>
      </c>
      <c r="C358">
        <v>58</v>
      </c>
      <c r="D358">
        <v>10</v>
      </c>
      <c r="E358" t="s">
        <v>131</v>
      </c>
      <c r="F358" t="s">
        <v>134</v>
      </c>
      <c r="G358" t="s">
        <v>321</v>
      </c>
      <c r="H358" t="s">
        <v>339</v>
      </c>
    </row>
    <row r="359" spans="1:12" x14ac:dyDescent="0.15">
      <c r="A359" t="s">
        <v>17</v>
      </c>
      <c r="B359">
        <v>4</v>
      </c>
      <c r="C359">
        <v>59</v>
      </c>
      <c r="D359">
        <v>0</v>
      </c>
      <c r="E359" t="s">
        <v>326</v>
      </c>
      <c r="F359" t="s">
        <v>133</v>
      </c>
      <c r="G359" t="s">
        <v>327</v>
      </c>
      <c r="H359" t="s">
        <v>93</v>
      </c>
    </row>
    <row r="360" spans="1:12" x14ac:dyDescent="0.15">
      <c r="A360" t="s">
        <v>17</v>
      </c>
      <c r="B360">
        <v>4</v>
      </c>
      <c r="C360">
        <v>60</v>
      </c>
      <c r="D360">
        <v>10</v>
      </c>
      <c r="E360" t="s">
        <v>131</v>
      </c>
      <c r="F360" t="s">
        <v>135</v>
      </c>
      <c r="G360" t="s">
        <v>321</v>
      </c>
      <c r="H360" t="s">
        <v>339</v>
      </c>
    </row>
    <row r="361" spans="1:12" ht="27" x14ac:dyDescent="0.15">
      <c r="A361" t="s">
        <v>17</v>
      </c>
      <c r="B361">
        <v>4</v>
      </c>
      <c r="C361">
        <v>61</v>
      </c>
      <c r="D361">
        <v>0</v>
      </c>
      <c r="E361" t="s">
        <v>326</v>
      </c>
      <c r="F361" s="1" t="s">
        <v>136</v>
      </c>
      <c r="G361" t="s">
        <v>327</v>
      </c>
      <c r="H361" t="s">
        <v>93</v>
      </c>
    </row>
    <row r="362" spans="1:12" x14ac:dyDescent="0.15">
      <c r="A362" t="s">
        <v>17</v>
      </c>
      <c r="B362">
        <v>4</v>
      </c>
      <c r="C362">
        <v>62</v>
      </c>
      <c r="D362">
        <v>10</v>
      </c>
      <c r="E362" t="s">
        <v>131</v>
      </c>
      <c r="F362" s="1" t="s">
        <v>138</v>
      </c>
      <c r="G362" t="s">
        <v>321</v>
      </c>
      <c r="H362" t="s">
        <v>339</v>
      </c>
    </row>
    <row r="363" spans="1:12" x14ac:dyDescent="0.15">
      <c r="A363" t="s">
        <v>17</v>
      </c>
      <c r="B363">
        <v>4</v>
      </c>
      <c r="C363">
        <v>63</v>
      </c>
      <c r="D363">
        <v>0</v>
      </c>
      <c r="E363" t="s">
        <v>326</v>
      </c>
      <c r="F363" s="1" t="s">
        <v>137</v>
      </c>
      <c r="G363" t="s">
        <v>327</v>
      </c>
      <c r="H363" t="s">
        <v>93</v>
      </c>
    </row>
    <row r="364" spans="1:12" x14ac:dyDescent="0.15">
      <c r="A364" t="s">
        <v>17</v>
      </c>
      <c r="B364">
        <v>4</v>
      </c>
      <c r="C364">
        <v>64</v>
      </c>
      <c r="D364">
        <v>3</v>
      </c>
      <c r="E364" t="s">
        <v>324</v>
      </c>
      <c r="F364" s="1" t="s">
        <v>140</v>
      </c>
      <c r="G364" t="s">
        <v>321</v>
      </c>
      <c r="H364" t="s">
        <v>96</v>
      </c>
    </row>
    <row r="365" spans="1:12" x14ac:dyDescent="0.15">
      <c r="A365" t="s">
        <v>17</v>
      </c>
      <c r="B365">
        <v>4</v>
      </c>
      <c r="C365">
        <v>65</v>
      </c>
      <c r="D365">
        <v>0</v>
      </c>
      <c r="E365" t="s">
        <v>326</v>
      </c>
      <c r="F365" s="1" t="s">
        <v>139</v>
      </c>
      <c r="G365" t="s">
        <v>327</v>
      </c>
      <c r="H365" t="s">
        <v>93</v>
      </c>
    </row>
    <row r="366" spans="1:12" x14ac:dyDescent="0.15">
      <c r="A366" t="s">
        <v>17</v>
      </c>
      <c r="B366">
        <v>4</v>
      </c>
      <c r="C366">
        <v>66</v>
      </c>
      <c r="D366">
        <v>3</v>
      </c>
      <c r="E366" t="s">
        <v>324</v>
      </c>
      <c r="F366" s="1" t="s">
        <v>155</v>
      </c>
      <c r="G366" t="s">
        <v>321</v>
      </c>
      <c r="H366" t="s">
        <v>96</v>
      </c>
    </row>
    <row r="367" spans="1:12" x14ac:dyDescent="0.15">
      <c r="A367" t="s">
        <v>17</v>
      </c>
      <c r="B367">
        <v>4</v>
      </c>
      <c r="C367">
        <v>67</v>
      </c>
      <c r="D367">
        <v>0</v>
      </c>
      <c r="E367" t="s">
        <v>326</v>
      </c>
      <c r="F367" s="1" t="s">
        <v>141</v>
      </c>
      <c r="G367" t="s">
        <v>327</v>
      </c>
      <c r="H367" t="s">
        <v>93</v>
      </c>
    </row>
    <row r="368" spans="1:12" x14ac:dyDescent="0.15">
      <c r="A368" t="s">
        <v>17</v>
      </c>
      <c r="B368">
        <v>4</v>
      </c>
      <c r="C368">
        <v>68</v>
      </c>
      <c r="D368">
        <v>10</v>
      </c>
      <c r="E368" t="s">
        <v>131</v>
      </c>
      <c r="F368" s="1" t="s">
        <v>156</v>
      </c>
      <c r="G368" t="s">
        <v>321</v>
      </c>
      <c r="H368" t="s">
        <v>339</v>
      </c>
    </row>
    <row r="369" spans="1:12" x14ac:dyDescent="0.15">
      <c r="A369" t="s">
        <v>17</v>
      </c>
      <c r="B369">
        <v>4</v>
      </c>
      <c r="C369">
        <v>69</v>
      </c>
      <c r="D369">
        <v>0</v>
      </c>
      <c r="E369" t="s">
        <v>326</v>
      </c>
      <c r="F369" s="1" t="s">
        <v>143</v>
      </c>
      <c r="G369" t="s">
        <v>327</v>
      </c>
      <c r="H369" t="s">
        <v>93</v>
      </c>
    </row>
    <row r="370" spans="1:12" x14ac:dyDescent="0.15">
      <c r="A370" t="s">
        <v>17</v>
      </c>
      <c r="B370">
        <v>4</v>
      </c>
      <c r="C370">
        <v>70</v>
      </c>
      <c r="D370">
        <v>3</v>
      </c>
      <c r="E370" t="s">
        <v>324</v>
      </c>
      <c r="F370" s="1" t="s">
        <v>146</v>
      </c>
      <c r="G370" t="s">
        <v>321</v>
      </c>
      <c r="H370" t="s">
        <v>96</v>
      </c>
    </row>
    <row r="371" spans="1:12" x14ac:dyDescent="0.15">
      <c r="A371" t="s">
        <v>17</v>
      </c>
      <c r="B371">
        <v>4</v>
      </c>
      <c r="C371">
        <v>71</v>
      </c>
      <c r="D371">
        <v>0</v>
      </c>
      <c r="E371" t="s">
        <v>326</v>
      </c>
      <c r="F371" s="1" t="s">
        <v>145</v>
      </c>
      <c r="G371" t="s">
        <v>327</v>
      </c>
      <c r="H371" t="s">
        <v>93</v>
      </c>
    </row>
    <row r="372" spans="1:12" x14ac:dyDescent="0.15">
      <c r="A372" t="s">
        <v>17</v>
      </c>
      <c r="B372">
        <v>4</v>
      </c>
      <c r="C372">
        <v>72</v>
      </c>
      <c r="D372">
        <v>10</v>
      </c>
      <c r="E372" t="s">
        <v>131</v>
      </c>
      <c r="F372" s="1" t="s">
        <v>148</v>
      </c>
      <c r="G372" t="s">
        <v>321</v>
      </c>
      <c r="H372" t="s">
        <v>339</v>
      </c>
    </row>
    <row r="373" spans="1:12" x14ac:dyDescent="0.15">
      <c r="A373" t="s">
        <v>17</v>
      </c>
      <c r="B373">
        <v>4</v>
      </c>
      <c r="C373">
        <v>73</v>
      </c>
      <c r="D373">
        <v>0</v>
      </c>
      <c r="E373" t="s">
        <v>326</v>
      </c>
      <c r="F373" s="1" t="s">
        <v>147</v>
      </c>
      <c r="G373" t="s">
        <v>327</v>
      </c>
      <c r="H373" t="s">
        <v>93</v>
      </c>
    </row>
    <row r="374" spans="1:12" x14ac:dyDescent="0.15">
      <c r="A374" t="s">
        <v>17</v>
      </c>
      <c r="B374">
        <v>4</v>
      </c>
      <c r="C374">
        <v>74</v>
      </c>
      <c r="D374">
        <v>3</v>
      </c>
      <c r="E374" t="s">
        <v>324</v>
      </c>
      <c r="F374" s="1" t="s">
        <v>150</v>
      </c>
      <c r="G374" t="s">
        <v>321</v>
      </c>
      <c r="H374" t="s">
        <v>96</v>
      </c>
    </row>
    <row r="375" spans="1:12" x14ac:dyDescent="0.15">
      <c r="A375" t="s">
        <v>17</v>
      </c>
      <c r="B375">
        <v>4</v>
      </c>
      <c r="C375">
        <v>75</v>
      </c>
      <c r="D375">
        <v>0</v>
      </c>
      <c r="E375" t="s">
        <v>326</v>
      </c>
      <c r="F375" s="1" t="s">
        <v>149</v>
      </c>
      <c r="G375" t="s">
        <v>327</v>
      </c>
      <c r="H375" t="s">
        <v>93</v>
      </c>
    </row>
    <row r="376" spans="1:12" x14ac:dyDescent="0.15">
      <c r="A376" t="s">
        <v>17</v>
      </c>
      <c r="B376">
        <v>4</v>
      </c>
      <c r="C376">
        <v>76</v>
      </c>
      <c r="D376">
        <v>1</v>
      </c>
      <c r="E376" t="s">
        <v>319</v>
      </c>
      <c r="F376" t="s">
        <v>340</v>
      </c>
      <c r="G376" t="s">
        <v>320</v>
      </c>
      <c r="H376" t="s">
        <v>94</v>
      </c>
      <c r="L376" s="1"/>
    </row>
    <row r="377" spans="1:12" x14ac:dyDescent="0.15">
      <c r="A377" t="s">
        <v>17</v>
      </c>
      <c r="B377">
        <v>5</v>
      </c>
      <c r="C377">
        <v>1</v>
      </c>
      <c r="D377">
        <v>1</v>
      </c>
      <c r="E377" t="s">
        <v>319</v>
      </c>
      <c r="F377" t="s">
        <v>151</v>
      </c>
      <c r="G377" t="s">
        <v>321</v>
      </c>
      <c r="H377" t="s">
        <v>94</v>
      </c>
      <c r="L377" s="1"/>
    </row>
    <row r="378" spans="1:12" x14ac:dyDescent="0.15">
      <c r="A378" t="s">
        <v>17</v>
      </c>
      <c r="B378">
        <v>5</v>
      </c>
      <c r="C378">
        <v>2</v>
      </c>
      <c r="D378">
        <v>1</v>
      </c>
      <c r="E378" t="s">
        <v>319</v>
      </c>
      <c r="F378" t="s">
        <v>341</v>
      </c>
      <c r="G378" t="s">
        <v>321</v>
      </c>
      <c r="H378" t="s">
        <v>94</v>
      </c>
      <c r="L378" s="1"/>
    </row>
    <row r="379" spans="1:12" ht="40.5" x14ac:dyDescent="0.15">
      <c r="A379" t="s">
        <v>17</v>
      </c>
      <c r="B379">
        <v>5</v>
      </c>
      <c r="C379">
        <v>3</v>
      </c>
      <c r="D379">
        <v>1</v>
      </c>
      <c r="E379" t="s">
        <v>319</v>
      </c>
      <c r="F379" s="1" t="s">
        <v>322</v>
      </c>
      <c r="G379" t="s">
        <v>321</v>
      </c>
      <c r="H379" t="s">
        <v>94</v>
      </c>
    </row>
    <row r="380" spans="1:12" ht="27" x14ac:dyDescent="0.15">
      <c r="A380" t="s">
        <v>17</v>
      </c>
      <c r="B380">
        <v>5</v>
      </c>
      <c r="C380">
        <v>4</v>
      </c>
      <c r="D380">
        <v>3</v>
      </c>
      <c r="E380" t="s">
        <v>324</v>
      </c>
      <c r="F380" s="1" t="s">
        <v>157</v>
      </c>
      <c r="G380" t="s">
        <v>321</v>
      </c>
      <c r="H380" t="s">
        <v>96</v>
      </c>
    </row>
    <row r="381" spans="1:12" ht="27" x14ac:dyDescent="0.15">
      <c r="A381" t="s">
        <v>17</v>
      </c>
      <c r="B381">
        <v>5</v>
      </c>
      <c r="C381">
        <v>5</v>
      </c>
      <c r="D381">
        <v>3</v>
      </c>
      <c r="E381" t="s">
        <v>324</v>
      </c>
      <c r="F381" s="1" t="s">
        <v>152</v>
      </c>
      <c r="G381" t="s">
        <v>321</v>
      </c>
      <c r="H381" t="s">
        <v>96</v>
      </c>
    </row>
    <row r="382" spans="1:12" ht="27" x14ac:dyDescent="0.15">
      <c r="A382" t="s">
        <v>17</v>
      </c>
      <c r="B382">
        <v>5</v>
      </c>
      <c r="C382">
        <v>6</v>
      </c>
      <c r="D382">
        <v>4</v>
      </c>
      <c r="E382" t="s">
        <v>38</v>
      </c>
      <c r="F382" s="1" t="s">
        <v>154</v>
      </c>
      <c r="G382" t="s">
        <v>321</v>
      </c>
      <c r="H382" t="s">
        <v>97</v>
      </c>
    </row>
    <row r="383" spans="1:12" ht="27" x14ac:dyDescent="0.15">
      <c r="A383" t="s">
        <v>17</v>
      </c>
      <c r="B383">
        <v>5</v>
      </c>
      <c r="C383">
        <v>7</v>
      </c>
      <c r="D383">
        <v>4</v>
      </c>
      <c r="E383" t="s">
        <v>38</v>
      </c>
      <c r="F383" s="1" t="s">
        <v>153</v>
      </c>
      <c r="G383" t="s">
        <v>321</v>
      </c>
      <c r="H383" t="s">
        <v>97</v>
      </c>
    </row>
    <row r="384" spans="1:12" x14ac:dyDescent="0.15">
      <c r="A384" t="s">
        <v>17</v>
      </c>
      <c r="B384">
        <v>5</v>
      </c>
      <c r="C384">
        <v>8</v>
      </c>
      <c r="D384">
        <v>4</v>
      </c>
      <c r="E384" t="s">
        <v>38</v>
      </c>
      <c r="F384" s="1" t="s">
        <v>159</v>
      </c>
      <c r="G384" t="s">
        <v>321</v>
      </c>
      <c r="H384" t="s">
        <v>97</v>
      </c>
    </row>
    <row r="385" spans="1:12" x14ac:dyDescent="0.15">
      <c r="A385" t="s">
        <v>17</v>
      </c>
      <c r="B385">
        <v>5</v>
      </c>
      <c r="C385">
        <v>9</v>
      </c>
      <c r="D385">
        <v>4</v>
      </c>
      <c r="E385" t="s">
        <v>38</v>
      </c>
      <c r="F385" s="1" t="s">
        <v>158</v>
      </c>
      <c r="G385" t="s">
        <v>321</v>
      </c>
      <c r="H385" t="s">
        <v>97</v>
      </c>
    </row>
    <row r="386" spans="1:12" x14ac:dyDescent="0.15">
      <c r="A386" t="s">
        <v>17</v>
      </c>
      <c r="B386">
        <v>5</v>
      </c>
      <c r="C386">
        <v>10</v>
      </c>
      <c r="D386">
        <v>3</v>
      </c>
      <c r="E386" t="s">
        <v>324</v>
      </c>
      <c r="F386" s="1" t="s">
        <v>161</v>
      </c>
      <c r="G386" t="s">
        <v>321</v>
      </c>
      <c r="H386" t="s">
        <v>96</v>
      </c>
    </row>
    <row r="387" spans="1:12" x14ac:dyDescent="0.15">
      <c r="A387" t="s">
        <v>17</v>
      </c>
      <c r="B387">
        <v>5</v>
      </c>
      <c r="C387">
        <v>11</v>
      </c>
      <c r="D387">
        <v>3</v>
      </c>
      <c r="E387" t="s">
        <v>324</v>
      </c>
      <c r="F387" s="1" t="s">
        <v>160</v>
      </c>
      <c r="G387" t="s">
        <v>321</v>
      </c>
      <c r="H387" t="s">
        <v>96</v>
      </c>
    </row>
    <row r="388" spans="1:12" x14ac:dyDescent="0.15">
      <c r="A388" t="s">
        <v>17</v>
      </c>
      <c r="B388">
        <v>5</v>
      </c>
      <c r="C388">
        <v>12</v>
      </c>
      <c r="D388">
        <v>4</v>
      </c>
      <c r="E388" t="s">
        <v>38</v>
      </c>
      <c r="F388" s="1" t="s">
        <v>163</v>
      </c>
      <c r="G388" t="s">
        <v>321</v>
      </c>
      <c r="H388" t="s">
        <v>97</v>
      </c>
    </row>
    <row r="389" spans="1:12" x14ac:dyDescent="0.15">
      <c r="A389" t="s">
        <v>17</v>
      </c>
      <c r="B389">
        <v>5</v>
      </c>
      <c r="C389">
        <v>13</v>
      </c>
      <c r="D389">
        <v>4</v>
      </c>
      <c r="E389" t="s">
        <v>38</v>
      </c>
      <c r="F389" s="1" t="s">
        <v>162</v>
      </c>
      <c r="G389" t="s">
        <v>321</v>
      </c>
      <c r="H389" t="s">
        <v>97</v>
      </c>
    </row>
    <row r="390" spans="1:12" x14ac:dyDescent="0.15">
      <c r="A390" t="s">
        <v>17</v>
      </c>
      <c r="B390">
        <v>5</v>
      </c>
      <c r="C390">
        <v>14</v>
      </c>
      <c r="D390">
        <v>4</v>
      </c>
      <c r="E390" t="s">
        <v>38</v>
      </c>
      <c r="F390" s="1" t="s">
        <v>165</v>
      </c>
      <c r="G390" t="s">
        <v>321</v>
      </c>
      <c r="H390" t="s">
        <v>97</v>
      </c>
    </row>
    <row r="391" spans="1:12" x14ac:dyDescent="0.15">
      <c r="A391" t="s">
        <v>17</v>
      </c>
      <c r="B391">
        <v>5</v>
      </c>
      <c r="C391">
        <v>15</v>
      </c>
      <c r="D391">
        <v>4</v>
      </c>
      <c r="E391" t="s">
        <v>38</v>
      </c>
      <c r="F391" s="1" t="s">
        <v>164</v>
      </c>
      <c r="G391" t="s">
        <v>321</v>
      </c>
      <c r="H391" t="s">
        <v>97</v>
      </c>
    </row>
    <row r="392" spans="1:12" x14ac:dyDescent="0.15">
      <c r="A392" t="s">
        <v>17</v>
      </c>
      <c r="B392">
        <v>5</v>
      </c>
      <c r="C392">
        <v>16</v>
      </c>
      <c r="D392">
        <v>3</v>
      </c>
      <c r="E392" t="s">
        <v>324</v>
      </c>
      <c r="F392" s="1" t="s">
        <v>167</v>
      </c>
      <c r="G392" t="s">
        <v>321</v>
      </c>
      <c r="H392" t="s">
        <v>96</v>
      </c>
    </row>
    <row r="393" spans="1:12" x14ac:dyDescent="0.15">
      <c r="A393" t="s">
        <v>17</v>
      </c>
      <c r="B393">
        <v>5</v>
      </c>
      <c r="C393">
        <v>17</v>
      </c>
      <c r="D393">
        <v>3</v>
      </c>
      <c r="E393" t="s">
        <v>324</v>
      </c>
      <c r="F393" s="1" t="s">
        <v>166</v>
      </c>
      <c r="G393" t="s">
        <v>321</v>
      </c>
      <c r="H393" t="s">
        <v>96</v>
      </c>
    </row>
    <row r="394" spans="1:12" x14ac:dyDescent="0.15">
      <c r="A394" t="s">
        <v>17</v>
      </c>
      <c r="B394">
        <v>5</v>
      </c>
      <c r="C394">
        <v>18</v>
      </c>
      <c r="D394">
        <v>3</v>
      </c>
      <c r="E394" t="s">
        <v>324</v>
      </c>
      <c r="F394" s="1" t="s">
        <v>169</v>
      </c>
      <c r="G394" t="s">
        <v>321</v>
      </c>
      <c r="H394" t="s">
        <v>96</v>
      </c>
    </row>
    <row r="395" spans="1:12" x14ac:dyDescent="0.15">
      <c r="A395" t="s">
        <v>17</v>
      </c>
      <c r="B395">
        <v>5</v>
      </c>
      <c r="C395">
        <v>19</v>
      </c>
      <c r="D395">
        <v>3</v>
      </c>
      <c r="E395" t="s">
        <v>324</v>
      </c>
      <c r="F395" s="1" t="s">
        <v>168</v>
      </c>
      <c r="G395" t="s">
        <v>321</v>
      </c>
      <c r="H395" t="s">
        <v>96</v>
      </c>
    </row>
    <row r="396" spans="1:12" x14ac:dyDescent="0.15">
      <c r="A396" t="s">
        <v>17</v>
      </c>
      <c r="B396">
        <v>5</v>
      </c>
      <c r="C396">
        <v>20</v>
      </c>
      <c r="D396">
        <v>1</v>
      </c>
      <c r="E396" t="s">
        <v>319</v>
      </c>
      <c r="F396" t="str">
        <f>"次の"&amp;A434&amp;"を真似してね！"</f>
        <v>次のドイツ語を真似してね！</v>
      </c>
      <c r="G396" t="s">
        <v>321</v>
      </c>
      <c r="H396" t="s">
        <v>94</v>
      </c>
      <c r="L396" s="1"/>
    </row>
    <row r="397" spans="1:12" ht="27" x14ac:dyDescent="0.15">
      <c r="A397" t="s">
        <v>17</v>
      </c>
      <c r="B397">
        <v>5</v>
      </c>
      <c r="C397">
        <v>21</v>
      </c>
      <c r="D397">
        <v>3</v>
      </c>
      <c r="E397" t="s">
        <v>324</v>
      </c>
      <c r="F397" s="1" t="s">
        <v>157</v>
      </c>
      <c r="G397" t="s">
        <v>321</v>
      </c>
      <c r="H397" t="s">
        <v>96</v>
      </c>
    </row>
    <row r="398" spans="1:12" ht="27" x14ac:dyDescent="0.15">
      <c r="A398" t="s">
        <v>17</v>
      </c>
      <c r="B398">
        <v>5</v>
      </c>
      <c r="C398">
        <v>22</v>
      </c>
      <c r="D398">
        <v>3</v>
      </c>
      <c r="E398" t="s">
        <v>324</v>
      </c>
      <c r="F398" s="1" t="s">
        <v>152</v>
      </c>
      <c r="G398" t="s">
        <v>321</v>
      </c>
      <c r="H398" t="s">
        <v>96</v>
      </c>
    </row>
    <row r="399" spans="1:12" ht="27" x14ac:dyDescent="0.15">
      <c r="A399" t="s">
        <v>17</v>
      </c>
      <c r="B399">
        <v>5</v>
      </c>
      <c r="C399">
        <v>23</v>
      </c>
      <c r="D399">
        <v>0</v>
      </c>
      <c r="E399" t="s">
        <v>326</v>
      </c>
      <c r="F399" s="1" t="s">
        <v>152</v>
      </c>
      <c r="G399" t="s">
        <v>327</v>
      </c>
      <c r="H399" t="s">
        <v>93</v>
      </c>
    </row>
    <row r="400" spans="1:12" ht="27" x14ac:dyDescent="0.15">
      <c r="A400" t="s">
        <v>17</v>
      </c>
      <c r="B400">
        <v>5</v>
      </c>
      <c r="C400">
        <v>24</v>
      </c>
      <c r="D400">
        <v>4</v>
      </c>
      <c r="E400" t="s">
        <v>38</v>
      </c>
      <c r="F400" s="1" t="s">
        <v>154</v>
      </c>
      <c r="G400" t="s">
        <v>321</v>
      </c>
      <c r="H400" t="s">
        <v>97</v>
      </c>
    </row>
    <row r="401" spans="1:8" ht="27" x14ac:dyDescent="0.15">
      <c r="A401" t="s">
        <v>17</v>
      </c>
      <c r="B401">
        <v>5</v>
      </c>
      <c r="C401">
        <v>25</v>
      </c>
      <c r="D401">
        <v>4</v>
      </c>
      <c r="E401" t="s">
        <v>38</v>
      </c>
      <c r="F401" s="1" t="s">
        <v>153</v>
      </c>
      <c r="G401" t="s">
        <v>321</v>
      </c>
      <c r="H401" t="s">
        <v>97</v>
      </c>
    </row>
    <row r="402" spans="1:8" ht="27" x14ac:dyDescent="0.15">
      <c r="A402" t="s">
        <v>17</v>
      </c>
      <c r="B402">
        <v>5</v>
      </c>
      <c r="C402">
        <v>26</v>
      </c>
      <c r="D402">
        <v>0</v>
      </c>
      <c r="E402" t="s">
        <v>326</v>
      </c>
      <c r="F402" s="1" t="s">
        <v>153</v>
      </c>
      <c r="G402" t="s">
        <v>327</v>
      </c>
      <c r="H402" t="s">
        <v>93</v>
      </c>
    </row>
    <row r="403" spans="1:8" x14ac:dyDescent="0.15">
      <c r="A403" t="s">
        <v>17</v>
      </c>
      <c r="B403">
        <v>5</v>
      </c>
      <c r="C403">
        <v>27</v>
      </c>
      <c r="D403">
        <v>4</v>
      </c>
      <c r="E403" t="s">
        <v>38</v>
      </c>
      <c r="F403" s="1" t="s">
        <v>159</v>
      </c>
      <c r="G403" t="s">
        <v>321</v>
      </c>
      <c r="H403" t="s">
        <v>97</v>
      </c>
    </row>
    <row r="404" spans="1:8" x14ac:dyDescent="0.15">
      <c r="A404" t="s">
        <v>17</v>
      </c>
      <c r="B404">
        <v>5</v>
      </c>
      <c r="C404">
        <v>28</v>
      </c>
      <c r="D404">
        <v>4</v>
      </c>
      <c r="E404" t="s">
        <v>38</v>
      </c>
      <c r="F404" s="1" t="s">
        <v>158</v>
      </c>
      <c r="G404" t="s">
        <v>321</v>
      </c>
      <c r="H404" t="s">
        <v>97</v>
      </c>
    </row>
    <row r="405" spans="1:8" x14ac:dyDescent="0.15">
      <c r="A405" t="s">
        <v>17</v>
      </c>
      <c r="B405">
        <v>5</v>
      </c>
      <c r="C405">
        <v>29</v>
      </c>
      <c r="D405">
        <v>0</v>
      </c>
      <c r="E405" t="s">
        <v>326</v>
      </c>
      <c r="F405" s="1" t="s">
        <v>158</v>
      </c>
      <c r="G405" t="s">
        <v>327</v>
      </c>
      <c r="H405" t="s">
        <v>93</v>
      </c>
    </row>
    <row r="406" spans="1:8" x14ac:dyDescent="0.15">
      <c r="A406" t="s">
        <v>17</v>
      </c>
      <c r="B406">
        <v>5</v>
      </c>
      <c r="C406">
        <v>30</v>
      </c>
      <c r="D406">
        <v>3</v>
      </c>
      <c r="E406" t="s">
        <v>324</v>
      </c>
      <c r="F406" s="1" t="s">
        <v>161</v>
      </c>
      <c r="G406" t="s">
        <v>321</v>
      </c>
      <c r="H406" t="s">
        <v>96</v>
      </c>
    </row>
    <row r="407" spans="1:8" x14ac:dyDescent="0.15">
      <c r="A407" t="s">
        <v>17</v>
      </c>
      <c r="B407">
        <v>5</v>
      </c>
      <c r="C407">
        <v>31</v>
      </c>
      <c r="D407">
        <v>3</v>
      </c>
      <c r="E407" t="s">
        <v>324</v>
      </c>
      <c r="F407" s="1" t="s">
        <v>160</v>
      </c>
      <c r="G407" t="s">
        <v>321</v>
      </c>
      <c r="H407" t="s">
        <v>96</v>
      </c>
    </row>
    <row r="408" spans="1:8" x14ac:dyDescent="0.15">
      <c r="A408" t="s">
        <v>17</v>
      </c>
      <c r="B408">
        <v>5</v>
      </c>
      <c r="C408">
        <v>32</v>
      </c>
      <c r="D408">
        <v>0</v>
      </c>
      <c r="E408" t="s">
        <v>326</v>
      </c>
      <c r="F408" s="1" t="s">
        <v>160</v>
      </c>
      <c r="G408" t="s">
        <v>327</v>
      </c>
      <c r="H408" t="s">
        <v>93</v>
      </c>
    </row>
    <row r="409" spans="1:8" x14ac:dyDescent="0.15">
      <c r="A409" t="s">
        <v>17</v>
      </c>
      <c r="B409">
        <v>5</v>
      </c>
      <c r="C409">
        <v>33</v>
      </c>
      <c r="D409">
        <v>4</v>
      </c>
      <c r="E409" t="s">
        <v>38</v>
      </c>
      <c r="F409" s="1" t="s">
        <v>163</v>
      </c>
      <c r="G409" t="s">
        <v>321</v>
      </c>
      <c r="H409" t="s">
        <v>97</v>
      </c>
    </row>
    <row r="410" spans="1:8" x14ac:dyDescent="0.15">
      <c r="A410" t="s">
        <v>17</v>
      </c>
      <c r="B410">
        <v>5</v>
      </c>
      <c r="C410">
        <v>34</v>
      </c>
      <c r="D410">
        <v>4</v>
      </c>
      <c r="E410" t="s">
        <v>38</v>
      </c>
      <c r="F410" s="1" t="s">
        <v>162</v>
      </c>
      <c r="G410" t="s">
        <v>321</v>
      </c>
      <c r="H410" t="s">
        <v>97</v>
      </c>
    </row>
    <row r="411" spans="1:8" x14ac:dyDescent="0.15">
      <c r="A411" t="s">
        <v>17</v>
      </c>
      <c r="B411">
        <v>5</v>
      </c>
      <c r="C411">
        <v>35</v>
      </c>
      <c r="D411">
        <v>0</v>
      </c>
      <c r="E411" t="s">
        <v>326</v>
      </c>
      <c r="F411" s="1" t="s">
        <v>162</v>
      </c>
      <c r="G411" t="s">
        <v>327</v>
      </c>
      <c r="H411" t="s">
        <v>93</v>
      </c>
    </row>
    <row r="412" spans="1:8" x14ac:dyDescent="0.15">
      <c r="A412" t="s">
        <v>17</v>
      </c>
      <c r="B412">
        <v>5</v>
      </c>
      <c r="C412">
        <v>36</v>
      </c>
      <c r="D412">
        <v>4</v>
      </c>
      <c r="E412" t="s">
        <v>38</v>
      </c>
      <c r="F412" s="1" t="s">
        <v>165</v>
      </c>
      <c r="G412" t="s">
        <v>321</v>
      </c>
      <c r="H412" t="s">
        <v>97</v>
      </c>
    </row>
    <row r="413" spans="1:8" x14ac:dyDescent="0.15">
      <c r="A413" t="s">
        <v>17</v>
      </c>
      <c r="B413">
        <v>5</v>
      </c>
      <c r="C413">
        <v>37</v>
      </c>
      <c r="D413">
        <v>4</v>
      </c>
      <c r="E413" t="s">
        <v>38</v>
      </c>
      <c r="F413" s="1" t="s">
        <v>164</v>
      </c>
      <c r="G413" t="s">
        <v>321</v>
      </c>
      <c r="H413" t="s">
        <v>97</v>
      </c>
    </row>
    <row r="414" spans="1:8" x14ac:dyDescent="0.15">
      <c r="A414" t="s">
        <v>17</v>
      </c>
      <c r="B414">
        <v>5</v>
      </c>
      <c r="C414">
        <v>38</v>
      </c>
      <c r="D414">
        <v>0</v>
      </c>
      <c r="E414" t="s">
        <v>326</v>
      </c>
      <c r="F414" s="1" t="s">
        <v>164</v>
      </c>
      <c r="G414" t="s">
        <v>327</v>
      </c>
      <c r="H414" t="s">
        <v>93</v>
      </c>
    </row>
    <row r="415" spans="1:8" x14ac:dyDescent="0.15">
      <c r="A415" t="s">
        <v>17</v>
      </c>
      <c r="B415">
        <v>5</v>
      </c>
      <c r="C415">
        <v>39</v>
      </c>
      <c r="D415">
        <v>3</v>
      </c>
      <c r="E415" t="s">
        <v>324</v>
      </c>
      <c r="F415" s="1" t="s">
        <v>167</v>
      </c>
      <c r="G415" t="s">
        <v>321</v>
      </c>
      <c r="H415" t="s">
        <v>96</v>
      </c>
    </row>
    <row r="416" spans="1:8" x14ac:dyDescent="0.15">
      <c r="A416" t="s">
        <v>17</v>
      </c>
      <c r="B416">
        <v>5</v>
      </c>
      <c r="C416">
        <v>40</v>
      </c>
      <c r="D416">
        <v>3</v>
      </c>
      <c r="E416" t="s">
        <v>324</v>
      </c>
      <c r="F416" s="1" t="s">
        <v>166</v>
      </c>
      <c r="G416" t="s">
        <v>321</v>
      </c>
      <c r="H416" t="s">
        <v>96</v>
      </c>
    </row>
    <row r="417" spans="1:12" x14ac:dyDescent="0.15">
      <c r="A417" t="s">
        <v>17</v>
      </c>
      <c r="B417">
        <v>5</v>
      </c>
      <c r="C417">
        <v>41</v>
      </c>
      <c r="D417">
        <v>0</v>
      </c>
      <c r="E417" t="s">
        <v>326</v>
      </c>
      <c r="F417" s="1" t="s">
        <v>166</v>
      </c>
      <c r="G417" t="s">
        <v>327</v>
      </c>
      <c r="H417" t="s">
        <v>93</v>
      </c>
    </row>
    <row r="418" spans="1:12" x14ac:dyDescent="0.15">
      <c r="A418" t="s">
        <v>17</v>
      </c>
      <c r="B418">
        <v>5</v>
      </c>
      <c r="C418">
        <v>42</v>
      </c>
      <c r="D418">
        <v>3</v>
      </c>
      <c r="E418" t="s">
        <v>324</v>
      </c>
      <c r="F418" s="1" t="s">
        <v>169</v>
      </c>
      <c r="G418" t="s">
        <v>321</v>
      </c>
      <c r="H418" t="s">
        <v>96</v>
      </c>
    </row>
    <row r="419" spans="1:12" x14ac:dyDescent="0.15">
      <c r="A419" t="s">
        <v>17</v>
      </c>
      <c r="B419">
        <v>5</v>
      </c>
      <c r="C419">
        <v>43</v>
      </c>
      <c r="D419">
        <v>3</v>
      </c>
      <c r="E419" t="s">
        <v>324</v>
      </c>
      <c r="F419" s="1" t="s">
        <v>168</v>
      </c>
      <c r="G419" t="s">
        <v>321</v>
      </c>
      <c r="H419" t="s">
        <v>96</v>
      </c>
    </row>
    <row r="420" spans="1:12" x14ac:dyDescent="0.15">
      <c r="A420" t="s">
        <v>17</v>
      </c>
      <c r="B420">
        <v>5</v>
      </c>
      <c r="C420">
        <v>44</v>
      </c>
      <c r="D420">
        <v>0</v>
      </c>
      <c r="E420" t="s">
        <v>326</v>
      </c>
      <c r="F420" s="1" t="s">
        <v>168</v>
      </c>
      <c r="G420" t="s">
        <v>327</v>
      </c>
      <c r="H420" t="s">
        <v>93</v>
      </c>
    </row>
    <row r="421" spans="1:12" x14ac:dyDescent="0.15">
      <c r="A421" t="s">
        <v>17</v>
      </c>
      <c r="B421">
        <v>5</v>
      </c>
      <c r="C421">
        <v>45</v>
      </c>
      <c r="D421">
        <v>1</v>
      </c>
      <c r="E421" t="s">
        <v>319</v>
      </c>
      <c r="F421" t="s">
        <v>328</v>
      </c>
      <c r="G421" t="s">
        <v>321</v>
      </c>
      <c r="H421" t="s">
        <v>94</v>
      </c>
      <c r="L421" s="1"/>
    </row>
    <row r="422" spans="1:12" ht="27" x14ac:dyDescent="0.15">
      <c r="A422" t="s">
        <v>17</v>
      </c>
      <c r="B422">
        <v>5</v>
      </c>
      <c r="C422">
        <v>46</v>
      </c>
      <c r="D422">
        <v>3</v>
      </c>
      <c r="E422" t="s">
        <v>324</v>
      </c>
      <c r="F422" s="1" t="s">
        <v>157</v>
      </c>
      <c r="G422" t="s">
        <v>321</v>
      </c>
      <c r="H422" t="s">
        <v>96</v>
      </c>
    </row>
    <row r="423" spans="1:12" ht="27" x14ac:dyDescent="0.15">
      <c r="A423" t="s">
        <v>17</v>
      </c>
      <c r="B423">
        <v>5</v>
      </c>
      <c r="C423">
        <v>47</v>
      </c>
      <c r="D423">
        <v>0</v>
      </c>
      <c r="E423" t="s">
        <v>326</v>
      </c>
      <c r="F423" s="1" t="s">
        <v>152</v>
      </c>
      <c r="G423" t="s">
        <v>327</v>
      </c>
      <c r="H423" t="s">
        <v>93</v>
      </c>
    </row>
    <row r="424" spans="1:12" ht="27" x14ac:dyDescent="0.15">
      <c r="A424" t="s">
        <v>17</v>
      </c>
      <c r="B424">
        <v>5</v>
      </c>
      <c r="C424">
        <v>48</v>
      </c>
      <c r="D424">
        <v>4</v>
      </c>
      <c r="E424" t="s">
        <v>38</v>
      </c>
      <c r="F424" s="1" t="s">
        <v>154</v>
      </c>
      <c r="G424" t="s">
        <v>321</v>
      </c>
      <c r="H424" t="s">
        <v>97</v>
      </c>
    </row>
    <row r="425" spans="1:12" ht="27" x14ac:dyDescent="0.15">
      <c r="A425" t="s">
        <v>17</v>
      </c>
      <c r="B425">
        <v>5</v>
      </c>
      <c r="C425">
        <v>49</v>
      </c>
      <c r="D425">
        <v>0</v>
      </c>
      <c r="E425" t="s">
        <v>326</v>
      </c>
      <c r="F425" s="1" t="s">
        <v>153</v>
      </c>
      <c r="G425" t="s">
        <v>327</v>
      </c>
      <c r="H425" t="s">
        <v>93</v>
      </c>
    </row>
    <row r="426" spans="1:12" x14ac:dyDescent="0.15">
      <c r="A426" t="s">
        <v>17</v>
      </c>
      <c r="B426">
        <v>5</v>
      </c>
      <c r="C426">
        <v>50</v>
      </c>
      <c r="D426">
        <v>4</v>
      </c>
      <c r="E426" t="s">
        <v>38</v>
      </c>
      <c r="F426" s="1" t="s">
        <v>159</v>
      </c>
      <c r="G426" t="s">
        <v>321</v>
      </c>
      <c r="H426" t="s">
        <v>97</v>
      </c>
    </row>
    <row r="427" spans="1:12" x14ac:dyDescent="0.15">
      <c r="A427" t="s">
        <v>17</v>
      </c>
      <c r="B427">
        <v>5</v>
      </c>
      <c r="C427">
        <v>51</v>
      </c>
      <c r="D427">
        <v>0</v>
      </c>
      <c r="E427" t="s">
        <v>326</v>
      </c>
      <c r="F427" s="1" t="s">
        <v>158</v>
      </c>
      <c r="G427" t="s">
        <v>327</v>
      </c>
      <c r="H427" t="s">
        <v>93</v>
      </c>
    </row>
    <row r="428" spans="1:12" x14ac:dyDescent="0.15">
      <c r="A428" t="s">
        <v>17</v>
      </c>
      <c r="B428">
        <v>5</v>
      </c>
      <c r="C428">
        <v>52</v>
      </c>
      <c r="D428">
        <v>3</v>
      </c>
      <c r="E428" t="s">
        <v>324</v>
      </c>
      <c r="F428" s="1" t="s">
        <v>161</v>
      </c>
      <c r="G428" t="s">
        <v>321</v>
      </c>
      <c r="H428" t="s">
        <v>96</v>
      </c>
    </row>
    <row r="429" spans="1:12" x14ac:dyDescent="0.15">
      <c r="A429" t="s">
        <v>17</v>
      </c>
      <c r="B429">
        <v>5</v>
      </c>
      <c r="C429">
        <v>53</v>
      </c>
      <c r="D429">
        <v>0</v>
      </c>
      <c r="E429" t="s">
        <v>326</v>
      </c>
      <c r="F429" s="1" t="s">
        <v>160</v>
      </c>
      <c r="G429" t="s">
        <v>327</v>
      </c>
      <c r="H429" t="s">
        <v>93</v>
      </c>
    </row>
    <row r="430" spans="1:12" x14ac:dyDescent="0.15">
      <c r="A430" t="s">
        <v>17</v>
      </c>
      <c r="B430">
        <v>5</v>
      </c>
      <c r="C430">
        <v>54</v>
      </c>
      <c r="D430">
        <v>4</v>
      </c>
      <c r="E430" t="s">
        <v>38</v>
      </c>
      <c r="F430" s="1" t="s">
        <v>163</v>
      </c>
      <c r="G430" t="s">
        <v>321</v>
      </c>
      <c r="H430" t="s">
        <v>97</v>
      </c>
    </row>
    <row r="431" spans="1:12" x14ac:dyDescent="0.15">
      <c r="A431" t="s">
        <v>17</v>
      </c>
      <c r="B431">
        <v>5</v>
      </c>
      <c r="C431">
        <v>55</v>
      </c>
      <c r="D431">
        <v>0</v>
      </c>
      <c r="E431" t="s">
        <v>326</v>
      </c>
      <c r="F431" s="1" t="s">
        <v>162</v>
      </c>
      <c r="G431" t="s">
        <v>327</v>
      </c>
      <c r="H431" t="s">
        <v>93</v>
      </c>
    </row>
    <row r="432" spans="1:12" x14ac:dyDescent="0.15">
      <c r="A432" t="s">
        <v>17</v>
      </c>
      <c r="B432">
        <v>5</v>
      </c>
      <c r="C432">
        <v>56</v>
      </c>
      <c r="D432">
        <v>4</v>
      </c>
      <c r="E432" t="s">
        <v>38</v>
      </c>
      <c r="F432" s="1" t="s">
        <v>165</v>
      </c>
      <c r="G432" t="s">
        <v>321</v>
      </c>
      <c r="H432" t="s">
        <v>97</v>
      </c>
    </row>
    <row r="433" spans="1:8" x14ac:dyDescent="0.15">
      <c r="A433" t="s">
        <v>17</v>
      </c>
      <c r="B433">
        <v>5</v>
      </c>
      <c r="C433">
        <v>57</v>
      </c>
      <c r="D433">
        <v>0</v>
      </c>
      <c r="E433" t="s">
        <v>326</v>
      </c>
      <c r="F433" s="1" t="s">
        <v>164</v>
      </c>
      <c r="G433" t="s">
        <v>327</v>
      </c>
      <c r="H433" t="s">
        <v>93</v>
      </c>
    </row>
    <row r="434" spans="1:8" x14ac:dyDescent="0.15">
      <c r="A434" t="s">
        <v>17</v>
      </c>
      <c r="B434">
        <v>5</v>
      </c>
      <c r="C434">
        <v>58</v>
      </c>
      <c r="D434">
        <v>3</v>
      </c>
      <c r="E434" t="s">
        <v>324</v>
      </c>
      <c r="F434" s="1" t="s">
        <v>167</v>
      </c>
      <c r="G434" t="s">
        <v>321</v>
      </c>
      <c r="H434" t="s">
        <v>96</v>
      </c>
    </row>
    <row r="435" spans="1:8" x14ac:dyDescent="0.15">
      <c r="A435" t="s">
        <v>17</v>
      </c>
      <c r="B435">
        <v>5</v>
      </c>
      <c r="C435">
        <v>59</v>
      </c>
      <c r="D435">
        <v>0</v>
      </c>
      <c r="E435" t="s">
        <v>326</v>
      </c>
      <c r="F435" s="1" t="s">
        <v>166</v>
      </c>
      <c r="G435" t="s">
        <v>327</v>
      </c>
      <c r="H435" t="s">
        <v>93</v>
      </c>
    </row>
    <row r="436" spans="1:8" x14ac:dyDescent="0.15">
      <c r="A436" t="s">
        <v>17</v>
      </c>
      <c r="B436">
        <v>5</v>
      </c>
      <c r="C436">
        <v>60</v>
      </c>
      <c r="D436">
        <v>3</v>
      </c>
      <c r="E436" t="s">
        <v>324</v>
      </c>
      <c r="F436" s="1" t="s">
        <v>169</v>
      </c>
      <c r="G436" t="s">
        <v>321</v>
      </c>
      <c r="H436" t="s">
        <v>96</v>
      </c>
    </row>
    <row r="437" spans="1:8" x14ac:dyDescent="0.15">
      <c r="A437" t="s">
        <v>17</v>
      </c>
      <c r="B437">
        <v>5</v>
      </c>
      <c r="C437">
        <v>61</v>
      </c>
      <c r="D437">
        <v>0</v>
      </c>
      <c r="E437" t="s">
        <v>326</v>
      </c>
      <c r="F437" s="1" t="s">
        <v>168</v>
      </c>
      <c r="G437" t="s">
        <v>327</v>
      </c>
      <c r="H437" t="s">
        <v>93</v>
      </c>
    </row>
    <row r="438" spans="1:8" x14ac:dyDescent="0.15">
      <c r="A438" t="s">
        <v>17</v>
      </c>
      <c r="B438">
        <v>5</v>
      </c>
      <c r="C438">
        <v>62</v>
      </c>
      <c r="D438">
        <v>1</v>
      </c>
      <c r="E438" t="s">
        <v>319</v>
      </c>
      <c r="F438" t="s">
        <v>342</v>
      </c>
      <c r="G438" t="s">
        <v>320</v>
      </c>
      <c r="H438" t="s">
        <v>94</v>
      </c>
    </row>
    <row r="439" spans="1:8" x14ac:dyDescent="0.15">
      <c r="A439" t="s">
        <v>170</v>
      </c>
      <c r="B439">
        <v>1</v>
      </c>
      <c r="C439">
        <v>1</v>
      </c>
      <c r="D439">
        <v>1</v>
      </c>
      <c r="E439" t="s">
        <v>319</v>
      </c>
      <c r="F439" t="s">
        <v>343</v>
      </c>
      <c r="G439" t="s">
        <v>321</v>
      </c>
      <c r="H439" t="s">
        <v>94</v>
      </c>
    </row>
    <row r="440" spans="1:8" ht="40.5" x14ac:dyDescent="0.15">
      <c r="A440" t="s">
        <v>170</v>
      </c>
      <c r="B440">
        <v>1</v>
      </c>
      <c r="C440">
        <v>2</v>
      </c>
      <c r="D440">
        <v>1</v>
      </c>
      <c r="E440" t="s">
        <v>319</v>
      </c>
      <c r="F440" s="1" t="s">
        <v>322</v>
      </c>
      <c r="G440" t="s">
        <v>321</v>
      </c>
      <c r="H440" t="s">
        <v>94</v>
      </c>
    </row>
    <row r="441" spans="1:8" x14ac:dyDescent="0.15">
      <c r="A441" t="s">
        <v>170</v>
      </c>
      <c r="B441">
        <v>1</v>
      </c>
      <c r="C441">
        <v>3</v>
      </c>
      <c r="D441">
        <v>11</v>
      </c>
      <c r="E441" t="s">
        <v>171</v>
      </c>
      <c r="F441" s="3" t="s">
        <v>175</v>
      </c>
      <c r="G441" t="s">
        <v>321</v>
      </c>
      <c r="H441" t="s">
        <v>344</v>
      </c>
    </row>
    <row r="442" spans="1:8" x14ac:dyDescent="0.15">
      <c r="A442" t="s">
        <v>170</v>
      </c>
      <c r="B442">
        <v>1</v>
      </c>
      <c r="C442">
        <v>4</v>
      </c>
      <c r="D442">
        <v>11</v>
      </c>
      <c r="E442" t="s">
        <v>171</v>
      </c>
      <c r="F442" s="3" t="s">
        <v>182</v>
      </c>
      <c r="G442" t="s">
        <v>321</v>
      </c>
      <c r="H442" t="s">
        <v>344</v>
      </c>
    </row>
    <row r="443" spans="1:8" x14ac:dyDescent="0.15">
      <c r="A443" t="s">
        <v>170</v>
      </c>
      <c r="B443">
        <v>1</v>
      </c>
      <c r="C443">
        <v>5</v>
      </c>
      <c r="D443">
        <v>12</v>
      </c>
      <c r="E443" t="s">
        <v>345</v>
      </c>
      <c r="F443" s="3" t="s">
        <v>176</v>
      </c>
      <c r="G443" t="s">
        <v>321</v>
      </c>
      <c r="H443" t="s">
        <v>346</v>
      </c>
    </row>
    <row r="444" spans="1:8" x14ac:dyDescent="0.15">
      <c r="A444" t="s">
        <v>170</v>
      </c>
      <c r="B444">
        <v>1</v>
      </c>
      <c r="C444">
        <v>6</v>
      </c>
      <c r="D444">
        <v>12</v>
      </c>
      <c r="E444" t="s">
        <v>345</v>
      </c>
      <c r="F444" s="3" t="s">
        <v>183</v>
      </c>
      <c r="G444" t="s">
        <v>321</v>
      </c>
      <c r="H444" t="s">
        <v>346</v>
      </c>
    </row>
    <row r="445" spans="1:8" x14ac:dyDescent="0.15">
      <c r="A445" t="s">
        <v>170</v>
      </c>
      <c r="B445">
        <v>1</v>
      </c>
      <c r="C445">
        <v>7</v>
      </c>
      <c r="D445">
        <v>12</v>
      </c>
      <c r="E445" t="s">
        <v>345</v>
      </c>
      <c r="F445" s="3" t="s">
        <v>177</v>
      </c>
      <c r="G445" t="s">
        <v>321</v>
      </c>
      <c r="H445" t="s">
        <v>346</v>
      </c>
    </row>
    <row r="446" spans="1:8" x14ac:dyDescent="0.15">
      <c r="A446" t="s">
        <v>170</v>
      </c>
      <c r="B446">
        <v>1</v>
      </c>
      <c r="C446">
        <v>8</v>
      </c>
      <c r="D446">
        <v>12</v>
      </c>
      <c r="E446" t="s">
        <v>345</v>
      </c>
      <c r="F446" s="3" t="s">
        <v>184</v>
      </c>
      <c r="G446" t="s">
        <v>321</v>
      </c>
      <c r="H446" t="s">
        <v>346</v>
      </c>
    </row>
    <row r="447" spans="1:8" x14ac:dyDescent="0.15">
      <c r="A447" t="s">
        <v>170</v>
      </c>
      <c r="B447">
        <v>1</v>
      </c>
      <c r="C447">
        <v>9</v>
      </c>
      <c r="D447">
        <v>11</v>
      </c>
      <c r="E447" t="s">
        <v>171</v>
      </c>
      <c r="F447" s="3" t="s">
        <v>179</v>
      </c>
      <c r="G447" t="s">
        <v>321</v>
      </c>
      <c r="H447" t="s">
        <v>344</v>
      </c>
    </row>
    <row r="448" spans="1:8" x14ac:dyDescent="0.15">
      <c r="A448" t="s">
        <v>170</v>
      </c>
      <c r="B448">
        <v>1</v>
      </c>
      <c r="C448">
        <v>10</v>
      </c>
      <c r="D448">
        <v>11</v>
      </c>
      <c r="E448" t="s">
        <v>171</v>
      </c>
      <c r="F448" s="3" t="s">
        <v>178</v>
      </c>
      <c r="G448" t="s">
        <v>321</v>
      </c>
      <c r="H448" t="s">
        <v>344</v>
      </c>
    </row>
    <row r="449" spans="1:8" x14ac:dyDescent="0.15">
      <c r="A449" t="s">
        <v>170</v>
      </c>
      <c r="B449">
        <v>1</v>
      </c>
      <c r="C449">
        <v>11</v>
      </c>
      <c r="D449">
        <v>12</v>
      </c>
      <c r="E449" t="s">
        <v>345</v>
      </c>
      <c r="F449" s="3" t="s">
        <v>180</v>
      </c>
      <c r="G449" t="s">
        <v>321</v>
      </c>
      <c r="H449" t="s">
        <v>346</v>
      </c>
    </row>
    <row r="450" spans="1:8" x14ac:dyDescent="0.15">
      <c r="A450" t="s">
        <v>170</v>
      </c>
      <c r="B450">
        <v>1</v>
      </c>
      <c r="C450">
        <v>12</v>
      </c>
      <c r="D450">
        <v>12</v>
      </c>
      <c r="E450" t="s">
        <v>345</v>
      </c>
      <c r="F450" s="3" t="s">
        <v>181</v>
      </c>
      <c r="G450" t="s">
        <v>321</v>
      </c>
      <c r="H450" t="s">
        <v>346</v>
      </c>
    </row>
    <row r="451" spans="1:8" x14ac:dyDescent="0.15">
      <c r="A451" t="s">
        <v>170</v>
      </c>
      <c r="B451">
        <v>1</v>
      </c>
      <c r="C451">
        <v>13</v>
      </c>
      <c r="D451">
        <v>11</v>
      </c>
      <c r="E451" t="s">
        <v>171</v>
      </c>
      <c r="F451" s="3" t="s">
        <v>186</v>
      </c>
      <c r="G451" t="s">
        <v>321</v>
      </c>
      <c r="H451" t="s">
        <v>344</v>
      </c>
    </row>
    <row r="452" spans="1:8" x14ac:dyDescent="0.15">
      <c r="A452" t="s">
        <v>170</v>
      </c>
      <c r="B452">
        <v>1</v>
      </c>
      <c r="C452">
        <v>14</v>
      </c>
      <c r="D452">
        <v>11</v>
      </c>
      <c r="E452" t="s">
        <v>171</v>
      </c>
      <c r="F452" s="3" t="s">
        <v>185</v>
      </c>
      <c r="G452" t="s">
        <v>321</v>
      </c>
      <c r="H452" t="s">
        <v>344</v>
      </c>
    </row>
    <row r="453" spans="1:8" x14ac:dyDescent="0.15">
      <c r="A453" t="s">
        <v>170</v>
      </c>
      <c r="B453">
        <v>1</v>
      </c>
      <c r="C453">
        <v>15</v>
      </c>
      <c r="D453">
        <v>1</v>
      </c>
      <c r="E453" t="s">
        <v>319</v>
      </c>
      <c r="F453" t="str">
        <f>"次の"&amp;A491&amp;"を真似してね！"</f>
        <v>次の中国語を真似してね！</v>
      </c>
      <c r="G453" t="s">
        <v>321</v>
      </c>
      <c r="H453" t="s">
        <v>94</v>
      </c>
    </row>
    <row r="454" spans="1:8" x14ac:dyDescent="0.15">
      <c r="A454" t="s">
        <v>170</v>
      </c>
      <c r="B454">
        <v>1</v>
      </c>
      <c r="C454">
        <v>16</v>
      </c>
      <c r="D454">
        <v>11</v>
      </c>
      <c r="E454" t="s">
        <v>171</v>
      </c>
      <c r="F454" s="3" t="s">
        <v>175</v>
      </c>
      <c r="G454" t="s">
        <v>321</v>
      </c>
      <c r="H454" t="s">
        <v>344</v>
      </c>
    </row>
    <row r="455" spans="1:8" x14ac:dyDescent="0.15">
      <c r="A455" t="s">
        <v>170</v>
      </c>
      <c r="B455">
        <v>1</v>
      </c>
      <c r="C455">
        <v>17</v>
      </c>
      <c r="D455">
        <v>11</v>
      </c>
      <c r="E455" t="s">
        <v>171</v>
      </c>
      <c r="F455" s="3" t="s">
        <v>182</v>
      </c>
      <c r="G455" t="s">
        <v>321</v>
      </c>
      <c r="H455" t="s">
        <v>344</v>
      </c>
    </row>
    <row r="456" spans="1:8" x14ac:dyDescent="0.15">
      <c r="A456" t="s">
        <v>170</v>
      </c>
      <c r="B456">
        <v>1</v>
      </c>
      <c r="C456">
        <v>18</v>
      </c>
      <c r="D456">
        <v>0</v>
      </c>
      <c r="E456" t="s">
        <v>326</v>
      </c>
      <c r="F456" s="3" t="s">
        <v>182</v>
      </c>
      <c r="G456" t="s">
        <v>327</v>
      </c>
      <c r="H456" t="s">
        <v>93</v>
      </c>
    </row>
    <row r="457" spans="1:8" x14ac:dyDescent="0.15">
      <c r="A457" t="s">
        <v>170</v>
      </c>
      <c r="B457">
        <v>1</v>
      </c>
      <c r="C457">
        <v>19</v>
      </c>
      <c r="D457">
        <v>12</v>
      </c>
      <c r="E457" t="s">
        <v>345</v>
      </c>
      <c r="F457" s="3" t="s">
        <v>176</v>
      </c>
      <c r="G457" t="s">
        <v>321</v>
      </c>
      <c r="H457" t="s">
        <v>346</v>
      </c>
    </row>
    <row r="458" spans="1:8" x14ac:dyDescent="0.15">
      <c r="A458" t="s">
        <v>170</v>
      </c>
      <c r="B458">
        <v>1</v>
      </c>
      <c r="C458">
        <v>20</v>
      </c>
      <c r="D458">
        <v>12</v>
      </c>
      <c r="E458" t="s">
        <v>345</v>
      </c>
      <c r="F458" s="3" t="s">
        <v>183</v>
      </c>
      <c r="G458" t="s">
        <v>321</v>
      </c>
      <c r="H458" t="s">
        <v>346</v>
      </c>
    </row>
    <row r="459" spans="1:8" x14ac:dyDescent="0.15">
      <c r="A459" t="s">
        <v>170</v>
      </c>
      <c r="B459">
        <v>1</v>
      </c>
      <c r="C459">
        <v>21</v>
      </c>
      <c r="D459">
        <v>0</v>
      </c>
      <c r="E459" t="s">
        <v>326</v>
      </c>
      <c r="F459" s="3" t="s">
        <v>183</v>
      </c>
      <c r="G459" t="s">
        <v>327</v>
      </c>
      <c r="H459" t="s">
        <v>93</v>
      </c>
    </row>
    <row r="460" spans="1:8" x14ac:dyDescent="0.15">
      <c r="A460" t="s">
        <v>170</v>
      </c>
      <c r="B460">
        <v>1</v>
      </c>
      <c r="C460">
        <v>22</v>
      </c>
      <c r="D460">
        <v>12</v>
      </c>
      <c r="E460" t="s">
        <v>345</v>
      </c>
      <c r="F460" s="3" t="s">
        <v>177</v>
      </c>
      <c r="G460" t="s">
        <v>321</v>
      </c>
      <c r="H460" t="s">
        <v>346</v>
      </c>
    </row>
    <row r="461" spans="1:8" x14ac:dyDescent="0.15">
      <c r="A461" t="s">
        <v>170</v>
      </c>
      <c r="B461">
        <v>1</v>
      </c>
      <c r="C461">
        <v>23</v>
      </c>
      <c r="D461">
        <v>12</v>
      </c>
      <c r="E461" t="s">
        <v>345</v>
      </c>
      <c r="F461" s="3" t="s">
        <v>184</v>
      </c>
      <c r="G461" t="s">
        <v>321</v>
      </c>
      <c r="H461" t="s">
        <v>346</v>
      </c>
    </row>
    <row r="462" spans="1:8" x14ac:dyDescent="0.15">
      <c r="A462" t="s">
        <v>170</v>
      </c>
      <c r="B462">
        <v>1</v>
      </c>
      <c r="C462">
        <v>24</v>
      </c>
      <c r="D462">
        <v>0</v>
      </c>
      <c r="E462" t="s">
        <v>326</v>
      </c>
      <c r="F462" s="3" t="s">
        <v>184</v>
      </c>
      <c r="G462" t="s">
        <v>327</v>
      </c>
      <c r="H462" t="s">
        <v>93</v>
      </c>
    </row>
    <row r="463" spans="1:8" x14ac:dyDescent="0.15">
      <c r="A463" t="s">
        <v>170</v>
      </c>
      <c r="B463">
        <v>1</v>
      </c>
      <c r="C463">
        <v>25</v>
      </c>
      <c r="D463">
        <v>11</v>
      </c>
      <c r="E463" t="s">
        <v>171</v>
      </c>
      <c r="F463" s="3" t="s">
        <v>179</v>
      </c>
      <c r="G463" t="s">
        <v>321</v>
      </c>
      <c r="H463" t="s">
        <v>344</v>
      </c>
    </row>
    <row r="464" spans="1:8" x14ac:dyDescent="0.15">
      <c r="A464" t="s">
        <v>170</v>
      </c>
      <c r="B464">
        <v>1</v>
      </c>
      <c r="C464">
        <v>26</v>
      </c>
      <c r="D464">
        <v>11</v>
      </c>
      <c r="E464" t="s">
        <v>171</v>
      </c>
      <c r="F464" s="3" t="s">
        <v>178</v>
      </c>
      <c r="G464" t="s">
        <v>321</v>
      </c>
      <c r="H464" t="s">
        <v>344</v>
      </c>
    </row>
    <row r="465" spans="1:8" x14ac:dyDescent="0.15">
      <c r="A465" t="s">
        <v>170</v>
      </c>
      <c r="B465">
        <v>1</v>
      </c>
      <c r="C465">
        <v>27</v>
      </c>
      <c r="D465">
        <v>0</v>
      </c>
      <c r="E465" t="s">
        <v>326</v>
      </c>
      <c r="F465" s="3" t="s">
        <v>178</v>
      </c>
      <c r="G465" t="s">
        <v>327</v>
      </c>
      <c r="H465" t="s">
        <v>93</v>
      </c>
    </row>
    <row r="466" spans="1:8" x14ac:dyDescent="0.15">
      <c r="A466" t="s">
        <v>170</v>
      </c>
      <c r="B466">
        <v>1</v>
      </c>
      <c r="C466">
        <v>28</v>
      </c>
      <c r="D466">
        <v>12</v>
      </c>
      <c r="E466" t="s">
        <v>345</v>
      </c>
      <c r="F466" s="3" t="s">
        <v>180</v>
      </c>
      <c r="G466" t="s">
        <v>321</v>
      </c>
      <c r="H466" t="s">
        <v>346</v>
      </c>
    </row>
    <row r="467" spans="1:8" x14ac:dyDescent="0.15">
      <c r="A467" t="s">
        <v>170</v>
      </c>
      <c r="B467">
        <v>1</v>
      </c>
      <c r="C467">
        <v>29</v>
      </c>
      <c r="D467">
        <v>12</v>
      </c>
      <c r="E467" t="s">
        <v>345</v>
      </c>
      <c r="F467" s="3" t="s">
        <v>181</v>
      </c>
      <c r="G467" t="s">
        <v>321</v>
      </c>
      <c r="H467" t="s">
        <v>346</v>
      </c>
    </row>
    <row r="468" spans="1:8" x14ac:dyDescent="0.15">
      <c r="A468" t="s">
        <v>170</v>
      </c>
      <c r="B468">
        <v>1</v>
      </c>
      <c r="C468">
        <v>30</v>
      </c>
      <c r="D468">
        <v>0</v>
      </c>
      <c r="E468" t="s">
        <v>326</v>
      </c>
      <c r="F468" s="3" t="s">
        <v>181</v>
      </c>
      <c r="G468" t="s">
        <v>327</v>
      </c>
      <c r="H468" t="s">
        <v>93</v>
      </c>
    </row>
    <row r="469" spans="1:8" x14ac:dyDescent="0.15">
      <c r="A469" t="s">
        <v>170</v>
      </c>
      <c r="B469">
        <v>1</v>
      </c>
      <c r="C469">
        <v>31</v>
      </c>
      <c r="D469">
        <v>11</v>
      </c>
      <c r="E469" t="s">
        <v>171</v>
      </c>
      <c r="F469" s="3" t="s">
        <v>186</v>
      </c>
      <c r="G469" t="s">
        <v>321</v>
      </c>
      <c r="H469" t="s">
        <v>344</v>
      </c>
    </row>
    <row r="470" spans="1:8" x14ac:dyDescent="0.15">
      <c r="A470" t="s">
        <v>170</v>
      </c>
      <c r="B470">
        <v>1</v>
      </c>
      <c r="C470">
        <v>32</v>
      </c>
      <c r="D470">
        <v>11</v>
      </c>
      <c r="E470" t="s">
        <v>171</v>
      </c>
      <c r="F470" s="3" t="s">
        <v>185</v>
      </c>
      <c r="G470" t="s">
        <v>321</v>
      </c>
      <c r="H470" t="s">
        <v>344</v>
      </c>
    </row>
    <row r="471" spans="1:8" x14ac:dyDescent="0.15">
      <c r="A471" t="s">
        <v>170</v>
      </c>
      <c r="B471">
        <v>1</v>
      </c>
      <c r="C471">
        <v>33</v>
      </c>
      <c r="D471">
        <v>0</v>
      </c>
      <c r="E471" t="s">
        <v>326</v>
      </c>
      <c r="F471" s="3" t="s">
        <v>185</v>
      </c>
      <c r="G471" t="s">
        <v>327</v>
      </c>
      <c r="H471" t="s">
        <v>93</v>
      </c>
    </row>
    <row r="472" spans="1:8" x14ac:dyDescent="0.15">
      <c r="A472" t="s">
        <v>170</v>
      </c>
      <c r="B472">
        <v>1</v>
      </c>
      <c r="C472">
        <v>34</v>
      </c>
      <c r="D472">
        <v>1</v>
      </c>
      <c r="E472" t="s">
        <v>319</v>
      </c>
      <c r="F472" t="s">
        <v>347</v>
      </c>
      <c r="G472" t="s">
        <v>321</v>
      </c>
      <c r="H472" t="s">
        <v>94</v>
      </c>
    </row>
    <row r="473" spans="1:8" x14ac:dyDescent="0.15">
      <c r="A473" t="s">
        <v>170</v>
      </c>
      <c r="B473">
        <v>1</v>
      </c>
      <c r="C473">
        <v>35</v>
      </c>
      <c r="D473">
        <v>11</v>
      </c>
      <c r="E473" t="s">
        <v>171</v>
      </c>
      <c r="F473" s="3" t="s">
        <v>175</v>
      </c>
      <c r="G473" t="s">
        <v>321</v>
      </c>
      <c r="H473" t="s">
        <v>344</v>
      </c>
    </row>
    <row r="474" spans="1:8" x14ac:dyDescent="0.15">
      <c r="A474" t="s">
        <v>170</v>
      </c>
      <c r="B474">
        <v>1</v>
      </c>
      <c r="C474">
        <v>36</v>
      </c>
      <c r="D474">
        <v>0</v>
      </c>
      <c r="E474" t="s">
        <v>326</v>
      </c>
      <c r="F474" s="3" t="s">
        <v>182</v>
      </c>
      <c r="G474" t="s">
        <v>327</v>
      </c>
      <c r="H474" t="s">
        <v>93</v>
      </c>
    </row>
    <row r="475" spans="1:8" x14ac:dyDescent="0.15">
      <c r="A475" t="s">
        <v>170</v>
      </c>
      <c r="B475">
        <v>1</v>
      </c>
      <c r="C475">
        <v>37</v>
      </c>
      <c r="D475">
        <v>12</v>
      </c>
      <c r="E475" t="s">
        <v>345</v>
      </c>
      <c r="F475" s="3" t="s">
        <v>176</v>
      </c>
      <c r="G475" t="s">
        <v>321</v>
      </c>
      <c r="H475" t="s">
        <v>346</v>
      </c>
    </row>
    <row r="476" spans="1:8" x14ac:dyDescent="0.15">
      <c r="A476" t="s">
        <v>170</v>
      </c>
      <c r="B476">
        <v>1</v>
      </c>
      <c r="C476">
        <v>38</v>
      </c>
      <c r="D476">
        <v>0</v>
      </c>
      <c r="E476" t="s">
        <v>326</v>
      </c>
      <c r="F476" s="3" t="s">
        <v>183</v>
      </c>
      <c r="G476" t="s">
        <v>327</v>
      </c>
      <c r="H476" t="s">
        <v>93</v>
      </c>
    </row>
    <row r="477" spans="1:8" x14ac:dyDescent="0.15">
      <c r="A477" t="s">
        <v>170</v>
      </c>
      <c r="B477">
        <v>1</v>
      </c>
      <c r="C477">
        <v>39</v>
      </c>
      <c r="D477">
        <v>12</v>
      </c>
      <c r="E477" t="s">
        <v>345</v>
      </c>
      <c r="F477" s="3" t="s">
        <v>177</v>
      </c>
      <c r="G477" t="s">
        <v>321</v>
      </c>
      <c r="H477" t="s">
        <v>346</v>
      </c>
    </row>
    <row r="478" spans="1:8" x14ac:dyDescent="0.15">
      <c r="A478" t="s">
        <v>170</v>
      </c>
      <c r="B478">
        <v>1</v>
      </c>
      <c r="C478">
        <v>40</v>
      </c>
      <c r="D478">
        <v>0</v>
      </c>
      <c r="E478" t="s">
        <v>326</v>
      </c>
      <c r="F478" s="3" t="s">
        <v>184</v>
      </c>
      <c r="G478" t="s">
        <v>327</v>
      </c>
      <c r="H478" t="s">
        <v>93</v>
      </c>
    </row>
    <row r="479" spans="1:8" x14ac:dyDescent="0.15">
      <c r="A479" t="s">
        <v>170</v>
      </c>
      <c r="B479">
        <v>1</v>
      </c>
      <c r="C479">
        <v>41</v>
      </c>
      <c r="D479">
        <v>11</v>
      </c>
      <c r="E479" t="s">
        <v>171</v>
      </c>
      <c r="F479" s="3" t="s">
        <v>179</v>
      </c>
      <c r="G479" t="s">
        <v>321</v>
      </c>
      <c r="H479" t="s">
        <v>344</v>
      </c>
    </row>
    <row r="480" spans="1:8" x14ac:dyDescent="0.15">
      <c r="A480" t="s">
        <v>170</v>
      </c>
      <c r="B480">
        <v>1</v>
      </c>
      <c r="C480">
        <v>42</v>
      </c>
      <c r="D480">
        <v>0</v>
      </c>
      <c r="E480" t="s">
        <v>326</v>
      </c>
      <c r="F480" s="3" t="s">
        <v>178</v>
      </c>
      <c r="G480" t="s">
        <v>327</v>
      </c>
      <c r="H480" t="s">
        <v>93</v>
      </c>
    </row>
    <row r="481" spans="1:8" x14ac:dyDescent="0.15">
      <c r="A481" t="s">
        <v>170</v>
      </c>
      <c r="B481">
        <v>1</v>
      </c>
      <c r="C481">
        <v>43</v>
      </c>
      <c r="D481">
        <v>12</v>
      </c>
      <c r="E481" t="s">
        <v>345</v>
      </c>
      <c r="F481" s="3" t="s">
        <v>180</v>
      </c>
      <c r="G481" t="s">
        <v>321</v>
      </c>
      <c r="H481" t="s">
        <v>346</v>
      </c>
    </row>
    <row r="482" spans="1:8" x14ac:dyDescent="0.15">
      <c r="A482" t="s">
        <v>170</v>
      </c>
      <c r="B482">
        <v>1</v>
      </c>
      <c r="C482">
        <v>44</v>
      </c>
      <c r="D482">
        <v>0</v>
      </c>
      <c r="E482" t="s">
        <v>326</v>
      </c>
      <c r="F482" s="3" t="s">
        <v>181</v>
      </c>
      <c r="G482" t="s">
        <v>327</v>
      </c>
      <c r="H482" t="s">
        <v>93</v>
      </c>
    </row>
    <row r="483" spans="1:8" x14ac:dyDescent="0.15">
      <c r="A483" t="s">
        <v>170</v>
      </c>
      <c r="B483">
        <v>1</v>
      </c>
      <c r="C483">
        <v>45</v>
      </c>
      <c r="D483">
        <v>11</v>
      </c>
      <c r="E483" t="s">
        <v>171</v>
      </c>
      <c r="F483" s="3" t="s">
        <v>186</v>
      </c>
      <c r="G483" t="s">
        <v>321</v>
      </c>
      <c r="H483" t="s">
        <v>344</v>
      </c>
    </row>
    <row r="484" spans="1:8" x14ac:dyDescent="0.15">
      <c r="A484" t="s">
        <v>170</v>
      </c>
      <c r="B484">
        <v>1</v>
      </c>
      <c r="C484">
        <v>46</v>
      </c>
      <c r="D484">
        <v>0</v>
      </c>
      <c r="E484" t="s">
        <v>326</v>
      </c>
      <c r="F484" s="3" t="s">
        <v>185</v>
      </c>
      <c r="G484" t="s">
        <v>327</v>
      </c>
      <c r="H484" t="s">
        <v>93</v>
      </c>
    </row>
    <row r="485" spans="1:8" x14ac:dyDescent="0.15">
      <c r="A485" t="s">
        <v>170</v>
      </c>
      <c r="B485">
        <v>1</v>
      </c>
      <c r="C485">
        <v>47</v>
      </c>
      <c r="D485">
        <v>1</v>
      </c>
      <c r="E485" t="s">
        <v>319</v>
      </c>
      <c r="F485" t="s">
        <v>348</v>
      </c>
      <c r="G485" t="s">
        <v>320</v>
      </c>
      <c r="H485" t="s">
        <v>94</v>
      </c>
    </row>
    <row r="486" spans="1:8" x14ac:dyDescent="0.15">
      <c r="A486" t="s">
        <v>170</v>
      </c>
      <c r="B486">
        <v>2</v>
      </c>
      <c r="C486">
        <v>1</v>
      </c>
      <c r="D486">
        <v>1</v>
      </c>
      <c r="E486" t="s">
        <v>319</v>
      </c>
      <c r="F486" t="s">
        <v>349</v>
      </c>
      <c r="G486" t="s">
        <v>321</v>
      </c>
      <c r="H486" t="s">
        <v>94</v>
      </c>
    </row>
    <row r="487" spans="1:8" ht="40.5" x14ac:dyDescent="0.15">
      <c r="A487" t="s">
        <v>170</v>
      </c>
      <c r="B487">
        <v>2</v>
      </c>
      <c r="C487">
        <v>2</v>
      </c>
      <c r="D487">
        <v>1</v>
      </c>
      <c r="E487" t="s">
        <v>319</v>
      </c>
      <c r="F487" s="1" t="s">
        <v>322</v>
      </c>
      <c r="G487" t="s">
        <v>321</v>
      </c>
      <c r="H487" t="s">
        <v>94</v>
      </c>
    </row>
    <row r="488" spans="1:8" x14ac:dyDescent="0.15">
      <c r="A488" t="s">
        <v>170</v>
      </c>
      <c r="B488">
        <v>2</v>
      </c>
      <c r="C488">
        <v>3</v>
      </c>
      <c r="D488">
        <v>11</v>
      </c>
      <c r="E488" t="s">
        <v>171</v>
      </c>
      <c r="F488" t="s">
        <v>188</v>
      </c>
      <c r="G488" t="s">
        <v>321</v>
      </c>
      <c r="H488" t="s">
        <v>344</v>
      </c>
    </row>
    <row r="489" spans="1:8" x14ac:dyDescent="0.15">
      <c r="A489" t="s">
        <v>170</v>
      </c>
      <c r="B489">
        <v>2</v>
      </c>
      <c r="C489">
        <v>4</v>
      </c>
      <c r="D489">
        <v>11</v>
      </c>
      <c r="E489" t="s">
        <v>171</v>
      </c>
      <c r="F489" t="s">
        <v>189</v>
      </c>
      <c r="G489" t="s">
        <v>321</v>
      </c>
      <c r="H489" t="s">
        <v>344</v>
      </c>
    </row>
    <row r="490" spans="1:8" x14ac:dyDescent="0.15">
      <c r="A490" t="s">
        <v>170</v>
      </c>
      <c r="B490">
        <v>2</v>
      </c>
      <c r="C490">
        <v>5</v>
      </c>
      <c r="D490">
        <v>12</v>
      </c>
      <c r="E490" t="s">
        <v>345</v>
      </c>
      <c r="F490" s="3" t="s">
        <v>191</v>
      </c>
      <c r="G490" t="s">
        <v>321</v>
      </c>
      <c r="H490" t="s">
        <v>346</v>
      </c>
    </row>
    <row r="491" spans="1:8" x14ac:dyDescent="0.15">
      <c r="A491" t="s">
        <v>170</v>
      </c>
      <c r="B491">
        <v>2</v>
      </c>
      <c r="C491">
        <v>6</v>
      </c>
      <c r="D491">
        <v>12</v>
      </c>
      <c r="E491" t="s">
        <v>345</v>
      </c>
      <c r="F491" s="3" t="s">
        <v>190</v>
      </c>
      <c r="G491" t="s">
        <v>321</v>
      </c>
      <c r="H491" t="s">
        <v>346</v>
      </c>
    </row>
    <row r="492" spans="1:8" x14ac:dyDescent="0.15">
      <c r="A492" t="s">
        <v>170</v>
      </c>
      <c r="B492">
        <v>2</v>
      </c>
      <c r="C492">
        <v>7</v>
      </c>
      <c r="D492">
        <v>11</v>
      </c>
      <c r="E492" t="s">
        <v>171</v>
      </c>
      <c r="F492" s="3" t="s">
        <v>193</v>
      </c>
      <c r="G492" t="s">
        <v>321</v>
      </c>
      <c r="H492" t="s">
        <v>344</v>
      </c>
    </row>
    <row r="493" spans="1:8" x14ac:dyDescent="0.15">
      <c r="A493" t="s">
        <v>170</v>
      </c>
      <c r="B493">
        <v>2</v>
      </c>
      <c r="C493">
        <v>8</v>
      </c>
      <c r="D493">
        <v>11</v>
      </c>
      <c r="E493" t="s">
        <v>171</v>
      </c>
      <c r="F493" s="3" t="s">
        <v>192</v>
      </c>
      <c r="G493" t="s">
        <v>321</v>
      </c>
      <c r="H493" t="s">
        <v>344</v>
      </c>
    </row>
    <row r="494" spans="1:8" x14ac:dyDescent="0.15">
      <c r="A494" t="s">
        <v>170</v>
      </c>
      <c r="B494">
        <v>2</v>
      </c>
      <c r="C494">
        <v>9</v>
      </c>
      <c r="D494">
        <v>12</v>
      </c>
      <c r="E494" t="s">
        <v>345</v>
      </c>
      <c r="F494" s="3" t="s">
        <v>195</v>
      </c>
      <c r="G494" t="s">
        <v>321</v>
      </c>
      <c r="H494" t="s">
        <v>346</v>
      </c>
    </row>
    <row r="495" spans="1:8" x14ac:dyDescent="0.15">
      <c r="A495" t="s">
        <v>170</v>
      </c>
      <c r="B495">
        <v>2</v>
      </c>
      <c r="C495">
        <v>10</v>
      </c>
      <c r="D495">
        <v>12</v>
      </c>
      <c r="E495" t="s">
        <v>345</v>
      </c>
      <c r="F495" s="3" t="s">
        <v>194</v>
      </c>
      <c r="G495" t="s">
        <v>321</v>
      </c>
      <c r="H495" t="s">
        <v>346</v>
      </c>
    </row>
    <row r="496" spans="1:8" x14ac:dyDescent="0.15">
      <c r="A496" t="s">
        <v>170</v>
      </c>
      <c r="B496">
        <v>2</v>
      </c>
      <c r="C496">
        <v>11</v>
      </c>
      <c r="D496">
        <v>11</v>
      </c>
      <c r="E496" t="s">
        <v>171</v>
      </c>
      <c r="F496" s="3" t="s">
        <v>197</v>
      </c>
      <c r="G496" t="s">
        <v>321</v>
      </c>
      <c r="H496" t="s">
        <v>344</v>
      </c>
    </row>
    <row r="497" spans="1:12" x14ac:dyDescent="0.15">
      <c r="A497" t="s">
        <v>170</v>
      </c>
      <c r="B497">
        <v>2</v>
      </c>
      <c r="C497">
        <v>12</v>
      </c>
      <c r="D497">
        <v>11</v>
      </c>
      <c r="E497" t="s">
        <v>171</v>
      </c>
      <c r="F497" s="3" t="s">
        <v>196</v>
      </c>
      <c r="G497" t="s">
        <v>321</v>
      </c>
      <c r="H497" t="s">
        <v>344</v>
      </c>
    </row>
    <row r="498" spans="1:12" x14ac:dyDescent="0.15">
      <c r="A498" t="s">
        <v>170</v>
      </c>
      <c r="B498">
        <v>2</v>
      </c>
      <c r="C498">
        <v>13</v>
      </c>
      <c r="D498">
        <v>12</v>
      </c>
      <c r="E498" t="s">
        <v>345</v>
      </c>
      <c r="F498" s="3" t="s">
        <v>199</v>
      </c>
      <c r="G498" t="s">
        <v>321</v>
      </c>
      <c r="H498" t="s">
        <v>346</v>
      </c>
    </row>
    <row r="499" spans="1:12" x14ac:dyDescent="0.15">
      <c r="A499" t="s">
        <v>170</v>
      </c>
      <c r="B499">
        <v>2</v>
      </c>
      <c r="C499">
        <v>14</v>
      </c>
      <c r="D499">
        <v>12</v>
      </c>
      <c r="E499" t="s">
        <v>345</v>
      </c>
      <c r="F499" s="3" t="s">
        <v>198</v>
      </c>
      <c r="G499" t="s">
        <v>321</v>
      </c>
      <c r="H499" t="s">
        <v>346</v>
      </c>
    </row>
    <row r="500" spans="1:12" x14ac:dyDescent="0.15">
      <c r="A500" t="s">
        <v>170</v>
      </c>
      <c r="B500">
        <v>2</v>
      </c>
      <c r="C500">
        <v>15</v>
      </c>
      <c r="D500">
        <v>1</v>
      </c>
      <c r="E500" t="s">
        <v>319</v>
      </c>
      <c r="F500" t="s">
        <v>325</v>
      </c>
      <c r="G500" t="s">
        <v>321</v>
      </c>
      <c r="H500" t="s">
        <v>94</v>
      </c>
      <c r="L500" s="4"/>
    </row>
    <row r="501" spans="1:12" x14ac:dyDescent="0.15">
      <c r="A501" t="s">
        <v>170</v>
      </c>
      <c r="B501">
        <v>2</v>
      </c>
      <c r="C501">
        <v>16</v>
      </c>
      <c r="D501">
        <v>11</v>
      </c>
      <c r="E501" t="s">
        <v>171</v>
      </c>
      <c r="F501" t="s">
        <v>188</v>
      </c>
      <c r="G501" t="s">
        <v>321</v>
      </c>
      <c r="H501" t="s">
        <v>344</v>
      </c>
    </row>
    <row r="502" spans="1:12" x14ac:dyDescent="0.15">
      <c r="A502" t="s">
        <v>170</v>
      </c>
      <c r="B502">
        <v>2</v>
      </c>
      <c r="C502">
        <v>17</v>
      </c>
      <c r="D502">
        <v>11</v>
      </c>
      <c r="E502" t="s">
        <v>171</v>
      </c>
      <c r="F502" t="s">
        <v>189</v>
      </c>
      <c r="G502" t="s">
        <v>321</v>
      </c>
      <c r="H502" t="s">
        <v>344</v>
      </c>
    </row>
    <row r="503" spans="1:12" x14ac:dyDescent="0.15">
      <c r="A503" t="s">
        <v>170</v>
      </c>
      <c r="B503">
        <v>2</v>
      </c>
      <c r="C503">
        <v>18</v>
      </c>
      <c r="D503">
        <v>0</v>
      </c>
      <c r="E503" t="s">
        <v>326</v>
      </c>
      <c r="F503" t="s">
        <v>189</v>
      </c>
      <c r="G503" t="s">
        <v>327</v>
      </c>
      <c r="H503" t="s">
        <v>93</v>
      </c>
    </row>
    <row r="504" spans="1:12" x14ac:dyDescent="0.15">
      <c r="A504" t="s">
        <v>170</v>
      </c>
      <c r="B504">
        <v>2</v>
      </c>
      <c r="C504">
        <v>19</v>
      </c>
      <c r="D504">
        <v>12</v>
      </c>
      <c r="E504" t="s">
        <v>345</v>
      </c>
      <c r="F504" s="3" t="s">
        <v>191</v>
      </c>
      <c r="G504" t="s">
        <v>321</v>
      </c>
      <c r="H504" t="s">
        <v>346</v>
      </c>
    </row>
    <row r="505" spans="1:12" x14ac:dyDescent="0.15">
      <c r="A505" t="s">
        <v>170</v>
      </c>
      <c r="B505">
        <v>2</v>
      </c>
      <c r="C505">
        <v>20</v>
      </c>
      <c r="D505">
        <v>12</v>
      </c>
      <c r="E505" t="s">
        <v>345</v>
      </c>
      <c r="F505" s="3" t="s">
        <v>190</v>
      </c>
      <c r="G505" t="s">
        <v>321</v>
      </c>
      <c r="H505" t="s">
        <v>346</v>
      </c>
    </row>
    <row r="506" spans="1:12" x14ac:dyDescent="0.15">
      <c r="A506" t="s">
        <v>170</v>
      </c>
      <c r="B506">
        <v>2</v>
      </c>
      <c r="C506">
        <v>21</v>
      </c>
      <c r="D506">
        <v>0</v>
      </c>
      <c r="E506" t="s">
        <v>326</v>
      </c>
      <c r="F506" s="3" t="s">
        <v>190</v>
      </c>
      <c r="G506" t="s">
        <v>327</v>
      </c>
      <c r="H506" t="s">
        <v>93</v>
      </c>
    </row>
    <row r="507" spans="1:12" x14ac:dyDescent="0.15">
      <c r="A507" t="s">
        <v>170</v>
      </c>
      <c r="B507">
        <v>2</v>
      </c>
      <c r="C507">
        <v>22</v>
      </c>
      <c r="D507">
        <v>11</v>
      </c>
      <c r="E507" t="s">
        <v>171</v>
      </c>
      <c r="F507" s="3" t="s">
        <v>193</v>
      </c>
      <c r="G507" t="s">
        <v>321</v>
      </c>
      <c r="H507" t="s">
        <v>344</v>
      </c>
    </row>
    <row r="508" spans="1:12" x14ac:dyDescent="0.15">
      <c r="A508" t="s">
        <v>170</v>
      </c>
      <c r="B508">
        <v>2</v>
      </c>
      <c r="C508">
        <v>23</v>
      </c>
      <c r="D508">
        <v>11</v>
      </c>
      <c r="E508" t="s">
        <v>171</v>
      </c>
      <c r="F508" s="3" t="s">
        <v>192</v>
      </c>
      <c r="G508" t="s">
        <v>321</v>
      </c>
      <c r="H508" t="s">
        <v>344</v>
      </c>
    </row>
    <row r="509" spans="1:12" x14ac:dyDescent="0.15">
      <c r="A509" t="s">
        <v>170</v>
      </c>
      <c r="B509">
        <v>2</v>
      </c>
      <c r="C509">
        <v>24</v>
      </c>
      <c r="D509">
        <v>0</v>
      </c>
      <c r="E509" t="s">
        <v>326</v>
      </c>
      <c r="F509" s="3" t="s">
        <v>192</v>
      </c>
      <c r="G509" t="s">
        <v>327</v>
      </c>
      <c r="H509" t="s">
        <v>93</v>
      </c>
    </row>
    <row r="510" spans="1:12" x14ac:dyDescent="0.15">
      <c r="A510" t="s">
        <v>170</v>
      </c>
      <c r="B510">
        <v>2</v>
      </c>
      <c r="C510">
        <v>25</v>
      </c>
      <c r="D510">
        <v>12</v>
      </c>
      <c r="E510" t="s">
        <v>345</v>
      </c>
      <c r="F510" s="3" t="s">
        <v>195</v>
      </c>
      <c r="G510" t="s">
        <v>321</v>
      </c>
      <c r="H510" t="s">
        <v>346</v>
      </c>
    </row>
    <row r="511" spans="1:12" x14ac:dyDescent="0.15">
      <c r="A511" t="s">
        <v>170</v>
      </c>
      <c r="B511">
        <v>2</v>
      </c>
      <c r="C511">
        <v>26</v>
      </c>
      <c r="D511">
        <v>12</v>
      </c>
      <c r="E511" t="s">
        <v>345</v>
      </c>
      <c r="F511" s="3" t="s">
        <v>194</v>
      </c>
      <c r="G511" t="s">
        <v>321</v>
      </c>
      <c r="H511" t="s">
        <v>346</v>
      </c>
    </row>
    <row r="512" spans="1:12" x14ac:dyDescent="0.15">
      <c r="A512" t="s">
        <v>170</v>
      </c>
      <c r="B512">
        <v>2</v>
      </c>
      <c r="C512">
        <v>27</v>
      </c>
      <c r="D512">
        <v>0</v>
      </c>
      <c r="E512" t="s">
        <v>326</v>
      </c>
      <c r="F512" s="3" t="s">
        <v>194</v>
      </c>
      <c r="G512" t="s">
        <v>327</v>
      </c>
      <c r="H512" t="s">
        <v>93</v>
      </c>
    </row>
    <row r="513" spans="1:8" x14ac:dyDescent="0.15">
      <c r="A513" t="s">
        <v>170</v>
      </c>
      <c r="B513">
        <v>2</v>
      </c>
      <c r="C513">
        <v>28</v>
      </c>
      <c r="D513">
        <v>11</v>
      </c>
      <c r="E513" t="s">
        <v>171</v>
      </c>
      <c r="F513" s="3" t="s">
        <v>197</v>
      </c>
      <c r="G513" t="s">
        <v>321</v>
      </c>
      <c r="H513" t="s">
        <v>344</v>
      </c>
    </row>
    <row r="514" spans="1:8" x14ac:dyDescent="0.15">
      <c r="A514" t="s">
        <v>170</v>
      </c>
      <c r="B514">
        <v>2</v>
      </c>
      <c r="C514">
        <v>29</v>
      </c>
      <c r="D514">
        <v>11</v>
      </c>
      <c r="E514" t="s">
        <v>171</v>
      </c>
      <c r="F514" s="3" t="s">
        <v>196</v>
      </c>
      <c r="G514" t="s">
        <v>321</v>
      </c>
      <c r="H514" t="s">
        <v>344</v>
      </c>
    </row>
    <row r="515" spans="1:8" x14ac:dyDescent="0.15">
      <c r="A515" t="s">
        <v>170</v>
      </c>
      <c r="B515">
        <v>2</v>
      </c>
      <c r="C515">
        <v>30</v>
      </c>
      <c r="D515">
        <v>0</v>
      </c>
      <c r="E515" t="s">
        <v>326</v>
      </c>
      <c r="F515" s="3" t="s">
        <v>196</v>
      </c>
      <c r="G515" t="s">
        <v>327</v>
      </c>
      <c r="H515" t="s">
        <v>93</v>
      </c>
    </row>
    <row r="516" spans="1:8" x14ac:dyDescent="0.15">
      <c r="A516" t="s">
        <v>170</v>
      </c>
      <c r="B516">
        <v>2</v>
      </c>
      <c r="C516">
        <v>31</v>
      </c>
      <c r="D516">
        <v>12</v>
      </c>
      <c r="E516" t="s">
        <v>345</v>
      </c>
      <c r="F516" s="3" t="s">
        <v>199</v>
      </c>
      <c r="G516" t="s">
        <v>321</v>
      </c>
      <c r="H516" t="s">
        <v>346</v>
      </c>
    </row>
    <row r="517" spans="1:8" x14ac:dyDescent="0.15">
      <c r="A517" t="s">
        <v>170</v>
      </c>
      <c r="B517">
        <v>2</v>
      </c>
      <c r="C517">
        <v>32</v>
      </c>
      <c r="D517">
        <v>12</v>
      </c>
      <c r="E517" t="s">
        <v>345</v>
      </c>
      <c r="F517" s="3" t="s">
        <v>198</v>
      </c>
      <c r="G517" t="s">
        <v>321</v>
      </c>
      <c r="H517" t="s">
        <v>346</v>
      </c>
    </row>
    <row r="518" spans="1:8" x14ac:dyDescent="0.15">
      <c r="A518" t="s">
        <v>170</v>
      </c>
      <c r="B518">
        <v>2</v>
      </c>
      <c r="C518">
        <v>33</v>
      </c>
      <c r="D518">
        <v>0</v>
      </c>
      <c r="E518" t="s">
        <v>326</v>
      </c>
      <c r="F518" s="3" t="s">
        <v>198</v>
      </c>
      <c r="G518" t="s">
        <v>327</v>
      </c>
      <c r="H518" t="s">
        <v>93</v>
      </c>
    </row>
    <row r="519" spans="1:8" x14ac:dyDescent="0.15">
      <c r="A519" t="s">
        <v>170</v>
      </c>
      <c r="B519">
        <v>2</v>
      </c>
      <c r="C519">
        <v>34</v>
      </c>
      <c r="D519">
        <v>1</v>
      </c>
      <c r="E519" t="s">
        <v>319</v>
      </c>
      <c r="F519" t="s">
        <v>347</v>
      </c>
      <c r="G519" t="s">
        <v>321</v>
      </c>
      <c r="H519" t="s">
        <v>94</v>
      </c>
    </row>
    <row r="520" spans="1:8" x14ac:dyDescent="0.15">
      <c r="A520" t="s">
        <v>170</v>
      </c>
      <c r="B520">
        <v>2</v>
      </c>
      <c r="C520">
        <v>35</v>
      </c>
      <c r="D520">
        <v>11</v>
      </c>
      <c r="E520" t="s">
        <v>171</v>
      </c>
      <c r="F520" t="s">
        <v>188</v>
      </c>
      <c r="G520" t="s">
        <v>321</v>
      </c>
      <c r="H520" t="s">
        <v>344</v>
      </c>
    </row>
    <row r="521" spans="1:8" x14ac:dyDescent="0.15">
      <c r="A521" t="s">
        <v>170</v>
      </c>
      <c r="B521">
        <v>2</v>
      </c>
      <c r="C521">
        <v>36</v>
      </c>
      <c r="D521">
        <v>0</v>
      </c>
      <c r="E521" t="s">
        <v>326</v>
      </c>
      <c r="F521" t="s">
        <v>189</v>
      </c>
      <c r="G521" t="s">
        <v>327</v>
      </c>
      <c r="H521" t="s">
        <v>93</v>
      </c>
    </row>
    <row r="522" spans="1:8" x14ac:dyDescent="0.15">
      <c r="A522" t="s">
        <v>170</v>
      </c>
      <c r="B522">
        <v>2</v>
      </c>
      <c r="C522">
        <v>37</v>
      </c>
      <c r="D522">
        <v>12</v>
      </c>
      <c r="E522" t="s">
        <v>345</v>
      </c>
      <c r="F522" s="3" t="s">
        <v>191</v>
      </c>
      <c r="G522" t="s">
        <v>321</v>
      </c>
      <c r="H522" t="s">
        <v>346</v>
      </c>
    </row>
    <row r="523" spans="1:8" x14ac:dyDescent="0.15">
      <c r="A523" t="s">
        <v>170</v>
      </c>
      <c r="B523">
        <v>2</v>
      </c>
      <c r="C523">
        <v>38</v>
      </c>
      <c r="D523">
        <v>0</v>
      </c>
      <c r="E523" t="s">
        <v>326</v>
      </c>
      <c r="F523" s="3" t="s">
        <v>190</v>
      </c>
      <c r="G523" t="s">
        <v>327</v>
      </c>
      <c r="H523" t="s">
        <v>93</v>
      </c>
    </row>
    <row r="524" spans="1:8" x14ac:dyDescent="0.15">
      <c r="A524" t="s">
        <v>170</v>
      </c>
      <c r="B524">
        <v>2</v>
      </c>
      <c r="C524">
        <v>39</v>
      </c>
      <c r="D524">
        <v>11</v>
      </c>
      <c r="E524" t="s">
        <v>171</v>
      </c>
      <c r="F524" s="3" t="s">
        <v>193</v>
      </c>
      <c r="G524" t="s">
        <v>321</v>
      </c>
      <c r="H524" t="s">
        <v>344</v>
      </c>
    </row>
    <row r="525" spans="1:8" x14ac:dyDescent="0.15">
      <c r="A525" t="s">
        <v>170</v>
      </c>
      <c r="B525">
        <v>2</v>
      </c>
      <c r="C525">
        <v>40</v>
      </c>
      <c r="D525">
        <v>0</v>
      </c>
      <c r="E525" t="s">
        <v>326</v>
      </c>
      <c r="F525" s="3" t="s">
        <v>192</v>
      </c>
      <c r="G525" t="s">
        <v>327</v>
      </c>
      <c r="H525" t="s">
        <v>93</v>
      </c>
    </row>
    <row r="526" spans="1:8" x14ac:dyDescent="0.15">
      <c r="A526" t="s">
        <v>170</v>
      </c>
      <c r="B526">
        <v>2</v>
      </c>
      <c r="C526">
        <v>41</v>
      </c>
      <c r="D526">
        <v>12</v>
      </c>
      <c r="E526" t="s">
        <v>345</v>
      </c>
      <c r="F526" s="3" t="s">
        <v>195</v>
      </c>
      <c r="G526" t="s">
        <v>321</v>
      </c>
      <c r="H526" t="s">
        <v>346</v>
      </c>
    </row>
    <row r="527" spans="1:8" x14ac:dyDescent="0.15">
      <c r="A527" t="s">
        <v>170</v>
      </c>
      <c r="B527">
        <v>2</v>
      </c>
      <c r="C527">
        <v>42</v>
      </c>
      <c r="D527">
        <v>0</v>
      </c>
      <c r="E527" t="s">
        <v>326</v>
      </c>
      <c r="F527" s="3" t="s">
        <v>194</v>
      </c>
      <c r="G527" t="s">
        <v>327</v>
      </c>
      <c r="H527" t="s">
        <v>93</v>
      </c>
    </row>
    <row r="528" spans="1:8" x14ac:dyDescent="0.15">
      <c r="A528" t="s">
        <v>170</v>
      </c>
      <c r="B528">
        <v>2</v>
      </c>
      <c r="C528">
        <v>43</v>
      </c>
      <c r="D528">
        <v>11</v>
      </c>
      <c r="E528" t="s">
        <v>171</v>
      </c>
      <c r="F528" s="3" t="s">
        <v>197</v>
      </c>
      <c r="G528" t="s">
        <v>321</v>
      </c>
      <c r="H528" t="s">
        <v>344</v>
      </c>
    </row>
    <row r="529" spans="1:8" x14ac:dyDescent="0.15">
      <c r="A529" t="s">
        <v>170</v>
      </c>
      <c r="B529">
        <v>2</v>
      </c>
      <c r="C529">
        <v>44</v>
      </c>
      <c r="D529">
        <v>0</v>
      </c>
      <c r="E529" t="s">
        <v>326</v>
      </c>
      <c r="F529" s="3" t="s">
        <v>196</v>
      </c>
      <c r="G529" t="s">
        <v>327</v>
      </c>
      <c r="H529" t="s">
        <v>93</v>
      </c>
    </row>
    <row r="530" spans="1:8" x14ac:dyDescent="0.15">
      <c r="A530" t="s">
        <v>170</v>
      </c>
      <c r="B530">
        <v>2</v>
      </c>
      <c r="C530">
        <v>45</v>
      </c>
      <c r="D530">
        <v>12</v>
      </c>
      <c r="E530" t="s">
        <v>345</v>
      </c>
      <c r="F530" s="3" t="s">
        <v>199</v>
      </c>
      <c r="G530" t="s">
        <v>321</v>
      </c>
      <c r="H530" t="s">
        <v>346</v>
      </c>
    </row>
    <row r="531" spans="1:8" x14ac:dyDescent="0.15">
      <c r="A531" t="s">
        <v>170</v>
      </c>
      <c r="B531">
        <v>2</v>
      </c>
      <c r="C531">
        <v>46</v>
      </c>
      <c r="D531">
        <v>0</v>
      </c>
      <c r="E531" t="s">
        <v>326</v>
      </c>
      <c r="F531" s="3" t="s">
        <v>198</v>
      </c>
      <c r="G531" t="s">
        <v>327</v>
      </c>
      <c r="H531" t="s">
        <v>93</v>
      </c>
    </row>
    <row r="532" spans="1:8" x14ac:dyDescent="0.15">
      <c r="A532" t="s">
        <v>170</v>
      </c>
      <c r="B532">
        <v>2</v>
      </c>
      <c r="C532">
        <v>47</v>
      </c>
      <c r="D532">
        <v>1</v>
      </c>
      <c r="E532" t="s">
        <v>319</v>
      </c>
      <c r="F532" t="s">
        <v>335</v>
      </c>
      <c r="G532" t="s">
        <v>320</v>
      </c>
      <c r="H532" t="s">
        <v>94</v>
      </c>
    </row>
    <row r="533" spans="1:8" x14ac:dyDescent="0.15">
      <c r="A533" t="s">
        <v>17</v>
      </c>
      <c r="B533">
        <v>6</v>
      </c>
      <c r="C533">
        <v>1</v>
      </c>
      <c r="D533">
        <v>1</v>
      </c>
      <c r="E533" t="s">
        <v>319</v>
      </c>
      <c r="F533" t="s">
        <v>200</v>
      </c>
      <c r="G533" t="s">
        <v>321</v>
      </c>
      <c r="H533" t="s">
        <v>94</v>
      </c>
    </row>
    <row r="534" spans="1:8" x14ac:dyDescent="0.15">
      <c r="A534" t="s">
        <v>17</v>
      </c>
      <c r="B534">
        <v>6</v>
      </c>
      <c r="C534">
        <v>2</v>
      </c>
      <c r="D534">
        <v>1</v>
      </c>
      <c r="E534" t="s">
        <v>319</v>
      </c>
      <c r="F534" t="s">
        <v>350</v>
      </c>
      <c r="G534" t="s">
        <v>321</v>
      </c>
      <c r="H534" t="s">
        <v>94</v>
      </c>
    </row>
    <row r="535" spans="1:8" ht="40.5" x14ac:dyDescent="0.15">
      <c r="A535" t="s">
        <v>17</v>
      </c>
      <c r="B535">
        <v>6</v>
      </c>
      <c r="C535">
        <v>3</v>
      </c>
      <c r="D535">
        <v>1</v>
      </c>
      <c r="E535" t="s">
        <v>319</v>
      </c>
      <c r="F535" s="1" t="s">
        <v>322</v>
      </c>
      <c r="G535" t="s">
        <v>321</v>
      </c>
      <c r="H535" t="s">
        <v>94</v>
      </c>
    </row>
    <row r="536" spans="1:8" x14ac:dyDescent="0.15">
      <c r="A536" t="s">
        <v>17</v>
      </c>
      <c r="B536">
        <v>6</v>
      </c>
      <c r="C536">
        <v>4</v>
      </c>
      <c r="D536">
        <v>3</v>
      </c>
      <c r="E536" t="s">
        <v>324</v>
      </c>
      <c r="F536" t="s">
        <v>210</v>
      </c>
      <c r="G536" t="s">
        <v>321</v>
      </c>
      <c r="H536" t="s">
        <v>96</v>
      </c>
    </row>
    <row r="537" spans="1:8" x14ac:dyDescent="0.15">
      <c r="A537" t="s">
        <v>17</v>
      </c>
      <c r="B537">
        <v>6</v>
      </c>
      <c r="C537">
        <v>5</v>
      </c>
      <c r="D537">
        <v>3</v>
      </c>
      <c r="E537" t="s">
        <v>324</v>
      </c>
      <c r="F537" t="s">
        <v>209</v>
      </c>
      <c r="G537" t="s">
        <v>321</v>
      </c>
      <c r="H537" t="s">
        <v>96</v>
      </c>
    </row>
    <row r="538" spans="1:8" x14ac:dyDescent="0.15">
      <c r="A538" t="s">
        <v>17</v>
      </c>
      <c r="B538">
        <v>6</v>
      </c>
      <c r="C538">
        <v>6</v>
      </c>
      <c r="D538">
        <v>2</v>
      </c>
      <c r="E538" t="s">
        <v>323</v>
      </c>
      <c r="F538" t="s">
        <v>211</v>
      </c>
      <c r="G538" t="s">
        <v>321</v>
      </c>
      <c r="H538" t="s">
        <v>95</v>
      </c>
    </row>
    <row r="539" spans="1:8" x14ac:dyDescent="0.15">
      <c r="A539" t="s">
        <v>17</v>
      </c>
      <c r="B539">
        <v>6</v>
      </c>
      <c r="C539">
        <v>7</v>
      </c>
      <c r="D539">
        <v>2</v>
      </c>
      <c r="E539" t="s">
        <v>323</v>
      </c>
      <c r="F539" t="s">
        <v>201</v>
      </c>
      <c r="G539" t="s">
        <v>321</v>
      </c>
      <c r="H539" t="s">
        <v>95</v>
      </c>
    </row>
    <row r="540" spans="1:8" x14ac:dyDescent="0.15">
      <c r="A540" t="s">
        <v>17</v>
      </c>
      <c r="B540">
        <v>6</v>
      </c>
      <c r="C540">
        <v>8</v>
      </c>
      <c r="D540">
        <v>3</v>
      </c>
      <c r="E540" t="s">
        <v>324</v>
      </c>
      <c r="F540" t="s">
        <v>212</v>
      </c>
      <c r="G540" t="s">
        <v>321</v>
      </c>
      <c r="H540" t="s">
        <v>96</v>
      </c>
    </row>
    <row r="541" spans="1:8" x14ac:dyDescent="0.15">
      <c r="A541" t="s">
        <v>17</v>
      </c>
      <c r="B541">
        <v>6</v>
      </c>
      <c r="C541">
        <v>9</v>
      </c>
      <c r="D541">
        <v>3</v>
      </c>
      <c r="E541" t="s">
        <v>324</v>
      </c>
      <c r="F541" t="s">
        <v>202</v>
      </c>
      <c r="G541" t="s">
        <v>321</v>
      </c>
      <c r="H541" t="s">
        <v>96</v>
      </c>
    </row>
    <row r="542" spans="1:8" x14ac:dyDescent="0.15">
      <c r="A542" t="s">
        <v>17</v>
      </c>
      <c r="B542">
        <v>6</v>
      </c>
      <c r="C542">
        <v>10</v>
      </c>
      <c r="D542">
        <v>2</v>
      </c>
      <c r="E542" t="s">
        <v>323</v>
      </c>
      <c r="F542" t="s">
        <v>213</v>
      </c>
      <c r="G542" t="s">
        <v>321</v>
      </c>
      <c r="H542" t="s">
        <v>95</v>
      </c>
    </row>
    <row r="543" spans="1:8" x14ac:dyDescent="0.15">
      <c r="A543" t="s">
        <v>17</v>
      </c>
      <c r="B543">
        <v>6</v>
      </c>
      <c r="C543">
        <v>11</v>
      </c>
      <c r="D543">
        <v>2</v>
      </c>
      <c r="E543" t="s">
        <v>323</v>
      </c>
      <c r="F543" t="s">
        <v>203</v>
      </c>
      <c r="G543" t="s">
        <v>321</v>
      </c>
      <c r="H543" t="s">
        <v>95</v>
      </c>
    </row>
    <row r="544" spans="1:8" x14ac:dyDescent="0.15">
      <c r="A544" t="s">
        <v>17</v>
      </c>
      <c r="B544">
        <v>6</v>
      </c>
      <c r="C544">
        <v>12</v>
      </c>
      <c r="D544">
        <v>2</v>
      </c>
      <c r="E544" t="s">
        <v>323</v>
      </c>
      <c r="F544" t="s">
        <v>214</v>
      </c>
      <c r="G544" t="s">
        <v>321</v>
      </c>
      <c r="H544" t="s">
        <v>95</v>
      </c>
    </row>
    <row r="545" spans="1:12" x14ac:dyDescent="0.15">
      <c r="A545" t="s">
        <v>17</v>
      </c>
      <c r="B545">
        <v>6</v>
      </c>
      <c r="C545">
        <v>13</v>
      </c>
      <c r="D545">
        <v>2</v>
      </c>
      <c r="E545" t="s">
        <v>323</v>
      </c>
      <c r="F545" t="s">
        <v>204</v>
      </c>
      <c r="G545" t="s">
        <v>321</v>
      </c>
      <c r="H545" t="s">
        <v>95</v>
      </c>
    </row>
    <row r="546" spans="1:12" x14ac:dyDescent="0.15">
      <c r="A546" t="s">
        <v>17</v>
      </c>
      <c r="B546">
        <v>6</v>
      </c>
      <c r="C546">
        <v>14</v>
      </c>
      <c r="D546">
        <v>3</v>
      </c>
      <c r="E546" t="s">
        <v>324</v>
      </c>
      <c r="F546" t="s">
        <v>215</v>
      </c>
      <c r="G546" t="s">
        <v>321</v>
      </c>
      <c r="H546" t="s">
        <v>96</v>
      </c>
    </row>
    <row r="547" spans="1:12" x14ac:dyDescent="0.15">
      <c r="A547" t="s">
        <v>17</v>
      </c>
      <c r="B547">
        <v>6</v>
      </c>
      <c r="C547">
        <v>15</v>
      </c>
      <c r="D547">
        <v>3</v>
      </c>
      <c r="E547" t="s">
        <v>324</v>
      </c>
      <c r="F547" t="s">
        <v>205</v>
      </c>
      <c r="G547" t="s">
        <v>321</v>
      </c>
      <c r="H547" t="s">
        <v>96</v>
      </c>
    </row>
    <row r="548" spans="1:12" x14ac:dyDescent="0.15">
      <c r="A548" t="s">
        <v>17</v>
      </c>
      <c r="B548">
        <v>6</v>
      </c>
      <c r="C548">
        <v>16</v>
      </c>
      <c r="D548">
        <v>3</v>
      </c>
      <c r="E548" t="s">
        <v>324</v>
      </c>
      <c r="F548" t="s">
        <v>216</v>
      </c>
      <c r="G548" t="s">
        <v>321</v>
      </c>
      <c r="H548" t="s">
        <v>96</v>
      </c>
    </row>
    <row r="549" spans="1:12" x14ac:dyDescent="0.15">
      <c r="A549" t="s">
        <v>17</v>
      </c>
      <c r="B549">
        <v>6</v>
      </c>
      <c r="C549">
        <v>17</v>
      </c>
      <c r="D549">
        <v>3</v>
      </c>
      <c r="E549" t="s">
        <v>324</v>
      </c>
      <c r="F549" t="s">
        <v>206</v>
      </c>
      <c r="G549" t="s">
        <v>321</v>
      </c>
      <c r="H549" t="s">
        <v>96</v>
      </c>
    </row>
    <row r="550" spans="1:12" x14ac:dyDescent="0.15">
      <c r="A550" t="s">
        <v>17</v>
      </c>
      <c r="B550">
        <v>6</v>
      </c>
      <c r="C550">
        <v>18</v>
      </c>
      <c r="D550">
        <v>3</v>
      </c>
      <c r="E550" t="s">
        <v>324</v>
      </c>
      <c r="F550" t="s">
        <v>217</v>
      </c>
      <c r="G550" t="s">
        <v>321</v>
      </c>
      <c r="H550" t="s">
        <v>96</v>
      </c>
    </row>
    <row r="551" spans="1:12" x14ac:dyDescent="0.15">
      <c r="A551" t="s">
        <v>17</v>
      </c>
      <c r="B551">
        <v>6</v>
      </c>
      <c r="C551">
        <v>19</v>
      </c>
      <c r="D551">
        <v>3</v>
      </c>
      <c r="E551" t="s">
        <v>324</v>
      </c>
      <c r="F551" t="s">
        <v>207</v>
      </c>
      <c r="G551" t="s">
        <v>321</v>
      </c>
      <c r="H551" t="s">
        <v>96</v>
      </c>
    </row>
    <row r="552" spans="1:12" x14ac:dyDescent="0.15">
      <c r="A552" t="s">
        <v>17</v>
      </c>
      <c r="B552">
        <v>6</v>
      </c>
      <c r="C552">
        <v>20</v>
      </c>
      <c r="D552">
        <v>2</v>
      </c>
      <c r="E552" t="s">
        <v>323</v>
      </c>
      <c r="F552" t="s">
        <v>218</v>
      </c>
      <c r="G552" t="s">
        <v>321</v>
      </c>
      <c r="H552" t="s">
        <v>95</v>
      </c>
    </row>
    <row r="553" spans="1:12" x14ac:dyDescent="0.15">
      <c r="A553" t="s">
        <v>17</v>
      </c>
      <c r="B553">
        <v>6</v>
      </c>
      <c r="C553">
        <v>21</v>
      </c>
      <c r="D553">
        <v>2</v>
      </c>
      <c r="E553" t="s">
        <v>323</v>
      </c>
      <c r="F553" t="s">
        <v>208</v>
      </c>
      <c r="G553" t="s">
        <v>321</v>
      </c>
      <c r="H553" t="s">
        <v>95</v>
      </c>
    </row>
    <row r="554" spans="1:12" x14ac:dyDescent="0.15">
      <c r="A554" t="s">
        <v>17</v>
      </c>
      <c r="B554">
        <v>6</v>
      </c>
      <c r="C554">
        <v>22</v>
      </c>
      <c r="D554">
        <v>1</v>
      </c>
      <c r="E554" t="s">
        <v>319</v>
      </c>
      <c r="F554" t="s">
        <v>325</v>
      </c>
      <c r="G554" t="s">
        <v>321</v>
      </c>
      <c r="H554" t="s">
        <v>94</v>
      </c>
      <c r="L554" s="1"/>
    </row>
    <row r="555" spans="1:12" x14ac:dyDescent="0.15">
      <c r="A555" t="s">
        <v>17</v>
      </c>
      <c r="B555">
        <v>6</v>
      </c>
      <c r="C555">
        <v>23</v>
      </c>
      <c r="D555">
        <v>2</v>
      </c>
      <c r="E555" t="s">
        <v>323</v>
      </c>
      <c r="F555" t="s">
        <v>211</v>
      </c>
      <c r="G555" t="s">
        <v>321</v>
      </c>
      <c r="H555" t="s">
        <v>95</v>
      </c>
    </row>
    <row r="556" spans="1:12" x14ac:dyDescent="0.15">
      <c r="A556" t="s">
        <v>17</v>
      </c>
      <c r="B556">
        <v>6</v>
      </c>
      <c r="C556">
        <v>24</v>
      </c>
      <c r="D556">
        <v>2</v>
      </c>
      <c r="E556" t="s">
        <v>323</v>
      </c>
      <c r="F556" t="s">
        <v>201</v>
      </c>
      <c r="G556" t="s">
        <v>321</v>
      </c>
      <c r="H556" t="s">
        <v>95</v>
      </c>
    </row>
    <row r="557" spans="1:12" x14ac:dyDescent="0.15">
      <c r="A557" t="s">
        <v>17</v>
      </c>
      <c r="B557">
        <v>6</v>
      </c>
      <c r="C557">
        <v>25</v>
      </c>
      <c r="D557">
        <v>0</v>
      </c>
      <c r="E557" t="s">
        <v>326</v>
      </c>
      <c r="F557" t="s">
        <v>201</v>
      </c>
      <c r="G557" t="s">
        <v>327</v>
      </c>
      <c r="H557" t="s">
        <v>93</v>
      </c>
    </row>
    <row r="558" spans="1:12" x14ac:dyDescent="0.15">
      <c r="A558" t="s">
        <v>17</v>
      </c>
      <c r="B558">
        <v>6</v>
      </c>
      <c r="C558">
        <v>26</v>
      </c>
      <c r="D558">
        <v>3</v>
      </c>
      <c r="E558" t="s">
        <v>324</v>
      </c>
      <c r="F558" t="s">
        <v>212</v>
      </c>
      <c r="G558" t="s">
        <v>321</v>
      </c>
      <c r="H558" t="s">
        <v>96</v>
      </c>
    </row>
    <row r="559" spans="1:12" x14ac:dyDescent="0.15">
      <c r="A559" t="s">
        <v>17</v>
      </c>
      <c r="B559">
        <v>6</v>
      </c>
      <c r="C559">
        <v>27</v>
      </c>
      <c r="D559">
        <v>3</v>
      </c>
      <c r="E559" t="s">
        <v>324</v>
      </c>
      <c r="F559" t="s">
        <v>202</v>
      </c>
      <c r="G559" t="s">
        <v>321</v>
      </c>
      <c r="H559" t="s">
        <v>96</v>
      </c>
    </row>
    <row r="560" spans="1:12" x14ac:dyDescent="0.15">
      <c r="A560" t="s">
        <v>17</v>
      </c>
      <c r="B560">
        <v>6</v>
      </c>
      <c r="C560">
        <v>28</v>
      </c>
      <c r="D560">
        <v>0</v>
      </c>
      <c r="E560" t="s">
        <v>326</v>
      </c>
      <c r="F560" t="s">
        <v>202</v>
      </c>
      <c r="G560" t="s">
        <v>327</v>
      </c>
      <c r="H560" t="s">
        <v>93</v>
      </c>
    </row>
    <row r="561" spans="1:8" x14ac:dyDescent="0.15">
      <c r="A561" t="s">
        <v>17</v>
      </c>
      <c r="B561">
        <v>6</v>
      </c>
      <c r="C561">
        <v>29</v>
      </c>
      <c r="D561">
        <v>2</v>
      </c>
      <c r="E561" t="s">
        <v>323</v>
      </c>
      <c r="F561" t="s">
        <v>213</v>
      </c>
      <c r="G561" t="s">
        <v>321</v>
      </c>
      <c r="H561" t="s">
        <v>95</v>
      </c>
    </row>
    <row r="562" spans="1:8" x14ac:dyDescent="0.15">
      <c r="A562" t="s">
        <v>17</v>
      </c>
      <c r="B562">
        <v>6</v>
      </c>
      <c r="C562">
        <v>30</v>
      </c>
      <c r="D562">
        <v>2</v>
      </c>
      <c r="E562" t="s">
        <v>323</v>
      </c>
      <c r="F562" t="s">
        <v>203</v>
      </c>
      <c r="G562" t="s">
        <v>321</v>
      </c>
      <c r="H562" t="s">
        <v>95</v>
      </c>
    </row>
    <row r="563" spans="1:8" x14ac:dyDescent="0.15">
      <c r="A563" t="s">
        <v>17</v>
      </c>
      <c r="B563">
        <v>6</v>
      </c>
      <c r="C563">
        <v>31</v>
      </c>
      <c r="D563">
        <v>0</v>
      </c>
      <c r="E563" t="s">
        <v>326</v>
      </c>
      <c r="F563" t="s">
        <v>203</v>
      </c>
      <c r="G563" t="s">
        <v>327</v>
      </c>
      <c r="H563" t="s">
        <v>93</v>
      </c>
    </row>
    <row r="564" spans="1:8" x14ac:dyDescent="0.15">
      <c r="A564" t="s">
        <v>17</v>
      </c>
      <c r="B564">
        <v>6</v>
      </c>
      <c r="C564">
        <v>32</v>
      </c>
      <c r="D564">
        <v>2</v>
      </c>
      <c r="E564" t="s">
        <v>323</v>
      </c>
      <c r="F564" t="s">
        <v>214</v>
      </c>
      <c r="G564" t="s">
        <v>321</v>
      </c>
      <c r="H564" t="s">
        <v>95</v>
      </c>
    </row>
    <row r="565" spans="1:8" x14ac:dyDescent="0.15">
      <c r="A565" t="s">
        <v>17</v>
      </c>
      <c r="B565">
        <v>6</v>
      </c>
      <c r="C565">
        <v>33</v>
      </c>
      <c r="D565">
        <v>2</v>
      </c>
      <c r="E565" t="s">
        <v>323</v>
      </c>
      <c r="F565" t="s">
        <v>204</v>
      </c>
      <c r="G565" t="s">
        <v>321</v>
      </c>
      <c r="H565" t="s">
        <v>95</v>
      </c>
    </row>
    <row r="566" spans="1:8" x14ac:dyDescent="0.15">
      <c r="A566" t="s">
        <v>17</v>
      </c>
      <c r="B566">
        <v>6</v>
      </c>
      <c r="C566">
        <v>34</v>
      </c>
      <c r="D566">
        <v>0</v>
      </c>
      <c r="E566" t="s">
        <v>326</v>
      </c>
      <c r="F566" t="s">
        <v>204</v>
      </c>
      <c r="G566" t="s">
        <v>327</v>
      </c>
      <c r="H566" t="s">
        <v>93</v>
      </c>
    </row>
    <row r="567" spans="1:8" x14ac:dyDescent="0.15">
      <c r="A567" t="s">
        <v>17</v>
      </c>
      <c r="B567">
        <v>6</v>
      </c>
      <c r="C567">
        <v>35</v>
      </c>
      <c r="D567">
        <v>3</v>
      </c>
      <c r="E567" t="s">
        <v>324</v>
      </c>
      <c r="F567" t="s">
        <v>215</v>
      </c>
      <c r="G567" t="s">
        <v>321</v>
      </c>
      <c r="H567" t="s">
        <v>96</v>
      </c>
    </row>
    <row r="568" spans="1:8" x14ac:dyDescent="0.15">
      <c r="A568" t="s">
        <v>17</v>
      </c>
      <c r="B568">
        <v>6</v>
      </c>
      <c r="C568">
        <v>36</v>
      </c>
      <c r="D568">
        <v>3</v>
      </c>
      <c r="E568" t="s">
        <v>324</v>
      </c>
      <c r="F568" t="s">
        <v>205</v>
      </c>
      <c r="G568" t="s">
        <v>321</v>
      </c>
      <c r="H568" t="s">
        <v>96</v>
      </c>
    </row>
    <row r="569" spans="1:8" x14ac:dyDescent="0.15">
      <c r="A569" t="s">
        <v>17</v>
      </c>
      <c r="B569">
        <v>6</v>
      </c>
      <c r="C569">
        <v>37</v>
      </c>
      <c r="D569">
        <v>0</v>
      </c>
      <c r="E569" t="s">
        <v>326</v>
      </c>
      <c r="F569" t="s">
        <v>205</v>
      </c>
      <c r="G569" t="s">
        <v>327</v>
      </c>
      <c r="H569" t="s">
        <v>93</v>
      </c>
    </row>
    <row r="570" spans="1:8" x14ac:dyDescent="0.15">
      <c r="A570" t="s">
        <v>17</v>
      </c>
      <c r="B570">
        <v>6</v>
      </c>
      <c r="C570">
        <v>38</v>
      </c>
      <c r="D570">
        <v>3</v>
      </c>
      <c r="E570" t="s">
        <v>324</v>
      </c>
      <c r="F570" t="s">
        <v>216</v>
      </c>
      <c r="G570" t="s">
        <v>321</v>
      </c>
      <c r="H570" t="s">
        <v>96</v>
      </c>
    </row>
    <row r="571" spans="1:8" x14ac:dyDescent="0.15">
      <c r="A571" t="s">
        <v>17</v>
      </c>
      <c r="B571">
        <v>6</v>
      </c>
      <c r="C571">
        <v>39</v>
      </c>
      <c r="D571">
        <v>3</v>
      </c>
      <c r="E571" t="s">
        <v>324</v>
      </c>
      <c r="F571" t="s">
        <v>206</v>
      </c>
      <c r="G571" t="s">
        <v>321</v>
      </c>
      <c r="H571" t="s">
        <v>96</v>
      </c>
    </row>
    <row r="572" spans="1:8" x14ac:dyDescent="0.15">
      <c r="A572" t="s">
        <v>17</v>
      </c>
      <c r="B572">
        <v>6</v>
      </c>
      <c r="C572">
        <v>40</v>
      </c>
      <c r="D572">
        <v>0</v>
      </c>
      <c r="E572" t="s">
        <v>326</v>
      </c>
      <c r="F572" t="s">
        <v>206</v>
      </c>
      <c r="G572" t="s">
        <v>327</v>
      </c>
      <c r="H572" t="s">
        <v>93</v>
      </c>
    </row>
    <row r="573" spans="1:8" x14ac:dyDescent="0.15">
      <c r="A573" t="s">
        <v>17</v>
      </c>
      <c r="B573">
        <v>6</v>
      </c>
      <c r="C573">
        <v>41</v>
      </c>
      <c r="D573">
        <v>3</v>
      </c>
      <c r="E573" t="s">
        <v>324</v>
      </c>
      <c r="F573" t="s">
        <v>217</v>
      </c>
      <c r="G573" t="s">
        <v>321</v>
      </c>
      <c r="H573" t="s">
        <v>96</v>
      </c>
    </row>
    <row r="574" spans="1:8" x14ac:dyDescent="0.15">
      <c r="A574" t="s">
        <v>17</v>
      </c>
      <c r="B574">
        <v>6</v>
      </c>
      <c r="C574">
        <v>42</v>
      </c>
      <c r="D574">
        <v>3</v>
      </c>
      <c r="E574" t="s">
        <v>324</v>
      </c>
      <c r="F574" t="s">
        <v>207</v>
      </c>
      <c r="G574" t="s">
        <v>321</v>
      </c>
      <c r="H574" t="s">
        <v>96</v>
      </c>
    </row>
    <row r="575" spans="1:8" x14ac:dyDescent="0.15">
      <c r="A575" t="s">
        <v>17</v>
      </c>
      <c r="B575">
        <v>6</v>
      </c>
      <c r="C575">
        <v>43</v>
      </c>
      <c r="D575">
        <v>0</v>
      </c>
      <c r="E575" t="s">
        <v>326</v>
      </c>
      <c r="F575" t="s">
        <v>207</v>
      </c>
      <c r="G575" t="s">
        <v>327</v>
      </c>
      <c r="H575" t="s">
        <v>93</v>
      </c>
    </row>
    <row r="576" spans="1:8" x14ac:dyDescent="0.15">
      <c r="A576" t="s">
        <v>17</v>
      </c>
      <c r="B576">
        <v>6</v>
      </c>
      <c r="C576">
        <v>44</v>
      </c>
      <c r="D576">
        <v>2</v>
      </c>
      <c r="E576" t="s">
        <v>323</v>
      </c>
      <c r="F576" t="s">
        <v>218</v>
      </c>
      <c r="G576" t="s">
        <v>321</v>
      </c>
      <c r="H576" t="s">
        <v>95</v>
      </c>
    </row>
    <row r="577" spans="1:8" x14ac:dyDescent="0.15">
      <c r="A577" t="s">
        <v>17</v>
      </c>
      <c r="B577">
        <v>6</v>
      </c>
      <c r="C577">
        <v>45</v>
      </c>
      <c r="D577">
        <v>2</v>
      </c>
      <c r="E577" t="s">
        <v>323</v>
      </c>
      <c r="F577" t="s">
        <v>208</v>
      </c>
      <c r="G577" t="s">
        <v>321</v>
      </c>
      <c r="H577" t="s">
        <v>95</v>
      </c>
    </row>
    <row r="578" spans="1:8" x14ac:dyDescent="0.15">
      <c r="A578" t="s">
        <v>17</v>
      </c>
      <c r="B578">
        <v>6</v>
      </c>
      <c r="C578">
        <v>46</v>
      </c>
      <c r="D578">
        <v>0</v>
      </c>
      <c r="E578" t="s">
        <v>326</v>
      </c>
      <c r="F578" t="s">
        <v>208</v>
      </c>
      <c r="G578" t="s">
        <v>327</v>
      </c>
      <c r="H578" t="s">
        <v>93</v>
      </c>
    </row>
    <row r="579" spans="1:8" x14ac:dyDescent="0.15">
      <c r="A579" t="s">
        <v>17</v>
      </c>
      <c r="B579">
        <v>6</v>
      </c>
      <c r="C579">
        <v>47</v>
      </c>
      <c r="D579">
        <v>1</v>
      </c>
      <c r="E579" t="s">
        <v>319</v>
      </c>
      <c r="F579" t="s">
        <v>328</v>
      </c>
      <c r="G579" t="s">
        <v>321</v>
      </c>
      <c r="H579" t="s">
        <v>94</v>
      </c>
    </row>
    <row r="580" spans="1:8" x14ac:dyDescent="0.15">
      <c r="A580" t="s">
        <v>17</v>
      </c>
      <c r="B580">
        <v>6</v>
      </c>
      <c r="C580">
        <v>48</v>
      </c>
      <c r="D580">
        <v>2</v>
      </c>
      <c r="E580" t="s">
        <v>323</v>
      </c>
      <c r="F580" t="s">
        <v>211</v>
      </c>
      <c r="G580" t="s">
        <v>321</v>
      </c>
      <c r="H580" t="s">
        <v>95</v>
      </c>
    </row>
    <row r="581" spans="1:8" x14ac:dyDescent="0.15">
      <c r="A581" t="s">
        <v>17</v>
      </c>
      <c r="B581">
        <v>6</v>
      </c>
      <c r="C581">
        <v>49</v>
      </c>
      <c r="D581">
        <v>0</v>
      </c>
      <c r="E581" t="s">
        <v>326</v>
      </c>
      <c r="F581" t="s">
        <v>201</v>
      </c>
      <c r="G581" t="s">
        <v>327</v>
      </c>
      <c r="H581" t="s">
        <v>93</v>
      </c>
    </row>
    <row r="582" spans="1:8" x14ac:dyDescent="0.15">
      <c r="A582" t="s">
        <v>17</v>
      </c>
      <c r="B582">
        <v>6</v>
      </c>
      <c r="C582">
        <v>50</v>
      </c>
      <c r="D582">
        <v>3</v>
      </c>
      <c r="E582" t="s">
        <v>324</v>
      </c>
      <c r="F582" t="s">
        <v>212</v>
      </c>
      <c r="G582" t="s">
        <v>321</v>
      </c>
      <c r="H582" t="s">
        <v>96</v>
      </c>
    </row>
    <row r="583" spans="1:8" x14ac:dyDescent="0.15">
      <c r="A583" t="s">
        <v>17</v>
      </c>
      <c r="B583">
        <v>6</v>
      </c>
      <c r="C583">
        <v>51</v>
      </c>
      <c r="D583">
        <v>0</v>
      </c>
      <c r="E583" t="s">
        <v>326</v>
      </c>
      <c r="F583" t="s">
        <v>202</v>
      </c>
      <c r="G583" t="s">
        <v>327</v>
      </c>
      <c r="H583" t="s">
        <v>93</v>
      </c>
    </row>
    <row r="584" spans="1:8" x14ac:dyDescent="0.15">
      <c r="A584" t="s">
        <v>17</v>
      </c>
      <c r="B584">
        <v>6</v>
      </c>
      <c r="C584">
        <v>52</v>
      </c>
      <c r="D584">
        <v>2</v>
      </c>
      <c r="E584" t="s">
        <v>323</v>
      </c>
      <c r="F584" t="s">
        <v>213</v>
      </c>
      <c r="G584" t="s">
        <v>321</v>
      </c>
      <c r="H584" t="s">
        <v>95</v>
      </c>
    </row>
    <row r="585" spans="1:8" x14ac:dyDescent="0.15">
      <c r="A585" t="s">
        <v>17</v>
      </c>
      <c r="B585">
        <v>6</v>
      </c>
      <c r="C585">
        <v>53</v>
      </c>
      <c r="D585">
        <v>0</v>
      </c>
      <c r="E585" t="s">
        <v>326</v>
      </c>
      <c r="F585" t="s">
        <v>203</v>
      </c>
      <c r="G585" t="s">
        <v>327</v>
      </c>
      <c r="H585" t="s">
        <v>93</v>
      </c>
    </row>
    <row r="586" spans="1:8" x14ac:dyDescent="0.15">
      <c r="A586" t="s">
        <v>17</v>
      </c>
      <c r="B586">
        <v>6</v>
      </c>
      <c r="C586">
        <v>54</v>
      </c>
      <c r="D586">
        <v>2</v>
      </c>
      <c r="E586" t="s">
        <v>323</v>
      </c>
      <c r="F586" t="s">
        <v>214</v>
      </c>
      <c r="G586" t="s">
        <v>321</v>
      </c>
      <c r="H586" t="s">
        <v>95</v>
      </c>
    </row>
    <row r="587" spans="1:8" x14ac:dyDescent="0.15">
      <c r="A587" t="s">
        <v>17</v>
      </c>
      <c r="B587">
        <v>6</v>
      </c>
      <c r="C587">
        <v>55</v>
      </c>
      <c r="D587">
        <v>0</v>
      </c>
      <c r="E587" t="s">
        <v>326</v>
      </c>
      <c r="F587" t="s">
        <v>204</v>
      </c>
      <c r="G587" t="s">
        <v>327</v>
      </c>
      <c r="H587" t="s">
        <v>93</v>
      </c>
    </row>
    <row r="588" spans="1:8" x14ac:dyDescent="0.15">
      <c r="A588" t="s">
        <v>17</v>
      </c>
      <c r="B588">
        <v>6</v>
      </c>
      <c r="C588">
        <v>56</v>
      </c>
      <c r="D588">
        <v>3</v>
      </c>
      <c r="E588" t="s">
        <v>324</v>
      </c>
      <c r="F588" t="s">
        <v>215</v>
      </c>
      <c r="G588" t="s">
        <v>321</v>
      </c>
      <c r="H588" t="s">
        <v>96</v>
      </c>
    </row>
    <row r="589" spans="1:8" x14ac:dyDescent="0.15">
      <c r="A589" t="s">
        <v>17</v>
      </c>
      <c r="B589">
        <v>6</v>
      </c>
      <c r="C589">
        <v>57</v>
      </c>
      <c r="D589">
        <v>0</v>
      </c>
      <c r="E589" t="s">
        <v>326</v>
      </c>
      <c r="F589" t="s">
        <v>205</v>
      </c>
      <c r="G589" t="s">
        <v>327</v>
      </c>
      <c r="H589" t="s">
        <v>93</v>
      </c>
    </row>
    <row r="590" spans="1:8" x14ac:dyDescent="0.15">
      <c r="A590" t="s">
        <v>17</v>
      </c>
      <c r="B590">
        <v>6</v>
      </c>
      <c r="C590">
        <v>58</v>
      </c>
      <c r="D590">
        <v>3</v>
      </c>
      <c r="E590" t="s">
        <v>324</v>
      </c>
      <c r="F590" t="s">
        <v>216</v>
      </c>
      <c r="G590" t="s">
        <v>321</v>
      </c>
      <c r="H590" t="s">
        <v>96</v>
      </c>
    </row>
    <row r="591" spans="1:8" x14ac:dyDescent="0.15">
      <c r="A591" t="s">
        <v>17</v>
      </c>
      <c r="B591">
        <v>6</v>
      </c>
      <c r="C591">
        <v>59</v>
      </c>
      <c r="D591">
        <v>0</v>
      </c>
      <c r="E591" t="s">
        <v>326</v>
      </c>
      <c r="F591" t="s">
        <v>206</v>
      </c>
      <c r="G591" t="s">
        <v>327</v>
      </c>
      <c r="H591" t="s">
        <v>93</v>
      </c>
    </row>
    <row r="592" spans="1:8" x14ac:dyDescent="0.15">
      <c r="A592" t="s">
        <v>17</v>
      </c>
      <c r="B592">
        <v>6</v>
      </c>
      <c r="C592">
        <v>60</v>
      </c>
      <c r="D592">
        <v>3</v>
      </c>
      <c r="E592" t="s">
        <v>324</v>
      </c>
      <c r="F592" t="s">
        <v>217</v>
      </c>
      <c r="G592" t="s">
        <v>321</v>
      </c>
      <c r="H592" t="s">
        <v>96</v>
      </c>
    </row>
    <row r="593" spans="1:8" x14ac:dyDescent="0.15">
      <c r="A593" t="s">
        <v>17</v>
      </c>
      <c r="B593">
        <v>6</v>
      </c>
      <c r="C593">
        <v>61</v>
      </c>
      <c r="D593">
        <v>0</v>
      </c>
      <c r="E593" t="s">
        <v>326</v>
      </c>
      <c r="F593" t="s">
        <v>207</v>
      </c>
      <c r="G593" t="s">
        <v>327</v>
      </c>
      <c r="H593" t="s">
        <v>93</v>
      </c>
    </row>
    <row r="594" spans="1:8" x14ac:dyDescent="0.15">
      <c r="A594" t="s">
        <v>17</v>
      </c>
      <c r="B594">
        <v>6</v>
      </c>
      <c r="C594">
        <v>62</v>
      </c>
      <c r="D594">
        <v>2</v>
      </c>
      <c r="E594" t="s">
        <v>323</v>
      </c>
      <c r="F594" t="s">
        <v>218</v>
      </c>
      <c r="G594" t="s">
        <v>321</v>
      </c>
      <c r="H594" t="s">
        <v>95</v>
      </c>
    </row>
    <row r="595" spans="1:8" x14ac:dyDescent="0.15">
      <c r="A595" t="s">
        <v>17</v>
      </c>
      <c r="B595">
        <v>6</v>
      </c>
      <c r="C595">
        <v>63</v>
      </c>
      <c r="D595">
        <v>0</v>
      </c>
      <c r="E595" t="s">
        <v>326</v>
      </c>
      <c r="F595" t="s">
        <v>208</v>
      </c>
      <c r="G595" t="s">
        <v>327</v>
      </c>
      <c r="H595" t="s">
        <v>93</v>
      </c>
    </row>
    <row r="596" spans="1:8" x14ac:dyDescent="0.15">
      <c r="A596" t="s">
        <v>17</v>
      </c>
      <c r="B596">
        <v>6</v>
      </c>
      <c r="C596">
        <v>64</v>
      </c>
      <c r="D596">
        <v>1</v>
      </c>
      <c r="E596" t="s">
        <v>319</v>
      </c>
      <c r="F596" t="s">
        <v>351</v>
      </c>
      <c r="G596" t="s">
        <v>320</v>
      </c>
      <c r="H596" t="s">
        <v>94</v>
      </c>
    </row>
    <row r="597" spans="1:8" x14ac:dyDescent="0.15">
      <c r="A597" t="s">
        <v>17</v>
      </c>
      <c r="B597">
        <v>7</v>
      </c>
      <c r="C597">
        <v>1</v>
      </c>
      <c r="D597">
        <v>1</v>
      </c>
      <c r="E597" t="s">
        <v>319</v>
      </c>
      <c r="F597" t="s">
        <v>219</v>
      </c>
      <c r="G597" t="s">
        <v>321</v>
      </c>
      <c r="H597" t="s">
        <v>94</v>
      </c>
    </row>
    <row r="598" spans="1:8" x14ac:dyDescent="0.15">
      <c r="A598" t="s">
        <v>17</v>
      </c>
      <c r="B598">
        <v>7</v>
      </c>
      <c r="C598">
        <v>2</v>
      </c>
      <c r="D598">
        <v>1</v>
      </c>
      <c r="E598" t="s">
        <v>319</v>
      </c>
      <c r="F598" t="s">
        <v>352</v>
      </c>
      <c r="G598" t="s">
        <v>321</v>
      </c>
      <c r="H598" t="s">
        <v>94</v>
      </c>
    </row>
    <row r="599" spans="1:8" ht="40.5" x14ac:dyDescent="0.15">
      <c r="A599" t="s">
        <v>17</v>
      </c>
      <c r="B599">
        <v>7</v>
      </c>
      <c r="C599">
        <v>3</v>
      </c>
      <c r="D599">
        <v>1</v>
      </c>
      <c r="E599" t="s">
        <v>319</v>
      </c>
      <c r="F599" s="1" t="s">
        <v>353</v>
      </c>
      <c r="G599" t="s">
        <v>321</v>
      </c>
      <c r="H599" t="s">
        <v>94</v>
      </c>
    </row>
    <row r="600" spans="1:8" x14ac:dyDescent="0.15">
      <c r="A600" t="s">
        <v>17</v>
      </c>
      <c r="B600">
        <v>7</v>
      </c>
      <c r="C600">
        <v>4</v>
      </c>
      <c r="D600">
        <v>13</v>
      </c>
      <c r="E600" t="s">
        <v>220</v>
      </c>
      <c r="F600" t="s">
        <v>228</v>
      </c>
      <c r="G600" t="s">
        <v>321</v>
      </c>
      <c r="H600" t="s">
        <v>354</v>
      </c>
    </row>
    <row r="601" spans="1:8" x14ac:dyDescent="0.15">
      <c r="A601" t="s">
        <v>17</v>
      </c>
      <c r="B601">
        <v>7</v>
      </c>
      <c r="C601">
        <v>5</v>
      </c>
      <c r="D601">
        <v>13</v>
      </c>
      <c r="E601" t="s">
        <v>220</v>
      </c>
      <c r="F601" t="s">
        <v>222</v>
      </c>
      <c r="G601" t="s">
        <v>321</v>
      </c>
      <c r="H601" t="s">
        <v>354</v>
      </c>
    </row>
    <row r="602" spans="1:8" x14ac:dyDescent="0.15">
      <c r="A602" t="s">
        <v>17</v>
      </c>
      <c r="B602">
        <v>7</v>
      </c>
      <c r="C602">
        <v>6</v>
      </c>
      <c r="D602">
        <v>2</v>
      </c>
      <c r="E602" t="s">
        <v>323</v>
      </c>
      <c r="F602" t="s">
        <v>229</v>
      </c>
      <c r="G602" t="s">
        <v>321</v>
      </c>
      <c r="H602" t="s">
        <v>95</v>
      </c>
    </row>
    <row r="603" spans="1:8" x14ac:dyDescent="0.15">
      <c r="A603" t="s">
        <v>17</v>
      </c>
      <c r="B603">
        <v>7</v>
      </c>
      <c r="C603">
        <v>7</v>
      </c>
      <c r="D603">
        <v>2</v>
      </c>
      <c r="E603" t="s">
        <v>323</v>
      </c>
      <c r="F603" t="s">
        <v>223</v>
      </c>
      <c r="G603" t="s">
        <v>321</v>
      </c>
      <c r="H603" t="s">
        <v>95</v>
      </c>
    </row>
    <row r="604" spans="1:8" x14ac:dyDescent="0.15">
      <c r="A604" t="s">
        <v>17</v>
      </c>
      <c r="B604">
        <v>7</v>
      </c>
      <c r="C604">
        <v>8</v>
      </c>
      <c r="D604">
        <v>13</v>
      </c>
      <c r="E604" t="s">
        <v>220</v>
      </c>
      <c r="F604" t="s">
        <v>231</v>
      </c>
      <c r="G604" t="s">
        <v>321</v>
      </c>
      <c r="H604" t="s">
        <v>354</v>
      </c>
    </row>
    <row r="605" spans="1:8" x14ac:dyDescent="0.15">
      <c r="A605" t="s">
        <v>17</v>
      </c>
      <c r="B605">
        <v>7</v>
      </c>
      <c r="C605">
        <v>9</v>
      </c>
      <c r="D605">
        <v>13</v>
      </c>
      <c r="E605" t="s">
        <v>220</v>
      </c>
      <c r="F605" t="s">
        <v>230</v>
      </c>
      <c r="G605" t="s">
        <v>321</v>
      </c>
      <c r="H605" t="s">
        <v>354</v>
      </c>
    </row>
    <row r="606" spans="1:8" x14ac:dyDescent="0.15">
      <c r="A606" t="s">
        <v>17</v>
      </c>
      <c r="B606">
        <v>7</v>
      </c>
      <c r="C606">
        <v>10</v>
      </c>
      <c r="D606">
        <v>2</v>
      </c>
      <c r="E606" t="s">
        <v>323</v>
      </c>
      <c r="F606" t="s">
        <v>313</v>
      </c>
      <c r="G606" t="s">
        <v>321</v>
      </c>
      <c r="H606" t="s">
        <v>95</v>
      </c>
    </row>
    <row r="607" spans="1:8" x14ac:dyDescent="0.15">
      <c r="A607" t="s">
        <v>17</v>
      </c>
      <c r="B607">
        <v>7</v>
      </c>
      <c r="C607">
        <v>11</v>
      </c>
      <c r="D607">
        <v>2</v>
      </c>
      <c r="E607" t="s">
        <v>323</v>
      </c>
      <c r="F607" t="s">
        <v>314</v>
      </c>
      <c r="G607" t="s">
        <v>321</v>
      </c>
      <c r="H607" t="s">
        <v>95</v>
      </c>
    </row>
    <row r="608" spans="1:8" x14ac:dyDescent="0.15">
      <c r="A608" t="s">
        <v>17</v>
      </c>
      <c r="B608">
        <v>7</v>
      </c>
      <c r="C608">
        <v>12</v>
      </c>
      <c r="D608">
        <v>2</v>
      </c>
      <c r="E608" t="s">
        <v>323</v>
      </c>
      <c r="F608" t="s">
        <v>232</v>
      </c>
      <c r="G608" t="s">
        <v>321</v>
      </c>
      <c r="H608" t="s">
        <v>95</v>
      </c>
    </row>
    <row r="609" spans="1:8" x14ac:dyDescent="0.15">
      <c r="A609" t="s">
        <v>17</v>
      </c>
      <c r="B609">
        <v>7</v>
      </c>
      <c r="C609">
        <v>13</v>
      </c>
      <c r="D609">
        <v>2</v>
      </c>
      <c r="E609" t="s">
        <v>323</v>
      </c>
      <c r="F609" t="s">
        <v>224</v>
      </c>
      <c r="G609" t="s">
        <v>321</v>
      </c>
      <c r="H609" t="s">
        <v>95</v>
      </c>
    </row>
    <row r="610" spans="1:8" x14ac:dyDescent="0.15">
      <c r="A610" t="s">
        <v>17</v>
      </c>
      <c r="B610">
        <v>7</v>
      </c>
      <c r="C610">
        <v>14</v>
      </c>
      <c r="D610">
        <v>13</v>
      </c>
      <c r="E610" t="s">
        <v>220</v>
      </c>
      <c r="F610" t="s">
        <v>233</v>
      </c>
      <c r="G610" t="s">
        <v>321</v>
      </c>
      <c r="H610" t="s">
        <v>354</v>
      </c>
    </row>
    <row r="611" spans="1:8" x14ac:dyDescent="0.15">
      <c r="A611" t="s">
        <v>17</v>
      </c>
      <c r="B611">
        <v>7</v>
      </c>
      <c r="C611">
        <v>15</v>
      </c>
      <c r="D611">
        <v>13</v>
      </c>
      <c r="E611" t="s">
        <v>220</v>
      </c>
      <c r="F611" t="s">
        <v>226</v>
      </c>
      <c r="G611" t="s">
        <v>321</v>
      </c>
      <c r="H611" t="s">
        <v>354</v>
      </c>
    </row>
    <row r="612" spans="1:8" x14ac:dyDescent="0.15">
      <c r="A612" t="s">
        <v>17</v>
      </c>
      <c r="B612">
        <v>7</v>
      </c>
      <c r="C612">
        <v>16</v>
      </c>
      <c r="D612">
        <v>2</v>
      </c>
      <c r="E612" t="s">
        <v>323</v>
      </c>
      <c r="F612" t="s">
        <v>234</v>
      </c>
      <c r="G612" t="s">
        <v>321</v>
      </c>
      <c r="H612" t="s">
        <v>95</v>
      </c>
    </row>
    <row r="613" spans="1:8" x14ac:dyDescent="0.15">
      <c r="A613" t="s">
        <v>17</v>
      </c>
      <c r="B613">
        <v>7</v>
      </c>
      <c r="C613">
        <v>17</v>
      </c>
      <c r="D613">
        <v>2</v>
      </c>
      <c r="E613" t="s">
        <v>323</v>
      </c>
      <c r="F613" t="s">
        <v>225</v>
      </c>
      <c r="G613" t="s">
        <v>321</v>
      </c>
      <c r="H613" t="s">
        <v>95</v>
      </c>
    </row>
    <row r="614" spans="1:8" x14ac:dyDescent="0.15">
      <c r="A614" t="s">
        <v>17</v>
      </c>
      <c r="B614">
        <v>7</v>
      </c>
      <c r="C614">
        <v>18</v>
      </c>
      <c r="D614">
        <v>13</v>
      </c>
      <c r="E614" t="s">
        <v>220</v>
      </c>
      <c r="F614" t="s">
        <v>236</v>
      </c>
      <c r="G614" t="s">
        <v>321</v>
      </c>
      <c r="H614" t="s">
        <v>354</v>
      </c>
    </row>
    <row r="615" spans="1:8" x14ac:dyDescent="0.15">
      <c r="A615" t="s">
        <v>17</v>
      </c>
      <c r="B615">
        <v>7</v>
      </c>
      <c r="C615">
        <v>19</v>
      </c>
      <c r="D615">
        <v>13</v>
      </c>
      <c r="E615" t="s">
        <v>220</v>
      </c>
      <c r="F615" t="s">
        <v>235</v>
      </c>
      <c r="G615" t="s">
        <v>321</v>
      </c>
      <c r="H615" t="s">
        <v>354</v>
      </c>
    </row>
    <row r="616" spans="1:8" x14ac:dyDescent="0.15">
      <c r="A616" t="s">
        <v>17</v>
      </c>
      <c r="B616">
        <v>7</v>
      </c>
      <c r="C616">
        <v>20</v>
      </c>
      <c r="D616">
        <v>2</v>
      </c>
      <c r="E616" t="s">
        <v>323</v>
      </c>
      <c r="F616" t="s">
        <v>237</v>
      </c>
      <c r="G616" t="s">
        <v>321</v>
      </c>
      <c r="H616" t="s">
        <v>95</v>
      </c>
    </row>
    <row r="617" spans="1:8" x14ac:dyDescent="0.15">
      <c r="A617" t="s">
        <v>17</v>
      </c>
      <c r="B617">
        <v>7</v>
      </c>
      <c r="C617">
        <v>21</v>
      </c>
      <c r="D617">
        <v>2</v>
      </c>
      <c r="E617" t="s">
        <v>323</v>
      </c>
      <c r="F617" t="s">
        <v>227</v>
      </c>
      <c r="G617" t="s">
        <v>321</v>
      </c>
      <c r="H617" t="s">
        <v>95</v>
      </c>
    </row>
    <row r="618" spans="1:8" x14ac:dyDescent="0.15">
      <c r="A618" t="s">
        <v>17</v>
      </c>
      <c r="B618">
        <v>7</v>
      </c>
      <c r="C618">
        <v>22</v>
      </c>
      <c r="D618">
        <v>1</v>
      </c>
      <c r="E618" t="s">
        <v>319</v>
      </c>
      <c r="F618" t="s">
        <v>355</v>
      </c>
      <c r="G618" t="s">
        <v>321</v>
      </c>
      <c r="H618" t="s">
        <v>94</v>
      </c>
    </row>
    <row r="619" spans="1:8" x14ac:dyDescent="0.15">
      <c r="A619" t="s">
        <v>17</v>
      </c>
      <c r="B619">
        <v>7</v>
      </c>
      <c r="C619">
        <v>23</v>
      </c>
      <c r="D619">
        <v>13</v>
      </c>
      <c r="E619" t="s">
        <v>220</v>
      </c>
      <c r="F619" t="s">
        <v>228</v>
      </c>
      <c r="G619" t="s">
        <v>321</v>
      </c>
      <c r="H619" t="s">
        <v>354</v>
      </c>
    </row>
    <row r="620" spans="1:8" x14ac:dyDescent="0.15">
      <c r="A620" t="s">
        <v>17</v>
      </c>
      <c r="B620">
        <v>7</v>
      </c>
      <c r="C620">
        <v>24</v>
      </c>
      <c r="D620">
        <v>13</v>
      </c>
      <c r="E620" t="s">
        <v>220</v>
      </c>
      <c r="F620" t="s">
        <v>222</v>
      </c>
      <c r="G620" t="s">
        <v>321</v>
      </c>
      <c r="H620" t="s">
        <v>354</v>
      </c>
    </row>
    <row r="621" spans="1:8" x14ac:dyDescent="0.15">
      <c r="A621" t="s">
        <v>17</v>
      </c>
      <c r="B621">
        <v>7</v>
      </c>
      <c r="C621">
        <v>25</v>
      </c>
      <c r="D621">
        <v>0</v>
      </c>
      <c r="E621" t="s">
        <v>326</v>
      </c>
      <c r="F621" t="s">
        <v>222</v>
      </c>
      <c r="G621" t="s">
        <v>327</v>
      </c>
      <c r="H621" t="s">
        <v>93</v>
      </c>
    </row>
    <row r="622" spans="1:8" x14ac:dyDescent="0.15">
      <c r="A622" t="s">
        <v>17</v>
      </c>
      <c r="B622">
        <v>7</v>
      </c>
      <c r="C622">
        <v>26</v>
      </c>
      <c r="D622">
        <v>2</v>
      </c>
      <c r="E622" t="s">
        <v>323</v>
      </c>
      <c r="F622" t="s">
        <v>229</v>
      </c>
      <c r="G622" t="s">
        <v>321</v>
      </c>
      <c r="H622" t="s">
        <v>95</v>
      </c>
    </row>
    <row r="623" spans="1:8" x14ac:dyDescent="0.15">
      <c r="A623" t="s">
        <v>17</v>
      </c>
      <c r="B623">
        <v>7</v>
      </c>
      <c r="C623">
        <v>27</v>
      </c>
      <c r="D623">
        <v>2</v>
      </c>
      <c r="E623" t="s">
        <v>323</v>
      </c>
      <c r="F623" t="s">
        <v>223</v>
      </c>
      <c r="G623" t="s">
        <v>321</v>
      </c>
      <c r="H623" t="s">
        <v>95</v>
      </c>
    </row>
    <row r="624" spans="1:8" x14ac:dyDescent="0.15">
      <c r="A624" t="s">
        <v>17</v>
      </c>
      <c r="B624">
        <v>7</v>
      </c>
      <c r="C624">
        <v>28</v>
      </c>
      <c r="D624">
        <v>0</v>
      </c>
      <c r="E624" t="s">
        <v>326</v>
      </c>
      <c r="F624" t="s">
        <v>223</v>
      </c>
      <c r="G624" t="s">
        <v>327</v>
      </c>
      <c r="H624" t="s">
        <v>93</v>
      </c>
    </row>
    <row r="625" spans="1:8" x14ac:dyDescent="0.15">
      <c r="A625" t="s">
        <v>17</v>
      </c>
      <c r="B625">
        <v>7</v>
      </c>
      <c r="C625">
        <v>29</v>
      </c>
      <c r="D625">
        <v>13</v>
      </c>
      <c r="E625" t="s">
        <v>220</v>
      </c>
      <c r="F625" t="s">
        <v>231</v>
      </c>
      <c r="G625" t="s">
        <v>321</v>
      </c>
      <c r="H625" t="s">
        <v>354</v>
      </c>
    </row>
    <row r="626" spans="1:8" x14ac:dyDescent="0.15">
      <c r="A626" t="s">
        <v>17</v>
      </c>
      <c r="B626">
        <v>7</v>
      </c>
      <c r="C626">
        <v>30</v>
      </c>
      <c r="D626">
        <v>13</v>
      </c>
      <c r="E626" t="s">
        <v>220</v>
      </c>
      <c r="F626" t="s">
        <v>230</v>
      </c>
      <c r="G626" t="s">
        <v>321</v>
      </c>
      <c r="H626" t="s">
        <v>354</v>
      </c>
    </row>
    <row r="627" spans="1:8" x14ac:dyDescent="0.15">
      <c r="A627" t="s">
        <v>17</v>
      </c>
      <c r="B627">
        <v>7</v>
      </c>
      <c r="C627">
        <v>31</v>
      </c>
      <c r="D627">
        <v>0</v>
      </c>
      <c r="E627" t="s">
        <v>326</v>
      </c>
      <c r="F627" t="s">
        <v>230</v>
      </c>
      <c r="G627" t="s">
        <v>327</v>
      </c>
      <c r="H627" t="s">
        <v>93</v>
      </c>
    </row>
    <row r="628" spans="1:8" x14ac:dyDescent="0.15">
      <c r="A628" t="s">
        <v>17</v>
      </c>
      <c r="B628">
        <v>7</v>
      </c>
      <c r="C628">
        <v>32</v>
      </c>
      <c r="D628">
        <v>2</v>
      </c>
      <c r="E628" t="s">
        <v>323</v>
      </c>
      <c r="F628" t="s">
        <v>313</v>
      </c>
      <c r="G628" t="s">
        <v>321</v>
      </c>
      <c r="H628" t="s">
        <v>95</v>
      </c>
    </row>
    <row r="629" spans="1:8" x14ac:dyDescent="0.15">
      <c r="A629" t="s">
        <v>17</v>
      </c>
      <c r="B629">
        <v>7</v>
      </c>
      <c r="C629">
        <v>33</v>
      </c>
      <c r="D629">
        <v>2</v>
      </c>
      <c r="E629" t="s">
        <v>323</v>
      </c>
      <c r="F629" t="s">
        <v>314</v>
      </c>
      <c r="G629" t="s">
        <v>321</v>
      </c>
      <c r="H629" t="s">
        <v>95</v>
      </c>
    </row>
    <row r="630" spans="1:8" x14ac:dyDescent="0.15">
      <c r="A630" t="s">
        <v>17</v>
      </c>
      <c r="B630">
        <v>7</v>
      </c>
      <c r="C630">
        <v>34</v>
      </c>
      <c r="D630">
        <v>0</v>
      </c>
      <c r="E630" t="s">
        <v>326</v>
      </c>
      <c r="F630" t="s">
        <v>314</v>
      </c>
      <c r="G630" t="s">
        <v>327</v>
      </c>
      <c r="H630" t="s">
        <v>93</v>
      </c>
    </row>
    <row r="631" spans="1:8" x14ac:dyDescent="0.15">
      <c r="A631" t="s">
        <v>17</v>
      </c>
      <c r="B631">
        <v>7</v>
      </c>
      <c r="C631">
        <v>35</v>
      </c>
      <c r="D631">
        <v>2</v>
      </c>
      <c r="E631" t="s">
        <v>323</v>
      </c>
      <c r="F631" t="s">
        <v>232</v>
      </c>
      <c r="G631" t="s">
        <v>321</v>
      </c>
      <c r="H631" t="s">
        <v>95</v>
      </c>
    </row>
    <row r="632" spans="1:8" x14ac:dyDescent="0.15">
      <c r="A632" t="s">
        <v>17</v>
      </c>
      <c r="B632">
        <v>7</v>
      </c>
      <c r="C632">
        <v>36</v>
      </c>
      <c r="D632">
        <v>2</v>
      </c>
      <c r="E632" t="s">
        <v>323</v>
      </c>
      <c r="F632" t="s">
        <v>224</v>
      </c>
      <c r="G632" t="s">
        <v>321</v>
      </c>
      <c r="H632" t="s">
        <v>95</v>
      </c>
    </row>
    <row r="633" spans="1:8" x14ac:dyDescent="0.15">
      <c r="A633" t="s">
        <v>17</v>
      </c>
      <c r="B633">
        <v>7</v>
      </c>
      <c r="C633">
        <v>37</v>
      </c>
      <c r="D633">
        <v>0</v>
      </c>
      <c r="E633" t="s">
        <v>326</v>
      </c>
      <c r="F633" t="s">
        <v>224</v>
      </c>
      <c r="G633" t="s">
        <v>327</v>
      </c>
      <c r="H633" t="s">
        <v>93</v>
      </c>
    </row>
    <row r="634" spans="1:8" x14ac:dyDescent="0.15">
      <c r="A634" t="s">
        <v>17</v>
      </c>
      <c r="B634">
        <v>7</v>
      </c>
      <c r="C634">
        <v>38</v>
      </c>
      <c r="D634">
        <v>13</v>
      </c>
      <c r="E634" t="s">
        <v>220</v>
      </c>
      <c r="F634" t="s">
        <v>233</v>
      </c>
      <c r="G634" t="s">
        <v>321</v>
      </c>
      <c r="H634" t="s">
        <v>354</v>
      </c>
    </row>
    <row r="635" spans="1:8" x14ac:dyDescent="0.15">
      <c r="A635" t="s">
        <v>17</v>
      </c>
      <c r="B635">
        <v>7</v>
      </c>
      <c r="C635">
        <v>39</v>
      </c>
      <c r="D635">
        <v>13</v>
      </c>
      <c r="E635" t="s">
        <v>220</v>
      </c>
      <c r="F635" t="s">
        <v>226</v>
      </c>
      <c r="G635" t="s">
        <v>321</v>
      </c>
      <c r="H635" t="s">
        <v>354</v>
      </c>
    </row>
    <row r="636" spans="1:8" x14ac:dyDescent="0.15">
      <c r="A636" t="s">
        <v>17</v>
      </c>
      <c r="B636">
        <v>7</v>
      </c>
      <c r="C636">
        <v>40</v>
      </c>
      <c r="D636">
        <v>0</v>
      </c>
      <c r="E636" t="s">
        <v>326</v>
      </c>
      <c r="F636" t="s">
        <v>226</v>
      </c>
      <c r="G636" t="s">
        <v>327</v>
      </c>
      <c r="H636" t="s">
        <v>93</v>
      </c>
    </row>
    <row r="637" spans="1:8" x14ac:dyDescent="0.15">
      <c r="A637" t="s">
        <v>17</v>
      </c>
      <c r="B637">
        <v>7</v>
      </c>
      <c r="C637">
        <v>41</v>
      </c>
      <c r="D637">
        <v>2</v>
      </c>
      <c r="E637" t="s">
        <v>323</v>
      </c>
      <c r="F637" t="s">
        <v>234</v>
      </c>
      <c r="G637" t="s">
        <v>321</v>
      </c>
      <c r="H637" t="s">
        <v>95</v>
      </c>
    </row>
    <row r="638" spans="1:8" x14ac:dyDescent="0.15">
      <c r="A638" t="s">
        <v>17</v>
      </c>
      <c r="B638">
        <v>7</v>
      </c>
      <c r="C638">
        <v>42</v>
      </c>
      <c r="D638">
        <v>2</v>
      </c>
      <c r="E638" t="s">
        <v>323</v>
      </c>
      <c r="F638" t="s">
        <v>225</v>
      </c>
      <c r="G638" t="s">
        <v>321</v>
      </c>
      <c r="H638" t="s">
        <v>95</v>
      </c>
    </row>
    <row r="639" spans="1:8" x14ac:dyDescent="0.15">
      <c r="A639" t="s">
        <v>17</v>
      </c>
      <c r="B639">
        <v>7</v>
      </c>
      <c r="C639">
        <v>43</v>
      </c>
      <c r="D639">
        <v>0</v>
      </c>
      <c r="E639" t="s">
        <v>326</v>
      </c>
      <c r="F639" t="s">
        <v>225</v>
      </c>
      <c r="G639" t="s">
        <v>327</v>
      </c>
      <c r="H639" t="s">
        <v>93</v>
      </c>
    </row>
    <row r="640" spans="1:8" x14ac:dyDescent="0.15">
      <c r="A640" t="s">
        <v>17</v>
      </c>
      <c r="B640">
        <v>7</v>
      </c>
      <c r="C640">
        <v>44</v>
      </c>
      <c r="D640">
        <v>13</v>
      </c>
      <c r="E640" t="s">
        <v>220</v>
      </c>
      <c r="F640" t="s">
        <v>236</v>
      </c>
      <c r="G640" t="s">
        <v>321</v>
      </c>
      <c r="H640" t="s">
        <v>354</v>
      </c>
    </row>
    <row r="641" spans="1:12" x14ac:dyDescent="0.15">
      <c r="A641" t="s">
        <v>17</v>
      </c>
      <c r="B641">
        <v>7</v>
      </c>
      <c r="C641">
        <v>45</v>
      </c>
      <c r="D641">
        <v>13</v>
      </c>
      <c r="E641" t="s">
        <v>220</v>
      </c>
      <c r="F641" t="s">
        <v>235</v>
      </c>
      <c r="G641" t="s">
        <v>321</v>
      </c>
      <c r="H641" t="s">
        <v>354</v>
      </c>
    </row>
    <row r="642" spans="1:12" x14ac:dyDescent="0.15">
      <c r="A642" t="s">
        <v>17</v>
      </c>
      <c r="B642">
        <v>7</v>
      </c>
      <c r="C642">
        <v>46</v>
      </c>
      <c r="D642">
        <v>0</v>
      </c>
      <c r="E642" t="s">
        <v>326</v>
      </c>
      <c r="F642" t="s">
        <v>235</v>
      </c>
      <c r="G642" t="s">
        <v>327</v>
      </c>
      <c r="H642" t="s">
        <v>93</v>
      </c>
    </row>
    <row r="643" spans="1:12" x14ac:dyDescent="0.15">
      <c r="A643" t="s">
        <v>17</v>
      </c>
      <c r="B643">
        <v>7</v>
      </c>
      <c r="C643">
        <v>47</v>
      </c>
      <c r="D643">
        <v>2</v>
      </c>
      <c r="E643" t="s">
        <v>323</v>
      </c>
      <c r="F643" t="s">
        <v>237</v>
      </c>
      <c r="G643" t="s">
        <v>321</v>
      </c>
      <c r="H643" t="s">
        <v>95</v>
      </c>
    </row>
    <row r="644" spans="1:12" x14ac:dyDescent="0.15">
      <c r="A644" t="s">
        <v>17</v>
      </c>
      <c r="B644">
        <v>7</v>
      </c>
      <c r="C644">
        <v>48</v>
      </c>
      <c r="D644">
        <v>2</v>
      </c>
      <c r="E644" t="s">
        <v>323</v>
      </c>
      <c r="F644" t="s">
        <v>227</v>
      </c>
      <c r="G644" t="s">
        <v>321</v>
      </c>
      <c r="H644" t="s">
        <v>95</v>
      </c>
    </row>
    <row r="645" spans="1:12" x14ac:dyDescent="0.15">
      <c r="A645" t="s">
        <v>17</v>
      </c>
      <c r="B645">
        <v>7</v>
      </c>
      <c r="C645">
        <v>49</v>
      </c>
      <c r="D645">
        <v>0</v>
      </c>
      <c r="E645" t="s">
        <v>326</v>
      </c>
      <c r="F645" t="s">
        <v>227</v>
      </c>
      <c r="G645" t="s">
        <v>327</v>
      </c>
      <c r="H645" t="s">
        <v>93</v>
      </c>
    </row>
    <row r="646" spans="1:12" x14ac:dyDescent="0.15">
      <c r="A646" t="s">
        <v>17</v>
      </c>
      <c r="B646">
        <v>7</v>
      </c>
      <c r="C646">
        <v>50</v>
      </c>
      <c r="D646">
        <v>1</v>
      </c>
      <c r="E646" t="s">
        <v>319</v>
      </c>
      <c r="F646" t="s">
        <v>328</v>
      </c>
      <c r="G646" t="s">
        <v>321</v>
      </c>
      <c r="H646" t="s">
        <v>94</v>
      </c>
      <c r="L646" s="1"/>
    </row>
    <row r="647" spans="1:12" x14ac:dyDescent="0.15">
      <c r="A647" t="s">
        <v>17</v>
      </c>
      <c r="B647">
        <v>7</v>
      </c>
      <c r="C647">
        <v>51</v>
      </c>
      <c r="D647">
        <v>13</v>
      </c>
      <c r="E647" t="s">
        <v>220</v>
      </c>
      <c r="F647" t="s">
        <v>228</v>
      </c>
      <c r="G647" t="s">
        <v>321</v>
      </c>
      <c r="H647" t="s">
        <v>354</v>
      </c>
    </row>
    <row r="648" spans="1:12" x14ac:dyDescent="0.15">
      <c r="A648" t="s">
        <v>17</v>
      </c>
      <c r="B648">
        <v>7</v>
      </c>
      <c r="C648">
        <v>52</v>
      </c>
      <c r="D648">
        <v>0</v>
      </c>
      <c r="E648" t="s">
        <v>326</v>
      </c>
      <c r="F648" t="s">
        <v>222</v>
      </c>
      <c r="G648" t="s">
        <v>327</v>
      </c>
      <c r="H648" t="s">
        <v>93</v>
      </c>
    </row>
    <row r="649" spans="1:12" x14ac:dyDescent="0.15">
      <c r="A649" t="s">
        <v>17</v>
      </c>
      <c r="B649">
        <v>7</v>
      </c>
      <c r="C649">
        <v>53</v>
      </c>
      <c r="D649">
        <v>2</v>
      </c>
      <c r="E649" t="s">
        <v>323</v>
      </c>
      <c r="F649" t="s">
        <v>229</v>
      </c>
      <c r="G649" t="s">
        <v>321</v>
      </c>
      <c r="H649" t="s">
        <v>95</v>
      </c>
    </row>
    <row r="650" spans="1:12" x14ac:dyDescent="0.15">
      <c r="A650" t="s">
        <v>17</v>
      </c>
      <c r="B650">
        <v>7</v>
      </c>
      <c r="C650">
        <v>54</v>
      </c>
      <c r="D650">
        <v>0</v>
      </c>
      <c r="E650" t="s">
        <v>326</v>
      </c>
      <c r="F650" t="s">
        <v>223</v>
      </c>
      <c r="G650" t="s">
        <v>327</v>
      </c>
      <c r="H650" t="s">
        <v>93</v>
      </c>
    </row>
    <row r="651" spans="1:12" x14ac:dyDescent="0.15">
      <c r="A651" t="s">
        <v>17</v>
      </c>
      <c r="B651">
        <v>7</v>
      </c>
      <c r="C651">
        <v>55</v>
      </c>
      <c r="D651">
        <v>13</v>
      </c>
      <c r="E651" t="s">
        <v>220</v>
      </c>
      <c r="F651" t="s">
        <v>231</v>
      </c>
      <c r="G651" t="s">
        <v>321</v>
      </c>
      <c r="H651" t="s">
        <v>354</v>
      </c>
    </row>
    <row r="652" spans="1:12" x14ac:dyDescent="0.15">
      <c r="A652" t="s">
        <v>17</v>
      </c>
      <c r="B652">
        <v>7</v>
      </c>
      <c r="C652">
        <v>56</v>
      </c>
      <c r="D652">
        <v>0</v>
      </c>
      <c r="E652" t="s">
        <v>326</v>
      </c>
      <c r="F652" t="s">
        <v>230</v>
      </c>
      <c r="G652" t="s">
        <v>327</v>
      </c>
      <c r="H652" t="s">
        <v>93</v>
      </c>
    </row>
    <row r="653" spans="1:12" x14ac:dyDescent="0.15">
      <c r="A653" t="s">
        <v>17</v>
      </c>
      <c r="B653">
        <v>7</v>
      </c>
      <c r="C653">
        <v>57</v>
      </c>
      <c r="D653">
        <v>2</v>
      </c>
      <c r="E653" t="s">
        <v>323</v>
      </c>
      <c r="F653" t="s">
        <v>313</v>
      </c>
      <c r="G653" t="s">
        <v>321</v>
      </c>
      <c r="H653" t="s">
        <v>95</v>
      </c>
    </row>
    <row r="654" spans="1:12" x14ac:dyDescent="0.15">
      <c r="A654" t="s">
        <v>17</v>
      </c>
      <c r="B654">
        <v>7</v>
      </c>
      <c r="C654">
        <v>58</v>
      </c>
      <c r="D654">
        <v>0</v>
      </c>
      <c r="E654" t="s">
        <v>326</v>
      </c>
      <c r="F654" t="s">
        <v>314</v>
      </c>
      <c r="G654" t="s">
        <v>327</v>
      </c>
      <c r="H654" t="s">
        <v>93</v>
      </c>
    </row>
    <row r="655" spans="1:12" x14ac:dyDescent="0.15">
      <c r="A655" t="s">
        <v>17</v>
      </c>
      <c r="B655">
        <v>7</v>
      </c>
      <c r="C655">
        <v>59</v>
      </c>
      <c r="D655">
        <v>2</v>
      </c>
      <c r="E655" t="s">
        <v>323</v>
      </c>
      <c r="F655" t="s">
        <v>232</v>
      </c>
      <c r="G655" t="s">
        <v>321</v>
      </c>
      <c r="H655" t="s">
        <v>95</v>
      </c>
    </row>
    <row r="656" spans="1:12" x14ac:dyDescent="0.15">
      <c r="A656" t="s">
        <v>17</v>
      </c>
      <c r="B656">
        <v>7</v>
      </c>
      <c r="C656">
        <v>60</v>
      </c>
      <c r="D656">
        <v>0</v>
      </c>
      <c r="E656" t="s">
        <v>326</v>
      </c>
      <c r="F656" t="s">
        <v>224</v>
      </c>
      <c r="G656" t="s">
        <v>327</v>
      </c>
      <c r="H656" t="s">
        <v>93</v>
      </c>
    </row>
    <row r="657" spans="1:8" x14ac:dyDescent="0.15">
      <c r="A657" t="s">
        <v>17</v>
      </c>
      <c r="B657">
        <v>7</v>
      </c>
      <c r="C657">
        <v>61</v>
      </c>
      <c r="D657">
        <v>13</v>
      </c>
      <c r="E657" t="s">
        <v>220</v>
      </c>
      <c r="F657" t="s">
        <v>233</v>
      </c>
      <c r="G657" t="s">
        <v>321</v>
      </c>
      <c r="H657" t="s">
        <v>354</v>
      </c>
    </row>
    <row r="658" spans="1:8" x14ac:dyDescent="0.15">
      <c r="A658" t="s">
        <v>17</v>
      </c>
      <c r="B658">
        <v>7</v>
      </c>
      <c r="C658">
        <v>62</v>
      </c>
      <c r="D658">
        <v>0</v>
      </c>
      <c r="E658" t="s">
        <v>326</v>
      </c>
      <c r="F658" t="s">
        <v>226</v>
      </c>
      <c r="G658" t="s">
        <v>327</v>
      </c>
      <c r="H658" t="s">
        <v>93</v>
      </c>
    </row>
    <row r="659" spans="1:8" x14ac:dyDescent="0.15">
      <c r="A659" t="s">
        <v>17</v>
      </c>
      <c r="B659">
        <v>7</v>
      </c>
      <c r="C659">
        <v>63</v>
      </c>
      <c r="D659">
        <v>2</v>
      </c>
      <c r="E659" t="s">
        <v>323</v>
      </c>
      <c r="F659" t="s">
        <v>234</v>
      </c>
      <c r="G659" t="s">
        <v>321</v>
      </c>
      <c r="H659" t="s">
        <v>95</v>
      </c>
    </row>
    <row r="660" spans="1:8" x14ac:dyDescent="0.15">
      <c r="A660" t="s">
        <v>17</v>
      </c>
      <c r="B660">
        <v>7</v>
      </c>
      <c r="C660">
        <v>64</v>
      </c>
      <c r="D660">
        <v>0</v>
      </c>
      <c r="E660" t="s">
        <v>326</v>
      </c>
      <c r="F660" t="s">
        <v>225</v>
      </c>
      <c r="G660" t="s">
        <v>327</v>
      </c>
      <c r="H660" t="s">
        <v>93</v>
      </c>
    </row>
    <row r="661" spans="1:8" x14ac:dyDescent="0.15">
      <c r="A661" t="s">
        <v>17</v>
      </c>
      <c r="B661">
        <v>7</v>
      </c>
      <c r="C661">
        <v>65</v>
      </c>
      <c r="D661">
        <v>13</v>
      </c>
      <c r="E661" t="s">
        <v>220</v>
      </c>
      <c r="F661" t="s">
        <v>255</v>
      </c>
      <c r="G661" t="s">
        <v>321</v>
      </c>
      <c r="H661" t="s">
        <v>354</v>
      </c>
    </row>
    <row r="662" spans="1:8" x14ac:dyDescent="0.15">
      <c r="A662" t="s">
        <v>17</v>
      </c>
      <c r="B662">
        <v>7</v>
      </c>
      <c r="C662">
        <v>66</v>
      </c>
      <c r="D662">
        <v>0</v>
      </c>
      <c r="E662" t="s">
        <v>326</v>
      </c>
      <c r="F662" t="s">
        <v>254</v>
      </c>
      <c r="G662" t="s">
        <v>327</v>
      </c>
      <c r="H662" t="s">
        <v>93</v>
      </c>
    </row>
    <row r="663" spans="1:8" x14ac:dyDescent="0.15">
      <c r="A663" t="s">
        <v>17</v>
      </c>
      <c r="B663">
        <v>7</v>
      </c>
      <c r="C663">
        <v>67</v>
      </c>
      <c r="D663">
        <v>2</v>
      </c>
      <c r="E663" t="s">
        <v>323</v>
      </c>
      <c r="F663" t="s">
        <v>237</v>
      </c>
      <c r="G663" t="s">
        <v>321</v>
      </c>
      <c r="H663" t="s">
        <v>95</v>
      </c>
    </row>
    <row r="664" spans="1:8" x14ac:dyDescent="0.15">
      <c r="A664" t="s">
        <v>17</v>
      </c>
      <c r="B664">
        <v>7</v>
      </c>
      <c r="C664">
        <v>68</v>
      </c>
      <c r="D664">
        <v>0</v>
      </c>
      <c r="E664" t="s">
        <v>326</v>
      </c>
      <c r="F664" t="s">
        <v>227</v>
      </c>
      <c r="G664" t="s">
        <v>327</v>
      </c>
      <c r="H664" t="s">
        <v>93</v>
      </c>
    </row>
    <row r="665" spans="1:8" x14ac:dyDescent="0.15">
      <c r="A665" t="s">
        <v>17</v>
      </c>
      <c r="B665">
        <v>7</v>
      </c>
      <c r="C665">
        <v>69</v>
      </c>
      <c r="D665">
        <v>1</v>
      </c>
      <c r="E665" t="s">
        <v>319</v>
      </c>
      <c r="F665" t="s">
        <v>356</v>
      </c>
      <c r="G665" t="s">
        <v>320</v>
      </c>
      <c r="H665" t="s">
        <v>94</v>
      </c>
    </row>
    <row r="666" spans="1:8" x14ac:dyDescent="0.15">
      <c r="A666" t="s">
        <v>17</v>
      </c>
      <c r="B666">
        <v>8</v>
      </c>
      <c r="C666">
        <v>1</v>
      </c>
      <c r="D666">
        <v>1</v>
      </c>
      <c r="E666" t="s">
        <v>319</v>
      </c>
      <c r="F666" t="s">
        <v>238</v>
      </c>
      <c r="G666" t="s">
        <v>321</v>
      </c>
      <c r="H666" t="s">
        <v>94</v>
      </c>
    </row>
    <row r="667" spans="1:8" x14ac:dyDescent="0.15">
      <c r="A667" t="s">
        <v>17</v>
      </c>
      <c r="B667">
        <v>8</v>
      </c>
      <c r="C667">
        <v>2</v>
      </c>
      <c r="D667">
        <v>1</v>
      </c>
      <c r="E667" t="s">
        <v>319</v>
      </c>
      <c r="F667" t="s">
        <v>357</v>
      </c>
      <c r="G667" t="s">
        <v>321</v>
      </c>
      <c r="H667" t="s">
        <v>94</v>
      </c>
    </row>
    <row r="668" spans="1:8" ht="40.5" x14ac:dyDescent="0.15">
      <c r="A668" t="s">
        <v>17</v>
      </c>
      <c r="B668">
        <v>8</v>
      </c>
      <c r="C668">
        <v>3</v>
      </c>
      <c r="D668">
        <v>1</v>
      </c>
      <c r="E668" t="s">
        <v>319</v>
      </c>
      <c r="F668" s="1" t="s">
        <v>353</v>
      </c>
      <c r="G668" t="s">
        <v>321</v>
      </c>
      <c r="H668" t="s">
        <v>94</v>
      </c>
    </row>
    <row r="669" spans="1:8" x14ac:dyDescent="0.15">
      <c r="A669" t="s">
        <v>17</v>
      </c>
      <c r="B669">
        <v>8</v>
      </c>
      <c r="C669">
        <v>4</v>
      </c>
      <c r="D669">
        <v>2</v>
      </c>
      <c r="E669" t="s">
        <v>323</v>
      </c>
      <c r="F669" t="s">
        <v>253</v>
      </c>
      <c r="G669" t="s">
        <v>321</v>
      </c>
      <c r="H669" t="s">
        <v>95</v>
      </c>
    </row>
    <row r="670" spans="1:8" x14ac:dyDescent="0.15">
      <c r="A670" t="s">
        <v>17</v>
      </c>
      <c r="B670">
        <v>8</v>
      </c>
      <c r="C670">
        <v>5</v>
      </c>
      <c r="D670">
        <v>2</v>
      </c>
      <c r="E670" t="s">
        <v>323</v>
      </c>
      <c r="F670" t="s">
        <v>239</v>
      </c>
      <c r="G670" t="s">
        <v>321</v>
      </c>
      <c r="H670" t="s">
        <v>95</v>
      </c>
    </row>
    <row r="671" spans="1:8" x14ac:dyDescent="0.15">
      <c r="A671" t="s">
        <v>17</v>
      </c>
      <c r="B671">
        <v>8</v>
      </c>
      <c r="C671">
        <v>6</v>
      </c>
      <c r="D671">
        <v>2</v>
      </c>
      <c r="E671" t="s">
        <v>323</v>
      </c>
      <c r="F671" t="s">
        <v>256</v>
      </c>
      <c r="G671" t="s">
        <v>321</v>
      </c>
      <c r="H671" t="s">
        <v>95</v>
      </c>
    </row>
    <row r="672" spans="1:8" x14ac:dyDescent="0.15">
      <c r="A672" t="s">
        <v>17</v>
      </c>
      <c r="B672">
        <v>8</v>
      </c>
      <c r="C672">
        <v>7</v>
      </c>
      <c r="D672">
        <v>2</v>
      </c>
      <c r="E672" t="s">
        <v>323</v>
      </c>
      <c r="F672" t="s">
        <v>240</v>
      </c>
      <c r="G672" t="s">
        <v>321</v>
      </c>
      <c r="H672" t="s">
        <v>95</v>
      </c>
    </row>
    <row r="673" spans="1:8" x14ac:dyDescent="0.15">
      <c r="A673" t="s">
        <v>17</v>
      </c>
      <c r="B673">
        <v>8</v>
      </c>
      <c r="C673">
        <v>8</v>
      </c>
      <c r="D673">
        <v>14</v>
      </c>
      <c r="E673" t="s">
        <v>241</v>
      </c>
      <c r="F673" t="s">
        <v>257</v>
      </c>
      <c r="G673" t="s">
        <v>321</v>
      </c>
      <c r="H673" t="s">
        <v>242</v>
      </c>
    </row>
    <row r="674" spans="1:8" x14ac:dyDescent="0.15">
      <c r="A674" t="s">
        <v>17</v>
      </c>
      <c r="B674">
        <v>8</v>
      </c>
      <c r="C674">
        <v>9</v>
      </c>
      <c r="D674">
        <v>14</v>
      </c>
      <c r="E674" t="s">
        <v>241</v>
      </c>
      <c r="F674" t="s">
        <v>243</v>
      </c>
      <c r="G674" t="s">
        <v>321</v>
      </c>
      <c r="H674" t="s">
        <v>242</v>
      </c>
    </row>
    <row r="675" spans="1:8" x14ac:dyDescent="0.15">
      <c r="A675" t="s">
        <v>17</v>
      </c>
      <c r="B675">
        <v>8</v>
      </c>
      <c r="C675">
        <v>10</v>
      </c>
      <c r="D675">
        <v>2</v>
      </c>
      <c r="E675" t="s">
        <v>323</v>
      </c>
      <c r="F675" t="s">
        <v>258</v>
      </c>
      <c r="G675" t="s">
        <v>321</v>
      </c>
      <c r="H675" t="s">
        <v>95</v>
      </c>
    </row>
    <row r="676" spans="1:8" x14ac:dyDescent="0.15">
      <c r="A676" t="s">
        <v>17</v>
      </c>
      <c r="B676">
        <v>8</v>
      </c>
      <c r="C676">
        <v>11</v>
      </c>
      <c r="D676">
        <v>2</v>
      </c>
      <c r="E676" t="s">
        <v>323</v>
      </c>
      <c r="F676" t="s">
        <v>259</v>
      </c>
      <c r="G676" t="s">
        <v>321</v>
      </c>
      <c r="H676" t="s">
        <v>95</v>
      </c>
    </row>
    <row r="677" spans="1:8" x14ac:dyDescent="0.15">
      <c r="A677" t="s">
        <v>17</v>
      </c>
      <c r="B677">
        <v>8</v>
      </c>
      <c r="C677">
        <v>12</v>
      </c>
      <c r="D677">
        <v>14</v>
      </c>
      <c r="E677" t="s">
        <v>241</v>
      </c>
      <c r="F677" t="s">
        <v>261</v>
      </c>
      <c r="G677" t="s">
        <v>321</v>
      </c>
      <c r="H677" t="s">
        <v>242</v>
      </c>
    </row>
    <row r="678" spans="1:8" x14ac:dyDescent="0.15">
      <c r="A678" t="s">
        <v>17</v>
      </c>
      <c r="B678">
        <v>8</v>
      </c>
      <c r="C678">
        <v>13</v>
      </c>
      <c r="D678">
        <v>14</v>
      </c>
      <c r="E678" t="s">
        <v>241</v>
      </c>
      <c r="F678" t="s">
        <v>260</v>
      </c>
      <c r="G678" t="s">
        <v>321</v>
      </c>
      <c r="H678" t="s">
        <v>242</v>
      </c>
    </row>
    <row r="679" spans="1:8" x14ac:dyDescent="0.15">
      <c r="A679" t="s">
        <v>17</v>
      </c>
      <c r="B679">
        <v>8</v>
      </c>
      <c r="C679">
        <v>14</v>
      </c>
      <c r="D679">
        <v>14</v>
      </c>
      <c r="E679" t="s">
        <v>241</v>
      </c>
      <c r="F679" s="1" t="s">
        <v>262</v>
      </c>
      <c r="G679" t="s">
        <v>321</v>
      </c>
      <c r="H679" t="s">
        <v>242</v>
      </c>
    </row>
    <row r="680" spans="1:8" x14ac:dyDescent="0.15">
      <c r="A680" t="s">
        <v>17</v>
      </c>
      <c r="B680">
        <v>8</v>
      </c>
      <c r="C680">
        <v>15</v>
      </c>
      <c r="D680">
        <v>14</v>
      </c>
      <c r="E680" t="s">
        <v>241</v>
      </c>
      <c r="F680" s="1" t="s">
        <v>244</v>
      </c>
      <c r="G680" t="s">
        <v>321</v>
      </c>
      <c r="H680" t="s">
        <v>242</v>
      </c>
    </row>
    <row r="681" spans="1:8" x14ac:dyDescent="0.15">
      <c r="A681" t="s">
        <v>17</v>
      </c>
      <c r="B681">
        <v>8</v>
      </c>
      <c r="C681">
        <v>16</v>
      </c>
      <c r="D681">
        <v>14</v>
      </c>
      <c r="E681" t="s">
        <v>241</v>
      </c>
      <c r="F681" s="1" t="s">
        <v>264</v>
      </c>
      <c r="G681" t="s">
        <v>321</v>
      </c>
      <c r="H681" t="s">
        <v>242</v>
      </c>
    </row>
    <row r="682" spans="1:8" x14ac:dyDescent="0.15">
      <c r="A682" t="s">
        <v>17</v>
      </c>
      <c r="B682">
        <v>8</v>
      </c>
      <c r="C682">
        <v>17</v>
      </c>
      <c r="D682">
        <v>14</v>
      </c>
      <c r="E682" t="s">
        <v>241</v>
      </c>
      <c r="F682" s="1" t="s">
        <v>245</v>
      </c>
      <c r="G682" t="s">
        <v>321</v>
      </c>
      <c r="H682" t="s">
        <v>242</v>
      </c>
    </row>
    <row r="683" spans="1:8" x14ac:dyDescent="0.15">
      <c r="A683" t="s">
        <v>17</v>
      </c>
      <c r="B683">
        <v>8</v>
      </c>
      <c r="C683">
        <v>18</v>
      </c>
      <c r="D683">
        <v>2</v>
      </c>
      <c r="E683" t="s">
        <v>323</v>
      </c>
      <c r="F683" s="1" t="s">
        <v>263</v>
      </c>
      <c r="G683" t="s">
        <v>321</v>
      </c>
      <c r="H683" t="s">
        <v>95</v>
      </c>
    </row>
    <row r="684" spans="1:8" x14ac:dyDescent="0.15">
      <c r="A684" t="s">
        <v>17</v>
      </c>
      <c r="B684">
        <v>8</v>
      </c>
      <c r="C684">
        <v>19</v>
      </c>
      <c r="D684">
        <v>2</v>
      </c>
      <c r="E684" t="s">
        <v>323</v>
      </c>
      <c r="F684" s="1" t="s">
        <v>246</v>
      </c>
      <c r="G684" t="s">
        <v>321</v>
      </c>
      <c r="H684" t="s">
        <v>95</v>
      </c>
    </row>
    <row r="685" spans="1:8" x14ac:dyDescent="0.15">
      <c r="A685" t="s">
        <v>17</v>
      </c>
      <c r="B685">
        <v>8</v>
      </c>
      <c r="C685">
        <v>20</v>
      </c>
      <c r="D685">
        <v>2</v>
      </c>
      <c r="E685" t="s">
        <v>323</v>
      </c>
      <c r="F685" s="1" t="s">
        <v>265</v>
      </c>
      <c r="G685" t="s">
        <v>321</v>
      </c>
      <c r="H685" t="s">
        <v>95</v>
      </c>
    </row>
    <row r="686" spans="1:8" x14ac:dyDescent="0.15">
      <c r="A686" t="s">
        <v>17</v>
      </c>
      <c r="B686">
        <v>8</v>
      </c>
      <c r="C686">
        <v>21</v>
      </c>
      <c r="D686">
        <v>2</v>
      </c>
      <c r="E686" t="s">
        <v>323</v>
      </c>
      <c r="F686" s="1" t="s">
        <v>247</v>
      </c>
      <c r="G686" t="s">
        <v>321</v>
      </c>
      <c r="H686" t="s">
        <v>95</v>
      </c>
    </row>
    <row r="687" spans="1:8" x14ac:dyDescent="0.15">
      <c r="A687" t="s">
        <v>17</v>
      </c>
      <c r="B687">
        <v>8</v>
      </c>
      <c r="C687">
        <v>22</v>
      </c>
      <c r="D687">
        <v>14</v>
      </c>
      <c r="E687" t="s">
        <v>241</v>
      </c>
      <c r="F687" s="1" t="s">
        <v>266</v>
      </c>
      <c r="G687" t="s">
        <v>321</v>
      </c>
      <c r="H687" t="s">
        <v>242</v>
      </c>
    </row>
    <row r="688" spans="1:8" x14ac:dyDescent="0.15">
      <c r="A688" t="s">
        <v>17</v>
      </c>
      <c r="B688">
        <v>8</v>
      </c>
      <c r="C688">
        <v>23</v>
      </c>
      <c r="D688">
        <v>14</v>
      </c>
      <c r="E688" t="s">
        <v>241</v>
      </c>
      <c r="F688" s="1" t="s">
        <v>248</v>
      </c>
      <c r="G688" t="s">
        <v>321</v>
      </c>
      <c r="H688" t="s">
        <v>242</v>
      </c>
    </row>
    <row r="689" spans="1:12" x14ac:dyDescent="0.15">
      <c r="A689" t="s">
        <v>17</v>
      </c>
      <c r="B689">
        <v>8</v>
      </c>
      <c r="C689">
        <v>24</v>
      </c>
      <c r="D689">
        <v>2</v>
      </c>
      <c r="E689" t="s">
        <v>323</v>
      </c>
      <c r="F689" s="1" t="s">
        <v>267</v>
      </c>
      <c r="G689" t="s">
        <v>321</v>
      </c>
      <c r="H689" t="s">
        <v>95</v>
      </c>
    </row>
    <row r="690" spans="1:12" x14ac:dyDescent="0.15">
      <c r="A690" t="s">
        <v>17</v>
      </c>
      <c r="B690">
        <v>8</v>
      </c>
      <c r="C690">
        <v>25</v>
      </c>
      <c r="D690">
        <v>2</v>
      </c>
      <c r="E690" t="s">
        <v>323</v>
      </c>
      <c r="F690" s="1" t="s">
        <v>249</v>
      </c>
      <c r="G690" t="s">
        <v>321</v>
      </c>
      <c r="H690" t="s">
        <v>95</v>
      </c>
    </row>
    <row r="691" spans="1:12" x14ac:dyDescent="0.15">
      <c r="A691" t="s">
        <v>17</v>
      </c>
      <c r="B691">
        <v>8</v>
      </c>
      <c r="C691">
        <v>26</v>
      </c>
      <c r="D691">
        <v>14</v>
      </c>
      <c r="E691" t="s">
        <v>241</v>
      </c>
      <c r="F691" s="1" t="s">
        <v>268</v>
      </c>
      <c r="G691" t="s">
        <v>321</v>
      </c>
      <c r="H691" t="s">
        <v>242</v>
      </c>
    </row>
    <row r="692" spans="1:12" x14ac:dyDescent="0.15">
      <c r="A692" t="s">
        <v>17</v>
      </c>
      <c r="B692">
        <v>8</v>
      </c>
      <c r="C692">
        <v>27</v>
      </c>
      <c r="D692">
        <v>14</v>
      </c>
      <c r="E692" t="s">
        <v>241</v>
      </c>
      <c r="F692" s="1" t="s">
        <v>252</v>
      </c>
      <c r="G692" t="s">
        <v>321</v>
      </c>
      <c r="H692" t="s">
        <v>242</v>
      </c>
    </row>
    <row r="693" spans="1:12" x14ac:dyDescent="0.15">
      <c r="A693" t="s">
        <v>17</v>
      </c>
      <c r="B693">
        <v>8</v>
      </c>
      <c r="C693">
        <v>28</v>
      </c>
      <c r="D693">
        <v>14</v>
      </c>
      <c r="E693" t="s">
        <v>241</v>
      </c>
      <c r="F693" s="1" t="s">
        <v>315</v>
      </c>
      <c r="G693" t="s">
        <v>321</v>
      </c>
      <c r="H693" t="s">
        <v>242</v>
      </c>
    </row>
    <row r="694" spans="1:12" x14ac:dyDescent="0.15">
      <c r="A694" t="s">
        <v>17</v>
      </c>
      <c r="B694">
        <v>8</v>
      </c>
      <c r="C694">
        <v>29</v>
      </c>
      <c r="D694">
        <v>14</v>
      </c>
      <c r="E694" t="s">
        <v>241</v>
      </c>
      <c r="F694" s="1" t="s">
        <v>269</v>
      </c>
      <c r="G694" t="s">
        <v>321</v>
      </c>
      <c r="H694" t="s">
        <v>242</v>
      </c>
    </row>
    <row r="695" spans="1:12" x14ac:dyDescent="0.15">
      <c r="A695" t="s">
        <v>17</v>
      </c>
      <c r="B695">
        <v>8</v>
      </c>
      <c r="C695">
        <v>30</v>
      </c>
      <c r="D695">
        <v>14</v>
      </c>
      <c r="E695" t="s">
        <v>241</v>
      </c>
      <c r="F695" s="1" t="s">
        <v>251</v>
      </c>
      <c r="G695" t="s">
        <v>321</v>
      </c>
      <c r="H695" t="s">
        <v>242</v>
      </c>
    </row>
    <row r="696" spans="1:12" x14ac:dyDescent="0.15">
      <c r="A696" t="s">
        <v>17</v>
      </c>
      <c r="B696">
        <v>8</v>
      </c>
      <c r="C696">
        <v>31</v>
      </c>
      <c r="D696">
        <v>2</v>
      </c>
      <c r="E696" t="s">
        <v>323</v>
      </c>
      <c r="F696" s="1" t="s">
        <v>270</v>
      </c>
      <c r="G696" t="s">
        <v>321</v>
      </c>
      <c r="H696" t="s">
        <v>95</v>
      </c>
    </row>
    <row r="697" spans="1:12" x14ac:dyDescent="0.15">
      <c r="A697" t="s">
        <v>17</v>
      </c>
      <c r="B697">
        <v>8</v>
      </c>
      <c r="C697">
        <v>32</v>
      </c>
      <c r="D697">
        <v>2</v>
      </c>
      <c r="E697" t="s">
        <v>323</v>
      </c>
      <c r="F697" s="1" t="s">
        <v>250</v>
      </c>
      <c r="G697" t="s">
        <v>321</v>
      </c>
      <c r="H697" t="s">
        <v>95</v>
      </c>
    </row>
    <row r="698" spans="1:12" x14ac:dyDescent="0.15">
      <c r="A698" t="s">
        <v>17</v>
      </c>
      <c r="B698">
        <v>8</v>
      </c>
      <c r="C698">
        <v>33</v>
      </c>
      <c r="D698">
        <v>1</v>
      </c>
      <c r="E698" t="s">
        <v>319</v>
      </c>
      <c r="F698" t="s">
        <v>355</v>
      </c>
      <c r="G698" t="s">
        <v>321</v>
      </c>
      <c r="H698" t="s">
        <v>94</v>
      </c>
      <c r="L698" s="1"/>
    </row>
    <row r="699" spans="1:12" x14ac:dyDescent="0.15">
      <c r="A699" t="s">
        <v>17</v>
      </c>
      <c r="B699">
        <v>8</v>
      </c>
      <c r="C699">
        <v>34</v>
      </c>
      <c r="D699">
        <v>2</v>
      </c>
      <c r="E699" t="s">
        <v>323</v>
      </c>
      <c r="F699" t="s">
        <v>253</v>
      </c>
      <c r="G699" t="s">
        <v>321</v>
      </c>
      <c r="H699" t="s">
        <v>95</v>
      </c>
    </row>
    <row r="700" spans="1:12" x14ac:dyDescent="0.15">
      <c r="A700" t="s">
        <v>17</v>
      </c>
      <c r="B700">
        <v>8</v>
      </c>
      <c r="C700">
        <v>35</v>
      </c>
      <c r="D700">
        <v>2</v>
      </c>
      <c r="E700" t="s">
        <v>323</v>
      </c>
      <c r="F700" t="s">
        <v>239</v>
      </c>
      <c r="G700" t="s">
        <v>321</v>
      </c>
      <c r="H700" t="s">
        <v>95</v>
      </c>
    </row>
    <row r="701" spans="1:12" x14ac:dyDescent="0.15">
      <c r="A701" t="s">
        <v>17</v>
      </c>
      <c r="B701">
        <v>8</v>
      </c>
      <c r="C701">
        <v>36</v>
      </c>
      <c r="D701">
        <v>0</v>
      </c>
      <c r="E701" t="s">
        <v>326</v>
      </c>
      <c r="F701" t="s">
        <v>239</v>
      </c>
      <c r="G701" t="s">
        <v>327</v>
      </c>
      <c r="H701" t="s">
        <v>93</v>
      </c>
    </row>
    <row r="702" spans="1:12" x14ac:dyDescent="0.15">
      <c r="A702" t="s">
        <v>17</v>
      </c>
      <c r="B702">
        <v>8</v>
      </c>
      <c r="C702">
        <v>37</v>
      </c>
      <c r="D702">
        <v>2</v>
      </c>
      <c r="E702" t="s">
        <v>323</v>
      </c>
      <c r="F702" t="s">
        <v>256</v>
      </c>
      <c r="G702" t="s">
        <v>321</v>
      </c>
      <c r="H702" t="s">
        <v>95</v>
      </c>
    </row>
    <row r="703" spans="1:12" x14ac:dyDescent="0.15">
      <c r="A703" t="s">
        <v>17</v>
      </c>
      <c r="B703">
        <v>8</v>
      </c>
      <c r="C703">
        <v>38</v>
      </c>
      <c r="D703">
        <v>2</v>
      </c>
      <c r="E703" t="s">
        <v>323</v>
      </c>
      <c r="F703" t="s">
        <v>240</v>
      </c>
      <c r="G703" t="s">
        <v>321</v>
      </c>
      <c r="H703" t="s">
        <v>95</v>
      </c>
    </row>
    <row r="704" spans="1:12" x14ac:dyDescent="0.15">
      <c r="A704" t="s">
        <v>17</v>
      </c>
      <c r="B704">
        <v>8</v>
      </c>
      <c r="C704">
        <v>39</v>
      </c>
      <c r="D704">
        <v>0</v>
      </c>
      <c r="E704" t="s">
        <v>326</v>
      </c>
      <c r="F704" t="s">
        <v>240</v>
      </c>
      <c r="G704" t="s">
        <v>327</v>
      </c>
      <c r="H704" t="s">
        <v>93</v>
      </c>
    </row>
    <row r="705" spans="1:8" x14ac:dyDescent="0.15">
      <c r="A705" t="s">
        <v>17</v>
      </c>
      <c r="B705">
        <v>8</v>
      </c>
      <c r="C705">
        <v>40</v>
      </c>
      <c r="D705">
        <v>14</v>
      </c>
      <c r="E705" t="s">
        <v>241</v>
      </c>
      <c r="F705" t="s">
        <v>257</v>
      </c>
      <c r="G705" t="s">
        <v>321</v>
      </c>
      <c r="H705" t="s">
        <v>242</v>
      </c>
    </row>
    <row r="706" spans="1:8" x14ac:dyDescent="0.15">
      <c r="A706" t="s">
        <v>17</v>
      </c>
      <c r="B706">
        <v>8</v>
      </c>
      <c r="C706">
        <v>41</v>
      </c>
      <c r="D706">
        <v>14</v>
      </c>
      <c r="E706" t="s">
        <v>241</v>
      </c>
      <c r="F706" t="s">
        <v>243</v>
      </c>
      <c r="G706" t="s">
        <v>321</v>
      </c>
      <c r="H706" t="s">
        <v>242</v>
      </c>
    </row>
    <row r="707" spans="1:8" x14ac:dyDescent="0.15">
      <c r="A707" t="s">
        <v>17</v>
      </c>
      <c r="B707">
        <v>8</v>
      </c>
      <c r="C707">
        <v>42</v>
      </c>
      <c r="D707">
        <v>0</v>
      </c>
      <c r="E707" t="s">
        <v>326</v>
      </c>
      <c r="F707" t="s">
        <v>243</v>
      </c>
      <c r="G707" t="s">
        <v>327</v>
      </c>
      <c r="H707" t="s">
        <v>93</v>
      </c>
    </row>
    <row r="708" spans="1:8" x14ac:dyDescent="0.15">
      <c r="A708" t="s">
        <v>17</v>
      </c>
      <c r="B708">
        <v>8</v>
      </c>
      <c r="C708">
        <v>43</v>
      </c>
      <c r="D708">
        <v>2</v>
      </c>
      <c r="E708" t="s">
        <v>323</v>
      </c>
      <c r="F708" t="s">
        <v>258</v>
      </c>
      <c r="G708" t="s">
        <v>321</v>
      </c>
      <c r="H708" t="s">
        <v>95</v>
      </c>
    </row>
    <row r="709" spans="1:8" x14ac:dyDescent="0.15">
      <c r="A709" t="s">
        <v>17</v>
      </c>
      <c r="B709">
        <v>8</v>
      </c>
      <c r="C709">
        <v>44</v>
      </c>
      <c r="D709">
        <v>2</v>
      </c>
      <c r="E709" t="s">
        <v>323</v>
      </c>
      <c r="F709" t="s">
        <v>259</v>
      </c>
      <c r="G709" t="s">
        <v>321</v>
      </c>
      <c r="H709" t="s">
        <v>95</v>
      </c>
    </row>
    <row r="710" spans="1:8" x14ac:dyDescent="0.15">
      <c r="A710" t="s">
        <v>17</v>
      </c>
      <c r="B710">
        <v>8</v>
      </c>
      <c r="C710">
        <v>45</v>
      </c>
      <c r="D710">
        <v>0</v>
      </c>
      <c r="E710" t="s">
        <v>326</v>
      </c>
      <c r="F710" t="s">
        <v>259</v>
      </c>
      <c r="G710" t="s">
        <v>327</v>
      </c>
      <c r="H710" t="s">
        <v>93</v>
      </c>
    </row>
    <row r="711" spans="1:8" x14ac:dyDescent="0.15">
      <c r="A711" t="s">
        <v>17</v>
      </c>
      <c r="B711">
        <v>8</v>
      </c>
      <c r="C711">
        <v>46</v>
      </c>
      <c r="D711">
        <v>14</v>
      </c>
      <c r="E711" t="s">
        <v>241</v>
      </c>
      <c r="F711" t="s">
        <v>261</v>
      </c>
      <c r="G711" t="s">
        <v>321</v>
      </c>
      <c r="H711" t="s">
        <v>242</v>
      </c>
    </row>
    <row r="712" spans="1:8" x14ac:dyDescent="0.15">
      <c r="A712" t="s">
        <v>17</v>
      </c>
      <c r="B712">
        <v>8</v>
      </c>
      <c r="C712">
        <v>47</v>
      </c>
      <c r="D712">
        <v>14</v>
      </c>
      <c r="E712" t="s">
        <v>241</v>
      </c>
      <c r="F712" t="s">
        <v>260</v>
      </c>
      <c r="G712" t="s">
        <v>321</v>
      </c>
      <c r="H712" t="s">
        <v>242</v>
      </c>
    </row>
    <row r="713" spans="1:8" x14ac:dyDescent="0.15">
      <c r="A713" t="s">
        <v>17</v>
      </c>
      <c r="B713">
        <v>8</v>
      </c>
      <c r="C713">
        <v>48</v>
      </c>
      <c r="D713">
        <v>0</v>
      </c>
      <c r="E713" t="s">
        <v>326</v>
      </c>
      <c r="F713" t="s">
        <v>260</v>
      </c>
      <c r="G713" t="s">
        <v>327</v>
      </c>
      <c r="H713" t="s">
        <v>93</v>
      </c>
    </row>
    <row r="714" spans="1:8" x14ac:dyDescent="0.15">
      <c r="A714" t="s">
        <v>17</v>
      </c>
      <c r="B714">
        <v>8</v>
      </c>
      <c r="C714">
        <v>49</v>
      </c>
      <c r="D714">
        <v>14</v>
      </c>
      <c r="E714" t="s">
        <v>241</v>
      </c>
      <c r="F714" s="1" t="s">
        <v>262</v>
      </c>
      <c r="G714" t="s">
        <v>321</v>
      </c>
      <c r="H714" t="s">
        <v>242</v>
      </c>
    </row>
    <row r="715" spans="1:8" x14ac:dyDescent="0.15">
      <c r="A715" t="s">
        <v>17</v>
      </c>
      <c r="B715">
        <v>8</v>
      </c>
      <c r="C715">
        <v>50</v>
      </c>
      <c r="D715">
        <v>14</v>
      </c>
      <c r="E715" t="s">
        <v>241</v>
      </c>
      <c r="F715" s="1" t="s">
        <v>244</v>
      </c>
      <c r="G715" t="s">
        <v>321</v>
      </c>
      <c r="H715" t="s">
        <v>242</v>
      </c>
    </row>
    <row r="716" spans="1:8" x14ac:dyDescent="0.15">
      <c r="A716" t="s">
        <v>17</v>
      </c>
      <c r="B716">
        <v>8</v>
      </c>
      <c r="C716">
        <v>51</v>
      </c>
      <c r="D716">
        <v>0</v>
      </c>
      <c r="E716" t="s">
        <v>326</v>
      </c>
      <c r="F716" s="1" t="s">
        <v>244</v>
      </c>
      <c r="G716" t="s">
        <v>327</v>
      </c>
      <c r="H716" t="s">
        <v>93</v>
      </c>
    </row>
    <row r="717" spans="1:8" x14ac:dyDescent="0.15">
      <c r="A717" t="s">
        <v>17</v>
      </c>
      <c r="B717">
        <v>8</v>
      </c>
      <c r="C717">
        <v>52</v>
      </c>
      <c r="D717">
        <v>14</v>
      </c>
      <c r="E717" t="s">
        <v>241</v>
      </c>
      <c r="F717" s="1" t="s">
        <v>264</v>
      </c>
      <c r="G717" t="s">
        <v>321</v>
      </c>
      <c r="H717" t="s">
        <v>242</v>
      </c>
    </row>
    <row r="718" spans="1:8" x14ac:dyDescent="0.15">
      <c r="A718" t="s">
        <v>17</v>
      </c>
      <c r="B718">
        <v>8</v>
      </c>
      <c r="C718">
        <v>53</v>
      </c>
      <c r="D718">
        <v>14</v>
      </c>
      <c r="E718" t="s">
        <v>241</v>
      </c>
      <c r="F718" s="1" t="s">
        <v>245</v>
      </c>
      <c r="G718" t="s">
        <v>321</v>
      </c>
      <c r="H718" t="s">
        <v>242</v>
      </c>
    </row>
    <row r="719" spans="1:8" x14ac:dyDescent="0.15">
      <c r="A719" t="s">
        <v>17</v>
      </c>
      <c r="B719">
        <v>8</v>
      </c>
      <c r="C719">
        <v>54</v>
      </c>
      <c r="D719">
        <v>0</v>
      </c>
      <c r="E719" t="s">
        <v>326</v>
      </c>
      <c r="F719" s="1" t="s">
        <v>245</v>
      </c>
      <c r="G719" t="s">
        <v>327</v>
      </c>
      <c r="H719" t="s">
        <v>93</v>
      </c>
    </row>
    <row r="720" spans="1:8" x14ac:dyDescent="0.15">
      <c r="A720" t="s">
        <v>17</v>
      </c>
      <c r="B720">
        <v>8</v>
      </c>
      <c r="C720">
        <v>55</v>
      </c>
      <c r="D720">
        <v>2</v>
      </c>
      <c r="E720" t="s">
        <v>323</v>
      </c>
      <c r="F720" s="1" t="s">
        <v>263</v>
      </c>
      <c r="G720" t="s">
        <v>321</v>
      </c>
      <c r="H720" t="s">
        <v>95</v>
      </c>
    </row>
    <row r="721" spans="1:8" x14ac:dyDescent="0.15">
      <c r="A721" t="s">
        <v>17</v>
      </c>
      <c r="B721">
        <v>8</v>
      </c>
      <c r="C721">
        <v>56</v>
      </c>
      <c r="D721">
        <v>2</v>
      </c>
      <c r="E721" t="s">
        <v>323</v>
      </c>
      <c r="F721" s="1" t="s">
        <v>246</v>
      </c>
      <c r="G721" t="s">
        <v>321</v>
      </c>
      <c r="H721" t="s">
        <v>95</v>
      </c>
    </row>
    <row r="722" spans="1:8" x14ac:dyDescent="0.15">
      <c r="A722" t="s">
        <v>17</v>
      </c>
      <c r="B722">
        <v>8</v>
      </c>
      <c r="C722">
        <v>57</v>
      </c>
      <c r="D722">
        <v>0</v>
      </c>
      <c r="E722" t="s">
        <v>326</v>
      </c>
      <c r="F722" s="1" t="s">
        <v>246</v>
      </c>
      <c r="G722" t="s">
        <v>327</v>
      </c>
      <c r="H722" t="s">
        <v>93</v>
      </c>
    </row>
    <row r="723" spans="1:8" x14ac:dyDescent="0.15">
      <c r="A723" t="s">
        <v>17</v>
      </c>
      <c r="B723">
        <v>8</v>
      </c>
      <c r="C723">
        <v>58</v>
      </c>
      <c r="D723">
        <v>2</v>
      </c>
      <c r="E723" t="s">
        <v>323</v>
      </c>
      <c r="F723" s="1" t="s">
        <v>265</v>
      </c>
      <c r="G723" t="s">
        <v>321</v>
      </c>
      <c r="H723" t="s">
        <v>95</v>
      </c>
    </row>
    <row r="724" spans="1:8" x14ac:dyDescent="0.15">
      <c r="A724" t="s">
        <v>17</v>
      </c>
      <c r="B724">
        <v>8</v>
      </c>
      <c r="C724">
        <v>59</v>
      </c>
      <c r="D724">
        <v>2</v>
      </c>
      <c r="E724" t="s">
        <v>323</v>
      </c>
      <c r="F724" s="1" t="s">
        <v>247</v>
      </c>
      <c r="G724" t="s">
        <v>321</v>
      </c>
      <c r="H724" t="s">
        <v>95</v>
      </c>
    </row>
    <row r="725" spans="1:8" x14ac:dyDescent="0.15">
      <c r="A725" t="s">
        <v>17</v>
      </c>
      <c r="B725">
        <v>8</v>
      </c>
      <c r="C725">
        <v>60</v>
      </c>
      <c r="D725">
        <v>0</v>
      </c>
      <c r="E725" t="s">
        <v>326</v>
      </c>
      <c r="F725" s="1" t="s">
        <v>247</v>
      </c>
      <c r="G725" t="s">
        <v>327</v>
      </c>
      <c r="H725" t="s">
        <v>93</v>
      </c>
    </row>
    <row r="726" spans="1:8" x14ac:dyDescent="0.15">
      <c r="A726" t="s">
        <v>17</v>
      </c>
      <c r="B726">
        <v>8</v>
      </c>
      <c r="C726">
        <v>61</v>
      </c>
      <c r="D726">
        <v>14</v>
      </c>
      <c r="E726" t="s">
        <v>241</v>
      </c>
      <c r="F726" s="1" t="s">
        <v>266</v>
      </c>
      <c r="G726" t="s">
        <v>321</v>
      </c>
      <c r="H726" t="s">
        <v>242</v>
      </c>
    </row>
    <row r="727" spans="1:8" x14ac:dyDescent="0.15">
      <c r="A727" t="s">
        <v>17</v>
      </c>
      <c r="B727">
        <v>8</v>
      </c>
      <c r="C727">
        <v>62</v>
      </c>
      <c r="D727">
        <v>14</v>
      </c>
      <c r="E727" t="s">
        <v>241</v>
      </c>
      <c r="F727" s="1" t="s">
        <v>248</v>
      </c>
      <c r="G727" t="s">
        <v>321</v>
      </c>
      <c r="H727" t="s">
        <v>242</v>
      </c>
    </row>
    <row r="728" spans="1:8" x14ac:dyDescent="0.15">
      <c r="A728" t="s">
        <v>17</v>
      </c>
      <c r="B728">
        <v>8</v>
      </c>
      <c r="C728">
        <v>63</v>
      </c>
      <c r="D728">
        <v>0</v>
      </c>
      <c r="E728" t="s">
        <v>326</v>
      </c>
      <c r="F728" s="1" t="s">
        <v>248</v>
      </c>
      <c r="G728" t="s">
        <v>327</v>
      </c>
      <c r="H728" t="s">
        <v>93</v>
      </c>
    </row>
    <row r="729" spans="1:8" x14ac:dyDescent="0.15">
      <c r="A729" t="s">
        <v>17</v>
      </c>
      <c r="B729">
        <v>8</v>
      </c>
      <c r="C729">
        <v>64</v>
      </c>
      <c r="D729">
        <v>2</v>
      </c>
      <c r="E729" t="s">
        <v>323</v>
      </c>
      <c r="F729" s="1" t="s">
        <v>267</v>
      </c>
      <c r="G729" t="s">
        <v>321</v>
      </c>
      <c r="H729" t="s">
        <v>95</v>
      </c>
    </row>
    <row r="730" spans="1:8" x14ac:dyDescent="0.15">
      <c r="A730" t="s">
        <v>17</v>
      </c>
      <c r="B730">
        <v>8</v>
      </c>
      <c r="C730">
        <v>65</v>
      </c>
      <c r="D730">
        <v>2</v>
      </c>
      <c r="E730" t="s">
        <v>323</v>
      </c>
      <c r="F730" s="1" t="s">
        <v>249</v>
      </c>
      <c r="G730" t="s">
        <v>321</v>
      </c>
      <c r="H730" t="s">
        <v>95</v>
      </c>
    </row>
    <row r="731" spans="1:8" x14ac:dyDescent="0.15">
      <c r="A731" t="s">
        <v>17</v>
      </c>
      <c r="B731">
        <v>8</v>
      </c>
      <c r="C731">
        <v>66</v>
      </c>
      <c r="D731">
        <v>0</v>
      </c>
      <c r="E731" t="s">
        <v>326</v>
      </c>
      <c r="F731" s="1" t="s">
        <v>249</v>
      </c>
      <c r="G731" t="s">
        <v>327</v>
      </c>
      <c r="H731" t="s">
        <v>93</v>
      </c>
    </row>
    <row r="732" spans="1:8" x14ac:dyDescent="0.15">
      <c r="A732" t="s">
        <v>17</v>
      </c>
      <c r="B732">
        <v>8</v>
      </c>
      <c r="C732">
        <v>67</v>
      </c>
      <c r="D732">
        <v>14</v>
      </c>
      <c r="E732" t="s">
        <v>241</v>
      </c>
      <c r="F732" s="1" t="s">
        <v>268</v>
      </c>
      <c r="G732" t="s">
        <v>321</v>
      </c>
      <c r="H732" t="s">
        <v>242</v>
      </c>
    </row>
    <row r="733" spans="1:8" x14ac:dyDescent="0.15">
      <c r="A733" t="s">
        <v>17</v>
      </c>
      <c r="B733">
        <v>8</v>
      </c>
      <c r="C733">
        <v>68</v>
      </c>
      <c r="D733">
        <v>14</v>
      </c>
      <c r="E733" t="s">
        <v>241</v>
      </c>
      <c r="F733" s="1" t="s">
        <v>252</v>
      </c>
      <c r="G733" t="s">
        <v>321</v>
      </c>
      <c r="H733" t="s">
        <v>242</v>
      </c>
    </row>
    <row r="734" spans="1:8" x14ac:dyDescent="0.15">
      <c r="A734" t="s">
        <v>17</v>
      </c>
      <c r="B734">
        <v>8</v>
      </c>
      <c r="C734">
        <v>69</v>
      </c>
      <c r="D734">
        <v>0</v>
      </c>
      <c r="E734" t="s">
        <v>326</v>
      </c>
      <c r="F734" s="1" t="s">
        <v>252</v>
      </c>
      <c r="G734" t="s">
        <v>327</v>
      </c>
      <c r="H734" t="s">
        <v>93</v>
      </c>
    </row>
    <row r="735" spans="1:8" x14ac:dyDescent="0.15">
      <c r="A735" t="s">
        <v>17</v>
      </c>
      <c r="B735">
        <v>8</v>
      </c>
      <c r="C735">
        <v>70</v>
      </c>
      <c r="D735">
        <v>14</v>
      </c>
      <c r="E735" t="s">
        <v>241</v>
      </c>
      <c r="F735" s="1" t="s">
        <v>315</v>
      </c>
      <c r="G735" t="s">
        <v>321</v>
      </c>
      <c r="H735" t="s">
        <v>242</v>
      </c>
    </row>
    <row r="736" spans="1:8" x14ac:dyDescent="0.15">
      <c r="A736" t="s">
        <v>17</v>
      </c>
      <c r="B736">
        <v>8</v>
      </c>
      <c r="C736">
        <v>71</v>
      </c>
      <c r="D736">
        <v>14</v>
      </c>
      <c r="E736" t="s">
        <v>241</v>
      </c>
      <c r="F736" s="1" t="s">
        <v>269</v>
      </c>
      <c r="G736" t="s">
        <v>321</v>
      </c>
      <c r="H736" t="s">
        <v>242</v>
      </c>
    </row>
    <row r="737" spans="1:8" x14ac:dyDescent="0.15">
      <c r="A737" t="s">
        <v>17</v>
      </c>
      <c r="B737">
        <v>8</v>
      </c>
      <c r="C737">
        <v>72</v>
      </c>
      <c r="D737">
        <v>14</v>
      </c>
      <c r="E737" t="s">
        <v>241</v>
      </c>
      <c r="F737" s="1" t="s">
        <v>251</v>
      </c>
      <c r="G737" t="s">
        <v>321</v>
      </c>
      <c r="H737" t="s">
        <v>242</v>
      </c>
    </row>
    <row r="738" spans="1:8" x14ac:dyDescent="0.15">
      <c r="A738" t="s">
        <v>17</v>
      </c>
      <c r="B738">
        <v>8</v>
      </c>
      <c r="C738">
        <v>73</v>
      </c>
      <c r="D738">
        <v>0</v>
      </c>
      <c r="E738" t="s">
        <v>326</v>
      </c>
      <c r="F738" s="1" t="s">
        <v>251</v>
      </c>
      <c r="G738" t="s">
        <v>327</v>
      </c>
      <c r="H738" t="s">
        <v>93</v>
      </c>
    </row>
    <row r="739" spans="1:8" x14ac:dyDescent="0.15">
      <c r="A739" t="s">
        <v>17</v>
      </c>
      <c r="B739">
        <v>8</v>
      </c>
      <c r="C739">
        <v>74</v>
      </c>
      <c r="D739">
        <v>2</v>
      </c>
      <c r="E739" t="s">
        <v>323</v>
      </c>
      <c r="F739" s="1" t="s">
        <v>270</v>
      </c>
      <c r="G739" t="s">
        <v>321</v>
      </c>
      <c r="H739" t="s">
        <v>95</v>
      </c>
    </row>
    <row r="740" spans="1:8" x14ac:dyDescent="0.15">
      <c r="A740" t="s">
        <v>17</v>
      </c>
      <c r="B740">
        <v>8</v>
      </c>
      <c r="C740">
        <v>75</v>
      </c>
      <c r="D740">
        <v>2</v>
      </c>
      <c r="E740" t="s">
        <v>323</v>
      </c>
      <c r="F740" s="1" t="s">
        <v>250</v>
      </c>
      <c r="G740" t="s">
        <v>321</v>
      </c>
      <c r="H740" t="s">
        <v>95</v>
      </c>
    </row>
    <row r="741" spans="1:8" x14ac:dyDescent="0.15">
      <c r="A741" t="s">
        <v>17</v>
      </c>
      <c r="B741">
        <v>8</v>
      </c>
      <c r="C741">
        <v>76</v>
      </c>
      <c r="D741">
        <v>0</v>
      </c>
      <c r="E741" t="s">
        <v>326</v>
      </c>
      <c r="F741" s="1" t="s">
        <v>250</v>
      </c>
      <c r="G741" t="s">
        <v>327</v>
      </c>
      <c r="H741" t="s">
        <v>93</v>
      </c>
    </row>
    <row r="742" spans="1:8" x14ac:dyDescent="0.15">
      <c r="A742" t="s">
        <v>17</v>
      </c>
      <c r="B742">
        <v>8</v>
      </c>
      <c r="C742">
        <v>77</v>
      </c>
      <c r="D742">
        <v>1</v>
      </c>
      <c r="E742" t="s">
        <v>319</v>
      </c>
      <c r="F742" t="s">
        <v>328</v>
      </c>
      <c r="G742" t="s">
        <v>321</v>
      </c>
      <c r="H742" t="s">
        <v>94</v>
      </c>
    </row>
    <row r="743" spans="1:8" x14ac:dyDescent="0.15">
      <c r="A743" t="s">
        <v>17</v>
      </c>
      <c r="B743">
        <v>8</v>
      </c>
      <c r="C743">
        <v>78</v>
      </c>
      <c r="D743">
        <v>2</v>
      </c>
      <c r="E743" t="s">
        <v>323</v>
      </c>
      <c r="F743" t="s">
        <v>253</v>
      </c>
      <c r="G743" t="s">
        <v>321</v>
      </c>
      <c r="H743" t="s">
        <v>95</v>
      </c>
    </row>
    <row r="744" spans="1:8" x14ac:dyDescent="0.15">
      <c r="A744" t="s">
        <v>17</v>
      </c>
      <c r="B744">
        <v>8</v>
      </c>
      <c r="C744">
        <v>79</v>
      </c>
      <c r="D744">
        <v>0</v>
      </c>
      <c r="E744" t="s">
        <v>326</v>
      </c>
      <c r="F744" t="s">
        <v>239</v>
      </c>
      <c r="G744" t="s">
        <v>327</v>
      </c>
      <c r="H744" t="s">
        <v>93</v>
      </c>
    </row>
    <row r="745" spans="1:8" x14ac:dyDescent="0.15">
      <c r="A745" t="s">
        <v>17</v>
      </c>
      <c r="B745">
        <v>8</v>
      </c>
      <c r="C745">
        <v>80</v>
      </c>
      <c r="D745">
        <v>2</v>
      </c>
      <c r="E745" t="s">
        <v>323</v>
      </c>
      <c r="F745" t="s">
        <v>256</v>
      </c>
      <c r="G745" t="s">
        <v>321</v>
      </c>
      <c r="H745" t="s">
        <v>95</v>
      </c>
    </row>
    <row r="746" spans="1:8" x14ac:dyDescent="0.15">
      <c r="A746" t="s">
        <v>17</v>
      </c>
      <c r="B746">
        <v>8</v>
      </c>
      <c r="C746">
        <v>81</v>
      </c>
      <c r="D746">
        <v>0</v>
      </c>
      <c r="E746" t="s">
        <v>326</v>
      </c>
      <c r="F746" t="s">
        <v>240</v>
      </c>
      <c r="G746" t="s">
        <v>327</v>
      </c>
      <c r="H746" t="s">
        <v>93</v>
      </c>
    </row>
    <row r="747" spans="1:8" x14ac:dyDescent="0.15">
      <c r="A747" t="s">
        <v>17</v>
      </c>
      <c r="B747">
        <v>8</v>
      </c>
      <c r="C747">
        <v>82</v>
      </c>
      <c r="D747">
        <v>14</v>
      </c>
      <c r="E747" t="s">
        <v>241</v>
      </c>
      <c r="F747" t="s">
        <v>257</v>
      </c>
      <c r="G747" t="s">
        <v>321</v>
      </c>
      <c r="H747" t="s">
        <v>242</v>
      </c>
    </row>
    <row r="748" spans="1:8" x14ac:dyDescent="0.15">
      <c r="A748" t="s">
        <v>17</v>
      </c>
      <c r="B748">
        <v>8</v>
      </c>
      <c r="C748">
        <v>83</v>
      </c>
      <c r="D748">
        <v>0</v>
      </c>
      <c r="E748" t="s">
        <v>326</v>
      </c>
      <c r="F748" t="s">
        <v>243</v>
      </c>
      <c r="G748" t="s">
        <v>327</v>
      </c>
      <c r="H748" t="s">
        <v>93</v>
      </c>
    </row>
    <row r="749" spans="1:8" x14ac:dyDescent="0.15">
      <c r="A749" t="s">
        <v>17</v>
      </c>
      <c r="B749">
        <v>8</v>
      </c>
      <c r="C749">
        <v>84</v>
      </c>
      <c r="D749">
        <v>2</v>
      </c>
      <c r="E749" t="s">
        <v>323</v>
      </c>
      <c r="F749" t="s">
        <v>258</v>
      </c>
      <c r="G749" t="s">
        <v>321</v>
      </c>
      <c r="H749" t="s">
        <v>95</v>
      </c>
    </row>
    <row r="750" spans="1:8" x14ac:dyDescent="0.15">
      <c r="A750" t="s">
        <v>17</v>
      </c>
      <c r="B750">
        <v>8</v>
      </c>
      <c r="C750">
        <v>85</v>
      </c>
      <c r="D750">
        <v>0</v>
      </c>
      <c r="E750" t="s">
        <v>326</v>
      </c>
      <c r="F750" t="s">
        <v>259</v>
      </c>
      <c r="G750" t="s">
        <v>327</v>
      </c>
      <c r="H750" t="s">
        <v>93</v>
      </c>
    </row>
    <row r="751" spans="1:8" x14ac:dyDescent="0.15">
      <c r="A751" t="s">
        <v>17</v>
      </c>
      <c r="B751">
        <v>8</v>
      </c>
      <c r="C751">
        <v>86</v>
      </c>
      <c r="D751">
        <v>14</v>
      </c>
      <c r="E751" t="s">
        <v>241</v>
      </c>
      <c r="F751" t="s">
        <v>261</v>
      </c>
      <c r="G751" t="s">
        <v>321</v>
      </c>
      <c r="H751" t="s">
        <v>242</v>
      </c>
    </row>
    <row r="752" spans="1:8" x14ac:dyDescent="0.15">
      <c r="A752" t="s">
        <v>17</v>
      </c>
      <c r="B752">
        <v>8</v>
      </c>
      <c r="C752">
        <v>87</v>
      </c>
      <c r="D752">
        <v>0</v>
      </c>
      <c r="E752" t="s">
        <v>326</v>
      </c>
      <c r="F752" t="s">
        <v>260</v>
      </c>
      <c r="G752" t="s">
        <v>327</v>
      </c>
      <c r="H752" t="s">
        <v>93</v>
      </c>
    </row>
    <row r="753" spans="1:8" x14ac:dyDescent="0.15">
      <c r="A753" t="s">
        <v>17</v>
      </c>
      <c r="B753">
        <v>8</v>
      </c>
      <c r="C753">
        <v>88</v>
      </c>
      <c r="D753">
        <v>14</v>
      </c>
      <c r="E753" t="s">
        <v>241</v>
      </c>
      <c r="F753" s="1" t="s">
        <v>262</v>
      </c>
      <c r="G753" t="s">
        <v>321</v>
      </c>
      <c r="H753" t="s">
        <v>242</v>
      </c>
    </row>
    <row r="754" spans="1:8" x14ac:dyDescent="0.15">
      <c r="A754" t="s">
        <v>17</v>
      </c>
      <c r="B754">
        <v>8</v>
      </c>
      <c r="C754">
        <v>89</v>
      </c>
      <c r="D754">
        <v>0</v>
      </c>
      <c r="E754" t="s">
        <v>326</v>
      </c>
      <c r="F754" s="1" t="s">
        <v>244</v>
      </c>
      <c r="G754" t="s">
        <v>327</v>
      </c>
      <c r="H754" t="s">
        <v>93</v>
      </c>
    </row>
    <row r="755" spans="1:8" x14ac:dyDescent="0.15">
      <c r="A755" t="s">
        <v>17</v>
      </c>
      <c r="B755">
        <v>8</v>
      </c>
      <c r="C755">
        <v>90</v>
      </c>
      <c r="D755">
        <v>14</v>
      </c>
      <c r="E755" t="s">
        <v>241</v>
      </c>
      <c r="F755" s="1" t="s">
        <v>264</v>
      </c>
      <c r="G755" t="s">
        <v>321</v>
      </c>
      <c r="H755" t="s">
        <v>242</v>
      </c>
    </row>
    <row r="756" spans="1:8" x14ac:dyDescent="0.15">
      <c r="A756" t="s">
        <v>17</v>
      </c>
      <c r="B756">
        <v>8</v>
      </c>
      <c r="C756">
        <v>91</v>
      </c>
      <c r="D756">
        <v>0</v>
      </c>
      <c r="E756" t="s">
        <v>326</v>
      </c>
      <c r="F756" s="1" t="s">
        <v>245</v>
      </c>
      <c r="G756" t="s">
        <v>327</v>
      </c>
      <c r="H756" t="s">
        <v>93</v>
      </c>
    </row>
    <row r="757" spans="1:8" x14ac:dyDescent="0.15">
      <c r="A757" t="s">
        <v>17</v>
      </c>
      <c r="B757">
        <v>8</v>
      </c>
      <c r="C757">
        <v>92</v>
      </c>
      <c r="D757">
        <v>2</v>
      </c>
      <c r="E757" t="s">
        <v>323</v>
      </c>
      <c r="F757" s="1" t="s">
        <v>263</v>
      </c>
      <c r="G757" t="s">
        <v>321</v>
      </c>
      <c r="H757" t="s">
        <v>95</v>
      </c>
    </row>
    <row r="758" spans="1:8" x14ac:dyDescent="0.15">
      <c r="A758" t="s">
        <v>17</v>
      </c>
      <c r="B758">
        <v>8</v>
      </c>
      <c r="C758">
        <v>93</v>
      </c>
      <c r="D758">
        <v>0</v>
      </c>
      <c r="E758" t="s">
        <v>326</v>
      </c>
      <c r="F758" s="1" t="s">
        <v>246</v>
      </c>
      <c r="G758" t="s">
        <v>327</v>
      </c>
      <c r="H758" t="s">
        <v>93</v>
      </c>
    </row>
    <row r="759" spans="1:8" x14ac:dyDescent="0.15">
      <c r="A759" t="s">
        <v>17</v>
      </c>
      <c r="B759">
        <v>8</v>
      </c>
      <c r="C759">
        <v>94</v>
      </c>
      <c r="D759">
        <v>2</v>
      </c>
      <c r="E759" t="s">
        <v>323</v>
      </c>
      <c r="F759" s="1" t="s">
        <v>265</v>
      </c>
      <c r="G759" t="s">
        <v>321</v>
      </c>
      <c r="H759" t="s">
        <v>95</v>
      </c>
    </row>
    <row r="760" spans="1:8" x14ac:dyDescent="0.15">
      <c r="A760" t="s">
        <v>17</v>
      </c>
      <c r="B760">
        <v>8</v>
      </c>
      <c r="C760">
        <v>95</v>
      </c>
      <c r="D760">
        <v>0</v>
      </c>
      <c r="E760" t="s">
        <v>326</v>
      </c>
      <c r="F760" s="1" t="s">
        <v>247</v>
      </c>
      <c r="G760" t="s">
        <v>327</v>
      </c>
      <c r="H760" t="s">
        <v>93</v>
      </c>
    </row>
    <row r="761" spans="1:8" x14ac:dyDescent="0.15">
      <c r="A761" t="s">
        <v>17</v>
      </c>
      <c r="B761">
        <v>8</v>
      </c>
      <c r="C761">
        <v>96</v>
      </c>
      <c r="D761">
        <v>14</v>
      </c>
      <c r="E761" t="s">
        <v>241</v>
      </c>
      <c r="F761" s="1" t="s">
        <v>266</v>
      </c>
      <c r="G761" t="s">
        <v>321</v>
      </c>
      <c r="H761" t="s">
        <v>242</v>
      </c>
    </row>
    <row r="762" spans="1:8" x14ac:dyDescent="0.15">
      <c r="A762" t="s">
        <v>17</v>
      </c>
      <c r="B762">
        <v>8</v>
      </c>
      <c r="C762">
        <v>97</v>
      </c>
      <c r="D762">
        <v>0</v>
      </c>
      <c r="E762" t="s">
        <v>326</v>
      </c>
      <c r="F762" s="1" t="s">
        <v>248</v>
      </c>
      <c r="G762" t="s">
        <v>327</v>
      </c>
      <c r="H762" t="s">
        <v>93</v>
      </c>
    </row>
    <row r="763" spans="1:8" x14ac:dyDescent="0.15">
      <c r="A763" t="s">
        <v>17</v>
      </c>
      <c r="B763">
        <v>8</v>
      </c>
      <c r="C763">
        <v>98</v>
      </c>
      <c r="D763">
        <v>2</v>
      </c>
      <c r="E763" t="s">
        <v>323</v>
      </c>
      <c r="F763" s="1" t="s">
        <v>267</v>
      </c>
      <c r="G763" t="s">
        <v>321</v>
      </c>
      <c r="H763" t="s">
        <v>95</v>
      </c>
    </row>
    <row r="764" spans="1:8" x14ac:dyDescent="0.15">
      <c r="A764" t="s">
        <v>17</v>
      </c>
      <c r="B764">
        <v>8</v>
      </c>
      <c r="C764">
        <v>99</v>
      </c>
      <c r="D764">
        <v>0</v>
      </c>
      <c r="E764" t="s">
        <v>326</v>
      </c>
      <c r="F764" s="1" t="s">
        <v>249</v>
      </c>
      <c r="G764" t="s">
        <v>327</v>
      </c>
      <c r="H764" t="s">
        <v>93</v>
      </c>
    </row>
    <row r="765" spans="1:8" x14ac:dyDescent="0.15">
      <c r="A765" t="s">
        <v>17</v>
      </c>
      <c r="B765">
        <v>8</v>
      </c>
      <c r="C765">
        <v>100</v>
      </c>
      <c r="D765">
        <v>14</v>
      </c>
      <c r="E765" t="s">
        <v>241</v>
      </c>
      <c r="F765" s="1" t="s">
        <v>268</v>
      </c>
      <c r="G765" t="s">
        <v>321</v>
      </c>
      <c r="H765" t="s">
        <v>242</v>
      </c>
    </row>
    <row r="766" spans="1:8" x14ac:dyDescent="0.15">
      <c r="A766" t="s">
        <v>17</v>
      </c>
      <c r="B766">
        <v>8</v>
      </c>
      <c r="C766">
        <v>101</v>
      </c>
      <c r="D766">
        <v>0</v>
      </c>
      <c r="E766" t="s">
        <v>326</v>
      </c>
      <c r="F766" s="1" t="s">
        <v>252</v>
      </c>
      <c r="G766" t="s">
        <v>327</v>
      </c>
      <c r="H766" t="s">
        <v>93</v>
      </c>
    </row>
    <row r="767" spans="1:8" x14ac:dyDescent="0.15">
      <c r="A767" t="s">
        <v>17</v>
      </c>
      <c r="B767">
        <v>8</v>
      </c>
      <c r="C767">
        <v>102</v>
      </c>
      <c r="D767">
        <v>14</v>
      </c>
      <c r="E767" t="s">
        <v>241</v>
      </c>
      <c r="F767" s="1" t="s">
        <v>315</v>
      </c>
      <c r="G767" t="s">
        <v>321</v>
      </c>
      <c r="H767" t="s">
        <v>242</v>
      </c>
    </row>
    <row r="768" spans="1:8" x14ac:dyDescent="0.15">
      <c r="A768" t="s">
        <v>17</v>
      </c>
      <c r="B768">
        <v>8</v>
      </c>
      <c r="C768">
        <v>103</v>
      </c>
      <c r="D768">
        <v>14</v>
      </c>
      <c r="E768" t="s">
        <v>241</v>
      </c>
      <c r="F768" s="1" t="s">
        <v>269</v>
      </c>
      <c r="G768" t="s">
        <v>321</v>
      </c>
      <c r="H768" t="s">
        <v>242</v>
      </c>
    </row>
    <row r="769" spans="1:8" x14ac:dyDescent="0.15">
      <c r="A769" t="s">
        <v>17</v>
      </c>
      <c r="B769">
        <v>8</v>
      </c>
      <c r="C769">
        <v>104</v>
      </c>
      <c r="D769">
        <v>0</v>
      </c>
      <c r="E769" t="s">
        <v>326</v>
      </c>
      <c r="F769" s="1" t="s">
        <v>251</v>
      </c>
      <c r="G769" t="s">
        <v>327</v>
      </c>
      <c r="H769" t="s">
        <v>93</v>
      </c>
    </row>
    <row r="770" spans="1:8" x14ac:dyDescent="0.15">
      <c r="A770" t="s">
        <v>17</v>
      </c>
      <c r="B770">
        <v>8</v>
      </c>
      <c r="C770">
        <v>105</v>
      </c>
      <c r="D770">
        <v>2</v>
      </c>
      <c r="E770" t="s">
        <v>323</v>
      </c>
      <c r="F770" s="1" t="s">
        <v>270</v>
      </c>
      <c r="G770" t="s">
        <v>321</v>
      </c>
      <c r="H770" t="s">
        <v>95</v>
      </c>
    </row>
    <row r="771" spans="1:8" x14ac:dyDescent="0.15">
      <c r="A771" t="s">
        <v>17</v>
      </c>
      <c r="B771">
        <v>8</v>
      </c>
      <c r="C771">
        <v>106</v>
      </c>
      <c r="D771">
        <v>0</v>
      </c>
      <c r="E771" t="s">
        <v>326</v>
      </c>
      <c r="F771" s="1" t="s">
        <v>250</v>
      </c>
      <c r="G771" t="s">
        <v>327</v>
      </c>
      <c r="H771" t="s">
        <v>93</v>
      </c>
    </row>
    <row r="772" spans="1:8" x14ac:dyDescent="0.15">
      <c r="A772" t="s">
        <v>17</v>
      </c>
      <c r="B772">
        <v>8</v>
      </c>
      <c r="C772">
        <v>107</v>
      </c>
      <c r="D772">
        <v>1</v>
      </c>
      <c r="E772" t="s">
        <v>319</v>
      </c>
      <c r="F772" t="s">
        <v>358</v>
      </c>
      <c r="G772" t="s">
        <v>320</v>
      </c>
      <c r="H772" t="s">
        <v>94</v>
      </c>
    </row>
    <row r="773" spans="1:8" x14ac:dyDescent="0.15">
      <c r="A773" t="s">
        <v>17</v>
      </c>
      <c r="B773">
        <v>9</v>
      </c>
      <c r="C773">
        <v>1</v>
      </c>
      <c r="D773">
        <v>1</v>
      </c>
      <c r="E773" t="s">
        <v>319</v>
      </c>
      <c r="F773" t="s">
        <v>271</v>
      </c>
      <c r="G773" t="s">
        <v>321</v>
      </c>
      <c r="H773" t="s">
        <v>94</v>
      </c>
    </row>
    <row r="774" spans="1:8" x14ac:dyDescent="0.15">
      <c r="A774" t="s">
        <v>17</v>
      </c>
      <c r="B774">
        <v>9</v>
      </c>
      <c r="C774">
        <v>2</v>
      </c>
      <c r="D774">
        <v>1</v>
      </c>
      <c r="E774" t="s">
        <v>319</v>
      </c>
      <c r="F774" t="s">
        <v>359</v>
      </c>
      <c r="G774" t="s">
        <v>321</v>
      </c>
      <c r="H774" t="s">
        <v>94</v>
      </c>
    </row>
    <row r="775" spans="1:8" ht="40.5" x14ac:dyDescent="0.15">
      <c r="A775" t="s">
        <v>17</v>
      </c>
      <c r="B775">
        <v>9</v>
      </c>
      <c r="C775">
        <v>3</v>
      </c>
      <c r="D775">
        <v>1</v>
      </c>
      <c r="E775" t="s">
        <v>319</v>
      </c>
      <c r="F775" s="1" t="s">
        <v>353</v>
      </c>
      <c r="G775" t="s">
        <v>321</v>
      </c>
      <c r="H775" t="s">
        <v>94</v>
      </c>
    </row>
    <row r="776" spans="1:8" x14ac:dyDescent="0.15">
      <c r="A776" t="s">
        <v>17</v>
      </c>
      <c r="B776">
        <v>9</v>
      </c>
      <c r="C776">
        <v>4</v>
      </c>
      <c r="D776">
        <v>2</v>
      </c>
      <c r="E776" t="s">
        <v>323</v>
      </c>
      <c r="F776" t="s">
        <v>316</v>
      </c>
      <c r="G776" t="s">
        <v>321</v>
      </c>
      <c r="H776" t="s">
        <v>95</v>
      </c>
    </row>
    <row r="777" spans="1:8" x14ac:dyDescent="0.15">
      <c r="A777" t="s">
        <v>17</v>
      </c>
      <c r="B777">
        <v>9</v>
      </c>
      <c r="C777">
        <v>5</v>
      </c>
      <c r="D777">
        <v>2</v>
      </c>
      <c r="E777" t="s">
        <v>323</v>
      </c>
      <c r="F777" t="s">
        <v>317</v>
      </c>
      <c r="G777" t="s">
        <v>321</v>
      </c>
      <c r="H777" t="s">
        <v>95</v>
      </c>
    </row>
    <row r="778" spans="1:8" x14ac:dyDescent="0.15">
      <c r="A778" t="s">
        <v>17</v>
      </c>
      <c r="B778">
        <v>9</v>
      </c>
      <c r="C778">
        <v>6</v>
      </c>
      <c r="D778">
        <v>4</v>
      </c>
      <c r="E778" t="s">
        <v>38</v>
      </c>
      <c r="F778" t="s">
        <v>282</v>
      </c>
      <c r="G778" t="s">
        <v>321</v>
      </c>
      <c r="H778" t="s">
        <v>97</v>
      </c>
    </row>
    <row r="779" spans="1:8" x14ac:dyDescent="0.15">
      <c r="A779" t="s">
        <v>17</v>
      </c>
      <c r="B779">
        <v>9</v>
      </c>
      <c r="C779">
        <v>7</v>
      </c>
      <c r="D779">
        <v>4</v>
      </c>
      <c r="E779" t="s">
        <v>38</v>
      </c>
      <c r="F779" t="s">
        <v>272</v>
      </c>
      <c r="G779" t="s">
        <v>321</v>
      </c>
      <c r="H779" t="s">
        <v>97</v>
      </c>
    </row>
    <row r="780" spans="1:8" x14ac:dyDescent="0.15">
      <c r="A780" t="s">
        <v>17</v>
      </c>
      <c r="B780">
        <v>9</v>
      </c>
      <c r="C780">
        <v>8</v>
      </c>
      <c r="D780">
        <v>4</v>
      </c>
      <c r="E780" t="s">
        <v>38</v>
      </c>
      <c r="F780" t="s">
        <v>283</v>
      </c>
      <c r="G780" t="s">
        <v>321</v>
      </c>
      <c r="H780" t="s">
        <v>97</v>
      </c>
    </row>
    <row r="781" spans="1:8" x14ac:dyDescent="0.15">
      <c r="A781" t="s">
        <v>17</v>
      </c>
      <c r="B781">
        <v>9</v>
      </c>
      <c r="C781">
        <v>9</v>
      </c>
      <c r="D781">
        <v>4</v>
      </c>
      <c r="E781" t="s">
        <v>38</v>
      </c>
      <c r="F781" t="s">
        <v>273</v>
      </c>
      <c r="G781" t="s">
        <v>321</v>
      </c>
      <c r="H781" t="s">
        <v>97</v>
      </c>
    </row>
    <row r="782" spans="1:8" x14ac:dyDescent="0.15">
      <c r="A782" t="s">
        <v>17</v>
      </c>
      <c r="B782">
        <v>9</v>
      </c>
      <c r="C782">
        <v>10</v>
      </c>
      <c r="D782">
        <v>4</v>
      </c>
      <c r="E782" t="s">
        <v>38</v>
      </c>
      <c r="F782" t="s">
        <v>284</v>
      </c>
      <c r="G782" t="s">
        <v>321</v>
      </c>
      <c r="H782" t="s">
        <v>97</v>
      </c>
    </row>
    <row r="783" spans="1:8" x14ac:dyDescent="0.15">
      <c r="A783" t="s">
        <v>17</v>
      </c>
      <c r="B783">
        <v>9</v>
      </c>
      <c r="C783">
        <v>11</v>
      </c>
      <c r="D783">
        <v>4</v>
      </c>
      <c r="E783" t="s">
        <v>38</v>
      </c>
      <c r="F783" t="s">
        <v>274</v>
      </c>
      <c r="G783" t="s">
        <v>321</v>
      </c>
      <c r="H783" t="s">
        <v>97</v>
      </c>
    </row>
    <row r="784" spans="1:8" x14ac:dyDescent="0.15">
      <c r="A784" t="s">
        <v>17</v>
      </c>
      <c r="B784">
        <v>9</v>
      </c>
      <c r="C784">
        <v>12</v>
      </c>
      <c r="D784">
        <v>2</v>
      </c>
      <c r="E784" t="s">
        <v>323</v>
      </c>
      <c r="F784" t="s">
        <v>285</v>
      </c>
      <c r="G784" t="s">
        <v>321</v>
      </c>
      <c r="H784" t="s">
        <v>95</v>
      </c>
    </row>
    <row r="785" spans="1:12" x14ac:dyDescent="0.15">
      <c r="A785" t="s">
        <v>17</v>
      </c>
      <c r="B785">
        <v>9</v>
      </c>
      <c r="C785">
        <v>13</v>
      </c>
      <c r="D785">
        <v>2</v>
      </c>
      <c r="E785" t="s">
        <v>323</v>
      </c>
      <c r="F785" t="s">
        <v>275</v>
      </c>
      <c r="G785" t="s">
        <v>321</v>
      </c>
      <c r="H785" t="s">
        <v>95</v>
      </c>
    </row>
    <row r="786" spans="1:12" x14ac:dyDescent="0.15">
      <c r="A786" t="s">
        <v>17</v>
      </c>
      <c r="B786">
        <v>9</v>
      </c>
      <c r="C786">
        <v>14</v>
      </c>
      <c r="D786">
        <v>4</v>
      </c>
      <c r="E786" t="s">
        <v>38</v>
      </c>
      <c r="F786" t="s">
        <v>286</v>
      </c>
      <c r="G786" t="s">
        <v>321</v>
      </c>
      <c r="H786" t="s">
        <v>97</v>
      </c>
    </row>
    <row r="787" spans="1:12" x14ac:dyDescent="0.15">
      <c r="A787" t="s">
        <v>17</v>
      </c>
      <c r="B787">
        <v>9</v>
      </c>
      <c r="C787">
        <v>15</v>
      </c>
      <c r="D787">
        <v>4</v>
      </c>
      <c r="E787" t="s">
        <v>38</v>
      </c>
      <c r="F787" t="s">
        <v>276</v>
      </c>
      <c r="G787" t="s">
        <v>321</v>
      </c>
      <c r="H787" t="s">
        <v>97</v>
      </c>
    </row>
    <row r="788" spans="1:12" x14ac:dyDescent="0.15">
      <c r="A788" t="s">
        <v>17</v>
      </c>
      <c r="B788">
        <v>9</v>
      </c>
      <c r="C788">
        <v>16</v>
      </c>
      <c r="D788">
        <v>2</v>
      </c>
      <c r="E788" t="s">
        <v>323</v>
      </c>
      <c r="F788" t="s">
        <v>287</v>
      </c>
      <c r="G788" t="s">
        <v>321</v>
      </c>
      <c r="H788" t="s">
        <v>95</v>
      </c>
    </row>
    <row r="789" spans="1:12" x14ac:dyDescent="0.15">
      <c r="A789" t="s">
        <v>17</v>
      </c>
      <c r="B789">
        <v>9</v>
      </c>
      <c r="C789">
        <v>17</v>
      </c>
      <c r="D789">
        <v>2</v>
      </c>
      <c r="E789" t="s">
        <v>323</v>
      </c>
      <c r="F789" t="s">
        <v>277</v>
      </c>
      <c r="G789" t="s">
        <v>321</v>
      </c>
      <c r="H789" t="s">
        <v>95</v>
      </c>
    </row>
    <row r="790" spans="1:12" x14ac:dyDescent="0.15">
      <c r="A790" t="s">
        <v>17</v>
      </c>
      <c r="B790">
        <v>9</v>
      </c>
      <c r="C790">
        <v>18</v>
      </c>
      <c r="D790">
        <v>2</v>
      </c>
      <c r="E790" t="s">
        <v>323</v>
      </c>
      <c r="F790" t="s">
        <v>288</v>
      </c>
      <c r="G790" t="s">
        <v>321</v>
      </c>
      <c r="H790" t="s">
        <v>95</v>
      </c>
    </row>
    <row r="791" spans="1:12" x14ac:dyDescent="0.15">
      <c r="A791" t="s">
        <v>17</v>
      </c>
      <c r="B791">
        <v>9</v>
      </c>
      <c r="C791">
        <v>19</v>
      </c>
      <c r="D791">
        <v>2</v>
      </c>
      <c r="E791" t="s">
        <v>323</v>
      </c>
      <c r="F791" t="s">
        <v>278</v>
      </c>
      <c r="G791" t="s">
        <v>321</v>
      </c>
      <c r="H791" t="s">
        <v>95</v>
      </c>
    </row>
    <row r="792" spans="1:12" x14ac:dyDescent="0.15">
      <c r="A792" t="s">
        <v>17</v>
      </c>
      <c r="B792">
        <v>9</v>
      </c>
      <c r="C792">
        <v>20</v>
      </c>
      <c r="D792">
        <v>4</v>
      </c>
      <c r="E792" t="s">
        <v>38</v>
      </c>
      <c r="F792" t="s">
        <v>289</v>
      </c>
      <c r="G792" t="s">
        <v>321</v>
      </c>
      <c r="H792" t="s">
        <v>97</v>
      </c>
    </row>
    <row r="793" spans="1:12" x14ac:dyDescent="0.15">
      <c r="A793" t="s">
        <v>17</v>
      </c>
      <c r="B793">
        <v>9</v>
      </c>
      <c r="C793">
        <v>21</v>
      </c>
      <c r="D793">
        <v>4</v>
      </c>
      <c r="E793" t="s">
        <v>38</v>
      </c>
      <c r="F793" t="s">
        <v>279</v>
      </c>
      <c r="G793" t="s">
        <v>321</v>
      </c>
      <c r="H793" t="s">
        <v>97</v>
      </c>
    </row>
    <row r="794" spans="1:12" x14ac:dyDescent="0.15">
      <c r="A794" t="s">
        <v>17</v>
      </c>
      <c r="B794">
        <v>9</v>
      </c>
      <c r="C794">
        <v>22</v>
      </c>
      <c r="D794">
        <v>4</v>
      </c>
      <c r="E794" t="s">
        <v>38</v>
      </c>
      <c r="F794" t="s">
        <v>291</v>
      </c>
      <c r="G794" t="s">
        <v>321</v>
      </c>
      <c r="H794" t="s">
        <v>97</v>
      </c>
    </row>
    <row r="795" spans="1:12" x14ac:dyDescent="0.15">
      <c r="A795" t="s">
        <v>17</v>
      </c>
      <c r="B795">
        <v>9</v>
      </c>
      <c r="C795">
        <v>23</v>
      </c>
      <c r="D795">
        <v>4</v>
      </c>
      <c r="E795" t="s">
        <v>38</v>
      </c>
      <c r="F795" t="s">
        <v>280</v>
      </c>
      <c r="G795" t="s">
        <v>321</v>
      </c>
      <c r="H795" t="s">
        <v>97</v>
      </c>
    </row>
    <row r="796" spans="1:12" x14ac:dyDescent="0.15">
      <c r="A796" t="s">
        <v>17</v>
      </c>
      <c r="B796">
        <v>9</v>
      </c>
      <c r="C796">
        <v>24</v>
      </c>
      <c r="D796">
        <v>2</v>
      </c>
      <c r="E796" t="s">
        <v>323</v>
      </c>
      <c r="F796" t="s">
        <v>290</v>
      </c>
      <c r="G796" t="s">
        <v>321</v>
      </c>
      <c r="H796" t="s">
        <v>95</v>
      </c>
    </row>
    <row r="797" spans="1:12" x14ac:dyDescent="0.15">
      <c r="A797" t="s">
        <v>17</v>
      </c>
      <c r="B797">
        <v>9</v>
      </c>
      <c r="C797">
        <v>25</v>
      </c>
      <c r="D797">
        <v>2</v>
      </c>
      <c r="E797" t="s">
        <v>323</v>
      </c>
      <c r="F797" t="s">
        <v>281</v>
      </c>
      <c r="G797" t="s">
        <v>321</v>
      </c>
      <c r="H797" t="s">
        <v>95</v>
      </c>
    </row>
    <row r="798" spans="1:12" x14ac:dyDescent="0.15">
      <c r="A798" t="s">
        <v>17</v>
      </c>
      <c r="B798">
        <v>9</v>
      </c>
      <c r="C798">
        <v>26</v>
      </c>
      <c r="D798">
        <v>1</v>
      </c>
      <c r="E798" t="s">
        <v>319</v>
      </c>
      <c r="F798" t="s">
        <v>355</v>
      </c>
      <c r="G798" t="s">
        <v>321</v>
      </c>
      <c r="H798" t="s">
        <v>94</v>
      </c>
      <c r="L798" s="1"/>
    </row>
    <row r="799" spans="1:12" x14ac:dyDescent="0.15">
      <c r="A799" t="s">
        <v>17</v>
      </c>
      <c r="B799">
        <v>9</v>
      </c>
      <c r="C799">
        <v>27</v>
      </c>
      <c r="D799">
        <v>2</v>
      </c>
      <c r="E799" t="s">
        <v>323</v>
      </c>
      <c r="F799" t="s">
        <v>316</v>
      </c>
      <c r="G799" t="s">
        <v>321</v>
      </c>
      <c r="H799" t="s">
        <v>95</v>
      </c>
    </row>
    <row r="800" spans="1:12" x14ac:dyDescent="0.15">
      <c r="A800" t="s">
        <v>17</v>
      </c>
      <c r="B800">
        <v>9</v>
      </c>
      <c r="C800">
        <v>28</v>
      </c>
      <c r="D800">
        <v>2</v>
      </c>
      <c r="E800" t="s">
        <v>323</v>
      </c>
      <c r="F800" t="s">
        <v>317</v>
      </c>
      <c r="G800" t="s">
        <v>321</v>
      </c>
      <c r="H800" t="s">
        <v>95</v>
      </c>
    </row>
    <row r="801" spans="1:8" x14ac:dyDescent="0.15">
      <c r="A801" t="s">
        <v>17</v>
      </c>
      <c r="B801">
        <v>9</v>
      </c>
      <c r="C801">
        <v>29</v>
      </c>
      <c r="D801">
        <v>0</v>
      </c>
      <c r="E801" t="s">
        <v>326</v>
      </c>
      <c r="F801" t="s">
        <v>317</v>
      </c>
      <c r="G801" t="s">
        <v>327</v>
      </c>
      <c r="H801" t="s">
        <v>93</v>
      </c>
    </row>
    <row r="802" spans="1:8" x14ac:dyDescent="0.15">
      <c r="A802" t="s">
        <v>17</v>
      </c>
      <c r="B802">
        <v>9</v>
      </c>
      <c r="C802">
        <v>30</v>
      </c>
      <c r="D802">
        <v>4</v>
      </c>
      <c r="E802" t="s">
        <v>38</v>
      </c>
      <c r="F802" t="s">
        <v>282</v>
      </c>
      <c r="G802" t="s">
        <v>321</v>
      </c>
      <c r="H802" t="s">
        <v>97</v>
      </c>
    </row>
    <row r="803" spans="1:8" x14ac:dyDescent="0.15">
      <c r="A803" t="s">
        <v>17</v>
      </c>
      <c r="B803">
        <v>9</v>
      </c>
      <c r="C803">
        <v>31</v>
      </c>
      <c r="D803">
        <v>4</v>
      </c>
      <c r="E803" t="s">
        <v>38</v>
      </c>
      <c r="F803" t="s">
        <v>272</v>
      </c>
      <c r="G803" t="s">
        <v>321</v>
      </c>
      <c r="H803" t="s">
        <v>97</v>
      </c>
    </row>
    <row r="804" spans="1:8" x14ac:dyDescent="0.15">
      <c r="A804" t="s">
        <v>17</v>
      </c>
      <c r="B804">
        <v>9</v>
      </c>
      <c r="C804">
        <v>32</v>
      </c>
      <c r="D804">
        <v>0</v>
      </c>
      <c r="E804" t="s">
        <v>326</v>
      </c>
      <c r="F804" t="s">
        <v>272</v>
      </c>
      <c r="G804" t="s">
        <v>327</v>
      </c>
      <c r="H804" t="s">
        <v>93</v>
      </c>
    </row>
    <row r="805" spans="1:8" x14ac:dyDescent="0.15">
      <c r="A805" t="s">
        <v>17</v>
      </c>
      <c r="B805">
        <v>9</v>
      </c>
      <c r="C805">
        <v>33</v>
      </c>
      <c r="D805">
        <v>4</v>
      </c>
      <c r="E805" t="s">
        <v>38</v>
      </c>
      <c r="F805" t="s">
        <v>283</v>
      </c>
      <c r="G805" t="s">
        <v>321</v>
      </c>
      <c r="H805" t="s">
        <v>97</v>
      </c>
    </row>
    <row r="806" spans="1:8" x14ac:dyDescent="0.15">
      <c r="A806" t="s">
        <v>17</v>
      </c>
      <c r="B806">
        <v>9</v>
      </c>
      <c r="C806">
        <v>34</v>
      </c>
      <c r="D806">
        <v>4</v>
      </c>
      <c r="E806" t="s">
        <v>38</v>
      </c>
      <c r="F806" t="s">
        <v>273</v>
      </c>
      <c r="G806" t="s">
        <v>321</v>
      </c>
      <c r="H806" t="s">
        <v>97</v>
      </c>
    </row>
    <row r="807" spans="1:8" x14ac:dyDescent="0.15">
      <c r="A807" t="s">
        <v>17</v>
      </c>
      <c r="B807">
        <v>9</v>
      </c>
      <c r="C807">
        <v>35</v>
      </c>
      <c r="D807">
        <v>0</v>
      </c>
      <c r="E807" t="s">
        <v>326</v>
      </c>
      <c r="F807" t="s">
        <v>273</v>
      </c>
      <c r="G807" t="s">
        <v>327</v>
      </c>
      <c r="H807" t="s">
        <v>93</v>
      </c>
    </row>
    <row r="808" spans="1:8" x14ac:dyDescent="0.15">
      <c r="A808" t="s">
        <v>17</v>
      </c>
      <c r="B808">
        <v>9</v>
      </c>
      <c r="C808">
        <v>36</v>
      </c>
      <c r="D808">
        <v>4</v>
      </c>
      <c r="E808" t="s">
        <v>38</v>
      </c>
      <c r="F808" t="s">
        <v>284</v>
      </c>
      <c r="G808" t="s">
        <v>321</v>
      </c>
      <c r="H808" t="s">
        <v>97</v>
      </c>
    </row>
    <row r="809" spans="1:8" x14ac:dyDescent="0.15">
      <c r="A809" t="s">
        <v>17</v>
      </c>
      <c r="B809">
        <v>9</v>
      </c>
      <c r="C809">
        <v>37</v>
      </c>
      <c r="D809">
        <v>4</v>
      </c>
      <c r="E809" t="s">
        <v>38</v>
      </c>
      <c r="F809" t="s">
        <v>274</v>
      </c>
      <c r="G809" t="s">
        <v>321</v>
      </c>
      <c r="H809" t="s">
        <v>97</v>
      </c>
    </row>
    <row r="810" spans="1:8" x14ac:dyDescent="0.15">
      <c r="A810" t="s">
        <v>17</v>
      </c>
      <c r="B810">
        <v>9</v>
      </c>
      <c r="C810">
        <v>38</v>
      </c>
      <c r="D810">
        <v>0</v>
      </c>
      <c r="E810" t="s">
        <v>326</v>
      </c>
      <c r="F810" t="s">
        <v>274</v>
      </c>
      <c r="G810" t="s">
        <v>327</v>
      </c>
      <c r="H810" t="s">
        <v>93</v>
      </c>
    </row>
    <row r="811" spans="1:8" x14ac:dyDescent="0.15">
      <c r="A811" t="s">
        <v>17</v>
      </c>
      <c r="B811">
        <v>9</v>
      </c>
      <c r="C811">
        <v>39</v>
      </c>
      <c r="D811">
        <v>2</v>
      </c>
      <c r="E811" t="s">
        <v>323</v>
      </c>
      <c r="F811" t="s">
        <v>285</v>
      </c>
      <c r="G811" t="s">
        <v>321</v>
      </c>
      <c r="H811" t="s">
        <v>95</v>
      </c>
    </row>
    <row r="812" spans="1:8" x14ac:dyDescent="0.15">
      <c r="A812" t="s">
        <v>17</v>
      </c>
      <c r="B812">
        <v>9</v>
      </c>
      <c r="C812">
        <v>40</v>
      </c>
      <c r="D812">
        <v>2</v>
      </c>
      <c r="E812" t="s">
        <v>323</v>
      </c>
      <c r="F812" t="s">
        <v>275</v>
      </c>
      <c r="G812" t="s">
        <v>321</v>
      </c>
      <c r="H812" t="s">
        <v>95</v>
      </c>
    </row>
    <row r="813" spans="1:8" x14ac:dyDescent="0.15">
      <c r="A813" t="s">
        <v>17</v>
      </c>
      <c r="B813">
        <v>9</v>
      </c>
      <c r="C813">
        <v>41</v>
      </c>
      <c r="D813">
        <v>0</v>
      </c>
      <c r="E813" t="s">
        <v>326</v>
      </c>
      <c r="F813" t="s">
        <v>275</v>
      </c>
      <c r="G813" t="s">
        <v>327</v>
      </c>
      <c r="H813" t="s">
        <v>93</v>
      </c>
    </row>
    <row r="814" spans="1:8" x14ac:dyDescent="0.15">
      <c r="A814" t="s">
        <v>17</v>
      </c>
      <c r="B814">
        <v>9</v>
      </c>
      <c r="C814">
        <v>42</v>
      </c>
      <c r="D814">
        <v>4</v>
      </c>
      <c r="E814" t="s">
        <v>38</v>
      </c>
      <c r="F814" t="s">
        <v>286</v>
      </c>
      <c r="G814" t="s">
        <v>321</v>
      </c>
      <c r="H814" t="s">
        <v>97</v>
      </c>
    </row>
    <row r="815" spans="1:8" x14ac:dyDescent="0.15">
      <c r="A815" t="s">
        <v>17</v>
      </c>
      <c r="B815">
        <v>9</v>
      </c>
      <c r="C815">
        <v>43</v>
      </c>
      <c r="D815">
        <v>4</v>
      </c>
      <c r="E815" t="s">
        <v>38</v>
      </c>
      <c r="F815" t="s">
        <v>276</v>
      </c>
      <c r="G815" t="s">
        <v>321</v>
      </c>
      <c r="H815" t="s">
        <v>97</v>
      </c>
    </row>
    <row r="816" spans="1:8" x14ac:dyDescent="0.15">
      <c r="A816" t="s">
        <v>17</v>
      </c>
      <c r="B816">
        <v>9</v>
      </c>
      <c r="C816">
        <v>44</v>
      </c>
      <c r="D816">
        <v>0</v>
      </c>
      <c r="E816" t="s">
        <v>326</v>
      </c>
      <c r="F816" t="s">
        <v>276</v>
      </c>
      <c r="G816" t="s">
        <v>327</v>
      </c>
      <c r="H816" t="s">
        <v>93</v>
      </c>
    </row>
    <row r="817" spans="1:8" x14ac:dyDescent="0.15">
      <c r="A817" t="s">
        <v>17</v>
      </c>
      <c r="B817">
        <v>9</v>
      </c>
      <c r="C817">
        <v>45</v>
      </c>
      <c r="D817">
        <v>2</v>
      </c>
      <c r="E817" t="s">
        <v>323</v>
      </c>
      <c r="F817" t="s">
        <v>287</v>
      </c>
      <c r="G817" t="s">
        <v>321</v>
      </c>
      <c r="H817" t="s">
        <v>95</v>
      </c>
    </row>
    <row r="818" spans="1:8" x14ac:dyDescent="0.15">
      <c r="A818" t="s">
        <v>17</v>
      </c>
      <c r="B818">
        <v>9</v>
      </c>
      <c r="C818">
        <v>46</v>
      </c>
      <c r="D818">
        <v>2</v>
      </c>
      <c r="E818" t="s">
        <v>323</v>
      </c>
      <c r="F818" t="s">
        <v>277</v>
      </c>
      <c r="G818" t="s">
        <v>321</v>
      </c>
      <c r="H818" t="s">
        <v>95</v>
      </c>
    </row>
    <row r="819" spans="1:8" x14ac:dyDescent="0.15">
      <c r="A819" t="s">
        <v>17</v>
      </c>
      <c r="B819">
        <v>9</v>
      </c>
      <c r="C819">
        <v>47</v>
      </c>
      <c r="D819">
        <v>0</v>
      </c>
      <c r="E819" t="s">
        <v>326</v>
      </c>
      <c r="F819" t="s">
        <v>277</v>
      </c>
      <c r="G819" t="s">
        <v>327</v>
      </c>
      <c r="H819" t="s">
        <v>93</v>
      </c>
    </row>
    <row r="820" spans="1:8" x14ac:dyDescent="0.15">
      <c r="A820" t="s">
        <v>17</v>
      </c>
      <c r="B820">
        <v>9</v>
      </c>
      <c r="C820">
        <v>48</v>
      </c>
      <c r="D820">
        <v>2</v>
      </c>
      <c r="E820" t="s">
        <v>323</v>
      </c>
      <c r="F820" t="s">
        <v>288</v>
      </c>
      <c r="G820" t="s">
        <v>321</v>
      </c>
      <c r="H820" t="s">
        <v>95</v>
      </c>
    </row>
    <row r="821" spans="1:8" x14ac:dyDescent="0.15">
      <c r="A821" t="s">
        <v>17</v>
      </c>
      <c r="B821">
        <v>9</v>
      </c>
      <c r="C821">
        <v>49</v>
      </c>
      <c r="D821">
        <v>2</v>
      </c>
      <c r="E821" t="s">
        <v>323</v>
      </c>
      <c r="F821" t="s">
        <v>278</v>
      </c>
      <c r="G821" t="s">
        <v>321</v>
      </c>
      <c r="H821" t="s">
        <v>95</v>
      </c>
    </row>
    <row r="822" spans="1:8" x14ac:dyDescent="0.15">
      <c r="A822" t="s">
        <v>17</v>
      </c>
      <c r="B822">
        <v>9</v>
      </c>
      <c r="C822">
        <v>50</v>
      </c>
      <c r="D822">
        <v>0</v>
      </c>
      <c r="E822" t="s">
        <v>326</v>
      </c>
      <c r="F822" t="s">
        <v>278</v>
      </c>
      <c r="G822" t="s">
        <v>327</v>
      </c>
      <c r="H822" t="s">
        <v>93</v>
      </c>
    </row>
    <row r="823" spans="1:8" x14ac:dyDescent="0.15">
      <c r="A823" t="s">
        <v>17</v>
      </c>
      <c r="B823">
        <v>9</v>
      </c>
      <c r="C823">
        <v>51</v>
      </c>
      <c r="D823">
        <v>4</v>
      </c>
      <c r="E823" t="s">
        <v>38</v>
      </c>
      <c r="F823" t="s">
        <v>289</v>
      </c>
      <c r="G823" t="s">
        <v>321</v>
      </c>
      <c r="H823" t="s">
        <v>97</v>
      </c>
    </row>
    <row r="824" spans="1:8" x14ac:dyDescent="0.15">
      <c r="A824" t="s">
        <v>17</v>
      </c>
      <c r="B824">
        <v>9</v>
      </c>
      <c r="C824">
        <v>52</v>
      </c>
      <c r="D824">
        <v>4</v>
      </c>
      <c r="E824" t="s">
        <v>38</v>
      </c>
      <c r="F824" t="s">
        <v>279</v>
      </c>
      <c r="G824" t="s">
        <v>321</v>
      </c>
      <c r="H824" t="s">
        <v>97</v>
      </c>
    </row>
    <row r="825" spans="1:8" x14ac:dyDescent="0.15">
      <c r="A825" t="s">
        <v>17</v>
      </c>
      <c r="B825">
        <v>9</v>
      </c>
      <c r="C825">
        <v>53</v>
      </c>
      <c r="D825">
        <v>0</v>
      </c>
      <c r="E825" t="s">
        <v>326</v>
      </c>
      <c r="F825" t="s">
        <v>279</v>
      </c>
      <c r="G825" t="s">
        <v>327</v>
      </c>
      <c r="H825" t="s">
        <v>93</v>
      </c>
    </row>
    <row r="826" spans="1:8" x14ac:dyDescent="0.15">
      <c r="A826" t="s">
        <v>17</v>
      </c>
      <c r="B826">
        <v>9</v>
      </c>
      <c r="C826">
        <v>54</v>
      </c>
      <c r="D826">
        <v>4</v>
      </c>
      <c r="E826" t="s">
        <v>38</v>
      </c>
      <c r="F826" t="s">
        <v>291</v>
      </c>
      <c r="G826" t="s">
        <v>321</v>
      </c>
      <c r="H826" t="s">
        <v>97</v>
      </c>
    </row>
    <row r="827" spans="1:8" x14ac:dyDescent="0.15">
      <c r="A827" t="s">
        <v>17</v>
      </c>
      <c r="B827">
        <v>9</v>
      </c>
      <c r="C827">
        <v>55</v>
      </c>
      <c r="D827">
        <v>4</v>
      </c>
      <c r="E827" t="s">
        <v>38</v>
      </c>
      <c r="F827" t="s">
        <v>280</v>
      </c>
      <c r="G827" t="s">
        <v>321</v>
      </c>
      <c r="H827" t="s">
        <v>97</v>
      </c>
    </row>
    <row r="828" spans="1:8" x14ac:dyDescent="0.15">
      <c r="A828" t="s">
        <v>17</v>
      </c>
      <c r="B828">
        <v>9</v>
      </c>
      <c r="C828">
        <v>56</v>
      </c>
      <c r="D828">
        <v>0</v>
      </c>
      <c r="E828" t="s">
        <v>326</v>
      </c>
      <c r="F828" t="s">
        <v>280</v>
      </c>
      <c r="G828" t="s">
        <v>327</v>
      </c>
      <c r="H828" t="s">
        <v>93</v>
      </c>
    </row>
    <row r="829" spans="1:8" x14ac:dyDescent="0.15">
      <c r="A829" t="s">
        <v>17</v>
      </c>
      <c r="B829">
        <v>9</v>
      </c>
      <c r="C829">
        <v>57</v>
      </c>
      <c r="D829">
        <v>2</v>
      </c>
      <c r="E829" t="s">
        <v>323</v>
      </c>
      <c r="F829" t="s">
        <v>290</v>
      </c>
      <c r="G829" t="s">
        <v>321</v>
      </c>
      <c r="H829" t="s">
        <v>95</v>
      </c>
    </row>
    <row r="830" spans="1:8" x14ac:dyDescent="0.15">
      <c r="A830" t="s">
        <v>17</v>
      </c>
      <c r="B830">
        <v>9</v>
      </c>
      <c r="C830">
        <v>58</v>
      </c>
      <c r="D830">
        <v>2</v>
      </c>
      <c r="E830" t="s">
        <v>323</v>
      </c>
      <c r="F830" t="s">
        <v>281</v>
      </c>
      <c r="G830" t="s">
        <v>321</v>
      </c>
      <c r="H830" t="s">
        <v>95</v>
      </c>
    </row>
    <row r="831" spans="1:8" x14ac:dyDescent="0.15">
      <c r="A831" t="s">
        <v>17</v>
      </c>
      <c r="B831">
        <v>9</v>
      </c>
      <c r="C831">
        <v>59</v>
      </c>
      <c r="D831">
        <v>0</v>
      </c>
      <c r="E831" t="s">
        <v>326</v>
      </c>
      <c r="F831" t="s">
        <v>281</v>
      </c>
      <c r="G831" t="s">
        <v>327</v>
      </c>
      <c r="H831" t="s">
        <v>93</v>
      </c>
    </row>
    <row r="832" spans="1:8" x14ac:dyDescent="0.15">
      <c r="A832" t="s">
        <v>17</v>
      </c>
      <c r="B832">
        <v>9</v>
      </c>
      <c r="C832">
        <v>60</v>
      </c>
      <c r="D832">
        <v>1</v>
      </c>
      <c r="E832" t="s">
        <v>319</v>
      </c>
      <c r="F832" t="s">
        <v>328</v>
      </c>
      <c r="G832" t="s">
        <v>321</v>
      </c>
      <c r="H832" t="s">
        <v>94</v>
      </c>
    </row>
    <row r="833" spans="1:8" x14ac:dyDescent="0.15">
      <c r="A833" t="s">
        <v>17</v>
      </c>
      <c r="B833">
        <v>9</v>
      </c>
      <c r="C833">
        <v>61</v>
      </c>
      <c r="D833">
        <v>2</v>
      </c>
      <c r="E833" t="s">
        <v>323</v>
      </c>
      <c r="F833" t="s">
        <v>316</v>
      </c>
      <c r="G833" t="s">
        <v>321</v>
      </c>
      <c r="H833" t="s">
        <v>95</v>
      </c>
    </row>
    <row r="834" spans="1:8" x14ac:dyDescent="0.15">
      <c r="A834" t="s">
        <v>17</v>
      </c>
      <c r="B834">
        <v>9</v>
      </c>
      <c r="C834">
        <v>62</v>
      </c>
      <c r="D834">
        <v>0</v>
      </c>
      <c r="E834" t="s">
        <v>326</v>
      </c>
      <c r="F834" t="s">
        <v>317</v>
      </c>
      <c r="G834" t="s">
        <v>327</v>
      </c>
      <c r="H834" t="s">
        <v>93</v>
      </c>
    </row>
    <row r="835" spans="1:8" x14ac:dyDescent="0.15">
      <c r="A835" t="s">
        <v>17</v>
      </c>
      <c r="B835">
        <v>9</v>
      </c>
      <c r="C835">
        <v>63</v>
      </c>
      <c r="D835">
        <v>4</v>
      </c>
      <c r="E835" t="s">
        <v>38</v>
      </c>
      <c r="F835" t="s">
        <v>282</v>
      </c>
      <c r="G835" t="s">
        <v>321</v>
      </c>
      <c r="H835" t="s">
        <v>97</v>
      </c>
    </row>
    <row r="836" spans="1:8" x14ac:dyDescent="0.15">
      <c r="A836" t="s">
        <v>17</v>
      </c>
      <c r="B836">
        <v>9</v>
      </c>
      <c r="C836">
        <v>64</v>
      </c>
      <c r="D836">
        <v>0</v>
      </c>
      <c r="E836" t="s">
        <v>326</v>
      </c>
      <c r="F836" t="s">
        <v>272</v>
      </c>
      <c r="G836" t="s">
        <v>327</v>
      </c>
      <c r="H836" t="s">
        <v>93</v>
      </c>
    </row>
    <row r="837" spans="1:8" x14ac:dyDescent="0.15">
      <c r="A837" t="s">
        <v>17</v>
      </c>
      <c r="B837">
        <v>9</v>
      </c>
      <c r="C837">
        <v>65</v>
      </c>
      <c r="D837">
        <v>4</v>
      </c>
      <c r="E837" t="s">
        <v>38</v>
      </c>
      <c r="F837" t="s">
        <v>283</v>
      </c>
      <c r="G837" t="s">
        <v>321</v>
      </c>
      <c r="H837" t="s">
        <v>97</v>
      </c>
    </row>
    <row r="838" spans="1:8" x14ac:dyDescent="0.15">
      <c r="A838" t="s">
        <v>17</v>
      </c>
      <c r="B838">
        <v>9</v>
      </c>
      <c r="C838">
        <v>66</v>
      </c>
      <c r="D838">
        <v>0</v>
      </c>
      <c r="E838" t="s">
        <v>326</v>
      </c>
      <c r="F838" t="s">
        <v>273</v>
      </c>
      <c r="G838" t="s">
        <v>327</v>
      </c>
      <c r="H838" t="s">
        <v>93</v>
      </c>
    </row>
    <row r="839" spans="1:8" x14ac:dyDescent="0.15">
      <c r="A839" t="s">
        <v>17</v>
      </c>
      <c r="B839">
        <v>9</v>
      </c>
      <c r="C839">
        <v>67</v>
      </c>
      <c r="D839">
        <v>4</v>
      </c>
      <c r="E839" t="s">
        <v>38</v>
      </c>
      <c r="F839" t="s">
        <v>284</v>
      </c>
      <c r="G839" t="s">
        <v>321</v>
      </c>
      <c r="H839" t="s">
        <v>97</v>
      </c>
    </row>
    <row r="840" spans="1:8" x14ac:dyDescent="0.15">
      <c r="A840" t="s">
        <v>17</v>
      </c>
      <c r="B840">
        <v>9</v>
      </c>
      <c r="C840">
        <v>68</v>
      </c>
      <c r="D840">
        <v>0</v>
      </c>
      <c r="E840" t="s">
        <v>326</v>
      </c>
      <c r="F840" t="s">
        <v>274</v>
      </c>
      <c r="G840" t="s">
        <v>327</v>
      </c>
      <c r="H840" t="s">
        <v>93</v>
      </c>
    </row>
    <row r="841" spans="1:8" x14ac:dyDescent="0.15">
      <c r="A841" t="s">
        <v>17</v>
      </c>
      <c r="B841">
        <v>9</v>
      </c>
      <c r="C841">
        <v>69</v>
      </c>
      <c r="D841">
        <v>2</v>
      </c>
      <c r="E841" t="s">
        <v>323</v>
      </c>
      <c r="F841" t="s">
        <v>285</v>
      </c>
      <c r="G841" t="s">
        <v>321</v>
      </c>
      <c r="H841" t="s">
        <v>95</v>
      </c>
    </row>
    <row r="842" spans="1:8" x14ac:dyDescent="0.15">
      <c r="A842" t="s">
        <v>17</v>
      </c>
      <c r="B842">
        <v>9</v>
      </c>
      <c r="C842">
        <v>70</v>
      </c>
      <c r="D842">
        <v>0</v>
      </c>
      <c r="E842" t="s">
        <v>326</v>
      </c>
      <c r="F842" t="s">
        <v>275</v>
      </c>
      <c r="G842" t="s">
        <v>327</v>
      </c>
      <c r="H842" t="s">
        <v>93</v>
      </c>
    </row>
    <row r="843" spans="1:8" x14ac:dyDescent="0.15">
      <c r="A843" t="s">
        <v>17</v>
      </c>
      <c r="B843">
        <v>9</v>
      </c>
      <c r="C843">
        <v>71</v>
      </c>
      <c r="D843">
        <v>4</v>
      </c>
      <c r="E843" t="s">
        <v>38</v>
      </c>
      <c r="F843" t="s">
        <v>286</v>
      </c>
      <c r="G843" t="s">
        <v>321</v>
      </c>
      <c r="H843" t="s">
        <v>97</v>
      </c>
    </row>
    <row r="844" spans="1:8" x14ac:dyDescent="0.15">
      <c r="A844" t="s">
        <v>17</v>
      </c>
      <c r="B844">
        <v>9</v>
      </c>
      <c r="C844">
        <v>72</v>
      </c>
      <c r="D844">
        <v>0</v>
      </c>
      <c r="E844" t="s">
        <v>326</v>
      </c>
      <c r="F844" t="s">
        <v>276</v>
      </c>
      <c r="G844" t="s">
        <v>327</v>
      </c>
      <c r="H844" t="s">
        <v>93</v>
      </c>
    </row>
    <row r="845" spans="1:8" x14ac:dyDescent="0.15">
      <c r="A845" t="s">
        <v>17</v>
      </c>
      <c r="B845">
        <v>9</v>
      </c>
      <c r="C845">
        <v>73</v>
      </c>
      <c r="D845">
        <v>2</v>
      </c>
      <c r="E845" t="s">
        <v>323</v>
      </c>
      <c r="F845" t="s">
        <v>287</v>
      </c>
      <c r="G845" t="s">
        <v>321</v>
      </c>
      <c r="H845" t="s">
        <v>95</v>
      </c>
    </row>
    <row r="846" spans="1:8" x14ac:dyDescent="0.15">
      <c r="A846" t="s">
        <v>17</v>
      </c>
      <c r="B846">
        <v>9</v>
      </c>
      <c r="C846">
        <v>74</v>
      </c>
      <c r="D846">
        <v>0</v>
      </c>
      <c r="E846" t="s">
        <v>326</v>
      </c>
      <c r="F846" t="s">
        <v>277</v>
      </c>
      <c r="G846" t="s">
        <v>327</v>
      </c>
      <c r="H846" t="s">
        <v>93</v>
      </c>
    </row>
    <row r="847" spans="1:8" x14ac:dyDescent="0.15">
      <c r="A847" t="s">
        <v>17</v>
      </c>
      <c r="B847">
        <v>9</v>
      </c>
      <c r="C847">
        <v>75</v>
      </c>
      <c r="D847">
        <v>2</v>
      </c>
      <c r="E847" t="s">
        <v>323</v>
      </c>
      <c r="F847" t="s">
        <v>288</v>
      </c>
      <c r="G847" t="s">
        <v>321</v>
      </c>
      <c r="H847" t="s">
        <v>95</v>
      </c>
    </row>
    <row r="848" spans="1:8" x14ac:dyDescent="0.15">
      <c r="A848" t="s">
        <v>17</v>
      </c>
      <c r="B848">
        <v>9</v>
      </c>
      <c r="C848">
        <v>76</v>
      </c>
      <c r="D848">
        <v>0</v>
      </c>
      <c r="E848" t="s">
        <v>326</v>
      </c>
      <c r="F848" t="s">
        <v>278</v>
      </c>
      <c r="G848" t="s">
        <v>327</v>
      </c>
      <c r="H848" t="s">
        <v>93</v>
      </c>
    </row>
    <row r="849" spans="1:8" x14ac:dyDescent="0.15">
      <c r="A849" t="s">
        <v>17</v>
      </c>
      <c r="B849">
        <v>9</v>
      </c>
      <c r="C849">
        <v>77</v>
      </c>
      <c r="D849">
        <v>4</v>
      </c>
      <c r="E849" t="s">
        <v>38</v>
      </c>
      <c r="F849" t="s">
        <v>289</v>
      </c>
      <c r="G849" t="s">
        <v>321</v>
      </c>
      <c r="H849" t="s">
        <v>97</v>
      </c>
    </row>
    <row r="850" spans="1:8" x14ac:dyDescent="0.15">
      <c r="A850" t="s">
        <v>17</v>
      </c>
      <c r="B850">
        <v>9</v>
      </c>
      <c r="C850">
        <v>78</v>
      </c>
      <c r="D850">
        <v>0</v>
      </c>
      <c r="E850" t="s">
        <v>326</v>
      </c>
      <c r="F850" t="s">
        <v>279</v>
      </c>
      <c r="G850" t="s">
        <v>327</v>
      </c>
      <c r="H850" t="s">
        <v>93</v>
      </c>
    </row>
    <row r="851" spans="1:8" x14ac:dyDescent="0.15">
      <c r="A851" t="s">
        <v>17</v>
      </c>
      <c r="B851">
        <v>9</v>
      </c>
      <c r="C851">
        <v>79</v>
      </c>
      <c r="D851">
        <v>4</v>
      </c>
      <c r="E851" t="s">
        <v>38</v>
      </c>
      <c r="F851" t="s">
        <v>291</v>
      </c>
      <c r="G851" t="s">
        <v>321</v>
      </c>
      <c r="H851" t="s">
        <v>97</v>
      </c>
    </row>
    <row r="852" spans="1:8" x14ac:dyDescent="0.15">
      <c r="A852" t="s">
        <v>17</v>
      </c>
      <c r="B852">
        <v>9</v>
      </c>
      <c r="C852">
        <v>80</v>
      </c>
      <c r="D852">
        <v>0</v>
      </c>
      <c r="E852" t="s">
        <v>326</v>
      </c>
      <c r="F852" t="s">
        <v>280</v>
      </c>
      <c r="G852" t="s">
        <v>327</v>
      </c>
      <c r="H852" t="s">
        <v>93</v>
      </c>
    </row>
    <row r="853" spans="1:8" x14ac:dyDescent="0.15">
      <c r="A853" t="s">
        <v>17</v>
      </c>
      <c r="B853">
        <v>9</v>
      </c>
      <c r="C853">
        <v>81</v>
      </c>
      <c r="D853">
        <v>2</v>
      </c>
      <c r="E853" t="s">
        <v>323</v>
      </c>
      <c r="F853" t="s">
        <v>290</v>
      </c>
      <c r="G853" t="s">
        <v>321</v>
      </c>
      <c r="H853" t="s">
        <v>95</v>
      </c>
    </row>
    <row r="854" spans="1:8" x14ac:dyDescent="0.15">
      <c r="A854" t="s">
        <v>17</v>
      </c>
      <c r="B854">
        <v>9</v>
      </c>
      <c r="C854">
        <v>82</v>
      </c>
      <c r="D854">
        <v>0</v>
      </c>
      <c r="E854" t="s">
        <v>326</v>
      </c>
      <c r="F854" t="s">
        <v>281</v>
      </c>
      <c r="G854" t="s">
        <v>327</v>
      </c>
      <c r="H854" t="s">
        <v>93</v>
      </c>
    </row>
    <row r="855" spans="1:8" x14ac:dyDescent="0.15">
      <c r="A855" t="s">
        <v>17</v>
      </c>
      <c r="B855">
        <v>9</v>
      </c>
      <c r="C855">
        <v>83</v>
      </c>
      <c r="D855">
        <v>1</v>
      </c>
      <c r="E855" t="s">
        <v>319</v>
      </c>
      <c r="F855" t="s">
        <v>360</v>
      </c>
      <c r="G855" t="s">
        <v>320</v>
      </c>
      <c r="H855" t="s">
        <v>94</v>
      </c>
    </row>
    <row r="856" spans="1:8" x14ac:dyDescent="0.15">
      <c r="A856" t="s">
        <v>17</v>
      </c>
      <c r="B856">
        <v>10</v>
      </c>
      <c r="C856">
        <v>1</v>
      </c>
      <c r="D856">
        <v>1</v>
      </c>
      <c r="E856" t="s">
        <v>319</v>
      </c>
      <c r="F856" t="s">
        <v>292</v>
      </c>
      <c r="G856" t="s">
        <v>321</v>
      </c>
      <c r="H856" t="s">
        <v>94</v>
      </c>
    </row>
    <row r="857" spans="1:8" x14ac:dyDescent="0.15">
      <c r="A857" t="s">
        <v>17</v>
      </c>
      <c r="B857">
        <v>10</v>
      </c>
      <c r="C857">
        <v>2</v>
      </c>
      <c r="D857">
        <v>1</v>
      </c>
      <c r="E857" t="s">
        <v>319</v>
      </c>
      <c r="F857" t="s">
        <v>361</v>
      </c>
      <c r="G857" t="s">
        <v>321</v>
      </c>
      <c r="H857" t="s">
        <v>94</v>
      </c>
    </row>
    <row r="858" spans="1:8" ht="40.5" x14ac:dyDescent="0.15">
      <c r="A858" t="s">
        <v>17</v>
      </c>
      <c r="B858">
        <v>10</v>
      </c>
      <c r="C858">
        <v>3</v>
      </c>
      <c r="D858">
        <v>1</v>
      </c>
      <c r="E858" t="s">
        <v>319</v>
      </c>
      <c r="F858" s="1" t="str">
        <f>"まずは対話文を流します。その後に、日本語と"&amp;A858&amp;"を一文ずつ流すので"&amp;A858&amp;"を真似して下さい。最後に日本語のみを流すので、"&amp;A858&amp;"で答えてください。"</f>
        <v>まずは対話文を流します。その後に、日本語とドイツ語を一文ずつ流すのでドイツ語を真似して下さい。最後に日本語のみを流すので、ドイツ語で答えてください。</v>
      </c>
      <c r="G858" t="s">
        <v>321</v>
      </c>
      <c r="H858" t="s">
        <v>94</v>
      </c>
    </row>
    <row r="859" spans="1:8" x14ac:dyDescent="0.15">
      <c r="A859" t="s">
        <v>17</v>
      </c>
      <c r="B859">
        <v>10</v>
      </c>
      <c r="C859">
        <v>4</v>
      </c>
      <c r="D859">
        <v>3</v>
      </c>
      <c r="E859" t="s">
        <v>324</v>
      </c>
      <c r="F859" t="s">
        <v>302</v>
      </c>
      <c r="G859" t="s">
        <v>321</v>
      </c>
      <c r="H859" t="s">
        <v>96</v>
      </c>
    </row>
    <row r="860" spans="1:8" x14ac:dyDescent="0.15">
      <c r="A860" t="s">
        <v>17</v>
      </c>
      <c r="B860">
        <v>10</v>
      </c>
      <c r="C860">
        <v>5</v>
      </c>
      <c r="D860">
        <v>3</v>
      </c>
      <c r="E860" t="s">
        <v>324</v>
      </c>
      <c r="F860" t="s">
        <v>293</v>
      </c>
      <c r="G860" t="s">
        <v>321</v>
      </c>
      <c r="H860" t="s">
        <v>96</v>
      </c>
    </row>
    <row r="861" spans="1:8" x14ac:dyDescent="0.15">
      <c r="A861" t="s">
        <v>17</v>
      </c>
      <c r="B861">
        <v>10</v>
      </c>
      <c r="C861">
        <v>6</v>
      </c>
      <c r="D861">
        <v>2</v>
      </c>
      <c r="E861" t="s">
        <v>323</v>
      </c>
      <c r="F861" t="s">
        <v>303</v>
      </c>
      <c r="G861" t="s">
        <v>321</v>
      </c>
      <c r="H861" t="s">
        <v>95</v>
      </c>
    </row>
    <row r="862" spans="1:8" x14ac:dyDescent="0.15">
      <c r="A862" t="s">
        <v>17</v>
      </c>
      <c r="B862">
        <v>10</v>
      </c>
      <c r="C862">
        <v>7</v>
      </c>
      <c r="D862">
        <v>2</v>
      </c>
      <c r="E862" t="s">
        <v>323</v>
      </c>
      <c r="F862" t="s">
        <v>294</v>
      </c>
      <c r="G862" t="s">
        <v>321</v>
      </c>
      <c r="H862" t="s">
        <v>95</v>
      </c>
    </row>
    <row r="863" spans="1:8" x14ac:dyDescent="0.15">
      <c r="A863" t="s">
        <v>17</v>
      </c>
      <c r="B863">
        <v>10</v>
      </c>
      <c r="C863">
        <v>8</v>
      </c>
      <c r="D863">
        <v>2</v>
      </c>
      <c r="E863" t="s">
        <v>323</v>
      </c>
      <c r="F863" t="s">
        <v>315</v>
      </c>
      <c r="G863" t="s">
        <v>321</v>
      </c>
      <c r="H863" t="s">
        <v>95</v>
      </c>
    </row>
    <row r="864" spans="1:8" x14ac:dyDescent="0.15">
      <c r="A864" t="s">
        <v>17</v>
      </c>
      <c r="B864">
        <v>10</v>
      </c>
      <c r="C864">
        <v>9</v>
      </c>
      <c r="D864">
        <v>2</v>
      </c>
      <c r="E864" t="s">
        <v>323</v>
      </c>
      <c r="F864" t="s">
        <v>304</v>
      </c>
      <c r="G864" t="s">
        <v>321</v>
      </c>
      <c r="H864" t="s">
        <v>95</v>
      </c>
    </row>
    <row r="865" spans="1:12" x14ac:dyDescent="0.15">
      <c r="A865" t="s">
        <v>17</v>
      </c>
      <c r="B865">
        <v>10</v>
      </c>
      <c r="C865">
        <v>10</v>
      </c>
      <c r="D865">
        <v>2</v>
      </c>
      <c r="E865" t="s">
        <v>323</v>
      </c>
      <c r="F865" t="s">
        <v>295</v>
      </c>
      <c r="G865" t="s">
        <v>321</v>
      </c>
      <c r="H865" t="s">
        <v>95</v>
      </c>
    </row>
    <row r="866" spans="1:12" x14ac:dyDescent="0.15">
      <c r="A866" t="s">
        <v>17</v>
      </c>
      <c r="B866">
        <v>10</v>
      </c>
      <c r="C866">
        <v>11</v>
      </c>
      <c r="D866">
        <v>3</v>
      </c>
      <c r="E866" t="s">
        <v>324</v>
      </c>
      <c r="F866" t="s">
        <v>305</v>
      </c>
      <c r="G866" t="s">
        <v>321</v>
      </c>
      <c r="H866" t="s">
        <v>96</v>
      </c>
    </row>
    <row r="867" spans="1:12" x14ac:dyDescent="0.15">
      <c r="A867" t="s">
        <v>17</v>
      </c>
      <c r="B867">
        <v>10</v>
      </c>
      <c r="C867">
        <v>12</v>
      </c>
      <c r="D867">
        <v>3</v>
      </c>
      <c r="E867" t="s">
        <v>324</v>
      </c>
      <c r="F867" t="s">
        <v>296</v>
      </c>
      <c r="G867" t="s">
        <v>321</v>
      </c>
      <c r="H867" t="s">
        <v>96</v>
      </c>
    </row>
    <row r="868" spans="1:12" x14ac:dyDescent="0.15">
      <c r="A868" t="s">
        <v>17</v>
      </c>
      <c r="B868">
        <v>10</v>
      </c>
      <c r="C868">
        <v>13</v>
      </c>
      <c r="D868">
        <v>2</v>
      </c>
      <c r="E868" t="s">
        <v>323</v>
      </c>
      <c r="F868" t="s">
        <v>306</v>
      </c>
      <c r="G868" t="s">
        <v>321</v>
      </c>
      <c r="H868" t="s">
        <v>95</v>
      </c>
    </row>
    <row r="869" spans="1:12" x14ac:dyDescent="0.15">
      <c r="A869" t="s">
        <v>17</v>
      </c>
      <c r="B869">
        <v>10</v>
      </c>
      <c r="C869">
        <v>14</v>
      </c>
      <c r="D869">
        <v>2</v>
      </c>
      <c r="E869" t="s">
        <v>323</v>
      </c>
      <c r="F869" t="s">
        <v>300</v>
      </c>
      <c r="G869" t="s">
        <v>321</v>
      </c>
      <c r="H869" t="s">
        <v>95</v>
      </c>
    </row>
    <row r="870" spans="1:12" x14ac:dyDescent="0.15">
      <c r="A870" t="s">
        <v>17</v>
      </c>
      <c r="B870">
        <v>10</v>
      </c>
      <c r="C870">
        <v>15</v>
      </c>
      <c r="D870">
        <v>2</v>
      </c>
      <c r="E870" t="s">
        <v>323</v>
      </c>
      <c r="F870" t="s">
        <v>307</v>
      </c>
      <c r="G870" t="s">
        <v>321</v>
      </c>
      <c r="H870" t="s">
        <v>95</v>
      </c>
    </row>
    <row r="871" spans="1:12" x14ac:dyDescent="0.15">
      <c r="A871" t="s">
        <v>17</v>
      </c>
      <c r="B871">
        <v>10</v>
      </c>
      <c r="C871">
        <v>16</v>
      </c>
      <c r="D871">
        <v>2</v>
      </c>
      <c r="E871" t="s">
        <v>323</v>
      </c>
      <c r="F871" t="s">
        <v>301</v>
      </c>
      <c r="G871" t="s">
        <v>321</v>
      </c>
      <c r="H871" t="s">
        <v>95</v>
      </c>
    </row>
    <row r="872" spans="1:12" x14ac:dyDescent="0.15">
      <c r="A872" t="s">
        <v>17</v>
      </c>
      <c r="B872">
        <v>10</v>
      </c>
      <c r="C872">
        <v>17</v>
      </c>
      <c r="D872">
        <v>3</v>
      </c>
      <c r="E872" t="s">
        <v>324</v>
      </c>
      <c r="F872" t="s">
        <v>308</v>
      </c>
      <c r="G872" t="s">
        <v>321</v>
      </c>
      <c r="H872" t="s">
        <v>96</v>
      </c>
    </row>
    <row r="873" spans="1:12" x14ac:dyDescent="0.15">
      <c r="A873" t="s">
        <v>17</v>
      </c>
      <c r="B873">
        <v>10</v>
      </c>
      <c r="C873">
        <v>18</v>
      </c>
      <c r="D873">
        <v>3</v>
      </c>
      <c r="E873" t="s">
        <v>324</v>
      </c>
      <c r="F873" t="s">
        <v>297</v>
      </c>
      <c r="G873" t="s">
        <v>321</v>
      </c>
      <c r="H873" t="s">
        <v>96</v>
      </c>
    </row>
    <row r="874" spans="1:12" x14ac:dyDescent="0.15">
      <c r="A874" t="s">
        <v>17</v>
      </c>
      <c r="B874">
        <v>10</v>
      </c>
      <c r="C874">
        <v>19</v>
      </c>
      <c r="D874">
        <v>2</v>
      </c>
      <c r="E874" t="s">
        <v>323</v>
      </c>
      <c r="F874" t="s">
        <v>309</v>
      </c>
      <c r="G874" t="s">
        <v>321</v>
      </c>
      <c r="H874" t="s">
        <v>95</v>
      </c>
    </row>
    <row r="875" spans="1:12" x14ac:dyDescent="0.15">
      <c r="A875" t="s">
        <v>17</v>
      </c>
      <c r="B875">
        <v>10</v>
      </c>
      <c r="C875">
        <v>20</v>
      </c>
      <c r="D875">
        <v>2</v>
      </c>
      <c r="E875" t="s">
        <v>323</v>
      </c>
      <c r="F875" t="s">
        <v>298</v>
      </c>
      <c r="G875" t="s">
        <v>321</v>
      </c>
      <c r="H875" t="s">
        <v>95</v>
      </c>
    </row>
    <row r="876" spans="1:12" x14ac:dyDescent="0.15">
      <c r="A876" t="s">
        <v>17</v>
      </c>
      <c r="B876">
        <v>10</v>
      </c>
      <c r="C876">
        <v>21</v>
      </c>
      <c r="D876">
        <v>3</v>
      </c>
      <c r="E876" t="s">
        <v>324</v>
      </c>
      <c r="F876" t="s">
        <v>310</v>
      </c>
      <c r="G876" t="s">
        <v>321</v>
      </c>
      <c r="H876" t="s">
        <v>96</v>
      </c>
    </row>
    <row r="877" spans="1:12" x14ac:dyDescent="0.15">
      <c r="A877" t="s">
        <v>17</v>
      </c>
      <c r="B877">
        <v>10</v>
      </c>
      <c r="C877">
        <v>22</v>
      </c>
      <c r="D877">
        <v>3</v>
      </c>
      <c r="E877" t="s">
        <v>324</v>
      </c>
      <c r="F877" t="s">
        <v>299</v>
      </c>
      <c r="G877" t="s">
        <v>321</v>
      </c>
      <c r="H877" t="s">
        <v>96</v>
      </c>
    </row>
    <row r="878" spans="1:12" x14ac:dyDescent="0.15">
      <c r="A878" t="s">
        <v>17</v>
      </c>
      <c r="B878">
        <v>10</v>
      </c>
      <c r="C878">
        <v>23</v>
      </c>
      <c r="D878">
        <v>1</v>
      </c>
      <c r="E878" t="s">
        <v>319</v>
      </c>
      <c r="F878" t="str">
        <f>"次の"&amp;A878&amp;"を真似してね！"</f>
        <v>次のドイツ語を真似してね！</v>
      </c>
      <c r="G878" t="s">
        <v>321</v>
      </c>
      <c r="H878" t="s">
        <v>94</v>
      </c>
      <c r="L878" s="1"/>
    </row>
    <row r="879" spans="1:12" x14ac:dyDescent="0.15">
      <c r="A879" t="s">
        <v>17</v>
      </c>
      <c r="B879">
        <v>10</v>
      </c>
      <c r="C879">
        <v>24</v>
      </c>
      <c r="D879">
        <v>3</v>
      </c>
      <c r="E879" t="s">
        <v>324</v>
      </c>
      <c r="F879" t="s">
        <v>302</v>
      </c>
      <c r="G879" t="s">
        <v>321</v>
      </c>
      <c r="H879" t="s">
        <v>96</v>
      </c>
    </row>
    <row r="880" spans="1:12" x14ac:dyDescent="0.15">
      <c r="A880" t="s">
        <v>17</v>
      </c>
      <c r="B880">
        <v>10</v>
      </c>
      <c r="C880">
        <v>25</v>
      </c>
      <c r="D880">
        <v>3</v>
      </c>
      <c r="E880" t="s">
        <v>324</v>
      </c>
      <c r="F880" t="s">
        <v>293</v>
      </c>
      <c r="G880" t="s">
        <v>321</v>
      </c>
      <c r="H880" t="s">
        <v>96</v>
      </c>
    </row>
    <row r="881" spans="1:8" x14ac:dyDescent="0.15">
      <c r="A881" t="s">
        <v>17</v>
      </c>
      <c r="B881">
        <v>10</v>
      </c>
      <c r="C881">
        <v>26</v>
      </c>
      <c r="D881">
        <v>0</v>
      </c>
      <c r="E881" t="s">
        <v>326</v>
      </c>
      <c r="F881" t="s">
        <v>293</v>
      </c>
      <c r="G881" t="s">
        <v>327</v>
      </c>
      <c r="H881" t="s">
        <v>93</v>
      </c>
    </row>
    <row r="882" spans="1:8" x14ac:dyDescent="0.15">
      <c r="A882" t="s">
        <v>17</v>
      </c>
      <c r="B882">
        <v>10</v>
      </c>
      <c r="C882">
        <v>27</v>
      </c>
      <c r="D882">
        <v>2</v>
      </c>
      <c r="E882" t="s">
        <v>323</v>
      </c>
      <c r="F882" t="s">
        <v>303</v>
      </c>
      <c r="G882" t="s">
        <v>321</v>
      </c>
      <c r="H882" t="s">
        <v>95</v>
      </c>
    </row>
    <row r="883" spans="1:8" x14ac:dyDescent="0.15">
      <c r="A883" t="s">
        <v>17</v>
      </c>
      <c r="B883">
        <v>10</v>
      </c>
      <c r="C883">
        <v>28</v>
      </c>
      <c r="D883">
        <v>2</v>
      </c>
      <c r="E883" t="s">
        <v>323</v>
      </c>
      <c r="F883" t="s">
        <v>294</v>
      </c>
      <c r="G883" t="s">
        <v>321</v>
      </c>
      <c r="H883" t="s">
        <v>95</v>
      </c>
    </row>
    <row r="884" spans="1:8" x14ac:dyDescent="0.15">
      <c r="A884" t="s">
        <v>17</v>
      </c>
      <c r="B884">
        <v>10</v>
      </c>
      <c r="C884">
        <v>29</v>
      </c>
      <c r="D884">
        <v>0</v>
      </c>
      <c r="E884" t="s">
        <v>326</v>
      </c>
      <c r="F884" t="s">
        <v>294</v>
      </c>
      <c r="G884" t="s">
        <v>327</v>
      </c>
      <c r="H884" t="s">
        <v>93</v>
      </c>
    </row>
    <row r="885" spans="1:8" x14ac:dyDescent="0.15">
      <c r="A885" t="s">
        <v>17</v>
      </c>
      <c r="B885">
        <v>10</v>
      </c>
      <c r="C885">
        <v>30</v>
      </c>
      <c r="D885">
        <v>2</v>
      </c>
      <c r="E885" t="s">
        <v>323</v>
      </c>
      <c r="F885" t="s">
        <v>318</v>
      </c>
      <c r="G885" t="s">
        <v>321</v>
      </c>
      <c r="H885" t="s">
        <v>95</v>
      </c>
    </row>
    <row r="886" spans="1:8" x14ac:dyDescent="0.15">
      <c r="A886" t="s">
        <v>17</v>
      </c>
      <c r="B886">
        <v>10</v>
      </c>
      <c r="C886">
        <v>31</v>
      </c>
      <c r="D886">
        <v>2</v>
      </c>
      <c r="E886" t="s">
        <v>323</v>
      </c>
      <c r="F886" t="s">
        <v>304</v>
      </c>
      <c r="G886" t="s">
        <v>321</v>
      </c>
      <c r="H886" t="s">
        <v>95</v>
      </c>
    </row>
    <row r="887" spans="1:8" x14ac:dyDescent="0.15">
      <c r="A887" t="s">
        <v>17</v>
      </c>
      <c r="B887">
        <v>10</v>
      </c>
      <c r="C887">
        <v>32</v>
      </c>
      <c r="D887">
        <v>2</v>
      </c>
      <c r="E887" t="s">
        <v>323</v>
      </c>
      <c r="F887" t="s">
        <v>295</v>
      </c>
      <c r="G887" t="s">
        <v>321</v>
      </c>
      <c r="H887" t="s">
        <v>95</v>
      </c>
    </row>
    <row r="888" spans="1:8" x14ac:dyDescent="0.15">
      <c r="A888" t="s">
        <v>17</v>
      </c>
      <c r="B888">
        <v>10</v>
      </c>
      <c r="C888">
        <v>33</v>
      </c>
      <c r="D888">
        <v>0</v>
      </c>
      <c r="E888" t="s">
        <v>326</v>
      </c>
      <c r="F888" t="s">
        <v>295</v>
      </c>
      <c r="G888" t="s">
        <v>327</v>
      </c>
      <c r="H888" t="s">
        <v>93</v>
      </c>
    </row>
    <row r="889" spans="1:8" x14ac:dyDescent="0.15">
      <c r="A889" t="s">
        <v>17</v>
      </c>
      <c r="B889">
        <v>10</v>
      </c>
      <c r="C889">
        <v>34</v>
      </c>
      <c r="D889">
        <v>3</v>
      </c>
      <c r="E889" t="s">
        <v>324</v>
      </c>
      <c r="F889" t="s">
        <v>305</v>
      </c>
      <c r="G889" t="s">
        <v>321</v>
      </c>
      <c r="H889" t="s">
        <v>96</v>
      </c>
    </row>
    <row r="890" spans="1:8" x14ac:dyDescent="0.15">
      <c r="A890" t="s">
        <v>17</v>
      </c>
      <c r="B890">
        <v>10</v>
      </c>
      <c r="C890">
        <v>35</v>
      </c>
      <c r="D890">
        <v>3</v>
      </c>
      <c r="E890" t="s">
        <v>324</v>
      </c>
      <c r="F890" t="s">
        <v>296</v>
      </c>
      <c r="G890" t="s">
        <v>321</v>
      </c>
      <c r="H890" t="s">
        <v>96</v>
      </c>
    </row>
    <row r="891" spans="1:8" x14ac:dyDescent="0.15">
      <c r="A891" t="s">
        <v>17</v>
      </c>
      <c r="B891">
        <v>10</v>
      </c>
      <c r="C891">
        <v>36</v>
      </c>
      <c r="D891">
        <v>0</v>
      </c>
      <c r="E891" t="s">
        <v>326</v>
      </c>
      <c r="F891" t="s">
        <v>296</v>
      </c>
      <c r="G891" t="s">
        <v>327</v>
      </c>
      <c r="H891" t="s">
        <v>93</v>
      </c>
    </row>
    <row r="892" spans="1:8" x14ac:dyDescent="0.15">
      <c r="A892" t="s">
        <v>17</v>
      </c>
      <c r="B892">
        <v>10</v>
      </c>
      <c r="C892">
        <v>37</v>
      </c>
      <c r="D892">
        <v>2</v>
      </c>
      <c r="E892" t="s">
        <v>323</v>
      </c>
      <c r="F892" t="s">
        <v>306</v>
      </c>
      <c r="G892" t="s">
        <v>321</v>
      </c>
      <c r="H892" t="s">
        <v>95</v>
      </c>
    </row>
    <row r="893" spans="1:8" x14ac:dyDescent="0.15">
      <c r="A893" t="s">
        <v>17</v>
      </c>
      <c r="B893">
        <v>10</v>
      </c>
      <c r="C893">
        <v>38</v>
      </c>
      <c r="D893">
        <v>2</v>
      </c>
      <c r="E893" t="s">
        <v>323</v>
      </c>
      <c r="F893" t="s">
        <v>300</v>
      </c>
      <c r="G893" t="s">
        <v>321</v>
      </c>
      <c r="H893" t="s">
        <v>95</v>
      </c>
    </row>
    <row r="894" spans="1:8" x14ac:dyDescent="0.15">
      <c r="A894" t="s">
        <v>17</v>
      </c>
      <c r="B894">
        <v>10</v>
      </c>
      <c r="C894">
        <v>39</v>
      </c>
      <c r="D894">
        <v>0</v>
      </c>
      <c r="E894" t="s">
        <v>326</v>
      </c>
      <c r="F894" t="s">
        <v>300</v>
      </c>
      <c r="G894" t="s">
        <v>327</v>
      </c>
      <c r="H894" t="s">
        <v>93</v>
      </c>
    </row>
    <row r="895" spans="1:8" x14ac:dyDescent="0.15">
      <c r="A895" t="s">
        <v>17</v>
      </c>
      <c r="B895">
        <v>10</v>
      </c>
      <c r="C895">
        <v>40</v>
      </c>
      <c r="D895">
        <v>2</v>
      </c>
      <c r="E895" t="s">
        <v>323</v>
      </c>
      <c r="F895" t="s">
        <v>307</v>
      </c>
      <c r="G895" t="s">
        <v>321</v>
      </c>
      <c r="H895" t="s">
        <v>95</v>
      </c>
    </row>
    <row r="896" spans="1:8" x14ac:dyDescent="0.15">
      <c r="A896" t="s">
        <v>17</v>
      </c>
      <c r="B896">
        <v>10</v>
      </c>
      <c r="C896">
        <v>41</v>
      </c>
      <c r="D896">
        <v>2</v>
      </c>
      <c r="E896" t="s">
        <v>323</v>
      </c>
      <c r="F896" t="s">
        <v>301</v>
      </c>
      <c r="G896" t="s">
        <v>321</v>
      </c>
      <c r="H896" t="s">
        <v>95</v>
      </c>
    </row>
    <row r="897" spans="1:8" x14ac:dyDescent="0.15">
      <c r="A897" t="s">
        <v>17</v>
      </c>
      <c r="B897">
        <v>10</v>
      </c>
      <c r="C897">
        <v>42</v>
      </c>
      <c r="D897">
        <v>0</v>
      </c>
      <c r="E897" t="s">
        <v>326</v>
      </c>
      <c r="F897" t="s">
        <v>301</v>
      </c>
      <c r="G897" t="s">
        <v>327</v>
      </c>
      <c r="H897" t="s">
        <v>93</v>
      </c>
    </row>
    <row r="898" spans="1:8" x14ac:dyDescent="0.15">
      <c r="A898" t="s">
        <v>17</v>
      </c>
      <c r="B898">
        <v>10</v>
      </c>
      <c r="C898">
        <v>43</v>
      </c>
      <c r="D898">
        <v>3</v>
      </c>
      <c r="E898" t="s">
        <v>324</v>
      </c>
      <c r="F898" t="s">
        <v>308</v>
      </c>
      <c r="G898" t="s">
        <v>321</v>
      </c>
      <c r="H898" t="s">
        <v>96</v>
      </c>
    </row>
    <row r="899" spans="1:8" x14ac:dyDescent="0.15">
      <c r="A899" t="s">
        <v>17</v>
      </c>
      <c r="B899">
        <v>10</v>
      </c>
      <c r="C899">
        <v>44</v>
      </c>
      <c r="D899">
        <v>3</v>
      </c>
      <c r="E899" t="s">
        <v>324</v>
      </c>
      <c r="F899" t="s">
        <v>297</v>
      </c>
      <c r="G899" t="s">
        <v>321</v>
      </c>
      <c r="H899" t="s">
        <v>96</v>
      </c>
    </row>
    <row r="900" spans="1:8" x14ac:dyDescent="0.15">
      <c r="A900" t="s">
        <v>17</v>
      </c>
      <c r="B900">
        <v>10</v>
      </c>
      <c r="C900">
        <v>45</v>
      </c>
      <c r="D900">
        <v>0</v>
      </c>
      <c r="E900" t="s">
        <v>326</v>
      </c>
      <c r="F900" t="s">
        <v>297</v>
      </c>
      <c r="G900" t="s">
        <v>327</v>
      </c>
      <c r="H900" t="s">
        <v>93</v>
      </c>
    </row>
    <row r="901" spans="1:8" x14ac:dyDescent="0.15">
      <c r="A901" t="s">
        <v>17</v>
      </c>
      <c r="B901">
        <v>10</v>
      </c>
      <c r="C901">
        <v>46</v>
      </c>
      <c r="D901">
        <v>2</v>
      </c>
      <c r="E901" t="s">
        <v>323</v>
      </c>
      <c r="F901" t="s">
        <v>309</v>
      </c>
      <c r="G901" t="s">
        <v>321</v>
      </c>
      <c r="H901" t="s">
        <v>95</v>
      </c>
    </row>
    <row r="902" spans="1:8" x14ac:dyDescent="0.15">
      <c r="A902" t="s">
        <v>17</v>
      </c>
      <c r="B902">
        <v>10</v>
      </c>
      <c r="C902">
        <v>47</v>
      </c>
      <c r="D902">
        <v>2</v>
      </c>
      <c r="E902" t="s">
        <v>323</v>
      </c>
      <c r="F902" t="s">
        <v>298</v>
      </c>
      <c r="G902" t="s">
        <v>321</v>
      </c>
      <c r="H902" t="s">
        <v>95</v>
      </c>
    </row>
    <row r="903" spans="1:8" x14ac:dyDescent="0.15">
      <c r="A903" t="s">
        <v>17</v>
      </c>
      <c r="B903">
        <v>10</v>
      </c>
      <c r="C903">
        <v>48</v>
      </c>
      <c r="D903">
        <v>0</v>
      </c>
      <c r="E903" t="s">
        <v>326</v>
      </c>
      <c r="F903" t="s">
        <v>298</v>
      </c>
      <c r="G903" t="s">
        <v>327</v>
      </c>
      <c r="H903" t="s">
        <v>93</v>
      </c>
    </row>
    <row r="904" spans="1:8" x14ac:dyDescent="0.15">
      <c r="A904" t="s">
        <v>17</v>
      </c>
      <c r="B904">
        <v>10</v>
      </c>
      <c r="C904">
        <v>49</v>
      </c>
      <c r="D904">
        <v>3</v>
      </c>
      <c r="E904" t="s">
        <v>324</v>
      </c>
      <c r="F904" t="s">
        <v>310</v>
      </c>
      <c r="G904" t="s">
        <v>321</v>
      </c>
      <c r="H904" t="s">
        <v>96</v>
      </c>
    </row>
    <row r="905" spans="1:8" x14ac:dyDescent="0.15">
      <c r="A905" t="s">
        <v>17</v>
      </c>
      <c r="B905">
        <v>10</v>
      </c>
      <c r="C905">
        <v>50</v>
      </c>
      <c r="D905">
        <v>3</v>
      </c>
      <c r="E905" t="s">
        <v>324</v>
      </c>
      <c r="F905" t="s">
        <v>299</v>
      </c>
      <c r="G905" t="s">
        <v>321</v>
      </c>
      <c r="H905" t="s">
        <v>96</v>
      </c>
    </row>
    <row r="906" spans="1:8" x14ac:dyDescent="0.15">
      <c r="A906" t="s">
        <v>17</v>
      </c>
      <c r="B906">
        <v>10</v>
      </c>
      <c r="C906">
        <v>51</v>
      </c>
      <c r="D906">
        <v>0</v>
      </c>
      <c r="E906" t="s">
        <v>326</v>
      </c>
      <c r="F906" t="s">
        <v>299</v>
      </c>
      <c r="G906" t="s">
        <v>327</v>
      </c>
      <c r="H906" t="s">
        <v>93</v>
      </c>
    </row>
    <row r="907" spans="1:8" x14ac:dyDescent="0.15">
      <c r="A907" t="s">
        <v>17</v>
      </c>
      <c r="B907">
        <v>10</v>
      </c>
      <c r="C907">
        <v>52</v>
      </c>
      <c r="D907">
        <v>1</v>
      </c>
      <c r="E907" t="s">
        <v>319</v>
      </c>
      <c r="F907" t="s">
        <v>328</v>
      </c>
      <c r="G907" t="s">
        <v>321</v>
      </c>
      <c r="H907" t="s">
        <v>94</v>
      </c>
    </row>
    <row r="908" spans="1:8" x14ac:dyDescent="0.15">
      <c r="A908" t="s">
        <v>17</v>
      </c>
      <c r="B908">
        <v>10</v>
      </c>
      <c r="C908">
        <v>53</v>
      </c>
      <c r="D908">
        <v>3</v>
      </c>
      <c r="E908" t="s">
        <v>324</v>
      </c>
      <c r="F908" t="s">
        <v>302</v>
      </c>
      <c r="G908" t="s">
        <v>321</v>
      </c>
      <c r="H908" t="s">
        <v>96</v>
      </c>
    </row>
    <row r="909" spans="1:8" x14ac:dyDescent="0.15">
      <c r="A909" t="s">
        <v>17</v>
      </c>
      <c r="B909">
        <v>10</v>
      </c>
      <c r="C909">
        <v>54</v>
      </c>
      <c r="D909">
        <v>0</v>
      </c>
      <c r="E909" t="s">
        <v>326</v>
      </c>
      <c r="F909" t="s">
        <v>293</v>
      </c>
      <c r="G909" t="s">
        <v>327</v>
      </c>
      <c r="H909" t="s">
        <v>93</v>
      </c>
    </row>
    <row r="910" spans="1:8" x14ac:dyDescent="0.15">
      <c r="A910" t="s">
        <v>17</v>
      </c>
      <c r="B910">
        <v>10</v>
      </c>
      <c r="C910">
        <v>55</v>
      </c>
      <c r="D910">
        <v>2</v>
      </c>
      <c r="E910" t="s">
        <v>323</v>
      </c>
      <c r="F910" t="s">
        <v>303</v>
      </c>
      <c r="G910" t="s">
        <v>321</v>
      </c>
      <c r="H910" t="s">
        <v>95</v>
      </c>
    </row>
    <row r="911" spans="1:8" x14ac:dyDescent="0.15">
      <c r="A911" t="s">
        <v>17</v>
      </c>
      <c r="B911">
        <v>10</v>
      </c>
      <c r="C911">
        <v>56</v>
      </c>
      <c r="D911">
        <v>0</v>
      </c>
      <c r="E911" t="s">
        <v>326</v>
      </c>
      <c r="F911" t="s">
        <v>311</v>
      </c>
      <c r="G911" t="s">
        <v>327</v>
      </c>
      <c r="H911" t="s">
        <v>93</v>
      </c>
    </row>
    <row r="912" spans="1:8" x14ac:dyDescent="0.15">
      <c r="A912" t="s">
        <v>17</v>
      </c>
      <c r="B912">
        <v>10</v>
      </c>
      <c r="C912">
        <v>57</v>
      </c>
      <c r="D912">
        <v>2</v>
      </c>
      <c r="E912" t="s">
        <v>323</v>
      </c>
      <c r="F912" t="s">
        <v>318</v>
      </c>
      <c r="G912" t="s">
        <v>321</v>
      </c>
      <c r="H912" t="s">
        <v>95</v>
      </c>
    </row>
    <row r="913" spans="1:8" x14ac:dyDescent="0.15">
      <c r="A913" t="s">
        <v>17</v>
      </c>
      <c r="B913">
        <v>10</v>
      </c>
      <c r="C913">
        <v>58</v>
      </c>
      <c r="D913">
        <v>2</v>
      </c>
      <c r="E913" t="s">
        <v>323</v>
      </c>
      <c r="F913" t="s">
        <v>304</v>
      </c>
      <c r="G913" t="s">
        <v>321</v>
      </c>
      <c r="H913" t="s">
        <v>95</v>
      </c>
    </row>
    <row r="914" spans="1:8" x14ac:dyDescent="0.15">
      <c r="A914" t="s">
        <v>17</v>
      </c>
      <c r="B914">
        <v>10</v>
      </c>
      <c r="C914">
        <v>59</v>
      </c>
      <c r="D914">
        <v>0</v>
      </c>
      <c r="E914" t="s">
        <v>326</v>
      </c>
      <c r="F914" t="s">
        <v>295</v>
      </c>
      <c r="G914" t="s">
        <v>327</v>
      </c>
      <c r="H914" t="s">
        <v>93</v>
      </c>
    </row>
    <row r="915" spans="1:8" x14ac:dyDescent="0.15">
      <c r="A915" t="s">
        <v>17</v>
      </c>
      <c r="B915">
        <v>10</v>
      </c>
      <c r="C915">
        <v>60</v>
      </c>
      <c r="D915">
        <v>3</v>
      </c>
      <c r="E915" t="s">
        <v>324</v>
      </c>
      <c r="F915" t="s">
        <v>305</v>
      </c>
      <c r="G915" t="s">
        <v>321</v>
      </c>
      <c r="H915" t="s">
        <v>96</v>
      </c>
    </row>
    <row r="916" spans="1:8" x14ac:dyDescent="0.15">
      <c r="A916" t="s">
        <v>17</v>
      </c>
      <c r="B916">
        <v>10</v>
      </c>
      <c r="C916">
        <v>61</v>
      </c>
      <c r="D916">
        <v>0</v>
      </c>
      <c r="E916" t="s">
        <v>326</v>
      </c>
      <c r="F916" t="s">
        <v>296</v>
      </c>
      <c r="G916" t="s">
        <v>327</v>
      </c>
      <c r="H916" t="s">
        <v>93</v>
      </c>
    </row>
    <row r="917" spans="1:8" x14ac:dyDescent="0.15">
      <c r="A917" t="s">
        <v>17</v>
      </c>
      <c r="B917">
        <v>10</v>
      </c>
      <c r="C917">
        <v>62</v>
      </c>
      <c r="D917">
        <v>2</v>
      </c>
      <c r="E917" t="s">
        <v>323</v>
      </c>
      <c r="F917" t="s">
        <v>306</v>
      </c>
      <c r="G917" t="s">
        <v>321</v>
      </c>
      <c r="H917" t="s">
        <v>95</v>
      </c>
    </row>
    <row r="918" spans="1:8" x14ac:dyDescent="0.15">
      <c r="A918" t="s">
        <v>17</v>
      </c>
      <c r="B918">
        <v>10</v>
      </c>
      <c r="C918">
        <v>63</v>
      </c>
      <c r="D918">
        <v>0</v>
      </c>
      <c r="E918" t="s">
        <v>326</v>
      </c>
      <c r="F918" t="s">
        <v>300</v>
      </c>
      <c r="G918" t="s">
        <v>327</v>
      </c>
      <c r="H918" t="s">
        <v>93</v>
      </c>
    </row>
    <row r="919" spans="1:8" x14ac:dyDescent="0.15">
      <c r="A919" t="s">
        <v>17</v>
      </c>
      <c r="B919">
        <v>10</v>
      </c>
      <c r="C919">
        <v>64</v>
      </c>
      <c r="D919">
        <v>2</v>
      </c>
      <c r="E919" t="s">
        <v>323</v>
      </c>
      <c r="F919" t="s">
        <v>307</v>
      </c>
      <c r="G919" t="s">
        <v>321</v>
      </c>
      <c r="H919" t="s">
        <v>95</v>
      </c>
    </row>
    <row r="920" spans="1:8" x14ac:dyDescent="0.15">
      <c r="A920" t="s">
        <v>17</v>
      </c>
      <c r="B920">
        <v>10</v>
      </c>
      <c r="C920">
        <v>65</v>
      </c>
      <c r="D920">
        <v>0</v>
      </c>
      <c r="E920" t="s">
        <v>326</v>
      </c>
      <c r="F920" t="s">
        <v>301</v>
      </c>
      <c r="G920" t="s">
        <v>327</v>
      </c>
      <c r="H920" t="s">
        <v>93</v>
      </c>
    </row>
    <row r="921" spans="1:8" x14ac:dyDescent="0.15">
      <c r="A921" t="s">
        <v>17</v>
      </c>
      <c r="B921">
        <v>10</v>
      </c>
      <c r="C921">
        <v>66</v>
      </c>
      <c r="D921">
        <v>3</v>
      </c>
      <c r="E921" t="s">
        <v>324</v>
      </c>
      <c r="F921" t="s">
        <v>308</v>
      </c>
      <c r="G921" t="s">
        <v>321</v>
      </c>
      <c r="H921" t="s">
        <v>96</v>
      </c>
    </row>
    <row r="922" spans="1:8" x14ac:dyDescent="0.15">
      <c r="A922" t="s">
        <v>17</v>
      </c>
      <c r="B922">
        <v>10</v>
      </c>
      <c r="C922">
        <v>67</v>
      </c>
      <c r="D922">
        <v>0</v>
      </c>
      <c r="E922" t="s">
        <v>326</v>
      </c>
      <c r="F922" t="s">
        <v>297</v>
      </c>
      <c r="G922" t="s">
        <v>327</v>
      </c>
      <c r="H922" t="s">
        <v>93</v>
      </c>
    </row>
    <row r="923" spans="1:8" x14ac:dyDescent="0.15">
      <c r="A923" t="s">
        <v>17</v>
      </c>
      <c r="B923">
        <v>10</v>
      </c>
      <c r="C923">
        <v>68</v>
      </c>
      <c r="D923">
        <v>2</v>
      </c>
      <c r="E923" t="s">
        <v>323</v>
      </c>
      <c r="F923" t="s">
        <v>309</v>
      </c>
      <c r="G923" t="s">
        <v>321</v>
      </c>
      <c r="H923" t="s">
        <v>95</v>
      </c>
    </row>
    <row r="924" spans="1:8" x14ac:dyDescent="0.15">
      <c r="A924" t="s">
        <v>17</v>
      </c>
      <c r="B924">
        <v>10</v>
      </c>
      <c r="C924">
        <v>69</v>
      </c>
      <c r="D924">
        <v>0</v>
      </c>
      <c r="E924" t="s">
        <v>326</v>
      </c>
      <c r="F924" t="s">
        <v>298</v>
      </c>
      <c r="G924" t="s">
        <v>327</v>
      </c>
      <c r="H924" t="s">
        <v>93</v>
      </c>
    </row>
    <row r="925" spans="1:8" x14ac:dyDescent="0.15">
      <c r="A925" t="s">
        <v>17</v>
      </c>
      <c r="B925">
        <v>10</v>
      </c>
      <c r="C925">
        <v>70</v>
      </c>
      <c r="D925">
        <v>3</v>
      </c>
      <c r="E925" t="s">
        <v>324</v>
      </c>
      <c r="F925" t="s">
        <v>310</v>
      </c>
      <c r="G925" t="s">
        <v>321</v>
      </c>
      <c r="H925" t="s">
        <v>96</v>
      </c>
    </row>
    <row r="926" spans="1:8" x14ac:dyDescent="0.15">
      <c r="A926" t="s">
        <v>17</v>
      </c>
      <c r="B926">
        <v>10</v>
      </c>
      <c r="C926">
        <v>71</v>
      </c>
      <c r="D926">
        <v>0</v>
      </c>
      <c r="E926" t="s">
        <v>326</v>
      </c>
      <c r="F926" t="s">
        <v>299</v>
      </c>
      <c r="G926" t="s">
        <v>327</v>
      </c>
      <c r="H926" t="s">
        <v>93</v>
      </c>
    </row>
    <row r="927" spans="1:8" x14ac:dyDescent="0.15">
      <c r="A927" t="s">
        <v>17</v>
      </c>
      <c r="B927">
        <v>10</v>
      </c>
      <c r="C927">
        <v>72</v>
      </c>
      <c r="D927">
        <v>1</v>
      </c>
      <c r="E927" t="s">
        <v>319</v>
      </c>
      <c r="F927" t="s">
        <v>362</v>
      </c>
      <c r="G927" t="s">
        <v>320</v>
      </c>
      <c r="H927" t="s">
        <v>94</v>
      </c>
    </row>
    <row r="928" spans="1:8" x14ac:dyDescent="0.15">
      <c r="A928" t="str">
        <f>A927</f>
        <v>ドイツ語</v>
      </c>
      <c r="B928">
        <f>B927+1</f>
        <v>11</v>
      </c>
      <c r="C928">
        <v>1</v>
      </c>
      <c r="D928">
        <v>1</v>
      </c>
      <c r="E928" t="str">
        <f>VLOOKUP(D928,name!A:B,2,1)</f>
        <v>Navigator</v>
      </c>
      <c r="F928" t="s">
        <v>363</v>
      </c>
      <c r="G928" t="str">
        <f>IF(B928&lt;&gt;B929,"e",IF(D928=0,"q","a"))</f>
        <v>a</v>
      </c>
      <c r="H928" t="str">
        <f>VLOOKUP(D928,name!A:C,3,1)</f>
        <v>assets/icons/image014.png</v>
      </c>
    </row>
    <row r="929" spans="1:8" x14ac:dyDescent="0.15">
      <c r="A929" t="str">
        <f t="shared" ref="A929:B930" si="0">A928</f>
        <v>ドイツ語</v>
      </c>
      <c r="B929">
        <f>B928</f>
        <v>11</v>
      </c>
      <c r="C929">
        <f>C928+1</f>
        <v>2</v>
      </c>
      <c r="D929">
        <v>1</v>
      </c>
      <c r="E929" t="str">
        <f>VLOOKUP(D929,name!A:B,2,1)</f>
        <v>Navigator</v>
      </c>
      <c r="F929" t="str">
        <f>"レッスン"&amp;B929</f>
        <v>レッスン11</v>
      </c>
      <c r="G929" t="str">
        <f t="shared" ref="G929" si="1">IF(B929&lt;&gt;B930,"e",IF(D929=0,"q","a"))</f>
        <v>a</v>
      </c>
      <c r="H929" t="str">
        <f>VLOOKUP(D929,name!A:C,3,1)</f>
        <v>assets/icons/image014.png</v>
      </c>
    </row>
    <row r="930" spans="1:8" ht="40.5" x14ac:dyDescent="0.15">
      <c r="A930" t="str">
        <f t="shared" si="0"/>
        <v>ドイツ語</v>
      </c>
      <c r="B930">
        <f t="shared" si="0"/>
        <v>11</v>
      </c>
      <c r="C930">
        <f t="shared" ref="C930:C1038" si="2">C929+1</f>
        <v>3</v>
      </c>
      <c r="D930">
        <v>1</v>
      </c>
      <c r="E930" t="str">
        <f>VLOOKUP(D930,name!A:B,2,1)</f>
        <v>Navigator</v>
      </c>
      <c r="F930" s="1" t="str">
        <f>"まずは対話文を流します。その後に、日本語と"&amp;A930&amp;"を一文ずつ流すので"&amp;A930&amp;"を真似して下さい。最後に日本語のみを流すので、"&amp;A930&amp;"で答えてください。"</f>
        <v>まずは対話文を流します。その後に、日本語とドイツ語を一文ずつ流すのでドイツ語を真似して下さい。最後に日本語のみを流すので、ドイツ語で答えてください。</v>
      </c>
      <c r="G930" t="str">
        <f t="shared" ref="G930:G993" si="3">IF(B930&lt;&gt;B931,"e",IF(D930=0,"q","a"))</f>
        <v>a</v>
      </c>
      <c r="H930" t="str">
        <f>VLOOKUP(D930,name!A:C,3,1)</f>
        <v>assets/icons/image014.png</v>
      </c>
    </row>
    <row r="931" spans="1:8" x14ac:dyDescent="0.15">
      <c r="A931" t="str">
        <f t="shared" ref="A931:B934" si="4">A929</f>
        <v>ドイツ語</v>
      </c>
      <c r="B931">
        <f t="shared" si="4"/>
        <v>11</v>
      </c>
      <c r="C931">
        <f t="shared" si="2"/>
        <v>4</v>
      </c>
      <c r="D931">
        <v>15</v>
      </c>
      <c r="E931" t="str">
        <f>VLOOKUP(D931,name!A:B,2,1)</f>
        <v>Verkäuferin</v>
      </c>
      <c r="F931" t="s">
        <v>377</v>
      </c>
      <c r="G931" t="str">
        <f t="shared" si="3"/>
        <v>a</v>
      </c>
      <c r="H931" t="str">
        <f>VLOOKUP(D931,name!A:C,3,1)</f>
        <v>assets/icons/image088.png</v>
      </c>
    </row>
    <row r="932" spans="1:8" x14ac:dyDescent="0.15">
      <c r="A932" t="str">
        <f t="shared" si="4"/>
        <v>ドイツ語</v>
      </c>
      <c r="B932">
        <f t="shared" si="4"/>
        <v>11</v>
      </c>
      <c r="C932">
        <f t="shared" si="2"/>
        <v>5</v>
      </c>
      <c r="D932">
        <v>15</v>
      </c>
      <c r="E932" t="str">
        <f>VLOOKUP(D932,name!A:B,2,1)</f>
        <v>Verkäuferin</v>
      </c>
      <c r="F932" t="s">
        <v>364</v>
      </c>
      <c r="G932" t="str">
        <f t="shared" si="3"/>
        <v>a</v>
      </c>
      <c r="H932" t="str">
        <f>VLOOKUP(D932,name!A:C,3,1)</f>
        <v>assets/icons/image088.png</v>
      </c>
    </row>
    <row r="933" spans="1:8" x14ac:dyDescent="0.15">
      <c r="A933" t="str">
        <f t="shared" si="4"/>
        <v>ドイツ語</v>
      </c>
      <c r="B933">
        <f t="shared" si="4"/>
        <v>11</v>
      </c>
      <c r="C933">
        <f t="shared" si="2"/>
        <v>6</v>
      </c>
      <c r="D933">
        <v>2</v>
      </c>
      <c r="E933" t="str">
        <f>VLOOKUP(D933,name!A:B,2,1)</f>
        <v>Tanaka</v>
      </c>
      <c r="F933" t="s">
        <v>377</v>
      </c>
      <c r="G933" t="str">
        <f t="shared" si="3"/>
        <v>a</v>
      </c>
      <c r="H933" t="str">
        <f>VLOOKUP(D933,name!A:C,3,1)</f>
        <v>assets/icons/image013.png</v>
      </c>
    </row>
    <row r="934" spans="1:8" x14ac:dyDescent="0.15">
      <c r="A934" t="str">
        <f t="shared" si="4"/>
        <v>ドイツ語</v>
      </c>
      <c r="B934">
        <f t="shared" si="4"/>
        <v>11</v>
      </c>
      <c r="C934">
        <f t="shared" si="2"/>
        <v>7</v>
      </c>
      <c r="D934">
        <v>2</v>
      </c>
      <c r="E934" t="str">
        <f>VLOOKUP(D934,name!A:B,2,1)</f>
        <v>Tanaka</v>
      </c>
      <c r="F934" t="s">
        <v>367</v>
      </c>
      <c r="G934" t="str">
        <f t="shared" si="3"/>
        <v>a</v>
      </c>
      <c r="H934" t="str">
        <f>VLOOKUP(D934,name!A:C,3,1)</f>
        <v>assets/icons/image013.png</v>
      </c>
    </row>
    <row r="935" spans="1:8" x14ac:dyDescent="0.15">
      <c r="A935" t="str">
        <f t="shared" ref="A935:B936" si="5">A933</f>
        <v>ドイツ語</v>
      </c>
      <c r="B935">
        <f t="shared" si="5"/>
        <v>11</v>
      </c>
      <c r="C935">
        <f t="shared" si="2"/>
        <v>8</v>
      </c>
      <c r="D935">
        <v>2</v>
      </c>
      <c r="E935" t="str">
        <f>VLOOKUP(D935,name!A:B,2,1)</f>
        <v>Tanaka</v>
      </c>
      <c r="F935" t="s">
        <v>394</v>
      </c>
      <c r="G935" t="str">
        <f t="shared" si="3"/>
        <v>a</v>
      </c>
      <c r="H935" t="str">
        <f>VLOOKUP(D935,name!A:C,3,1)</f>
        <v>assets/icons/image013.png</v>
      </c>
    </row>
    <row r="936" spans="1:8" x14ac:dyDescent="0.15">
      <c r="A936" t="str">
        <f t="shared" si="5"/>
        <v>ドイツ語</v>
      </c>
      <c r="B936">
        <f t="shared" si="5"/>
        <v>11</v>
      </c>
      <c r="C936">
        <f t="shared" si="2"/>
        <v>9</v>
      </c>
      <c r="D936">
        <v>2</v>
      </c>
      <c r="E936" t="str">
        <f>VLOOKUP(D936,name!A:B,2,1)</f>
        <v>Tanaka</v>
      </c>
      <c r="F936" t="s">
        <v>368</v>
      </c>
      <c r="G936" t="str">
        <f t="shared" si="3"/>
        <v>a</v>
      </c>
      <c r="H936" t="str">
        <f>VLOOKUP(D936,name!A:C,3,1)</f>
        <v>assets/icons/image013.png</v>
      </c>
    </row>
    <row r="937" spans="1:8" x14ac:dyDescent="0.15">
      <c r="A937" t="str">
        <f t="shared" ref="A937:B938" si="6">A935</f>
        <v>ドイツ語</v>
      </c>
      <c r="B937">
        <f t="shared" si="6"/>
        <v>11</v>
      </c>
      <c r="C937">
        <f t="shared" si="2"/>
        <v>10</v>
      </c>
      <c r="D937">
        <v>15</v>
      </c>
      <c r="E937" t="str">
        <f>VLOOKUP(D937,name!A:B,2,1)</f>
        <v>Verkäuferin</v>
      </c>
      <c r="F937" t="s">
        <v>378</v>
      </c>
      <c r="G937" t="str">
        <f t="shared" si="3"/>
        <v>a</v>
      </c>
      <c r="H937" t="str">
        <f>VLOOKUP(D937,name!A:C,3,1)</f>
        <v>assets/icons/image088.png</v>
      </c>
    </row>
    <row r="938" spans="1:8" x14ac:dyDescent="0.15">
      <c r="A938" t="str">
        <f t="shared" si="6"/>
        <v>ドイツ語</v>
      </c>
      <c r="B938">
        <f t="shared" si="6"/>
        <v>11</v>
      </c>
      <c r="C938">
        <f t="shared" si="2"/>
        <v>11</v>
      </c>
      <c r="D938">
        <v>15</v>
      </c>
      <c r="E938" t="str">
        <f>VLOOKUP(D938,name!A:B,2,1)</f>
        <v>Verkäuferin</v>
      </c>
      <c r="F938" t="s">
        <v>369</v>
      </c>
      <c r="G938" t="str">
        <f t="shared" si="3"/>
        <v>a</v>
      </c>
      <c r="H938" t="str">
        <f>VLOOKUP(D938,name!A:C,3,1)</f>
        <v>assets/icons/image088.png</v>
      </c>
    </row>
    <row r="939" spans="1:8" x14ac:dyDescent="0.15">
      <c r="A939" t="str">
        <f t="shared" ref="A939:B940" si="7">A937</f>
        <v>ドイツ語</v>
      </c>
      <c r="B939">
        <f t="shared" si="7"/>
        <v>11</v>
      </c>
      <c r="C939">
        <f t="shared" si="2"/>
        <v>12</v>
      </c>
      <c r="D939">
        <v>2</v>
      </c>
      <c r="E939" t="str">
        <f>VLOOKUP(D939,name!A:B,2,1)</f>
        <v>Tanaka</v>
      </c>
      <c r="F939" s="7" t="s">
        <v>379</v>
      </c>
      <c r="G939" t="str">
        <f t="shared" si="3"/>
        <v>a</v>
      </c>
      <c r="H939" t="str">
        <f>VLOOKUP(D939,name!A:C,3,1)</f>
        <v>assets/icons/image013.png</v>
      </c>
    </row>
    <row r="940" spans="1:8" x14ac:dyDescent="0.15">
      <c r="A940" t="str">
        <f t="shared" si="7"/>
        <v>ドイツ語</v>
      </c>
      <c r="B940">
        <f t="shared" si="7"/>
        <v>11</v>
      </c>
      <c r="C940">
        <f t="shared" si="2"/>
        <v>13</v>
      </c>
      <c r="D940">
        <v>2</v>
      </c>
      <c r="E940" t="str">
        <f>VLOOKUP(D940,name!A:B,2,1)</f>
        <v>Tanaka</v>
      </c>
      <c r="F940" s="7" t="s">
        <v>370</v>
      </c>
      <c r="G940" t="str">
        <f t="shared" si="3"/>
        <v>a</v>
      </c>
      <c r="H940" t="str">
        <f>VLOOKUP(D940,name!A:C,3,1)</f>
        <v>assets/icons/image013.png</v>
      </c>
    </row>
    <row r="941" spans="1:8" x14ac:dyDescent="0.15">
      <c r="A941" t="str">
        <f t="shared" ref="A941:B944" si="8">A937</f>
        <v>ドイツ語</v>
      </c>
      <c r="B941">
        <f t="shared" si="8"/>
        <v>11</v>
      </c>
      <c r="C941">
        <f t="shared" si="2"/>
        <v>14</v>
      </c>
      <c r="D941">
        <v>15</v>
      </c>
      <c r="E941" t="str">
        <f>VLOOKUP(D941,name!A:B,2,1)</f>
        <v>Verkäuferin</v>
      </c>
      <c r="F941" s="7" t="s">
        <v>383</v>
      </c>
      <c r="G941" t="str">
        <f t="shared" si="3"/>
        <v>a</v>
      </c>
      <c r="H941" t="str">
        <f>VLOOKUP(D941,name!A:C,3,1)</f>
        <v>assets/icons/image088.png</v>
      </c>
    </row>
    <row r="942" spans="1:8" x14ac:dyDescent="0.15">
      <c r="A942" t="str">
        <f t="shared" si="8"/>
        <v>ドイツ語</v>
      </c>
      <c r="B942">
        <f t="shared" si="8"/>
        <v>11</v>
      </c>
      <c r="C942">
        <f t="shared" si="2"/>
        <v>15</v>
      </c>
      <c r="D942">
        <v>15</v>
      </c>
      <c r="E942" t="str">
        <f>VLOOKUP(D942,name!A:B,2,1)</f>
        <v>Verkäuferin</v>
      </c>
      <c r="F942" s="7" t="s">
        <v>380</v>
      </c>
      <c r="G942" t="str">
        <f t="shared" si="3"/>
        <v>a</v>
      </c>
      <c r="H942" t="str">
        <f>VLOOKUP(D942,name!A:C,3,1)</f>
        <v>assets/icons/image088.png</v>
      </c>
    </row>
    <row r="943" spans="1:8" x14ac:dyDescent="0.15">
      <c r="A943" t="str">
        <f t="shared" si="8"/>
        <v>ドイツ語</v>
      </c>
      <c r="B943">
        <f t="shared" si="8"/>
        <v>11</v>
      </c>
      <c r="C943">
        <f t="shared" si="2"/>
        <v>16</v>
      </c>
      <c r="D943">
        <v>15</v>
      </c>
      <c r="E943" t="str">
        <f>VLOOKUP(D943,name!A:B,2,1)</f>
        <v>Verkäuferin</v>
      </c>
      <c r="F943" s="7" t="s">
        <v>384</v>
      </c>
      <c r="G943" t="str">
        <f t="shared" si="3"/>
        <v>a</v>
      </c>
      <c r="H943" t="str">
        <f>VLOOKUP(D943,name!A:C,3,1)</f>
        <v>assets/icons/image088.png</v>
      </c>
    </row>
    <row r="944" spans="1:8" x14ac:dyDescent="0.15">
      <c r="A944" t="str">
        <f t="shared" si="8"/>
        <v>ドイツ語</v>
      </c>
      <c r="B944">
        <f t="shared" si="8"/>
        <v>11</v>
      </c>
      <c r="C944">
        <f t="shared" si="2"/>
        <v>17</v>
      </c>
      <c r="D944">
        <v>15</v>
      </c>
      <c r="E944" t="str">
        <f>VLOOKUP(D944,name!A:B,2,1)</f>
        <v>Verkäuferin</v>
      </c>
      <c r="F944" s="7" t="s">
        <v>381</v>
      </c>
      <c r="G944" t="str">
        <f t="shared" si="3"/>
        <v>a</v>
      </c>
      <c r="H944" t="str">
        <f>VLOOKUP(D944,name!A:C,3,1)</f>
        <v>assets/icons/image088.png</v>
      </c>
    </row>
    <row r="945" spans="1:8" x14ac:dyDescent="0.15">
      <c r="A945" t="str">
        <f t="shared" ref="A945:B946" si="9">A943</f>
        <v>ドイツ語</v>
      </c>
      <c r="B945">
        <f t="shared" si="9"/>
        <v>11</v>
      </c>
      <c r="C945">
        <f t="shared" si="2"/>
        <v>18</v>
      </c>
      <c r="D945">
        <v>2</v>
      </c>
      <c r="E945" t="str">
        <f>VLOOKUP(D945,name!A:B,2,1)</f>
        <v>Tanaka</v>
      </c>
      <c r="F945" s="7" t="s">
        <v>382</v>
      </c>
      <c r="G945" t="str">
        <f t="shared" si="3"/>
        <v>a</v>
      </c>
      <c r="H945" t="str">
        <f>VLOOKUP(D945,name!A:C,3,1)</f>
        <v>assets/icons/image013.png</v>
      </c>
    </row>
    <row r="946" spans="1:8" x14ac:dyDescent="0.15">
      <c r="A946" t="str">
        <f t="shared" si="9"/>
        <v>ドイツ語</v>
      </c>
      <c r="B946">
        <f t="shared" si="9"/>
        <v>11</v>
      </c>
      <c r="C946">
        <f t="shared" si="2"/>
        <v>19</v>
      </c>
      <c r="D946">
        <v>2</v>
      </c>
      <c r="E946" t="str">
        <f>VLOOKUP(D946,name!A:B,2,1)</f>
        <v>Tanaka</v>
      </c>
      <c r="F946" s="7" t="s">
        <v>371</v>
      </c>
      <c r="G946" t="str">
        <f t="shared" si="3"/>
        <v>a</v>
      </c>
      <c r="H946" t="str">
        <f>VLOOKUP(D946,name!A:C,3,1)</f>
        <v>assets/icons/image013.png</v>
      </c>
    </row>
    <row r="947" spans="1:8" x14ac:dyDescent="0.15">
      <c r="A947" t="str">
        <f t="shared" ref="A947:B948" si="10">A945</f>
        <v>ドイツ語</v>
      </c>
      <c r="B947">
        <f t="shared" si="10"/>
        <v>11</v>
      </c>
      <c r="C947">
        <f t="shared" si="2"/>
        <v>20</v>
      </c>
      <c r="D947">
        <v>15</v>
      </c>
      <c r="E947" t="str">
        <f>VLOOKUP(D947,name!A:B,2,1)</f>
        <v>Verkäuferin</v>
      </c>
      <c r="F947" s="7" t="s">
        <v>385</v>
      </c>
      <c r="G947" t="str">
        <f t="shared" si="3"/>
        <v>a</v>
      </c>
      <c r="H947" t="str">
        <f>VLOOKUP(D947,name!A:C,3,1)</f>
        <v>assets/icons/image088.png</v>
      </c>
    </row>
    <row r="948" spans="1:8" x14ac:dyDescent="0.15">
      <c r="A948" t="str">
        <f t="shared" si="10"/>
        <v>ドイツ語</v>
      </c>
      <c r="B948">
        <f t="shared" si="10"/>
        <v>11</v>
      </c>
      <c r="C948">
        <f t="shared" si="2"/>
        <v>21</v>
      </c>
      <c r="D948">
        <v>15</v>
      </c>
      <c r="E948" t="str">
        <f>VLOOKUP(D948,name!A:B,2,1)</f>
        <v>Verkäuferin</v>
      </c>
      <c r="F948" s="7" t="s">
        <v>372</v>
      </c>
      <c r="G948" t="str">
        <f t="shared" si="3"/>
        <v>a</v>
      </c>
      <c r="H948" t="str">
        <f>VLOOKUP(D948,name!A:C,3,1)</f>
        <v>assets/icons/image088.png</v>
      </c>
    </row>
    <row r="949" spans="1:8" x14ac:dyDescent="0.15">
      <c r="A949" t="str">
        <f t="shared" ref="A949:B952" si="11">A945</f>
        <v>ドイツ語</v>
      </c>
      <c r="B949">
        <f t="shared" si="11"/>
        <v>11</v>
      </c>
      <c r="C949">
        <f t="shared" si="2"/>
        <v>22</v>
      </c>
      <c r="D949">
        <v>2</v>
      </c>
      <c r="E949" t="str">
        <f>VLOOKUP(D949,name!A:B,2,1)</f>
        <v>Tanaka</v>
      </c>
      <c r="F949" s="7" t="s">
        <v>386</v>
      </c>
      <c r="G949" t="str">
        <f t="shared" si="3"/>
        <v>a</v>
      </c>
      <c r="H949" t="str">
        <f>VLOOKUP(D949,name!A:C,3,1)</f>
        <v>assets/icons/image013.png</v>
      </c>
    </row>
    <row r="950" spans="1:8" x14ac:dyDescent="0.15">
      <c r="A950" t="str">
        <f t="shared" si="11"/>
        <v>ドイツ語</v>
      </c>
      <c r="B950">
        <f t="shared" si="11"/>
        <v>11</v>
      </c>
      <c r="C950">
        <f t="shared" si="2"/>
        <v>23</v>
      </c>
      <c r="D950">
        <v>2</v>
      </c>
      <c r="E950" t="str">
        <f>VLOOKUP(D950,name!A:B,2,1)</f>
        <v>Tanaka</v>
      </c>
      <c r="F950" s="7" t="s">
        <v>387</v>
      </c>
      <c r="G950" t="str">
        <f t="shared" si="3"/>
        <v>a</v>
      </c>
      <c r="H950" t="str">
        <f>VLOOKUP(D950,name!A:C,3,1)</f>
        <v>assets/icons/image013.png</v>
      </c>
    </row>
    <row r="951" spans="1:8" x14ac:dyDescent="0.15">
      <c r="A951" t="str">
        <f t="shared" si="11"/>
        <v>ドイツ語</v>
      </c>
      <c r="B951">
        <f t="shared" si="11"/>
        <v>11</v>
      </c>
      <c r="C951">
        <f t="shared" si="2"/>
        <v>24</v>
      </c>
      <c r="D951">
        <v>2</v>
      </c>
      <c r="E951" t="str">
        <f>VLOOKUP(D951,name!A:B,2,1)</f>
        <v>Tanaka</v>
      </c>
      <c r="F951" s="7" t="s">
        <v>388</v>
      </c>
      <c r="G951" t="str">
        <f t="shared" si="3"/>
        <v>a</v>
      </c>
      <c r="H951" t="str">
        <f>VLOOKUP(D951,name!A:C,3,1)</f>
        <v>assets/icons/image013.png</v>
      </c>
    </row>
    <row r="952" spans="1:8" x14ac:dyDescent="0.15">
      <c r="A952" t="str">
        <f t="shared" si="11"/>
        <v>ドイツ語</v>
      </c>
      <c r="B952">
        <f t="shared" si="11"/>
        <v>11</v>
      </c>
      <c r="C952">
        <f t="shared" si="2"/>
        <v>25</v>
      </c>
      <c r="D952">
        <v>2</v>
      </c>
      <c r="E952" t="str">
        <f>VLOOKUP(D952,name!A:B,2,1)</f>
        <v>Tanaka</v>
      </c>
      <c r="F952" s="7" t="s">
        <v>389</v>
      </c>
      <c r="G952" t="str">
        <f t="shared" si="3"/>
        <v>a</v>
      </c>
      <c r="H952" t="str">
        <f>VLOOKUP(D952,name!A:C,3,1)</f>
        <v>assets/icons/image013.png</v>
      </c>
    </row>
    <row r="953" spans="1:8" x14ac:dyDescent="0.15">
      <c r="A953" t="str">
        <f t="shared" ref="A953:B954" si="12">A951</f>
        <v>ドイツ語</v>
      </c>
      <c r="B953">
        <f t="shared" si="12"/>
        <v>11</v>
      </c>
      <c r="C953">
        <f t="shared" si="2"/>
        <v>26</v>
      </c>
      <c r="D953">
        <v>2</v>
      </c>
      <c r="E953" t="str">
        <f>VLOOKUP(D953,name!A:B,2,1)</f>
        <v>Tanaka</v>
      </c>
      <c r="F953" s="7" t="s">
        <v>390</v>
      </c>
      <c r="G953" t="str">
        <f t="shared" si="3"/>
        <v>a</v>
      </c>
      <c r="H953" t="str">
        <f>VLOOKUP(D953,name!A:C,3,1)</f>
        <v>assets/icons/image013.png</v>
      </c>
    </row>
    <row r="954" spans="1:8" x14ac:dyDescent="0.15">
      <c r="A954" t="str">
        <f t="shared" si="12"/>
        <v>ドイツ語</v>
      </c>
      <c r="B954">
        <f t="shared" si="12"/>
        <v>11</v>
      </c>
      <c r="C954">
        <f t="shared" si="2"/>
        <v>27</v>
      </c>
      <c r="D954">
        <v>2</v>
      </c>
      <c r="E954" t="str">
        <f>VLOOKUP(D954,name!A:B,2,1)</f>
        <v>Tanaka</v>
      </c>
      <c r="F954" s="7" t="s">
        <v>373</v>
      </c>
      <c r="G954" t="str">
        <f t="shared" si="3"/>
        <v>a</v>
      </c>
      <c r="H954" t="str">
        <f>VLOOKUP(D954,name!A:C,3,1)</f>
        <v>assets/icons/image013.png</v>
      </c>
    </row>
    <row r="955" spans="1:8" x14ac:dyDescent="0.15">
      <c r="A955" t="str">
        <f t="shared" ref="A955:B956" si="13">A953</f>
        <v>ドイツ語</v>
      </c>
      <c r="B955">
        <f t="shared" si="13"/>
        <v>11</v>
      </c>
      <c r="C955">
        <f t="shared" si="2"/>
        <v>28</v>
      </c>
      <c r="D955">
        <v>15</v>
      </c>
      <c r="E955" t="str">
        <f>VLOOKUP(D955,name!A:B,2,1)</f>
        <v>Verkäuferin</v>
      </c>
      <c r="F955" s="7" t="s">
        <v>391</v>
      </c>
      <c r="G955" t="str">
        <f t="shared" si="3"/>
        <v>a</v>
      </c>
      <c r="H955" t="str">
        <f>VLOOKUP(D955,name!A:C,3,1)</f>
        <v>assets/icons/image088.png</v>
      </c>
    </row>
    <row r="956" spans="1:8" x14ac:dyDescent="0.15">
      <c r="A956" t="str">
        <f t="shared" si="13"/>
        <v>ドイツ語</v>
      </c>
      <c r="B956">
        <f t="shared" si="13"/>
        <v>11</v>
      </c>
      <c r="C956">
        <f t="shared" si="2"/>
        <v>29</v>
      </c>
      <c r="D956">
        <v>15</v>
      </c>
      <c r="E956" t="str">
        <f>VLOOKUP(D956,name!A:B,2,1)</f>
        <v>Verkäuferin</v>
      </c>
      <c r="F956" s="7" t="s">
        <v>374</v>
      </c>
      <c r="G956" t="str">
        <f t="shared" si="3"/>
        <v>a</v>
      </c>
      <c r="H956" t="str">
        <f>VLOOKUP(D956,name!A:C,3,1)</f>
        <v>assets/icons/image088.png</v>
      </c>
    </row>
    <row r="957" spans="1:8" x14ac:dyDescent="0.15">
      <c r="A957" t="str">
        <f t="shared" ref="A957:B958" si="14">A955</f>
        <v>ドイツ語</v>
      </c>
      <c r="B957">
        <f t="shared" si="14"/>
        <v>11</v>
      </c>
      <c r="C957">
        <f t="shared" si="2"/>
        <v>30</v>
      </c>
      <c r="D957">
        <v>2</v>
      </c>
      <c r="E957" t="str">
        <f>VLOOKUP(D957,name!A:B,2,1)</f>
        <v>Tanaka</v>
      </c>
      <c r="F957" s="7" t="s">
        <v>392</v>
      </c>
      <c r="G957" t="str">
        <f t="shared" si="3"/>
        <v>a</v>
      </c>
      <c r="H957" t="str">
        <f>VLOOKUP(D957,name!A:C,3,1)</f>
        <v>assets/icons/image013.png</v>
      </c>
    </row>
    <row r="958" spans="1:8" x14ac:dyDescent="0.15">
      <c r="A958" t="str">
        <f t="shared" si="14"/>
        <v>ドイツ語</v>
      </c>
      <c r="B958">
        <f t="shared" si="14"/>
        <v>11</v>
      </c>
      <c r="C958">
        <f t="shared" si="2"/>
        <v>31</v>
      </c>
      <c r="D958">
        <v>2</v>
      </c>
      <c r="E958" t="str">
        <f>VLOOKUP(D958,name!A:B,2,1)</f>
        <v>Tanaka</v>
      </c>
      <c r="F958" s="7" t="s">
        <v>375</v>
      </c>
      <c r="G958" t="str">
        <f t="shared" si="3"/>
        <v>a</v>
      </c>
      <c r="H958" t="str">
        <f>VLOOKUP(D958,name!A:C,3,1)</f>
        <v>assets/icons/image013.png</v>
      </c>
    </row>
    <row r="959" spans="1:8" x14ac:dyDescent="0.15">
      <c r="A959" t="str">
        <f t="shared" ref="A959:B960" si="15">A957</f>
        <v>ドイツ語</v>
      </c>
      <c r="B959">
        <f t="shared" si="15"/>
        <v>11</v>
      </c>
      <c r="C959">
        <f t="shared" si="2"/>
        <v>32</v>
      </c>
      <c r="D959">
        <v>15</v>
      </c>
      <c r="E959" t="str">
        <f>VLOOKUP(D959,name!A:B,2,1)</f>
        <v>Verkäuferin</v>
      </c>
      <c r="F959" s="7" t="s">
        <v>393</v>
      </c>
      <c r="G959" t="str">
        <f t="shared" si="3"/>
        <v>a</v>
      </c>
      <c r="H959" t="str">
        <f>VLOOKUP(D959,name!A:C,3,1)</f>
        <v>assets/icons/image088.png</v>
      </c>
    </row>
    <row r="960" spans="1:8" x14ac:dyDescent="0.15">
      <c r="A960" t="str">
        <f t="shared" si="15"/>
        <v>ドイツ語</v>
      </c>
      <c r="B960">
        <f t="shared" si="15"/>
        <v>11</v>
      </c>
      <c r="C960">
        <f t="shared" si="2"/>
        <v>33</v>
      </c>
      <c r="D960">
        <v>15</v>
      </c>
      <c r="E960" t="str">
        <f>VLOOKUP(D960,name!A:B,2,1)</f>
        <v>Verkäuferin</v>
      </c>
      <c r="F960" s="7" t="s">
        <v>376</v>
      </c>
      <c r="G960" t="str">
        <f t="shared" si="3"/>
        <v>a</v>
      </c>
      <c r="H960" t="str">
        <f>VLOOKUP(D960,name!A:C,3,1)</f>
        <v>assets/icons/image088.png</v>
      </c>
    </row>
    <row r="961" spans="1:12" ht="15.75" x14ac:dyDescent="0.15">
      <c r="A961" t="str">
        <f>A932</f>
        <v>ドイツ語</v>
      </c>
      <c r="B961">
        <f>B932</f>
        <v>11</v>
      </c>
      <c r="C961">
        <f t="shared" si="2"/>
        <v>34</v>
      </c>
      <c r="D961">
        <v>1</v>
      </c>
      <c r="E961" t="str">
        <f>VLOOKUP(D961,name!A:B,2,1)</f>
        <v>Navigator</v>
      </c>
      <c r="F961" t="str">
        <f>"次の"&amp;A961&amp;"を真似してね！"</f>
        <v>次のドイツ語を真似してね！</v>
      </c>
      <c r="G961" t="str">
        <f t="shared" si="3"/>
        <v>a</v>
      </c>
      <c r="H961" t="str">
        <f>VLOOKUP(D961,name!A:C,3,1)</f>
        <v>assets/icons/image014.png</v>
      </c>
      <c r="L961" s="6"/>
    </row>
    <row r="962" spans="1:12" x14ac:dyDescent="0.15">
      <c r="A962" t="str">
        <f>A960</f>
        <v>ドイツ語</v>
      </c>
      <c r="B962">
        <f>B960</f>
        <v>11</v>
      </c>
      <c r="C962">
        <f t="shared" si="2"/>
        <v>35</v>
      </c>
      <c r="D962">
        <v>15</v>
      </c>
      <c r="E962" t="str">
        <f>VLOOKUP(D962,name!A:B,2,1)</f>
        <v>Verkäuferin</v>
      </c>
      <c r="F962" t="s">
        <v>377</v>
      </c>
      <c r="G962" t="str">
        <f t="shared" si="3"/>
        <v>a</v>
      </c>
      <c r="H962" t="str">
        <f>VLOOKUP(D962,name!A:C,3,1)</f>
        <v>assets/icons/image088.png</v>
      </c>
    </row>
    <row r="963" spans="1:12" x14ac:dyDescent="0.15">
      <c r="A963" t="str">
        <f t="shared" ref="A963:B967" si="16">A960</f>
        <v>ドイツ語</v>
      </c>
      <c r="B963">
        <f t="shared" si="16"/>
        <v>11</v>
      </c>
      <c r="C963">
        <f t="shared" si="2"/>
        <v>36</v>
      </c>
      <c r="D963">
        <v>15</v>
      </c>
      <c r="E963" t="str">
        <f>VLOOKUP(D963,name!A:B,2,1)</f>
        <v>Verkäuferin</v>
      </c>
      <c r="F963" t="s">
        <v>364</v>
      </c>
      <c r="G963" t="str">
        <f t="shared" si="3"/>
        <v>a</v>
      </c>
      <c r="H963" t="str">
        <f>VLOOKUP(D963,name!A:C,3,1)</f>
        <v>assets/icons/image088.png</v>
      </c>
    </row>
    <row r="964" spans="1:12" x14ac:dyDescent="0.15">
      <c r="A964" t="str">
        <f t="shared" si="16"/>
        <v>ドイツ語</v>
      </c>
      <c r="B964">
        <f t="shared" si="16"/>
        <v>11</v>
      </c>
      <c r="C964">
        <f t="shared" si="2"/>
        <v>37</v>
      </c>
      <c r="D964">
        <v>0</v>
      </c>
      <c r="E964" t="str">
        <f>VLOOKUP(D964,name!A:B,2,1)</f>
        <v>Player</v>
      </c>
      <c r="F964" t="s">
        <v>364</v>
      </c>
      <c r="G964" t="str">
        <f t="shared" si="3"/>
        <v>q</v>
      </c>
      <c r="H964" t="str">
        <f>VLOOKUP(D964,name!A:C,3,1)</f>
        <v>assets/icons/image326.png</v>
      </c>
    </row>
    <row r="965" spans="1:12" x14ac:dyDescent="0.15">
      <c r="A965" t="str">
        <f t="shared" si="16"/>
        <v>ドイツ語</v>
      </c>
      <c r="B965">
        <f t="shared" si="16"/>
        <v>11</v>
      </c>
      <c r="C965">
        <f t="shared" si="2"/>
        <v>38</v>
      </c>
      <c r="D965">
        <v>2</v>
      </c>
      <c r="E965" t="str">
        <f>VLOOKUP(D965,name!A:B,2,1)</f>
        <v>Tanaka</v>
      </c>
      <c r="F965" t="s">
        <v>377</v>
      </c>
      <c r="G965" t="str">
        <f t="shared" si="3"/>
        <v>a</v>
      </c>
      <c r="H965" t="str">
        <f>VLOOKUP(D965,name!A:C,3,1)</f>
        <v>assets/icons/image013.png</v>
      </c>
    </row>
    <row r="966" spans="1:12" x14ac:dyDescent="0.15">
      <c r="A966" t="str">
        <f t="shared" si="16"/>
        <v>ドイツ語</v>
      </c>
      <c r="B966">
        <f t="shared" si="16"/>
        <v>11</v>
      </c>
      <c r="C966">
        <f t="shared" si="2"/>
        <v>39</v>
      </c>
      <c r="D966">
        <v>2</v>
      </c>
      <c r="E966" t="str">
        <f>VLOOKUP(D966,name!A:B,2,1)</f>
        <v>Tanaka</v>
      </c>
      <c r="F966" t="s">
        <v>367</v>
      </c>
      <c r="G966" t="str">
        <f t="shared" si="3"/>
        <v>a</v>
      </c>
      <c r="H966" t="str">
        <f>VLOOKUP(D966,name!A:C,3,1)</f>
        <v>assets/icons/image013.png</v>
      </c>
    </row>
    <row r="967" spans="1:12" x14ac:dyDescent="0.15">
      <c r="A967" t="str">
        <f t="shared" si="16"/>
        <v>ドイツ語</v>
      </c>
      <c r="B967">
        <f t="shared" si="16"/>
        <v>11</v>
      </c>
      <c r="C967">
        <f t="shared" si="2"/>
        <v>40</v>
      </c>
      <c r="D967">
        <v>0</v>
      </c>
      <c r="E967" t="str">
        <f>VLOOKUP(D967,name!A:B,2,1)</f>
        <v>Player</v>
      </c>
      <c r="F967" t="s">
        <v>367</v>
      </c>
      <c r="G967" t="str">
        <f t="shared" si="3"/>
        <v>q</v>
      </c>
      <c r="H967" t="str">
        <f>VLOOKUP(D967,name!A:C,3,1)</f>
        <v>assets/icons/image326.png</v>
      </c>
    </row>
    <row r="968" spans="1:12" x14ac:dyDescent="0.15">
      <c r="A968" t="str">
        <f t="shared" ref="A968:B968" si="17">A965</f>
        <v>ドイツ語</v>
      </c>
      <c r="B968">
        <f t="shared" si="17"/>
        <v>11</v>
      </c>
      <c r="C968">
        <f t="shared" si="2"/>
        <v>41</v>
      </c>
      <c r="D968">
        <v>2</v>
      </c>
      <c r="E968" t="str">
        <f>VLOOKUP(D968,name!A:B,2,1)</f>
        <v>Tanaka</v>
      </c>
      <c r="F968" t="s">
        <v>394</v>
      </c>
      <c r="G968" t="str">
        <f t="shared" si="3"/>
        <v>a</v>
      </c>
      <c r="H968" t="str">
        <f>VLOOKUP(D968,name!A:C,3,1)</f>
        <v>assets/icons/image013.png</v>
      </c>
    </row>
    <row r="969" spans="1:12" x14ac:dyDescent="0.15">
      <c r="A969" t="str">
        <f t="shared" ref="A969:B970" si="18">A966</f>
        <v>ドイツ語</v>
      </c>
      <c r="B969">
        <f t="shared" si="18"/>
        <v>11</v>
      </c>
      <c r="C969">
        <f t="shared" si="2"/>
        <v>42</v>
      </c>
      <c r="D969">
        <v>2</v>
      </c>
      <c r="E969" t="str">
        <f>VLOOKUP(D969,name!A:B,2,1)</f>
        <v>Tanaka</v>
      </c>
      <c r="F969" t="s">
        <v>368</v>
      </c>
      <c r="G969" t="str">
        <f t="shared" si="3"/>
        <v>a</v>
      </c>
      <c r="H969" t="str">
        <f>VLOOKUP(D969,name!A:C,3,1)</f>
        <v>assets/icons/image013.png</v>
      </c>
    </row>
    <row r="970" spans="1:12" x14ac:dyDescent="0.15">
      <c r="A970" t="str">
        <f t="shared" si="18"/>
        <v>ドイツ語</v>
      </c>
      <c r="B970">
        <f t="shared" si="18"/>
        <v>11</v>
      </c>
      <c r="C970">
        <f t="shared" si="2"/>
        <v>43</v>
      </c>
      <c r="D970">
        <v>0</v>
      </c>
      <c r="E970" t="str">
        <f>VLOOKUP(D970,name!A:B,2,1)</f>
        <v>Player</v>
      </c>
      <c r="F970" t="s">
        <v>368</v>
      </c>
      <c r="G970" t="str">
        <f t="shared" si="3"/>
        <v>q</v>
      </c>
      <c r="H970" t="str">
        <f>VLOOKUP(D970,name!A:C,3,1)</f>
        <v>assets/icons/image326.png</v>
      </c>
    </row>
    <row r="971" spans="1:12" x14ac:dyDescent="0.15">
      <c r="A971" t="str">
        <f t="shared" ref="A971:B971" si="19">A968</f>
        <v>ドイツ語</v>
      </c>
      <c r="B971">
        <f t="shared" si="19"/>
        <v>11</v>
      </c>
      <c r="C971">
        <f t="shared" si="2"/>
        <v>44</v>
      </c>
      <c r="D971">
        <v>15</v>
      </c>
      <c r="E971" t="str">
        <f>VLOOKUP(D971,name!A:B,2,1)</f>
        <v>Verkäuferin</v>
      </c>
      <c r="F971" t="s">
        <v>378</v>
      </c>
      <c r="G971" t="str">
        <f t="shared" si="3"/>
        <v>a</v>
      </c>
      <c r="H971" t="str">
        <f>VLOOKUP(D971,name!A:C,3,1)</f>
        <v>assets/icons/image088.png</v>
      </c>
    </row>
    <row r="972" spans="1:12" x14ac:dyDescent="0.15">
      <c r="A972" t="str">
        <f t="shared" ref="A972:B973" si="20">A969</f>
        <v>ドイツ語</v>
      </c>
      <c r="B972">
        <f t="shared" si="20"/>
        <v>11</v>
      </c>
      <c r="C972">
        <f t="shared" si="2"/>
        <v>45</v>
      </c>
      <c r="D972">
        <v>15</v>
      </c>
      <c r="E972" t="str">
        <f>VLOOKUP(D972,name!A:B,2,1)</f>
        <v>Verkäuferin</v>
      </c>
      <c r="F972" t="s">
        <v>369</v>
      </c>
      <c r="G972" t="str">
        <f t="shared" si="3"/>
        <v>a</v>
      </c>
      <c r="H972" t="str">
        <f>VLOOKUP(D972,name!A:C,3,1)</f>
        <v>assets/icons/image088.png</v>
      </c>
    </row>
    <row r="973" spans="1:12" x14ac:dyDescent="0.15">
      <c r="A973" t="str">
        <f t="shared" si="20"/>
        <v>ドイツ語</v>
      </c>
      <c r="B973">
        <f t="shared" si="20"/>
        <v>11</v>
      </c>
      <c r="C973">
        <f t="shared" si="2"/>
        <v>46</v>
      </c>
      <c r="D973">
        <v>0</v>
      </c>
      <c r="E973" t="str">
        <f>VLOOKUP(D973,name!A:B,2,1)</f>
        <v>Player</v>
      </c>
      <c r="F973" t="s">
        <v>369</v>
      </c>
      <c r="G973" t="str">
        <f t="shared" si="3"/>
        <v>q</v>
      </c>
      <c r="H973" t="str">
        <f>VLOOKUP(D973,name!A:C,3,1)</f>
        <v>assets/icons/image326.png</v>
      </c>
    </row>
    <row r="974" spans="1:12" x14ac:dyDescent="0.15">
      <c r="A974" t="str">
        <f t="shared" ref="A974:B974" si="21">A971</f>
        <v>ドイツ語</v>
      </c>
      <c r="B974">
        <f t="shared" si="21"/>
        <v>11</v>
      </c>
      <c r="C974">
        <f t="shared" si="2"/>
        <v>47</v>
      </c>
      <c r="D974">
        <v>2</v>
      </c>
      <c r="E974" t="str">
        <f>VLOOKUP(D974,name!A:B,2,1)</f>
        <v>Tanaka</v>
      </c>
      <c r="F974" s="7" t="s">
        <v>379</v>
      </c>
      <c r="G974" t="str">
        <f t="shared" si="3"/>
        <v>a</v>
      </c>
      <c r="H974" t="str">
        <f>VLOOKUP(D974,name!A:C,3,1)</f>
        <v>assets/icons/image013.png</v>
      </c>
    </row>
    <row r="975" spans="1:12" x14ac:dyDescent="0.15">
      <c r="A975" t="str">
        <f t="shared" ref="A975:B976" si="22">A972</f>
        <v>ドイツ語</v>
      </c>
      <c r="B975">
        <f t="shared" si="22"/>
        <v>11</v>
      </c>
      <c r="C975">
        <f t="shared" si="2"/>
        <v>48</v>
      </c>
      <c r="D975">
        <v>2</v>
      </c>
      <c r="E975" t="str">
        <f>VLOOKUP(D975,name!A:B,2,1)</f>
        <v>Tanaka</v>
      </c>
      <c r="F975" s="7" t="s">
        <v>370</v>
      </c>
      <c r="G975" t="str">
        <f t="shared" si="3"/>
        <v>a</v>
      </c>
      <c r="H975" t="str">
        <f>VLOOKUP(D975,name!A:C,3,1)</f>
        <v>assets/icons/image013.png</v>
      </c>
    </row>
    <row r="976" spans="1:12" x14ac:dyDescent="0.15">
      <c r="A976" t="str">
        <f t="shared" si="22"/>
        <v>ドイツ語</v>
      </c>
      <c r="B976">
        <f t="shared" si="22"/>
        <v>11</v>
      </c>
      <c r="C976">
        <f t="shared" si="2"/>
        <v>49</v>
      </c>
      <c r="D976">
        <v>0</v>
      </c>
      <c r="E976" t="str">
        <f>VLOOKUP(D976,name!A:B,2,1)</f>
        <v>Player</v>
      </c>
      <c r="F976" s="7" t="s">
        <v>370</v>
      </c>
      <c r="G976" t="str">
        <f t="shared" si="3"/>
        <v>q</v>
      </c>
      <c r="H976" t="str">
        <f>VLOOKUP(D976,name!A:C,3,1)</f>
        <v>assets/icons/image326.png</v>
      </c>
    </row>
    <row r="977" spans="1:8" x14ac:dyDescent="0.15">
      <c r="A977" t="str">
        <f t="shared" ref="A977:B982" si="23">A971</f>
        <v>ドイツ語</v>
      </c>
      <c r="B977">
        <f t="shared" si="23"/>
        <v>11</v>
      </c>
      <c r="C977">
        <f t="shared" si="2"/>
        <v>50</v>
      </c>
      <c r="D977">
        <v>15</v>
      </c>
      <c r="E977" t="str">
        <f>VLOOKUP(D977,name!A:B,2,1)</f>
        <v>Verkäuferin</v>
      </c>
      <c r="F977" s="7" t="s">
        <v>383</v>
      </c>
      <c r="G977" t="str">
        <f t="shared" si="3"/>
        <v>a</v>
      </c>
      <c r="H977" t="str">
        <f>VLOOKUP(D977,name!A:C,3,1)</f>
        <v>assets/icons/image088.png</v>
      </c>
    </row>
    <row r="978" spans="1:8" x14ac:dyDescent="0.15">
      <c r="A978" t="str">
        <f t="shared" si="23"/>
        <v>ドイツ語</v>
      </c>
      <c r="B978">
        <f t="shared" si="23"/>
        <v>11</v>
      </c>
      <c r="C978">
        <f t="shared" si="2"/>
        <v>51</v>
      </c>
      <c r="D978">
        <v>15</v>
      </c>
      <c r="E978" t="str">
        <f>VLOOKUP(D978,name!A:B,2,1)</f>
        <v>Verkäuferin</v>
      </c>
      <c r="F978" s="7" t="s">
        <v>380</v>
      </c>
      <c r="G978" t="str">
        <f t="shared" si="3"/>
        <v>a</v>
      </c>
      <c r="H978" t="str">
        <f>VLOOKUP(D978,name!A:C,3,1)</f>
        <v>assets/icons/image088.png</v>
      </c>
    </row>
    <row r="979" spans="1:8" x14ac:dyDescent="0.15">
      <c r="A979" t="str">
        <f t="shared" si="23"/>
        <v>ドイツ語</v>
      </c>
      <c r="B979">
        <f t="shared" si="23"/>
        <v>11</v>
      </c>
      <c r="C979">
        <f t="shared" si="2"/>
        <v>52</v>
      </c>
      <c r="D979">
        <v>0</v>
      </c>
      <c r="E979" t="str">
        <f>VLOOKUP(D979,name!A:B,2,1)</f>
        <v>Player</v>
      </c>
      <c r="F979" s="7" t="s">
        <v>380</v>
      </c>
      <c r="G979" t="str">
        <f t="shared" si="3"/>
        <v>q</v>
      </c>
      <c r="H979" t="str">
        <f>VLOOKUP(D979,name!A:C,3,1)</f>
        <v>assets/icons/image326.png</v>
      </c>
    </row>
    <row r="980" spans="1:8" x14ac:dyDescent="0.15">
      <c r="A980" t="str">
        <f t="shared" si="23"/>
        <v>ドイツ語</v>
      </c>
      <c r="B980">
        <f t="shared" si="23"/>
        <v>11</v>
      </c>
      <c r="C980">
        <f t="shared" si="2"/>
        <v>53</v>
      </c>
      <c r="D980">
        <v>15</v>
      </c>
      <c r="E980" t="str">
        <f>VLOOKUP(D980,name!A:B,2,1)</f>
        <v>Verkäuferin</v>
      </c>
      <c r="F980" s="7" t="s">
        <v>384</v>
      </c>
      <c r="G980" t="str">
        <f t="shared" si="3"/>
        <v>a</v>
      </c>
      <c r="H980" t="str">
        <f>VLOOKUP(D980,name!A:C,3,1)</f>
        <v>assets/icons/image088.png</v>
      </c>
    </row>
    <row r="981" spans="1:8" x14ac:dyDescent="0.15">
      <c r="A981" t="str">
        <f t="shared" si="23"/>
        <v>ドイツ語</v>
      </c>
      <c r="B981">
        <f t="shared" si="23"/>
        <v>11</v>
      </c>
      <c r="C981">
        <f t="shared" si="2"/>
        <v>54</v>
      </c>
      <c r="D981">
        <v>15</v>
      </c>
      <c r="E981" t="str">
        <f>VLOOKUP(D981,name!A:B,2,1)</f>
        <v>Verkäuferin</v>
      </c>
      <c r="F981" s="7" t="s">
        <v>381</v>
      </c>
      <c r="G981" t="str">
        <f t="shared" si="3"/>
        <v>a</v>
      </c>
      <c r="H981" t="str">
        <f>VLOOKUP(D981,name!A:C,3,1)</f>
        <v>assets/icons/image088.png</v>
      </c>
    </row>
    <row r="982" spans="1:8" x14ac:dyDescent="0.15">
      <c r="A982" t="str">
        <f t="shared" si="23"/>
        <v>ドイツ語</v>
      </c>
      <c r="B982">
        <f t="shared" si="23"/>
        <v>11</v>
      </c>
      <c r="C982">
        <f t="shared" si="2"/>
        <v>55</v>
      </c>
      <c r="D982">
        <v>0</v>
      </c>
      <c r="E982" t="str">
        <f>VLOOKUP(D982,name!A:B,2,1)</f>
        <v>Player</v>
      </c>
      <c r="F982" s="7" t="s">
        <v>381</v>
      </c>
      <c r="G982" t="str">
        <f t="shared" si="3"/>
        <v>q</v>
      </c>
      <c r="H982" t="str">
        <f>VLOOKUP(D982,name!A:C,3,1)</f>
        <v>assets/icons/image326.png</v>
      </c>
    </row>
    <row r="983" spans="1:8" x14ac:dyDescent="0.15">
      <c r="A983" t="str">
        <f t="shared" ref="A983:B983" si="24">A980</f>
        <v>ドイツ語</v>
      </c>
      <c r="B983">
        <f t="shared" si="24"/>
        <v>11</v>
      </c>
      <c r="C983">
        <f t="shared" si="2"/>
        <v>56</v>
      </c>
      <c r="D983">
        <v>2</v>
      </c>
      <c r="E983" t="str">
        <f>VLOOKUP(D983,name!A:B,2,1)</f>
        <v>Tanaka</v>
      </c>
      <c r="F983" s="7" t="s">
        <v>382</v>
      </c>
      <c r="G983" t="str">
        <f t="shared" si="3"/>
        <v>a</v>
      </c>
      <c r="H983" t="str">
        <f>VLOOKUP(D983,name!A:C,3,1)</f>
        <v>assets/icons/image013.png</v>
      </c>
    </row>
    <row r="984" spans="1:8" x14ac:dyDescent="0.15">
      <c r="A984" t="str">
        <f t="shared" ref="A984:B985" si="25">A981</f>
        <v>ドイツ語</v>
      </c>
      <c r="B984">
        <f t="shared" si="25"/>
        <v>11</v>
      </c>
      <c r="C984">
        <f t="shared" si="2"/>
        <v>57</v>
      </c>
      <c r="D984">
        <v>2</v>
      </c>
      <c r="E984" t="str">
        <f>VLOOKUP(D984,name!A:B,2,1)</f>
        <v>Tanaka</v>
      </c>
      <c r="F984" s="7" t="s">
        <v>371</v>
      </c>
      <c r="G984" t="str">
        <f t="shared" si="3"/>
        <v>a</v>
      </c>
      <c r="H984" t="str">
        <f>VLOOKUP(D984,name!A:C,3,1)</f>
        <v>assets/icons/image013.png</v>
      </c>
    </row>
    <row r="985" spans="1:8" x14ac:dyDescent="0.15">
      <c r="A985" t="str">
        <f t="shared" si="25"/>
        <v>ドイツ語</v>
      </c>
      <c r="B985">
        <f t="shared" si="25"/>
        <v>11</v>
      </c>
      <c r="C985">
        <f t="shared" si="2"/>
        <v>58</v>
      </c>
      <c r="D985">
        <v>0</v>
      </c>
      <c r="E985" t="str">
        <f>VLOOKUP(D985,name!A:B,2,1)</f>
        <v>Player</v>
      </c>
      <c r="F985" s="7" t="s">
        <v>371</v>
      </c>
      <c r="G985" t="str">
        <f t="shared" si="3"/>
        <v>q</v>
      </c>
      <c r="H985" t="str">
        <f>VLOOKUP(D985,name!A:C,3,1)</f>
        <v>assets/icons/image326.png</v>
      </c>
    </row>
    <row r="986" spans="1:8" x14ac:dyDescent="0.15">
      <c r="A986" t="str">
        <f t="shared" ref="A986:B986" si="26">A983</f>
        <v>ドイツ語</v>
      </c>
      <c r="B986">
        <f t="shared" si="26"/>
        <v>11</v>
      </c>
      <c r="C986">
        <f t="shared" si="2"/>
        <v>59</v>
      </c>
      <c r="D986">
        <v>15</v>
      </c>
      <c r="E986" t="str">
        <f>VLOOKUP(D986,name!A:B,2,1)</f>
        <v>Verkäuferin</v>
      </c>
      <c r="F986" s="7" t="s">
        <v>385</v>
      </c>
      <c r="G986" t="str">
        <f t="shared" si="3"/>
        <v>a</v>
      </c>
      <c r="H986" t="str">
        <f>VLOOKUP(D986,name!A:C,3,1)</f>
        <v>assets/icons/image088.png</v>
      </c>
    </row>
    <row r="987" spans="1:8" x14ac:dyDescent="0.15">
      <c r="A987" t="str">
        <f t="shared" ref="A987:B988" si="27">A984</f>
        <v>ドイツ語</v>
      </c>
      <c r="B987">
        <f t="shared" si="27"/>
        <v>11</v>
      </c>
      <c r="C987">
        <f t="shared" si="2"/>
        <v>60</v>
      </c>
      <c r="D987">
        <v>15</v>
      </c>
      <c r="E987" t="str">
        <f>VLOOKUP(D987,name!A:B,2,1)</f>
        <v>Verkäuferin</v>
      </c>
      <c r="F987" s="7" t="s">
        <v>372</v>
      </c>
      <c r="G987" t="str">
        <f t="shared" si="3"/>
        <v>a</v>
      </c>
      <c r="H987" t="str">
        <f>VLOOKUP(D987,name!A:C,3,1)</f>
        <v>assets/icons/image088.png</v>
      </c>
    </row>
    <row r="988" spans="1:8" x14ac:dyDescent="0.15">
      <c r="A988" t="str">
        <f t="shared" si="27"/>
        <v>ドイツ語</v>
      </c>
      <c r="B988">
        <f t="shared" si="27"/>
        <v>11</v>
      </c>
      <c r="C988">
        <f t="shared" si="2"/>
        <v>61</v>
      </c>
      <c r="D988">
        <v>0</v>
      </c>
      <c r="E988" t="str">
        <f>VLOOKUP(D988,name!A:B,2,1)</f>
        <v>Player</v>
      </c>
      <c r="F988" s="7" t="s">
        <v>372</v>
      </c>
      <c r="G988" t="str">
        <f t="shared" si="3"/>
        <v>q</v>
      </c>
      <c r="H988" t="str">
        <f>VLOOKUP(D988,name!A:C,3,1)</f>
        <v>assets/icons/image326.png</v>
      </c>
    </row>
    <row r="989" spans="1:8" x14ac:dyDescent="0.15">
      <c r="A989" t="str">
        <f t="shared" ref="A989:B994" si="28">A983</f>
        <v>ドイツ語</v>
      </c>
      <c r="B989">
        <f t="shared" si="28"/>
        <v>11</v>
      </c>
      <c r="C989">
        <f t="shared" si="2"/>
        <v>62</v>
      </c>
      <c r="D989">
        <v>2</v>
      </c>
      <c r="E989" t="str">
        <f>VLOOKUP(D989,name!A:B,2,1)</f>
        <v>Tanaka</v>
      </c>
      <c r="F989" s="7" t="s">
        <v>386</v>
      </c>
      <c r="G989" t="str">
        <f t="shared" si="3"/>
        <v>a</v>
      </c>
      <c r="H989" t="str">
        <f>VLOOKUP(D989,name!A:C,3,1)</f>
        <v>assets/icons/image013.png</v>
      </c>
    </row>
    <row r="990" spans="1:8" x14ac:dyDescent="0.15">
      <c r="A990" t="str">
        <f t="shared" si="28"/>
        <v>ドイツ語</v>
      </c>
      <c r="B990">
        <f t="shared" si="28"/>
        <v>11</v>
      </c>
      <c r="C990">
        <f t="shared" si="2"/>
        <v>63</v>
      </c>
      <c r="D990">
        <v>2</v>
      </c>
      <c r="E990" t="str">
        <f>VLOOKUP(D990,name!A:B,2,1)</f>
        <v>Tanaka</v>
      </c>
      <c r="F990" s="7" t="s">
        <v>387</v>
      </c>
      <c r="G990" t="str">
        <f t="shared" si="3"/>
        <v>a</v>
      </c>
      <c r="H990" t="str">
        <f>VLOOKUP(D990,name!A:C,3,1)</f>
        <v>assets/icons/image013.png</v>
      </c>
    </row>
    <row r="991" spans="1:8" x14ac:dyDescent="0.15">
      <c r="A991" t="str">
        <f t="shared" si="28"/>
        <v>ドイツ語</v>
      </c>
      <c r="B991">
        <f t="shared" si="28"/>
        <v>11</v>
      </c>
      <c r="C991">
        <f t="shared" si="2"/>
        <v>64</v>
      </c>
      <c r="D991">
        <v>0</v>
      </c>
      <c r="E991" t="str">
        <f>VLOOKUP(D991,name!A:B,2,1)</f>
        <v>Player</v>
      </c>
      <c r="F991" s="7" t="s">
        <v>387</v>
      </c>
      <c r="G991" t="str">
        <f t="shared" si="3"/>
        <v>q</v>
      </c>
      <c r="H991" t="str">
        <f>VLOOKUP(D991,name!A:C,3,1)</f>
        <v>assets/icons/image326.png</v>
      </c>
    </row>
    <row r="992" spans="1:8" x14ac:dyDescent="0.15">
      <c r="A992" t="str">
        <f t="shared" si="28"/>
        <v>ドイツ語</v>
      </c>
      <c r="B992">
        <f t="shared" si="28"/>
        <v>11</v>
      </c>
      <c r="C992">
        <f t="shared" si="2"/>
        <v>65</v>
      </c>
      <c r="D992">
        <v>2</v>
      </c>
      <c r="E992" t="str">
        <f>VLOOKUP(D992,name!A:B,2,1)</f>
        <v>Tanaka</v>
      </c>
      <c r="F992" s="7" t="s">
        <v>388</v>
      </c>
      <c r="G992" t="str">
        <f t="shared" si="3"/>
        <v>a</v>
      </c>
      <c r="H992" t="str">
        <f>VLOOKUP(D992,name!A:C,3,1)</f>
        <v>assets/icons/image013.png</v>
      </c>
    </row>
    <row r="993" spans="1:12" x14ac:dyDescent="0.15">
      <c r="A993" t="str">
        <f t="shared" si="28"/>
        <v>ドイツ語</v>
      </c>
      <c r="B993">
        <f t="shared" si="28"/>
        <v>11</v>
      </c>
      <c r="C993">
        <f t="shared" si="2"/>
        <v>66</v>
      </c>
      <c r="D993">
        <v>2</v>
      </c>
      <c r="E993" t="str">
        <f>VLOOKUP(D993,name!A:B,2,1)</f>
        <v>Tanaka</v>
      </c>
      <c r="F993" s="7" t="s">
        <v>389</v>
      </c>
      <c r="G993" t="str">
        <f t="shared" si="3"/>
        <v>a</v>
      </c>
      <c r="H993" t="str">
        <f>VLOOKUP(D993,name!A:C,3,1)</f>
        <v>assets/icons/image013.png</v>
      </c>
    </row>
    <row r="994" spans="1:12" x14ac:dyDescent="0.15">
      <c r="A994" t="str">
        <f t="shared" si="28"/>
        <v>ドイツ語</v>
      </c>
      <c r="B994">
        <f t="shared" si="28"/>
        <v>11</v>
      </c>
      <c r="C994">
        <f t="shared" si="2"/>
        <v>67</v>
      </c>
      <c r="D994">
        <v>0</v>
      </c>
      <c r="E994" t="str">
        <f>VLOOKUP(D994,name!A:B,2,1)</f>
        <v>Player</v>
      </c>
      <c r="F994" s="7" t="s">
        <v>389</v>
      </c>
      <c r="G994" t="str">
        <f t="shared" ref="G994:G1057" si="29">IF(B994&lt;&gt;B995,"e",IF(D994=0,"q","a"))</f>
        <v>q</v>
      </c>
      <c r="H994" t="str">
        <f>VLOOKUP(D994,name!A:C,3,1)</f>
        <v>assets/icons/image326.png</v>
      </c>
    </row>
    <row r="995" spans="1:12" x14ac:dyDescent="0.15">
      <c r="A995" t="str">
        <f t="shared" ref="A995:B995" si="30">A992</f>
        <v>ドイツ語</v>
      </c>
      <c r="B995">
        <f t="shared" si="30"/>
        <v>11</v>
      </c>
      <c r="C995">
        <f t="shared" si="2"/>
        <v>68</v>
      </c>
      <c r="D995">
        <v>2</v>
      </c>
      <c r="E995" t="str">
        <f>VLOOKUP(D995,name!A:B,2,1)</f>
        <v>Tanaka</v>
      </c>
      <c r="F995" s="7" t="s">
        <v>390</v>
      </c>
      <c r="G995" t="str">
        <f t="shared" si="29"/>
        <v>a</v>
      </c>
      <c r="H995" t="str">
        <f>VLOOKUP(D995,name!A:C,3,1)</f>
        <v>assets/icons/image013.png</v>
      </c>
    </row>
    <row r="996" spans="1:12" x14ac:dyDescent="0.15">
      <c r="A996" t="str">
        <f t="shared" ref="A996:B997" si="31">A993</f>
        <v>ドイツ語</v>
      </c>
      <c r="B996">
        <f t="shared" si="31"/>
        <v>11</v>
      </c>
      <c r="C996">
        <f t="shared" si="2"/>
        <v>69</v>
      </c>
      <c r="D996">
        <v>2</v>
      </c>
      <c r="E996" t="str">
        <f>VLOOKUP(D996,name!A:B,2,1)</f>
        <v>Tanaka</v>
      </c>
      <c r="F996" s="7" t="s">
        <v>373</v>
      </c>
      <c r="G996" t="str">
        <f t="shared" si="29"/>
        <v>a</v>
      </c>
      <c r="H996" t="str">
        <f>VLOOKUP(D996,name!A:C,3,1)</f>
        <v>assets/icons/image013.png</v>
      </c>
    </row>
    <row r="997" spans="1:12" x14ac:dyDescent="0.15">
      <c r="A997" t="str">
        <f t="shared" si="31"/>
        <v>ドイツ語</v>
      </c>
      <c r="B997">
        <f t="shared" si="31"/>
        <v>11</v>
      </c>
      <c r="C997">
        <f t="shared" si="2"/>
        <v>70</v>
      </c>
      <c r="D997">
        <v>0</v>
      </c>
      <c r="E997" t="str">
        <f>VLOOKUP(D997,name!A:B,2,1)</f>
        <v>Player</v>
      </c>
      <c r="F997" s="7" t="s">
        <v>373</v>
      </c>
      <c r="G997" t="str">
        <f t="shared" si="29"/>
        <v>q</v>
      </c>
      <c r="H997" t="str">
        <f>VLOOKUP(D997,name!A:C,3,1)</f>
        <v>assets/icons/image326.png</v>
      </c>
    </row>
    <row r="998" spans="1:12" x14ac:dyDescent="0.15">
      <c r="A998" t="str">
        <f t="shared" ref="A998:B998" si="32">A995</f>
        <v>ドイツ語</v>
      </c>
      <c r="B998">
        <f t="shared" si="32"/>
        <v>11</v>
      </c>
      <c r="C998">
        <f t="shared" si="2"/>
        <v>71</v>
      </c>
      <c r="D998">
        <v>15</v>
      </c>
      <c r="E998" t="str">
        <f>VLOOKUP(D998,name!A:B,2,1)</f>
        <v>Verkäuferin</v>
      </c>
      <c r="F998" s="7" t="s">
        <v>391</v>
      </c>
      <c r="G998" t="str">
        <f t="shared" si="29"/>
        <v>a</v>
      </c>
      <c r="H998" t="str">
        <f>VLOOKUP(D998,name!A:C,3,1)</f>
        <v>assets/icons/image088.png</v>
      </c>
    </row>
    <row r="999" spans="1:12" x14ac:dyDescent="0.15">
      <c r="A999" t="str">
        <f t="shared" ref="A999:B1000" si="33">A996</f>
        <v>ドイツ語</v>
      </c>
      <c r="B999">
        <f t="shared" si="33"/>
        <v>11</v>
      </c>
      <c r="C999">
        <f t="shared" si="2"/>
        <v>72</v>
      </c>
      <c r="D999">
        <v>15</v>
      </c>
      <c r="E999" t="str">
        <f>VLOOKUP(D999,name!A:B,2,1)</f>
        <v>Verkäuferin</v>
      </c>
      <c r="F999" s="7" t="s">
        <v>374</v>
      </c>
      <c r="G999" t="str">
        <f t="shared" si="29"/>
        <v>a</v>
      </c>
      <c r="H999" t="str">
        <f>VLOOKUP(D999,name!A:C,3,1)</f>
        <v>assets/icons/image088.png</v>
      </c>
    </row>
    <row r="1000" spans="1:12" x14ac:dyDescent="0.15">
      <c r="A1000" t="str">
        <f t="shared" si="33"/>
        <v>ドイツ語</v>
      </c>
      <c r="B1000">
        <f t="shared" si="33"/>
        <v>11</v>
      </c>
      <c r="C1000">
        <f t="shared" si="2"/>
        <v>73</v>
      </c>
      <c r="D1000">
        <v>0</v>
      </c>
      <c r="E1000" t="str">
        <f>VLOOKUP(D1000,name!A:B,2,1)</f>
        <v>Player</v>
      </c>
      <c r="F1000" s="7" t="s">
        <v>374</v>
      </c>
      <c r="G1000" t="str">
        <f t="shared" si="29"/>
        <v>q</v>
      </c>
      <c r="H1000" t="str">
        <f>VLOOKUP(D1000,name!A:C,3,1)</f>
        <v>assets/icons/image326.png</v>
      </c>
    </row>
    <row r="1001" spans="1:12" x14ac:dyDescent="0.15">
      <c r="A1001" t="str">
        <f t="shared" ref="A1001:B1001" si="34">A998</f>
        <v>ドイツ語</v>
      </c>
      <c r="B1001">
        <f t="shared" si="34"/>
        <v>11</v>
      </c>
      <c r="C1001">
        <f t="shared" si="2"/>
        <v>74</v>
      </c>
      <c r="D1001">
        <v>2</v>
      </c>
      <c r="E1001" t="str">
        <f>VLOOKUP(D1001,name!A:B,2,1)</f>
        <v>Tanaka</v>
      </c>
      <c r="F1001" s="7" t="s">
        <v>392</v>
      </c>
      <c r="G1001" t="str">
        <f t="shared" si="29"/>
        <v>a</v>
      </c>
      <c r="H1001" t="str">
        <f>VLOOKUP(D1001,name!A:C,3,1)</f>
        <v>assets/icons/image013.png</v>
      </c>
    </row>
    <row r="1002" spans="1:12" x14ac:dyDescent="0.15">
      <c r="A1002" t="str">
        <f t="shared" ref="A1002:B1003" si="35">A999</f>
        <v>ドイツ語</v>
      </c>
      <c r="B1002">
        <f t="shared" si="35"/>
        <v>11</v>
      </c>
      <c r="C1002">
        <f t="shared" si="2"/>
        <v>75</v>
      </c>
      <c r="D1002">
        <v>2</v>
      </c>
      <c r="E1002" t="str">
        <f>VLOOKUP(D1002,name!A:B,2,1)</f>
        <v>Tanaka</v>
      </c>
      <c r="F1002" s="7" t="s">
        <v>375</v>
      </c>
      <c r="G1002" t="str">
        <f t="shared" si="29"/>
        <v>a</v>
      </c>
      <c r="H1002" t="str">
        <f>VLOOKUP(D1002,name!A:C,3,1)</f>
        <v>assets/icons/image013.png</v>
      </c>
    </row>
    <row r="1003" spans="1:12" x14ac:dyDescent="0.15">
      <c r="A1003" t="str">
        <f t="shared" si="35"/>
        <v>ドイツ語</v>
      </c>
      <c r="B1003">
        <f t="shared" si="35"/>
        <v>11</v>
      </c>
      <c r="C1003">
        <f t="shared" si="2"/>
        <v>76</v>
      </c>
      <c r="D1003">
        <v>0</v>
      </c>
      <c r="E1003" t="str">
        <f>VLOOKUP(D1003,name!A:B,2,1)</f>
        <v>Player</v>
      </c>
      <c r="F1003" s="7" t="s">
        <v>375</v>
      </c>
      <c r="G1003" t="str">
        <f t="shared" si="29"/>
        <v>q</v>
      </c>
      <c r="H1003" t="str">
        <f>VLOOKUP(D1003,name!A:C,3,1)</f>
        <v>assets/icons/image326.png</v>
      </c>
    </row>
    <row r="1004" spans="1:12" x14ac:dyDescent="0.15">
      <c r="A1004" t="str">
        <f t="shared" ref="A1004:B1004" si="36">A1001</f>
        <v>ドイツ語</v>
      </c>
      <c r="B1004">
        <f t="shared" si="36"/>
        <v>11</v>
      </c>
      <c r="C1004">
        <f t="shared" si="2"/>
        <v>77</v>
      </c>
      <c r="D1004">
        <v>15</v>
      </c>
      <c r="E1004" t="str">
        <f>VLOOKUP(D1004,name!A:B,2,1)</f>
        <v>Verkäuferin</v>
      </c>
      <c r="F1004" s="7" t="s">
        <v>393</v>
      </c>
      <c r="G1004" t="str">
        <f t="shared" si="29"/>
        <v>a</v>
      </c>
      <c r="H1004" t="str">
        <f>VLOOKUP(D1004,name!A:C,3,1)</f>
        <v>assets/icons/image088.png</v>
      </c>
    </row>
    <row r="1005" spans="1:12" x14ac:dyDescent="0.15">
      <c r="A1005" t="str">
        <f t="shared" ref="A1005:B1006" si="37">A1002</f>
        <v>ドイツ語</v>
      </c>
      <c r="B1005">
        <f t="shared" si="37"/>
        <v>11</v>
      </c>
      <c r="C1005">
        <f t="shared" si="2"/>
        <v>78</v>
      </c>
      <c r="D1005">
        <v>15</v>
      </c>
      <c r="E1005" t="str">
        <f>VLOOKUP(D1005,name!A:B,2,1)</f>
        <v>Verkäuferin</v>
      </c>
      <c r="F1005" s="7" t="s">
        <v>376</v>
      </c>
      <c r="G1005" t="str">
        <f t="shared" si="29"/>
        <v>a</v>
      </c>
      <c r="H1005" t="str">
        <f>VLOOKUP(D1005,name!A:C,3,1)</f>
        <v>assets/icons/image088.png</v>
      </c>
    </row>
    <row r="1006" spans="1:12" x14ac:dyDescent="0.15">
      <c r="A1006" t="str">
        <f t="shared" si="37"/>
        <v>ドイツ語</v>
      </c>
      <c r="B1006">
        <f t="shared" si="37"/>
        <v>11</v>
      </c>
      <c r="C1006">
        <f t="shared" si="2"/>
        <v>79</v>
      </c>
      <c r="D1006">
        <v>0</v>
      </c>
      <c r="E1006" t="str">
        <f>VLOOKUP(D1006,name!A:B,2,1)</f>
        <v>Player</v>
      </c>
      <c r="F1006" s="7" t="s">
        <v>376</v>
      </c>
      <c r="G1006" t="str">
        <f t="shared" si="29"/>
        <v>q</v>
      </c>
      <c r="H1006" t="str">
        <f>VLOOKUP(D1006,name!A:C,3,1)</f>
        <v>assets/icons/image326.png</v>
      </c>
    </row>
    <row r="1007" spans="1:12" ht="15.75" x14ac:dyDescent="0.15">
      <c r="A1007" t="str">
        <f t="shared" ref="A1007:B1007" si="38">A1004</f>
        <v>ドイツ語</v>
      </c>
      <c r="B1007">
        <f t="shared" si="38"/>
        <v>11</v>
      </c>
      <c r="C1007">
        <f t="shared" si="2"/>
        <v>80</v>
      </c>
      <c r="D1007">
        <v>1</v>
      </c>
      <c r="E1007" t="str">
        <f>VLOOKUP(D1007,name!A:B,2,1)</f>
        <v>Navigator</v>
      </c>
      <c r="F1007" t="str">
        <f>"次の日本語を"&amp;A1007&amp;"に訳して答えてね！"</f>
        <v>次の日本語をドイツ語に訳して答えてね！</v>
      </c>
      <c r="G1007" t="str">
        <f t="shared" si="29"/>
        <v>a</v>
      </c>
      <c r="H1007" t="str">
        <f>VLOOKUP(D1007,name!A:C,3,1)</f>
        <v>assets/icons/image014.png</v>
      </c>
      <c r="L1007" s="5"/>
    </row>
    <row r="1008" spans="1:12" x14ac:dyDescent="0.15">
      <c r="A1008" t="str">
        <f t="shared" ref="A1008:B1008" si="39">A1005</f>
        <v>ドイツ語</v>
      </c>
      <c r="B1008">
        <f t="shared" si="39"/>
        <v>11</v>
      </c>
      <c r="C1008">
        <f t="shared" si="2"/>
        <v>81</v>
      </c>
      <c r="D1008">
        <v>15</v>
      </c>
      <c r="E1008" t="str">
        <f>VLOOKUP(D1008,name!A:B,2,1)</f>
        <v>Verkäuferin</v>
      </c>
      <c r="F1008" t="s">
        <v>377</v>
      </c>
      <c r="G1008" t="str">
        <f t="shared" si="29"/>
        <v>a</v>
      </c>
      <c r="H1008" t="str">
        <f>VLOOKUP(D1008,name!A:C,3,1)</f>
        <v>assets/icons/image088.png</v>
      </c>
    </row>
    <row r="1009" spans="1:8" x14ac:dyDescent="0.15">
      <c r="A1009" t="str">
        <f t="shared" ref="A1009:B1011" si="40">A1007</f>
        <v>ドイツ語</v>
      </c>
      <c r="B1009">
        <f t="shared" si="40"/>
        <v>11</v>
      </c>
      <c r="C1009">
        <f t="shared" si="2"/>
        <v>82</v>
      </c>
      <c r="D1009">
        <v>0</v>
      </c>
      <c r="E1009" t="str">
        <f>VLOOKUP(D1009,name!A:B,2,1)</f>
        <v>Player</v>
      </c>
      <c r="F1009" t="s">
        <v>364</v>
      </c>
      <c r="G1009" t="str">
        <f t="shared" si="29"/>
        <v>q</v>
      </c>
      <c r="H1009" t="str">
        <f>VLOOKUP(D1009,name!A:C,3,1)</f>
        <v>assets/icons/image326.png</v>
      </c>
    </row>
    <row r="1010" spans="1:8" x14ac:dyDescent="0.15">
      <c r="A1010" t="str">
        <f t="shared" si="40"/>
        <v>ドイツ語</v>
      </c>
      <c r="B1010">
        <f t="shared" si="40"/>
        <v>11</v>
      </c>
      <c r="C1010">
        <f t="shared" si="2"/>
        <v>83</v>
      </c>
      <c r="D1010">
        <v>2</v>
      </c>
      <c r="E1010" t="str">
        <f>VLOOKUP(D1010,name!A:B,2,1)</f>
        <v>Tanaka</v>
      </c>
      <c r="F1010" t="s">
        <v>377</v>
      </c>
      <c r="G1010" t="str">
        <f t="shared" si="29"/>
        <v>a</v>
      </c>
      <c r="H1010" t="str">
        <f>VLOOKUP(D1010,name!A:C,3,1)</f>
        <v>assets/icons/image013.png</v>
      </c>
    </row>
    <row r="1011" spans="1:8" x14ac:dyDescent="0.15">
      <c r="A1011" t="str">
        <f t="shared" si="40"/>
        <v>ドイツ語</v>
      </c>
      <c r="B1011">
        <f t="shared" si="40"/>
        <v>11</v>
      </c>
      <c r="C1011">
        <f t="shared" si="2"/>
        <v>84</v>
      </c>
      <c r="D1011">
        <v>0</v>
      </c>
      <c r="E1011" t="str">
        <f>VLOOKUP(D1011,name!A:B,2,1)</f>
        <v>Player</v>
      </c>
      <c r="F1011" t="s">
        <v>367</v>
      </c>
      <c r="G1011" t="str">
        <f t="shared" si="29"/>
        <v>q</v>
      </c>
      <c r="H1011" t="str">
        <f>VLOOKUP(D1011,name!A:C,3,1)</f>
        <v>assets/icons/image326.png</v>
      </c>
    </row>
    <row r="1012" spans="1:8" x14ac:dyDescent="0.15">
      <c r="A1012" t="str">
        <f t="shared" ref="A1012:B1012" si="41">A1010</f>
        <v>ドイツ語</v>
      </c>
      <c r="B1012">
        <f t="shared" si="41"/>
        <v>11</v>
      </c>
      <c r="C1012">
        <f t="shared" si="2"/>
        <v>85</v>
      </c>
      <c r="D1012">
        <v>2</v>
      </c>
      <c r="E1012" t="str">
        <f>VLOOKUP(D1012,name!A:B,2,1)</f>
        <v>Tanaka</v>
      </c>
      <c r="F1012" t="s">
        <v>394</v>
      </c>
      <c r="G1012" t="str">
        <f t="shared" si="29"/>
        <v>a</v>
      </c>
      <c r="H1012" t="str">
        <f>VLOOKUP(D1012,name!A:C,3,1)</f>
        <v>assets/icons/image013.png</v>
      </c>
    </row>
    <row r="1013" spans="1:8" x14ac:dyDescent="0.15">
      <c r="A1013" t="str">
        <f t="shared" ref="A1013:B1013" si="42">A1011</f>
        <v>ドイツ語</v>
      </c>
      <c r="B1013">
        <f t="shared" si="42"/>
        <v>11</v>
      </c>
      <c r="C1013">
        <f t="shared" si="2"/>
        <v>86</v>
      </c>
      <c r="D1013">
        <v>0</v>
      </c>
      <c r="E1013" t="str">
        <f>VLOOKUP(D1013,name!A:B,2,1)</f>
        <v>Player</v>
      </c>
      <c r="F1013" t="s">
        <v>368</v>
      </c>
      <c r="G1013" t="str">
        <f t="shared" si="29"/>
        <v>q</v>
      </c>
      <c r="H1013" t="str">
        <f>VLOOKUP(D1013,name!A:C,3,1)</f>
        <v>assets/icons/image326.png</v>
      </c>
    </row>
    <row r="1014" spans="1:8" x14ac:dyDescent="0.15">
      <c r="A1014" t="str">
        <f t="shared" ref="A1014:B1014" si="43">A1012</f>
        <v>ドイツ語</v>
      </c>
      <c r="B1014">
        <f t="shared" si="43"/>
        <v>11</v>
      </c>
      <c r="C1014">
        <f t="shared" si="2"/>
        <v>87</v>
      </c>
      <c r="D1014">
        <v>15</v>
      </c>
      <c r="E1014" t="str">
        <f>VLOOKUP(D1014,name!A:B,2,1)</f>
        <v>Verkäuferin</v>
      </c>
      <c r="F1014" t="s">
        <v>378</v>
      </c>
      <c r="G1014" t="str">
        <f t="shared" si="29"/>
        <v>a</v>
      </c>
      <c r="H1014" t="str">
        <f>VLOOKUP(D1014,name!A:C,3,1)</f>
        <v>assets/icons/image088.png</v>
      </c>
    </row>
    <row r="1015" spans="1:8" x14ac:dyDescent="0.15">
      <c r="A1015" t="str">
        <f t="shared" ref="A1015:B1015" si="44">A1013</f>
        <v>ドイツ語</v>
      </c>
      <c r="B1015">
        <f t="shared" si="44"/>
        <v>11</v>
      </c>
      <c r="C1015">
        <f t="shared" si="2"/>
        <v>88</v>
      </c>
      <c r="D1015">
        <v>0</v>
      </c>
      <c r="E1015" t="str">
        <f>VLOOKUP(D1015,name!A:B,2,1)</f>
        <v>Player</v>
      </c>
      <c r="F1015" t="s">
        <v>369</v>
      </c>
      <c r="G1015" t="str">
        <f t="shared" si="29"/>
        <v>q</v>
      </c>
      <c r="H1015" t="str">
        <f>VLOOKUP(D1015,name!A:C,3,1)</f>
        <v>assets/icons/image326.png</v>
      </c>
    </row>
    <row r="1016" spans="1:8" x14ac:dyDescent="0.15">
      <c r="A1016" t="str">
        <f t="shared" ref="A1016:B1016" si="45">A1014</f>
        <v>ドイツ語</v>
      </c>
      <c r="B1016">
        <f t="shared" si="45"/>
        <v>11</v>
      </c>
      <c r="C1016">
        <f t="shared" si="2"/>
        <v>89</v>
      </c>
      <c r="D1016">
        <v>2</v>
      </c>
      <c r="E1016" t="str">
        <f>VLOOKUP(D1016,name!A:B,2,1)</f>
        <v>Tanaka</v>
      </c>
      <c r="F1016" s="7" t="s">
        <v>379</v>
      </c>
      <c r="G1016" t="str">
        <f t="shared" si="29"/>
        <v>a</v>
      </c>
      <c r="H1016" t="str">
        <f>VLOOKUP(D1016,name!A:C,3,1)</f>
        <v>assets/icons/image013.png</v>
      </c>
    </row>
    <row r="1017" spans="1:8" x14ac:dyDescent="0.15">
      <c r="A1017" t="str">
        <f t="shared" ref="A1017:B1017" si="46">A1015</f>
        <v>ドイツ語</v>
      </c>
      <c r="B1017">
        <f t="shared" si="46"/>
        <v>11</v>
      </c>
      <c r="C1017">
        <f t="shared" si="2"/>
        <v>90</v>
      </c>
      <c r="D1017">
        <v>0</v>
      </c>
      <c r="E1017" t="str">
        <f>VLOOKUP(D1017,name!A:B,2,1)</f>
        <v>Player</v>
      </c>
      <c r="F1017" s="7" t="s">
        <v>370</v>
      </c>
      <c r="G1017" t="str">
        <f t="shared" si="29"/>
        <v>q</v>
      </c>
      <c r="H1017" t="str">
        <f>VLOOKUP(D1017,name!A:C,3,1)</f>
        <v>assets/icons/image326.png</v>
      </c>
    </row>
    <row r="1018" spans="1:8" x14ac:dyDescent="0.15">
      <c r="A1018" t="str">
        <f t="shared" ref="A1018:B1021" si="47">A1014</f>
        <v>ドイツ語</v>
      </c>
      <c r="B1018">
        <f t="shared" si="47"/>
        <v>11</v>
      </c>
      <c r="C1018">
        <f t="shared" si="2"/>
        <v>91</v>
      </c>
      <c r="D1018">
        <v>15</v>
      </c>
      <c r="E1018" t="str">
        <f>VLOOKUP(D1018,name!A:B,2,1)</f>
        <v>Verkäuferin</v>
      </c>
      <c r="F1018" s="7" t="s">
        <v>383</v>
      </c>
      <c r="G1018" t="str">
        <f t="shared" si="29"/>
        <v>a</v>
      </c>
      <c r="H1018" t="str">
        <f>VLOOKUP(D1018,name!A:C,3,1)</f>
        <v>assets/icons/image088.png</v>
      </c>
    </row>
    <row r="1019" spans="1:8" x14ac:dyDescent="0.15">
      <c r="A1019" t="str">
        <f t="shared" si="47"/>
        <v>ドイツ語</v>
      </c>
      <c r="B1019">
        <f t="shared" si="47"/>
        <v>11</v>
      </c>
      <c r="C1019">
        <f t="shared" si="2"/>
        <v>92</v>
      </c>
      <c r="D1019">
        <v>0</v>
      </c>
      <c r="E1019" t="str">
        <f>VLOOKUP(D1019,name!A:B,2,1)</f>
        <v>Player</v>
      </c>
      <c r="F1019" s="7" t="s">
        <v>380</v>
      </c>
      <c r="G1019" t="str">
        <f t="shared" si="29"/>
        <v>q</v>
      </c>
      <c r="H1019" t="str">
        <f>VLOOKUP(D1019,name!A:C,3,1)</f>
        <v>assets/icons/image326.png</v>
      </c>
    </row>
    <row r="1020" spans="1:8" x14ac:dyDescent="0.15">
      <c r="A1020" t="str">
        <f t="shared" si="47"/>
        <v>ドイツ語</v>
      </c>
      <c r="B1020">
        <f t="shared" si="47"/>
        <v>11</v>
      </c>
      <c r="C1020">
        <f t="shared" si="2"/>
        <v>93</v>
      </c>
      <c r="D1020">
        <v>15</v>
      </c>
      <c r="E1020" t="str">
        <f>VLOOKUP(D1020,name!A:B,2,1)</f>
        <v>Verkäuferin</v>
      </c>
      <c r="F1020" s="7" t="s">
        <v>384</v>
      </c>
      <c r="G1020" t="str">
        <f t="shared" si="29"/>
        <v>a</v>
      </c>
      <c r="H1020" t="str">
        <f>VLOOKUP(D1020,name!A:C,3,1)</f>
        <v>assets/icons/image088.png</v>
      </c>
    </row>
    <row r="1021" spans="1:8" x14ac:dyDescent="0.15">
      <c r="A1021" t="str">
        <f t="shared" si="47"/>
        <v>ドイツ語</v>
      </c>
      <c r="B1021">
        <f t="shared" si="47"/>
        <v>11</v>
      </c>
      <c r="C1021">
        <f t="shared" si="2"/>
        <v>94</v>
      </c>
      <c r="D1021">
        <v>0</v>
      </c>
      <c r="E1021" t="str">
        <f>VLOOKUP(D1021,name!A:B,2,1)</f>
        <v>Player</v>
      </c>
      <c r="F1021" s="7" t="s">
        <v>381</v>
      </c>
      <c r="G1021" t="str">
        <f t="shared" si="29"/>
        <v>q</v>
      </c>
      <c r="H1021" t="str">
        <f>VLOOKUP(D1021,name!A:C,3,1)</f>
        <v>assets/icons/image326.png</v>
      </c>
    </row>
    <row r="1022" spans="1:8" x14ac:dyDescent="0.15">
      <c r="A1022" t="str">
        <f t="shared" ref="A1022:B1022" si="48">A1020</f>
        <v>ドイツ語</v>
      </c>
      <c r="B1022">
        <f t="shared" si="48"/>
        <v>11</v>
      </c>
      <c r="C1022">
        <f t="shared" si="2"/>
        <v>95</v>
      </c>
      <c r="D1022">
        <v>2</v>
      </c>
      <c r="E1022" t="str">
        <f>VLOOKUP(D1022,name!A:B,2,1)</f>
        <v>Tanaka</v>
      </c>
      <c r="F1022" s="7" t="s">
        <v>382</v>
      </c>
      <c r="G1022" t="str">
        <f t="shared" si="29"/>
        <v>a</v>
      </c>
      <c r="H1022" t="str">
        <f>VLOOKUP(D1022,name!A:C,3,1)</f>
        <v>assets/icons/image013.png</v>
      </c>
    </row>
    <row r="1023" spans="1:8" x14ac:dyDescent="0.15">
      <c r="A1023" t="str">
        <f t="shared" ref="A1023:B1023" si="49">A1021</f>
        <v>ドイツ語</v>
      </c>
      <c r="B1023">
        <f t="shared" si="49"/>
        <v>11</v>
      </c>
      <c r="C1023">
        <f t="shared" si="2"/>
        <v>96</v>
      </c>
      <c r="D1023">
        <v>0</v>
      </c>
      <c r="E1023" t="str">
        <f>VLOOKUP(D1023,name!A:B,2,1)</f>
        <v>Player</v>
      </c>
      <c r="F1023" s="7" t="s">
        <v>371</v>
      </c>
      <c r="G1023" t="str">
        <f t="shared" si="29"/>
        <v>q</v>
      </c>
      <c r="H1023" t="str">
        <f>VLOOKUP(D1023,name!A:C,3,1)</f>
        <v>assets/icons/image326.png</v>
      </c>
    </row>
    <row r="1024" spans="1:8" x14ac:dyDescent="0.15">
      <c r="A1024" t="str">
        <f t="shared" ref="A1024:B1024" si="50">A1022</f>
        <v>ドイツ語</v>
      </c>
      <c r="B1024">
        <f t="shared" si="50"/>
        <v>11</v>
      </c>
      <c r="C1024">
        <f t="shared" si="2"/>
        <v>97</v>
      </c>
      <c r="D1024">
        <v>15</v>
      </c>
      <c r="E1024" t="str">
        <f>VLOOKUP(D1024,name!A:B,2,1)</f>
        <v>Verkäuferin</v>
      </c>
      <c r="F1024" s="7" t="s">
        <v>385</v>
      </c>
      <c r="G1024" t="str">
        <f t="shared" si="29"/>
        <v>a</v>
      </c>
      <c r="H1024" t="str">
        <f>VLOOKUP(D1024,name!A:C,3,1)</f>
        <v>assets/icons/image088.png</v>
      </c>
    </row>
    <row r="1025" spans="1:12" x14ac:dyDescent="0.15">
      <c r="A1025" t="str">
        <f t="shared" ref="A1025:B1025" si="51">A1023</f>
        <v>ドイツ語</v>
      </c>
      <c r="B1025">
        <f t="shared" si="51"/>
        <v>11</v>
      </c>
      <c r="C1025">
        <f t="shared" si="2"/>
        <v>98</v>
      </c>
      <c r="D1025">
        <v>0</v>
      </c>
      <c r="E1025" t="str">
        <f>VLOOKUP(D1025,name!A:B,2,1)</f>
        <v>Player</v>
      </c>
      <c r="F1025" s="7" t="s">
        <v>372</v>
      </c>
      <c r="G1025" t="str">
        <f t="shared" si="29"/>
        <v>q</v>
      </c>
      <c r="H1025" t="str">
        <f>VLOOKUP(D1025,name!A:C,3,1)</f>
        <v>assets/icons/image326.png</v>
      </c>
    </row>
    <row r="1026" spans="1:12" x14ac:dyDescent="0.15">
      <c r="A1026" t="str">
        <f t="shared" ref="A1026:B1029" si="52">A1022</f>
        <v>ドイツ語</v>
      </c>
      <c r="B1026">
        <f t="shared" si="52"/>
        <v>11</v>
      </c>
      <c r="C1026">
        <f t="shared" si="2"/>
        <v>99</v>
      </c>
      <c r="D1026">
        <v>2</v>
      </c>
      <c r="E1026" t="str">
        <f>VLOOKUP(D1026,name!A:B,2,1)</f>
        <v>Tanaka</v>
      </c>
      <c r="F1026" s="7" t="s">
        <v>386</v>
      </c>
      <c r="G1026" t="str">
        <f t="shared" si="29"/>
        <v>a</v>
      </c>
      <c r="H1026" t="str">
        <f>VLOOKUP(D1026,name!A:C,3,1)</f>
        <v>assets/icons/image013.png</v>
      </c>
    </row>
    <row r="1027" spans="1:12" x14ac:dyDescent="0.15">
      <c r="A1027" t="str">
        <f t="shared" si="52"/>
        <v>ドイツ語</v>
      </c>
      <c r="B1027">
        <f t="shared" si="52"/>
        <v>11</v>
      </c>
      <c r="C1027">
        <f t="shared" si="2"/>
        <v>100</v>
      </c>
      <c r="D1027">
        <v>0</v>
      </c>
      <c r="E1027" t="str">
        <f>VLOOKUP(D1027,name!A:B,2,1)</f>
        <v>Player</v>
      </c>
      <c r="F1027" s="7" t="s">
        <v>387</v>
      </c>
      <c r="G1027" t="str">
        <f t="shared" si="29"/>
        <v>q</v>
      </c>
      <c r="H1027" t="str">
        <f>VLOOKUP(D1027,name!A:C,3,1)</f>
        <v>assets/icons/image326.png</v>
      </c>
    </row>
    <row r="1028" spans="1:12" x14ac:dyDescent="0.15">
      <c r="A1028" t="str">
        <f t="shared" si="52"/>
        <v>ドイツ語</v>
      </c>
      <c r="B1028">
        <f t="shared" si="52"/>
        <v>11</v>
      </c>
      <c r="C1028">
        <f t="shared" si="2"/>
        <v>101</v>
      </c>
      <c r="D1028">
        <v>2</v>
      </c>
      <c r="E1028" t="str">
        <f>VLOOKUP(D1028,name!A:B,2,1)</f>
        <v>Tanaka</v>
      </c>
      <c r="F1028" s="7" t="s">
        <v>388</v>
      </c>
      <c r="G1028" t="str">
        <f t="shared" si="29"/>
        <v>a</v>
      </c>
      <c r="H1028" t="str">
        <f>VLOOKUP(D1028,name!A:C,3,1)</f>
        <v>assets/icons/image013.png</v>
      </c>
    </row>
    <row r="1029" spans="1:12" x14ac:dyDescent="0.15">
      <c r="A1029" t="str">
        <f t="shared" si="52"/>
        <v>ドイツ語</v>
      </c>
      <c r="B1029">
        <f t="shared" si="52"/>
        <v>11</v>
      </c>
      <c r="C1029">
        <f t="shared" si="2"/>
        <v>102</v>
      </c>
      <c r="D1029">
        <v>0</v>
      </c>
      <c r="E1029" t="str">
        <f>VLOOKUP(D1029,name!A:B,2,1)</f>
        <v>Player</v>
      </c>
      <c r="F1029" s="7" t="s">
        <v>389</v>
      </c>
      <c r="G1029" t="str">
        <f t="shared" si="29"/>
        <v>q</v>
      </c>
      <c r="H1029" t="str">
        <f>VLOOKUP(D1029,name!A:C,3,1)</f>
        <v>assets/icons/image326.png</v>
      </c>
    </row>
    <row r="1030" spans="1:12" x14ac:dyDescent="0.15">
      <c r="A1030" t="str">
        <f t="shared" ref="A1030:B1030" si="53">A1028</f>
        <v>ドイツ語</v>
      </c>
      <c r="B1030">
        <f t="shared" si="53"/>
        <v>11</v>
      </c>
      <c r="C1030">
        <f t="shared" si="2"/>
        <v>103</v>
      </c>
      <c r="D1030">
        <v>2</v>
      </c>
      <c r="E1030" t="str">
        <f>VLOOKUP(D1030,name!A:B,2,1)</f>
        <v>Tanaka</v>
      </c>
      <c r="F1030" s="7" t="s">
        <v>390</v>
      </c>
      <c r="G1030" t="str">
        <f t="shared" si="29"/>
        <v>a</v>
      </c>
      <c r="H1030" t="str">
        <f>VLOOKUP(D1030,name!A:C,3,1)</f>
        <v>assets/icons/image013.png</v>
      </c>
    </row>
    <row r="1031" spans="1:12" x14ac:dyDescent="0.15">
      <c r="A1031" t="str">
        <f t="shared" ref="A1031:B1031" si="54">A1029</f>
        <v>ドイツ語</v>
      </c>
      <c r="B1031">
        <f t="shared" si="54"/>
        <v>11</v>
      </c>
      <c r="C1031">
        <f t="shared" si="2"/>
        <v>104</v>
      </c>
      <c r="D1031">
        <v>0</v>
      </c>
      <c r="E1031" t="str">
        <f>VLOOKUP(D1031,name!A:B,2,1)</f>
        <v>Player</v>
      </c>
      <c r="F1031" s="7" t="s">
        <v>373</v>
      </c>
      <c r="G1031" t="str">
        <f t="shared" si="29"/>
        <v>q</v>
      </c>
      <c r="H1031" t="str">
        <f>VLOOKUP(D1031,name!A:C,3,1)</f>
        <v>assets/icons/image326.png</v>
      </c>
    </row>
    <row r="1032" spans="1:12" x14ac:dyDescent="0.15">
      <c r="A1032" t="str">
        <f t="shared" ref="A1032:B1032" si="55">A1030</f>
        <v>ドイツ語</v>
      </c>
      <c r="B1032">
        <f t="shared" si="55"/>
        <v>11</v>
      </c>
      <c r="C1032">
        <f t="shared" si="2"/>
        <v>105</v>
      </c>
      <c r="D1032">
        <v>15</v>
      </c>
      <c r="E1032" t="str">
        <f>VLOOKUP(D1032,name!A:B,2,1)</f>
        <v>Verkäuferin</v>
      </c>
      <c r="F1032" s="7" t="s">
        <v>391</v>
      </c>
      <c r="G1032" t="str">
        <f t="shared" si="29"/>
        <v>a</v>
      </c>
      <c r="H1032" t="str">
        <f>VLOOKUP(D1032,name!A:C,3,1)</f>
        <v>assets/icons/image088.png</v>
      </c>
    </row>
    <row r="1033" spans="1:12" x14ac:dyDescent="0.15">
      <c r="A1033" t="str">
        <f t="shared" ref="A1033:B1033" si="56">A1031</f>
        <v>ドイツ語</v>
      </c>
      <c r="B1033">
        <f t="shared" si="56"/>
        <v>11</v>
      </c>
      <c r="C1033">
        <f t="shared" si="2"/>
        <v>106</v>
      </c>
      <c r="D1033">
        <v>0</v>
      </c>
      <c r="E1033" t="str">
        <f>VLOOKUP(D1033,name!A:B,2,1)</f>
        <v>Player</v>
      </c>
      <c r="F1033" s="7" t="s">
        <v>374</v>
      </c>
      <c r="G1033" t="str">
        <f t="shared" si="29"/>
        <v>q</v>
      </c>
      <c r="H1033" t="str">
        <f>VLOOKUP(D1033,name!A:C,3,1)</f>
        <v>assets/icons/image326.png</v>
      </c>
    </row>
    <row r="1034" spans="1:12" x14ac:dyDescent="0.15">
      <c r="A1034" t="str">
        <f t="shared" ref="A1034:B1034" si="57">A1032</f>
        <v>ドイツ語</v>
      </c>
      <c r="B1034">
        <f t="shared" si="57"/>
        <v>11</v>
      </c>
      <c r="C1034">
        <f t="shared" si="2"/>
        <v>107</v>
      </c>
      <c r="D1034">
        <v>2</v>
      </c>
      <c r="E1034" t="str">
        <f>VLOOKUP(D1034,name!A:B,2,1)</f>
        <v>Tanaka</v>
      </c>
      <c r="F1034" s="7" t="s">
        <v>392</v>
      </c>
      <c r="G1034" t="str">
        <f t="shared" si="29"/>
        <v>a</v>
      </c>
      <c r="H1034" t="str">
        <f>VLOOKUP(D1034,name!A:C,3,1)</f>
        <v>assets/icons/image013.png</v>
      </c>
    </row>
    <row r="1035" spans="1:12" x14ac:dyDescent="0.15">
      <c r="A1035" t="str">
        <f t="shared" ref="A1035:B1035" si="58">A1033</f>
        <v>ドイツ語</v>
      </c>
      <c r="B1035">
        <f t="shared" si="58"/>
        <v>11</v>
      </c>
      <c r="C1035">
        <f t="shared" si="2"/>
        <v>108</v>
      </c>
      <c r="D1035">
        <v>0</v>
      </c>
      <c r="E1035" t="str">
        <f>VLOOKUP(D1035,name!A:B,2,1)</f>
        <v>Player</v>
      </c>
      <c r="F1035" s="7" t="s">
        <v>375</v>
      </c>
      <c r="G1035" t="str">
        <f t="shared" si="29"/>
        <v>q</v>
      </c>
      <c r="H1035" t="str">
        <f>VLOOKUP(D1035,name!A:C,3,1)</f>
        <v>assets/icons/image326.png</v>
      </c>
    </row>
    <row r="1036" spans="1:12" x14ac:dyDescent="0.15">
      <c r="A1036" t="str">
        <f t="shared" ref="A1036:B1036" si="59">A1034</f>
        <v>ドイツ語</v>
      </c>
      <c r="B1036">
        <f t="shared" si="59"/>
        <v>11</v>
      </c>
      <c r="C1036">
        <f t="shared" si="2"/>
        <v>109</v>
      </c>
      <c r="D1036">
        <v>15</v>
      </c>
      <c r="E1036" t="str">
        <f>VLOOKUP(D1036,name!A:B,2,1)</f>
        <v>Verkäuferin</v>
      </c>
      <c r="F1036" s="7" t="s">
        <v>393</v>
      </c>
      <c r="G1036" t="str">
        <f t="shared" si="29"/>
        <v>a</v>
      </c>
      <c r="H1036" t="str">
        <f>VLOOKUP(D1036,name!A:C,3,1)</f>
        <v>assets/icons/image088.png</v>
      </c>
    </row>
    <row r="1037" spans="1:12" x14ac:dyDescent="0.15">
      <c r="A1037" t="str">
        <f t="shared" ref="A1037:B1038" si="60">A1035</f>
        <v>ドイツ語</v>
      </c>
      <c r="B1037">
        <f t="shared" si="60"/>
        <v>11</v>
      </c>
      <c r="C1037">
        <f t="shared" si="2"/>
        <v>110</v>
      </c>
      <c r="D1037">
        <v>0</v>
      </c>
      <c r="E1037" t="str">
        <f>VLOOKUP(D1037,name!A:B,2,1)</f>
        <v>Player</v>
      </c>
      <c r="F1037" s="7" t="s">
        <v>376</v>
      </c>
      <c r="G1037" t="str">
        <f t="shared" si="29"/>
        <v>q</v>
      </c>
      <c r="H1037" t="str">
        <f>VLOOKUP(D1037,name!A:C,3,1)</f>
        <v>assets/icons/image326.png</v>
      </c>
    </row>
    <row r="1038" spans="1:12" ht="15.75" x14ac:dyDescent="0.15">
      <c r="A1038" t="str">
        <f t="shared" si="60"/>
        <v>ドイツ語</v>
      </c>
      <c r="B1038">
        <f t="shared" si="60"/>
        <v>11</v>
      </c>
      <c r="C1038">
        <f t="shared" si="2"/>
        <v>111</v>
      </c>
      <c r="D1038">
        <v>1</v>
      </c>
      <c r="E1038" t="str">
        <f>VLOOKUP(D1038,name!A:B,2,1)</f>
        <v>Navigator</v>
      </c>
      <c r="F1038" t="str">
        <f>"とても良くできました。レッスン"&amp;B1038&amp;"はこれで終了です。"</f>
        <v>とても良くできました。レッスン11はこれで終了です。</v>
      </c>
      <c r="G1038" t="str">
        <f t="shared" si="29"/>
        <v>e</v>
      </c>
      <c r="H1038" t="str">
        <f>VLOOKUP(D1038,name!A:C,3,1)</f>
        <v>assets/icons/image014.png</v>
      </c>
      <c r="L1038" s="5"/>
    </row>
    <row r="1039" spans="1:12" x14ac:dyDescent="0.15">
      <c r="A1039" t="str">
        <f>A1038</f>
        <v>ドイツ語</v>
      </c>
      <c r="B1039">
        <f>B1038+1</f>
        <v>12</v>
      </c>
      <c r="C1039">
        <v>1</v>
      </c>
      <c r="D1039">
        <v>1</v>
      </c>
      <c r="E1039" t="str">
        <f>VLOOKUP(D1039,name!A:B,2,1)</f>
        <v>Navigator</v>
      </c>
      <c r="F1039" t="s">
        <v>395</v>
      </c>
      <c r="G1039" t="str">
        <f t="shared" si="29"/>
        <v>a</v>
      </c>
      <c r="H1039" t="str">
        <f>VLOOKUP(D1039,name!A:C,3,1)</f>
        <v>assets/icons/image014.png</v>
      </c>
    </row>
    <row r="1040" spans="1:12" x14ac:dyDescent="0.15">
      <c r="A1040" t="str">
        <f t="shared" ref="A1040:B1055" si="61">A1039</f>
        <v>ドイツ語</v>
      </c>
      <c r="B1040">
        <f>B1039</f>
        <v>12</v>
      </c>
      <c r="C1040">
        <f>C1039+1</f>
        <v>2</v>
      </c>
      <c r="D1040">
        <v>1</v>
      </c>
      <c r="E1040" t="str">
        <f>VLOOKUP(D1040,name!A:B,2,1)</f>
        <v>Navigator</v>
      </c>
      <c r="F1040" t="str">
        <f>"レッスン"&amp;B1040</f>
        <v>レッスン12</v>
      </c>
      <c r="G1040" t="str">
        <f t="shared" si="29"/>
        <v>a</v>
      </c>
      <c r="H1040" t="str">
        <f>VLOOKUP(D1040,name!A:C,3,1)</f>
        <v>assets/icons/image014.png</v>
      </c>
    </row>
    <row r="1041" spans="1:12" ht="40.5" x14ac:dyDescent="0.15">
      <c r="A1041" t="str">
        <f t="shared" si="61"/>
        <v>ドイツ語</v>
      </c>
      <c r="B1041">
        <f t="shared" si="61"/>
        <v>12</v>
      </c>
      <c r="C1041">
        <f t="shared" ref="C1041:C1104" si="62">C1040+1</f>
        <v>3</v>
      </c>
      <c r="D1041">
        <v>1</v>
      </c>
      <c r="E1041" t="str">
        <f>VLOOKUP(D1041,name!A:B,2,1)</f>
        <v>Navigator</v>
      </c>
      <c r="F1041" s="1" t="str">
        <f>"まずは対話文を流します。その後に、日本語と"&amp;A1603&amp;"を一文ずつ流すので"&amp;A1603&amp;"を真似して下さい。最後に日本語のみを流すので、"&amp;A1603&amp;"で答えてください。"</f>
        <v>まずは対話文を流します。その後に、日本語とを一文ずつ流すのでを真似して下さい。最後に日本語のみを流すので、で答えてください。</v>
      </c>
      <c r="G1041" t="str">
        <f t="shared" si="29"/>
        <v>a</v>
      </c>
      <c r="H1041" t="str">
        <f>VLOOKUP(D1041,name!A:C,3,1)</f>
        <v>assets/icons/image014.png</v>
      </c>
      <c r="L1041" s="1"/>
    </row>
    <row r="1042" spans="1:12" x14ac:dyDescent="0.15">
      <c r="A1042" t="str">
        <f t="shared" si="61"/>
        <v>ドイツ語</v>
      </c>
      <c r="B1042">
        <f t="shared" si="61"/>
        <v>12</v>
      </c>
      <c r="C1042">
        <f t="shared" si="62"/>
        <v>4</v>
      </c>
      <c r="D1042">
        <v>4</v>
      </c>
      <c r="E1042" t="str">
        <f>VLOOKUP(D1042,name!A:B,2,1)</f>
        <v>Weber</v>
      </c>
      <c r="F1042" t="s">
        <v>407</v>
      </c>
      <c r="G1042" t="str">
        <f t="shared" si="29"/>
        <v>a</v>
      </c>
      <c r="H1042" t="str">
        <f>VLOOKUP(D1042,name!A:C,3,1)</f>
        <v>assets/icons/image016.png</v>
      </c>
    </row>
    <row r="1043" spans="1:12" x14ac:dyDescent="0.15">
      <c r="A1043" t="str">
        <f t="shared" si="61"/>
        <v>ドイツ語</v>
      </c>
      <c r="B1043">
        <f t="shared" si="61"/>
        <v>12</v>
      </c>
      <c r="C1043">
        <f t="shared" si="62"/>
        <v>5</v>
      </c>
      <c r="D1043">
        <v>4</v>
      </c>
      <c r="E1043" t="str">
        <f>VLOOKUP(D1043,name!A:B,2,1)</f>
        <v>Weber</v>
      </c>
      <c r="F1043" t="s">
        <v>396</v>
      </c>
      <c r="G1043" t="str">
        <f t="shared" si="29"/>
        <v>a</v>
      </c>
      <c r="H1043" t="str">
        <f>VLOOKUP(D1043,name!A:C,3,1)</f>
        <v>assets/icons/image016.png</v>
      </c>
    </row>
    <row r="1044" spans="1:12" x14ac:dyDescent="0.15">
      <c r="A1044" t="str">
        <f t="shared" si="61"/>
        <v>ドイツ語</v>
      </c>
      <c r="B1044">
        <f t="shared" si="61"/>
        <v>12</v>
      </c>
      <c r="C1044">
        <f t="shared" si="62"/>
        <v>6</v>
      </c>
      <c r="D1044">
        <v>4</v>
      </c>
      <c r="E1044" t="str">
        <f>VLOOKUP(D1044,name!A:B,2,1)</f>
        <v>Weber</v>
      </c>
      <c r="F1044" t="s">
        <v>408</v>
      </c>
      <c r="G1044" t="str">
        <f t="shared" si="29"/>
        <v>a</v>
      </c>
      <c r="H1044" t="str">
        <f>VLOOKUP(D1044,name!A:C,3,1)</f>
        <v>assets/icons/image016.png</v>
      </c>
    </row>
    <row r="1045" spans="1:12" x14ac:dyDescent="0.15">
      <c r="A1045" t="str">
        <f t="shared" si="61"/>
        <v>ドイツ語</v>
      </c>
      <c r="B1045">
        <f t="shared" si="61"/>
        <v>12</v>
      </c>
      <c r="C1045">
        <f t="shared" si="62"/>
        <v>7</v>
      </c>
      <c r="D1045">
        <v>4</v>
      </c>
      <c r="E1045" t="str">
        <f>VLOOKUP(D1045,name!A:B,2,1)</f>
        <v>Weber</v>
      </c>
      <c r="F1045" t="s">
        <v>397</v>
      </c>
      <c r="G1045" t="str">
        <f t="shared" si="29"/>
        <v>a</v>
      </c>
      <c r="H1045" t="str">
        <f>VLOOKUP(D1045,name!A:C,3,1)</f>
        <v>assets/icons/image016.png</v>
      </c>
    </row>
    <row r="1046" spans="1:12" x14ac:dyDescent="0.15">
      <c r="A1046" t="str">
        <f t="shared" si="61"/>
        <v>ドイツ語</v>
      </c>
      <c r="B1046">
        <f t="shared" si="61"/>
        <v>12</v>
      </c>
      <c r="C1046">
        <f t="shared" si="62"/>
        <v>8</v>
      </c>
      <c r="D1046">
        <v>2</v>
      </c>
      <c r="E1046" t="str">
        <f>VLOOKUP(D1046,name!A:B,2,1)</f>
        <v>Tanaka</v>
      </c>
      <c r="F1046" t="s">
        <v>409</v>
      </c>
      <c r="G1046" t="str">
        <f t="shared" si="29"/>
        <v>a</v>
      </c>
      <c r="H1046" t="str">
        <f>VLOOKUP(D1046,name!A:C,3,1)</f>
        <v>assets/icons/image013.png</v>
      </c>
    </row>
    <row r="1047" spans="1:12" x14ac:dyDescent="0.15">
      <c r="A1047" t="str">
        <f t="shared" si="61"/>
        <v>ドイツ語</v>
      </c>
      <c r="B1047">
        <f t="shared" si="61"/>
        <v>12</v>
      </c>
      <c r="C1047">
        <f t="shared" si="62"/>
        <v>9</v>
      </c>
      <c r="D1047">
        <v>2</v>
      </c>
      <c r="E1047" t="str">
        <f>VLOOKUP(D1047,name!A:B,2,1)</f>
        <v>Tanaka</v>
      </c>
      <c r="F1047" t="s">
        <v>398</v>
      </c>
      <c r="G1047" t="str">
        <f t="shared" si="29"/>
        <v>a</v>
      </c>
      <c r="H1047" t="str">
        <f>VLOOKUP(D1047,name!A:C,3,1)</f>
        <v>assets/icons/image013.png</v>
      </c>
    </row>
    <row r="1048" spans="1:12" x14ac:dyDescent="0.15">
      <c r="A1048" t="str">
        <f t="shared" si="61"/>
        <v>ドイツ語</v>
      </c>
      <c r="B1048">
        <f t="shared" si="61"/>
        <v>12</v>
      </c>
      <c r="C1048">
        <f t="shared" si="62"/>
        <v>10</v>
      </c>
      <c r="D1048">
        <f>D1049</f>
        <v>4</v>
      </c>
      <c r="E1048" t="str">
        <f>VLOOKUP(D1048,name!A:B,2,1)</f>
        <v>Weber</v>
      </c>
      <c r="F1048" t="s">
        <v>410</v>
      </c>
      <c r="G1048" t="str">
        <f t="shared" si="29"/>
        <v>a</v>
      </c>
      <c r="H1048" t="str">
        <f>VLOOKUP(D1048,name!A:C,3,1)</f>
        <v>assets/icons/image016.png</v>
      </c>
    </row>
    <row r="1049" spans="1:12" x14ac:dyDescent="0.15">
      <c r="A1049" t="str">
        <f t="shared" si="61"/>
        <v>ドイツ語</v>
      </c>
      <c r="B1049">
        <f t="shared" si="61"/>
        <v>12</v>
      </c>
      <c r="C1049">
        <f t="shared" si="62"/>
        <v>11</v>
      </c>
      <c r="D1049">
        <f t="shared" ref="D1049:D1062" si="63">D1050</f>
        <v>4</v>
      </c>
      <c r="E1049" t="str">
        <f>VLOOKUP(D1049,name!A:B,2,1)</f>
        <v>Weber</v>
      </c>
      <c r="F1049" t="s">
        <v>399</v>
      </c>
      <c r="G1049" t="str">
        <f t="shared" si="29"/>
        <v>a</v>
      </c>
      <c r="H1049" t="str">
        <f>VLOOKUP(D1049,name!A:C,3,1)</f>
        <v>assets/icons/image016.png</v>
      </c>
    </row>
    <row r="1050" spans="1:12" x14ac:dyDescent="0.15">
      <c r="A1050" t="str">
        <f t="shared" si="61"/>
        <v>ドイツ語</v>
      </c>
      <c r="B1050">
        <f t="shared" si="61"/>
        <v>12</v>
      </c>
      <c r="C1050">
        <f t="shared" si="62"/>
        <v>12</v>
      </c>
      <c r="D1050">
        <f t="shared" si="63"/>
        <v>4</v>
      </c>
      <c r="E1050" t="str">
        <f>VLOOKUP(D1050,name!A:B,2,1)</f>
        <v>Weber</v>
      </c>
      <c r="F1050" t="s">
        <v>411</v>
      </c>
      <c r="G1050" t="str">
        <f t="shared" si="29"/>
        <v>a</v>
      </c>
      <c r="H1050" t="str">
        <f>VLOOKUP(D1050,name!A:C,3,1)</f>
        <v>assets/icons/image016.png</v>
      </c>
    </row>
    <row r="1051" spans="1:12" x14ac:dyDescent="0.15">
      <c r="A1051" t="str">
        <f t="shared" si="61"/>
        <v>ドイツ語</v>
      </c>
      <c r="B1051">
        <f t="shared" si="61"/>
        <v>12</v>
      </c>
      <c r="C1051">
        <f t="shared" si="62"/>
        <v>13</v>
      </c>
      <c r="D1051">
        <f t="shared" si="63"/>
        <v>4</v>
      </c>
      <c r="E1051" t="str">
        <f>VLOOKUP(D1051,name!A:B,2,1)</f>
        <v>Weber</v>
      </c>
      <c r="F1051" t="s">
        <v>400</v>
      </c>
      <c r="G1051" t="str">
        <f t="shared" si="29"/>
        <v>a</v>
      </c>
      <c r="H1051" t="str">
        <f>VLOOKUP(D1051,name!A:C,3,1)</f>
        <v>assets/icons/image016.png</v>
      </c>
    </row>
    <row r="1052" spans="1:12" x14ac:dyDescent="0.15">
      <c r="A1052" t="str">
        <f t="shared" si="61"/>
        <v>ドイツ語</v>
      </c>
      <c r="B1052">
        <f t="shared" si="61"/>
        <v>12</v>
      </c>
      <c r="C1052">
        <f t="shared" si="62"/>
        <v>14</v>
      </c>
      <c r="D1052">
        <f t="shared" si="63"/>
        <v>4</v>
      </c>
      <c r="E1052" t="str">
        <f>VLOOKUP(D1052,name!A:B,2,1)</f>
        <v>Weber</v>
      </c>
      <c r="F1052" t="s">
        <v>412</v>
      </c>
      <c r="G1052" t="str">
        <f t="shared" si="29"/>
        <v>a</v>
      </c>
      <c r="H1052" t="str">
        <f>VLOOKUP(D1052,name!A:C,3,1)</f>
        <v>assets/icons/image016.png</v>
      </c>
    </row>
    <row r="1053" spans="1:12" x14ac:dyDescent="0.15">
      <c r="A1053" t="str">
        <f t="shared" si="61"/>
        <v>ドイツ語</v>
      </c>
      <c r="B1053">
        <f t="shared" si="61"/>
        <v>12</v>
      </c>
      <c r="C1053">
        <f t="shared" si="62"/>
        <v>15</v>
      </c>
      <c r="D1053">
        <v>4</v>
      </c>
      <c r="E1053" t="str">
        <f>VLOOKUP(D1053,name!A:B,2,1)</f>
        <v>Weber</v>
      </c>
      <c r="F1053" t="s">
        <v>401</v>
      </c>
      <c r="G1053" t="str">
        <f t="shared" si="29"/>
        <v>a</v>
      </c>
      <c r="H1053" t="str">
        <f>VLOOKUP(D1053,name!A:C,3,1)</f>
        <v>assets/icons/image016.png</v>
      </c>
    </row>
    <row r="1054" spans="1:12" x14ac:dyDescent="0.15">
      <c r="A1054" t="str">
        <f t="shared" si="61"/>
        <v>ドイツ語</v>
      </c>
      <c r="B1054">
        <f t="shared" si="61"/>
        <v>12</v>
      </c>
      <c r="C1054">
        <f t="shared" si="62"/>
        <v>16</v>
      </c>
      <c r="D1054">
        <f t="shared" si="63"/>
        <v>2</v>
      </c>
      <c r="E1054" t="str">
        <f>VLOOKUP(D1054,name!A:B,2,1)</f>
        <v>Tanaka</v>
      </c>
      <c r="F1054" t="s">
        <v>413</v>
      </c>
      <c r="G1054" t="str">
        <f t="shared" si="29"/>
        <v>a</v>
      </c>
      <c r="H1054" t="str">
        <f>VLOOKUP(D1054,name!A:C,3,1)</f>
        <v>assets/icons/image013.png</v>
      </c>
    </row>
    <row r="1055" spans="1:12" x14ac:dyDescent="0.15">
      <c r="A1055" t="str">
        <f t="shared" si="61"/>
        <v>ドイツ語</v>
      </c>
      <c r="B1055">
        <f t="shared" si="61"/>
        <v>12</v>
      </c>
      <c r="C1055">
        <f t="shared" si="62"/>
        <v>17</v>
      </c>
      <c r="D1055">
        <f t="shared" si="63"/>
        <v>2</v>
      </c>
      <c r="E1055" t="str">
        <f>VLOOKUP(D1055,name!A:B,2,1)</f>
        <v>Tanaka</v>
      </c>
      <c r="F1055" t="s">
        <v>402</v>
      </c>
      <c r="G1055" t="str">
        <f t="shared" si="29"/>
        <v>a</v>
      </c>
      <c r="H1055" t="str">
        <f>VLOOKUP(D1055,name!A:C,3,1)</f>
        <v>assets/icons/image013.png</v>
      </c>
    </row>
    <row r="1056" spans="1:12" x14ac:dyDescent="0.15">
      <c r="A1056" t="str">
        <f t="shared" ref="A1056:B1063" si="64">A1055</f>
        <v>ドイツ語</v>
      </c>
      <c r="B1056">
        <f t="shared" si="64"/>
        <v>12</v>
      </c>
      <c r="C1056">
        <f t="shared" si="62"/>
        <v>18</v>
      </c>
      <c r="D1056">
        <f t="shared" si="63"/>
        <v>2</v>
      </c>
      <c r="E1056" t="str">
        <f>VLOOKUP(D1056,name!A:B,2,1)</f>
        <v>Tanaka</v>
      </c>
      <c r="F1056" t="s">
        <v>414</v>
      </c>
      <c r="G1056" t="str">
        <f t="shared" si="29"/>
        <v>a</v>
      </c>
      <c r="H1056" t="str">
        <f>VLOOKUP(D1056,name!A:C,3,1)</f>
        <v>assets/icons/image013.png</v>
      </c>
    </row>
    <row r="1057" spans="1:8" x14ac:dyDescent="0.15">
      <c r="A1057" t="str">
        <f t="shared" si="64"/>
        <v>ドイツ語</v>
      </c>
      <c r="B1057">
        <f t="shared" si="64"/>
        <v>12</v>
      </c>
      <c r="C1057">
        <f t="shared" si="62"/>
        <v>19</v>
      </c>
      <c r="D1057">
        <f t="shared" si="63"/>
        <v>2</v>
      </c>
      <c r="E1057" t="str">
        <f>VLOOKUP(D1057,name!A:B,2,1)</f>
        <v>Tanaka</v>
      </c>
      <c r="F1057" t="s">
        <v>403</v>
      </c>
      <c r="G1057" t="str">
        <f t="shared" si="29"/>
        <v>a</v>
      </c>
      <c r="H1057" t="str">
        <f>VLOOKUP(D1057,name!A:C,3,1)</f>
        <v>assets/icons/image013.png</v>
      </c>
    </row>
    <row r="1058" spans="1:8" x14ac:dyDescent="0.15">
      <c r="A1058" t="str">
        <f t="shared" si="64"/>
        <v>ドイツ語</v>
      </c>
      <c r="B1058">
        <f t="shared" si="64"/>
        <v>12</v>
      </c>
      <c r="C1058">
        <f t="shared" si="62"/>
        <v>20</v>
      </c>
      <c r="D1058">
        <f t="shared" si="63"/>
        <v>2</v>
      </c>
      <c r="E1058" t="str">
        <f>VLOOKUP(D1058,name!A:B,2,1)</f>
        <v>Tanaka</v>
      </c>
      <c r="F1058" t="s">
        <v>415</v>
      </c>
      <c r="G1058" t="str">
        <f t="shared" ref="G1058:G1121" si="65">IF(B1058&lt;&gt;B1059,"e",IF(D1058=0,"q","a"))</f>
        <v>a</v>
      </c>
      <c r="H1058" t="str">
        <f>VLOOKUP(D1058,name!A:C,3,1)</f>
        <v>assets/icons/image013.png</v>
      </c>
    </row>
    <row r="1059" spans="1:8" x14ac:dyDescent="0.15">
      <c r="A1059" t="str">
        <f t="shared" si="64"/>
        <v>ドイツ語</v>
      </c>
      <c r="B1059">
        <f t="shared" si="64"/>
        <v>12</v>
      </c>
      <c r="C1059">
        <f t="shared" si="62"/>
        <v>21</v>
      </c>
      <c r="D1059">
        <f t="shared" si="63"/>
        <v>2</v>
      </c>
      <c r="E1059" t="str">
        <f>VLOOKUP(D1059,name!A:B,2,1)</f>
        <v>Tanaka</v>
      </c>
      <c r="F1059" t="s">
        <v>404</v>
      </c>
      <c r="G1059" t="str">
        <f t="shared" si="65"/>
        <v>a</v>
      </c>
      <c r="H1059" t="str">
        <f>VLOOKUP(D1059,name!A:C,3,1)</f>
        <v>assets/icons/image013.png</v>
      </c>
    </row>
    <row r="1060" spans="1:8" x14ac:dyDescent="0.15">
      <c r="A1060" t="str">
        <f t="shared" si="64"/>
        <v>ドイツ語</v>
      </c>
      <c r="B1060">
        <f t="shared" si="64"/>
        <v>12</v>
      </c>
      <c r="C1060">
        <f t="shared" si="62"/>
        <v>22</v>
      </c>
      <c r="D1060">
        <f t="shared" si="63"/>
        <v>2</v>
      </c>
      <c r="E1060" t="str">
        <f>VLOOKUP(D1060,name!A:B,2,1)</f>
        <v>Tanaka</v>
      </c>
      <c r="F1060" t="s">
        <v>416</v>
      </c>
      <c r="G1060" t="str">
        <f t="shared" si="65"/>
        <v>a</v>
      </c>
      <c r="H1060" t="str">
        <f>VLOOKUP(D1060,name!A:C,3,1)</f>
        <v>assets/icons/image013.png</v>
      </c>
    </row>
    <row r="1061" spans="1:8" x14ac:dyDescent="0.15">
      <c r="A1061" t="str">
        <f t="shared" si="64"/>
        <v>ドイツ語</v>
      </c>
      <c r="B1061">
        <f t="shared" si="64"/>
        <v>12</v>
      </c>
      <c r="C1061">
        <f t="shared" si="62"/>
        <v>23</v>
      </c>
      <c r="D1061">
        <v>2</v>
      </c>
      <c r="E1061" t="str">
        <f>VLOOKUP(D1061,name!A:B,2,1)</f>
        <v>Tanaka</v>
      </c>
      <c r="F1061" t="s">
        <v>405</v>
      </c>
      <c r="G1061" t="str">
        <f t="shared" si="65"/>
        <v>a</v>
      </c>
      <c r="H1061" t="str">
        <f>VLOOKUP(D1061,name!A:C,3,1)</f>
        <v>assets/icons/image013.png</v>
      </c>
    </row>
    <row r="1062" spans="1:8" x14ac:dyDescent="0.15">
      <c r="A1062" t="str">
        <f t="shared" si="64"/>
        <v>ドイツ語</v>
      </c>
      <c r="B1062">
        <f t="shared" si="64"/>
        <v>12</v>
      </c>
      <c r="C1062">
        <f t="shared" si="62"/>
        <v>24</v>
      </c>
      <c r="D1062">
        <f t="shared" si="63"/>
        <v>4</v>
      </c>
      <c r="E1062" t="str">
        <f>VLOOKUP(D1062,name!A:B,2,1)</f>
        <v>Weber</v>
      </c>
      <c r="F1062" t="s">
        <v>417</v>
      </c>
      <c r="G1062" t="str">
        <f t="shared" si="65"/>
        <v>a</v>
      </c>
      <c r="H1062" t="str">
        <f>VLOOKUP(D1062,name!A:C,3,1)</f>
        <v>assets/icons/image016.png</v>
      </c>
    </row>
    <row r="1063" spans="1:8" x14ac:dyDescent="0.15">
      <c r="A1063" t="str">
        <f t="shared" si="64"/>
        <v>ドイツ語</v>
      </c>
      <c r="B1063">
        <f t="shared" si="64"/>
        <v>12</v>
      </c>
      <c r="C1063">
        <f t="shared" si="62"/>
        <v>25</v>
      </c>
      <c r="D1063">
        <v>4</v>
      </c>
      <c r="E1063" t="str">
        <f>VLOOKUP(D1063,name!A:B,2,1)</f>
        <v>Weber</v>
      </c>
      <c r="F1063" t="s">
        <v>406</v>
      </c>
      <c r="G1063" t="str">
        <f t="shared" si="65"/>
        <v>a</v>
      </c>
      <c r="H1063" t="str">
        <f>VLOOKUP(D1063,name!A:C,3,1)</f>
        <v>assets/icons/image016.png</v>
      </c>
    </row>
    <row r="1064" spans="1:8" x14ac:dyDescent="0.15">
      <c r="A1064" t="str">
        <f t="shared" ref="A1064:B1064" si="66">A1063</f>
        <v>ドイツ語</v>
      </c>
      <c r="B1064">
        <f t="shared" si="66"/>
        <v>12</v>
      </c>
      <c r="C1064">
        <f t="shared" si="62"/>
        <v>26</v>
      </c>
      <c r="D1064">
        <v>1</v>
      </c>
      <c r="E1064" t="str">
        <f>VLOOKUP(D1064,name!A:B,2,1)</f>
        <v>Navigator</v>
      </c>
      <c r="F1064" t="str">
        <f>"次の"&amp;A1606&amp;"を真似してね！"</f>
        <v>次のを真似してね！</v>
      </c>
      <c r="G1064" t="str">
        <f t="shared" si="65"/>
        <v>a</v>
      </c>
      <c r="H1064" t="str">
        <f>VLOOKUP(D1064,name!A:C,3,1)</f>
        <v>assets/icons/image014.png</v>
      </c>
    </row>
    <row r="1065" spans="1:8" x14ac:dyDescent="0.15">
      <c r="A1065" t="str">
        <f t="shared" ref="A1065:B1065" si="67">A1064</f>
        <v>ドイツ語</v>
      </c>
      <c r="B1065">
        <f t="shared" si="67"/>
        <v>12</v>
      </c>
      <c r="C1065">
        <f t="shared" si="62"/>
        <v>27</v>
      </c>
      <c r="D1065">
        <f>D1042</f>
        <v>4</v>
      </c>
      <c r="E1065" t="str">
        <f>VLOOKUP(D1065,name!A:B,2,1)</f>
        <v>Weber</v>
      </c>
      <c r="F1065" t="str">
        <f>F1042</f>
        <v>さて、私はそろそろ行かなければなりません。</v>
      </c>
      <c r="G1065" t="str">
        <f t="shared" si="65"/>
        <v>a</v>
      </c>
      <c r="H1065" t="str">
        <f>VLOOKUP(D1065,name!A:C,3,1)</f>
        <v>assets/icons/image016.png</v>
      </c>
    </row>
    <row r="1066" spans="1:8" x14ac:dyDescent="0.15">
      <c r="A1066" t="str">
        <f t="shared" ref="A1066:B1066" si="68">A1065</f>
        <v>ドイツ語</v>
      </c>
      <c r="B1066">
        <f t="shared" si="68"/>
        <v>12</v>
      </c>
      <c r="C1066">
        <f t="shared" si="62"/>
        <v>28</v>
      </c>
      <c r="D1066">
        <f>D1043</f>
        <v>4</v>
      </c>
      <c r="E1066" t="str">
        <f>VLOOKUP(D1066,name!A:B,2,1)</f>
        <v>Weber</v>
      </c>
      <c r="F1066" t="str">
        <f>F1043</f>
        <v>So, ich muss jetzt gehen.</v>
      </c>
      <c r="G1066" t="str">
        <f t="shared" si="65"/>
        <v>a</v>
      </c>
      <c r="H1066" t="str">
        <f>VLOOKUP(D1066,name!A:C,3,1)</f>
        <v>assets/icons/image016.png</v>
      </c>
    </row>
    <row r="1067" spans="1:8" x14ac:dyDescent="0.15">
      <c r="A1067" t="str">
        <f t="shared" ref="A1067:B1067" si="69">A1066</f>
        <v>ドイツ語</v>
      </c>
      <c r="B1067">
        <f t="shared" si="69"/>
        <v>12</v>
      </c>
      <c r="C1067">
        <f t="shared" si="62"/>
        <v>29</v>
      </c>
      <c r="D1067">
        <v>0</v>
      </c>
      <c r="E1067" t="str">
        <f>VLOOKUP(D1067,name!A:B,2,1)</f>
        <v>Player</v>
      </c>
      <c r="F1067" t="str">
        <f>F1043</f>
        <v>So, ich muss jetzt gehen.</v>
      </c>
      <c r="G1067" t="str">
        <f t="shared" si="65"/>
        <v>q</v>
      </c>
      <c r="H1067" t="str">
        <f>VLOOKUP(D1067,name!A:C,3,1)</f>
        <v>assets/icons/image326.png</v>
      </c>
    </row>
    <row r="1068" spans="1:8" x14ac:dyDescent="0.15">
      <c r="A1068" t="str">
        <f t="shared" ref="A1068:B1068" si="70">A1067</f>
        <v>ドイツ語</v>
      </c>
      <c r="B1068">
        <f t="shared" si="70"/>
        <v>12</v>
      </c>
      <c r="C1068">
        <f t="shared" si="62"/>
        <v>30</v>
      </c>
      <c r="D1068">
        <f>D1044</f>
        <v>4</v>
      </c>
      <c r="E1068" t="str">
        <f>VLOOKUP(D1068,name!A:B,2,1)</f>
        <v>Weber</v>
      </c>
      <c r="F1068" t="str">
        <f>F1044</f>
        <v>今日は妹の誕生日で、私は彼女の料理を手伝わなければなりません。</v>
      </c>
      <c r="G1068" t="str">
        <f t="shared" si="65"/>
        <v>a</v>
      </c>
      <c r="H1068" t="str">
        <f>VLOOKUP(D1068,name!A:C,3,1)</f>
        <v>assets/icons/image016.png</v>
      </c>
    </row>
    <row r="1069" spans="1:8" x14ac:dyDescent="0.15">
      <c r="A1069" t="str">
        <f t="shared" ref="A1069:B1069" si="71">A1068</f>
        <v>ドイツ語</v>
      </c>
      <c r="B1069">
        <f t="shared" si="71"/>
        <v>12</v>
      </c>
      <c r="C1069">
        <f t="shared" si="62"/>
        <v>31</v>
      </c>
      <c r="D1069">
        <f>D1045</f>
        <v>4</v>
      </c>
      <c r="E1069" t="str">
        <f>VLOOKUP(D1069,name!A:B,2,1)</f>
        <v>Weber</v>
      </c>
      <c r="F1069" t="str">
        <f>F1045</f>
        <v>Heute ist der Geburtstag meiner Schwester und ich muss ihr beim Kochen helfen.</v>
      </c>
      <c r="G1069" t="str">
        <f t="shared" si="65"/>
        <v>a</v>
      </c>
      <c r="H1069" t="str">
        <f>VLOOKUP(D1069,name!A:C,3,1)</f>
        <v>assets/icons/image016.png</v>
      </c>
    </row>
    <row r="1070" spans="1:8" x14ac:dyDescent="0.15">
      <c r="A1070" t="str">
        <f t="shared" ref="A1070:B1070" si="72">A1069</f>
        <v>ドイツ語</v>
      </c>
      <c r="B1070">
        <f t="shared" si="72"/>
        <v>12</v>
      </c>
      <c r="C1070">
        <f t="shared" si="62"/>
        <v>32</v>
      </c>
      <c r="D1070">
        <v>0</v>
      </c>
      <c r="E1070" t="str">
        <f>VLOOKUP(D1070,name!A:B,2,1)</f>
        <v>Player</v>
      </c>
      <c r="F1070" t="str">
        <f>F1045</f>
        <v>Heute ist der Geburtstag meiner Schwester und ich muss ihr beim Kochen helfen.</v>
      </c>
      <c r="G1070" t="str">
        <f t="shared" si="65"/>
        <v>q</v>
      </c>
      <c r="H1070" t="str">
        <f>VLOOKUP(D1070,name!A:C,3,1)</f>
        <v>assets/icons/image326.png</v>
      </c>
    </row>
    <row r="1071" spans="1:8" x14ac:dyDescent="0.15">
      <c r="A1071" t="str">
        <f t="shared" ref="A1071:B1071" si="73">A1070</f>
        <v>ドイツ語</v>
      </c>
      <c r="B1071">
        <f t="shared" si="73"/>
        <v>12</v>
      </c>
      <c r="C1071">
        <f t="shared" si="62"/>
        <v>33</v>
      </c>
      <c r="D1071">
        <f>D1046</f>
        <v>2</v>
      </c>
      <c r="E1071" t="str">
        <f>VLOOKUP(D1071,name!A:B,2,1)</f>
        <v>Tanaka</v>
      </c>
      <c r="F1071" t="str">
        <f>F1046</f>
        <v>彼女は何歳になりますか?</v>
      </c>
      <c r="G1071" t="str">
        <f t="shared" si="65"/>
        <v>a</v>
      </c>
      <c r="H1071" t="str">
        <f>VLOOKUP(D1071,name!A:C,3,1)</f>
        <v>assets/icons/image013.png</v>
      </c>
    </row>
    <row r="1072" spans="1:8" x14ac:dyDescent="0.15">
      <c r="A1072" t="str">
        <f t="shared" ref="A1072:B1072" si="74">A1071</f>
        <v>ドイツ語</v>
      </c>
      <c r="B1072">
        <f t="shared" si="74"/>
        <v>12</v>
      </c>
      <c r="C1072">
        <f t="shared" si="62"/>
        <v>34</v>
      </c>
      <c r="D1072">
        <f>D1047</f>
        <v>2</v>
      </c>
      <c r="E1072" t="str">
        <f>VLOOKUP(D1072,name!A:B,2,1)</f>
        <v>Tanaka</v>
      </c>
      <c r="F1072" t="str">
        <f>F1047</f>
        <v>Wie alt wird sie denn?</v>
      </c>
      <c r="G1072" t="str">
        <f t="shared" si="65"/>
        <v>a</v>
      </c>
      <c r="H1072" t="str">
        <f>VLOOKUP(D1072,name!A:C,3,1)</f>
        <v>assets/icons/image013.png</v>
      </c>
    </row>
    <row r="1073" spans="1:8" x14ac:dyDescent="0.15">
      <c r="A1073" t="str">
        <f t="shared" ref="A1073:B1073" si="75">A1072</f>
        <v>ドイツ語</v>
      </c>
      <c r="B1073">
        <f t="shared" si="75"/>
        <v>12</v>
      </c>
      <c r="C1073">
        <f t="shared" si="62"/>
        <v>35</v>
      </c>
      <c r="D1073">
        <v>0</v>
      </c>
      <c r="E1073" t="str">
        <f>VLOOKUP(D1073,name!A:B,2,1)</f>
        <v>Player</v>
      </c>
      <c r="F1073" t="str">
        <f>F1047</f>
        <v>Wie alt wird sie denn?</v>
      </c>
      <c r="G1073" t="str">
        <f t="shared" si="65"/>
        <v>q</v>
      </c>
      <c r="H1073" t="str">
        <f>VLOOKUP(D1073,name!A:C,3,1)</f>
        <v>assets/icons/image326.png</v>
      </c>
    </row>
    <row r="1074" spans="1:8" x14ac:dyDescent="0.15">
      <c r="A1074" t="str">
        <f t="shared" ref="A1074:B1074" si="76">A1073</f>
        <v>ドイツ語</v>
      </c>
      <c r="B1074">
        <f t="shared" si="76"/>
        <v>12</v>
      </c>
      <c r="C1074">
        <f t="shared" si="62"/>
        <v>36</v>
      </c>
      <c r="D1074">
        <f>D1048</f>
        <v>4</v>
      </c>
      <c r="E1074" t="str">
        <f>VLOOKUP(D1074,name!A:B,2,1)</f>
        <v>Weber</v>
      </c>
      <c r="F1074" t="str">
        <f>F1048</f>
        <v>17です。</v>
      </c>
      <c r="G1074" t="str">
        <f t="shared" si="65"/>
        <v>a</v>
      </c>
      <c r="H1074" t="str">
        <f>VLOOKUP(D1074,name!A:C,3,1)</f>
        <v>assets/icons/image016.png</v>
      </c>
    </row>
    <row r="1075" spans="1:8" x14ac:dyDescent="0.15">
      <c r="A1075" t="str">
        <f t="shared" ref="A1075:B1075" si="77">A1074</f>
        <v>ドイツ語</v>
      </c>
      <c r="B1075">
        <f t="shared" si="77"/>
        <v>12</v>
      </c>
      <c r="C1075">
        <f t="shared" si="62"/>
        <v>37</v>
      </c>
      <c r="D1075">
        <f>D1049</f>
        <v>4</v>
      </c>
      <c r="E1075" t="str">
        <f>VLOOKUP(D1075,name!A:B,2,1)</f>
        <v>Weber</v>
      </c>
      <c r="F1075" t="str">
        <f>F1049</f>
        <v>siebzehn</v>
      </c>
      <c r="G1075" t="str">
        <f t="shared" si="65"/>
        <v>a</v>
      </c>
      <c r="H1075" t="str">
        <f>VLOOKUP(D1075,name!A:C,3,1)</f>
        <v>assets/icons/image016.png</v>
      </c>
    </row>
    <row r="1076" spans="1:8" x14ac:dyDescent="0.15">
      <c r="A1076" t="str">
        <f t="shared" ref="A1076:B1076" si="78">A1075</f>
        <v>ドイツ語</v>
      </c>
      <c r="B1076">
        <f t="shared" si="78"/>
        <v>12</v>
      </c>
      <c r="C1076">
        <f t="shared" si="62"/>
        <v>38</v>
      </c>
      <c r="D1076">
        <v>0</v>
      </c>
      <c r="E1076" t="str">
        <f>VLOOKUP(D1076,name!A:B,2,1)</f>
        <v>Player</v>
      </c>
      <c r="F1076" t="str">
        <f>F1049</f>
        <v>siebzehn</v>
      </c>
      <c r="G1076" t="str">
        <f t="shared" si="65"/>
        <v>q</v>
      </c>
      <c r="H1076" t="str">
        <f>VLOOKUP(D1076,name!A:C,3,1)</f>
        <v>assets/icons/image326.png</v>
      </c>
    </row>
    <row r="1077" spans="1:8" x14ac:dyDescent="0.15">
      <c r="A1077" t="str">
        <f t="shared" ref="A1077:B1077" si="79">A1076</f>
        <v>ドイツ語</v>
      </c>
      <c r="B1077">
        <f t="shared" si="79"/>
        <v>12</v>
      </c>
      <c r="C1077">
        <f t="shared" si="62"/>
        <v>39</v>
      </c>
      <c r="D1077">
        <f>D1050</f>
        <v>4</v>
      </c>
      <c r="E1077" t="str">
        <f>VLOOKUP(D1077,name!A:B,2,1)</f>
        <v>Weber</v>
      </c>
      <c r="F1077" t="str">
        <f>F1050</f>
        <v>彼女はもちろん、友達のみんなと祝いたいと思っています。</v>
      </c>
      <c r="G1077" t="str">
        <f t="shared" si="65"/>
        <v>a</v>
      </c>
      <c r="H1077" t="str">
        <f>VLOOKUP(D1077,name!A:C,3,1)</f>
        <v>assets/icons/image016.png</v>
      </c>
    </row>
    <row r="1078" spans="1:8" x14ac:dyDescent="0.15">
      <c r="A1078" t="str">
        <f t="shared" ref="A1078:B1078" si="80">A1077</f>
        <v>ドイツ語</v>
      </c>
      <c r="B1078">
        <f t="shared" si="80"/>
        <v>12</v>
      </c>
      <c r="C1078">
        <f t="shared" si="62"/>
        <v>40</v>
      </c>
      <c r="D1078">
        <f>D1051</f>
        <v>4</v>
      </c>
      <c r="E1078" t="str">
        <f>VLOOKUP(D1078,name!A:B,2,1)</f>
        <v>Weber</v>
      </c>
      <c r="F1078" t="str">
        <f>F1051</f>
        <v>Sie will natürlich mit allen ihren Freunden feiern.</v>
      </c>
      <c r="G1078" t="str">
        <f t="shared" si="65"/>
        <v>a</v>
      </c>
      <c r="H1078" t="str">
        <f>VLOOKUP(D1078,name!A:C,3,1)</f>
        <v>assets/icons/image016.png</v>
      </c>
    </row>
    <row r="1079" spans="1:8" x14ac:dyDescent="0.15">
      <c r="A1079" t="str">
        <f t="shared" ref="A1079:B1079" si="81">A1078</f>
        <v>ドイツ語</v>
      </c>
      <c r="B1079">
        <f t="shared" si="81"/>
        <v>12</v>
      </c>
      <c r="C1079">
        <f t="shared" si="62"/>
        <v>41</v>
      </c>
      <c r="D1079">
        <v>0</v>
      </c>
      <c r="E1079" t="str">
        <f>VLOOKUP(D1079,name!A:B,2,1)</f>
        <v>Player</v>
      </c>
      <c r="F1079" t="str">
        <f>F1051</f>
        <v>Sie will natürlich mit allen ihren Freunden feiern.</v>
      </c>
      <c r="G1079" t="str">
        <f t="shared" si="65"/>
        <v>q</v>
      </c>
      <c r="H1079" t="str">
        <f>VLOOKUP(D1079,name!A:C,3,1)</f>
        <v>assets/icons/image326.png</v>
      </c>
    </row>
    <row r="1080" spans="1:8" x14ac:dyDescent="0.15">
      <c r="A1080" t="str">
        <f t="shared" ref="A1080:B1080" si="82">A1079</f>
        <v>ドイツ語</v>
      </c>
      <c r="B1080">
        <f t="shared" si="82"/>
        <v>12</v>
      </c>
      <c r="C1080">
        <f t="shared" si="62"/>
        <v>42</v>
      </c>
      <c r="D1080">
        <f>D1052</f>
        <v>4</v>
      </c>
      <c r="E1080" t="str">
        <f>VLOOKUP(D1080,name!A:B,2,1)</f>
        <v>Weber</v>
      </c>
      <c r="F1080" t="str">
        <f>F1052</f>
        <v>だから、今日は準備することがたくさんあります。</v>
      </c>
      <c r="G1080" t="str">
        <f t="shared" si="65"/>
        <v>a</v>
      </c>
      <c r="H1080" t="str">
        <f>VLOOKUP(D1080,name!A:C,3,1)</f>
        <v>assets/icons/image016.png</v>
      </c>
    </row>
    <row r="1081" spans="1:8" x14ac:dyDescent="0.15">
      <c r="A1081" t="str">
        <f t="shared" ref="A1081:B1081" si="83">A1080</f>
        <v>ドイツ語</v>
      </c>
      <c r="B1081">
        <f t="shared" si="83"/>
        <v>12</v>
      </c>
      <c r="C1081">
        <f t="shared" si="62"/>
        <v>43</v>
      </c>
      <c r="D1081">
        <f>D1053</f>
        <v>4</v>
      </c>
      <c r="E1081" t="str">
        <f>VLOOKUP(D1081,name!A:B,2,1)</f>
        <v>Weber</v>
      </c>
      <c r="F1081" t="str">
        <f>F1053</f>
        <v>Deshalb müssen wir heute viel vorbereiten.</v>
      </c>
      <c r="G1081" t="str">
        <f t="shared" si="65"/>
        <v>a</v>
      </c>
      <c r="H1081" t="str">
        <f>VLOOKUP(D1081,name!A:C,3,1)</f>
        <v>assets/icons/image016.png</v>
      </c>
    </row>
    <row r="1082" spans="1:8" x14ac:dyDescent="0.15">
      <c r="A1082" t="str">
        <f t="shared" ref="A1082:B1082" si="84">A1081</f>
        <v>ドイツ語</v>
      </c>
      <c r="B1082">
        <f t="shared" si="84"/>
        <v>12</v>
      </c>
      <c r="C1082">
        <f t="shared" si="62"/>
        <v>44</v>
      </c>
      <c r="D1082">
        <v>0</v>
      </c>
      <c r="E1082" t="str">
        <f>VLOOKUP(D1082,name!A:B,2,1)</f>
        <v>Player</v>
      </c>
      <c r="F1082" t="str">
        <f>F1053</f>
        <v>Deshalb müssen wir heute viel vorbereiten.</v>
      </c>
      <c r="G1082" t="str">
        <f t="shared" si="65"/>
        <v>q</v>
      </c>
      <c r="H1082" t="str">
        <f>VLOOKUP(D1082,name!A:C,3,1)</f>
        <v>assets/icons/image326.png</v>
      </c>
    </row>
    <row r="1083" spans="1:8" x14ac:dyDescent="0.15">
      <c r="A1083" t="str">
        <f t="shared" ref="A1083:B1083" si="85">A1082</f>
        <v>ドイツ語</v>
      </c>
      <c r="B1083">
        <f t="shared" si="85"/>
        <v>12</v>
      </c>
      <c r="C1083">
        <f t="shared" si="62"/>
        <v>45</v>
      </c>
      <c r="D1083">
        <f>D1054</f>
        <v>2</v>
      </c>
      <c r="E1083" t="str">
        <f>VLOOKUP(D1083,name!A:B,2,1)</f>
        <v>Tanaka</v>
      </c>
      <c r="F1083" t="str">
        <f>F1054</f>
        <v>よいですね。</v>
      </c>
      <c r="G1083" t="str">
        <f t="shared" si="65"/>
        <v>a</v>
      </c>
      <c r="H1083" t="str">
        <f>VLOOKUP(D1083,name!A:C,3,1)</f>
        <v>assets/icons/image013.png</v>
      </c>
    </row>
    <row r="1084" spans="1:8" x14ac:dyDescent="0.15">
      <c r="A1084" t="str">
        <f t="shared" ref="A1084:B1084" si="86">A1083</f>
        <v>ドイツ語</v>
      </c>
      <c r="B1084">
        <f t="shared" si="86"/>
        <v>12</v>
      </c>
      <c r="C1084">
        <f t="shared" si="62"/>
        <v>46</v>
      </c>
      <c r="D1084">
        <f>D1055</f>
        <v>2</v>
      </c>
      <c r="E1084" t="str">
        <f>VLOOKUP(D1084,name!A:B,2,1)</f>
        <v>Tanaka</v>
      </c>
      <c r="F1084" t="str">
        <f>F1055</f>
        <v xml:space="preserve">Schön. </v>
      </c>
      <c r="G1084" t="str">
        <f t="shared" si="65"/>
        <v>a</v>
      </c>
      <c r="H1084" t="str">
        <f>VLOOKUP(D1084,name!A:C,3,1)</f>
        <v>assets/icons/image013.png</v>
      </c>
    </row>
    <row r="1085" spans="1:8" x14ac:dyDescent="0.15">
      <c r="A1085" t="str">
        <f t="shared" ref="A1085:B1085" si="87">A1084</f>
        <v>ドイツ語</v>
      </c>
      <c r="B1085">
        <f t="shared" si="87"/>
        <v>12</v>
      </c>
      <c r="C1085">
        <f t="shared" si="62"/>
        <v>47</v>
      </c>
      <c r="D1085">
        <v>0</v>
      </c>
      <c r="E1085" t="str">
        <f>VLOOKUP(D1085,name!A:B,2,1)</f>
        <v>Player</v>
      </c>
      <c r="F1085" t="str">
        <f>F1055</f>
        <v xml:space="preserve">Schön. </v>
      </c>
      <c r="G1085" t="str">
        <f t="shared" si="65"/>
        <v>q</v>
      </c>
      <c r="H1085" t="str">
        <f>VLOOKUP(D1085,name!A:C,3,1)</f>
        <v>assets/icons/image326.png</v>
      </c>
    </row>
    <row r="1086" spans="1:8" x14ac:dyDescent="0.15">
      <c r="A1086" t="str">
        <f t="shared" ref="A1086:B1086" si="88">A1085</f>
        <v>ドイツ語</v>
      </c>
      <c r="B1086">
        <f t="shared" si="88"/>
        <v>12</v>
      </c>
      <c r="C1086">
        <f t="shared" si="62"/>
        <v>48</v>
      </c>
      <c r="D1086">
        <f>D1056</f>
        <v>2</v>
      </c>
      <c r="E1086" t="str">
        <f>VLOOKUP(D1086,name!A:B,2,1)</f>
        <v>Tanaka</v>
      </c>
      <c r="F1086" t="str">
        <f>F1056</f>
        <v>ちょっと待って、彼女にもしかしたら何かをあげられるかも....</v>
      </c>
      <c r="G1086" t="str">
        <f t="shared" si="65"/>
        <v>a</v>
      </c>
      <c r="H1086" t="str">
        <f>VLOOKUP(D1086,name!A:C,3,1)</f>
        <v>assets/icons/image013.png</v>
      </c>
    </row>
    <row r="1087" spans="1:8" x14ac:dyDescent="0.15">
      <c r="A1087" t="str">
        <f t="shared" ref="A1087:B1087" si="89">A1086</f>
        <v>ドイツ語</v>
      </c>
      <c r="B1087">
        <f t="shared" si="89"/>
        <v>12</v>
      </c>
      <c r="C1087">
        <f t="shared" si="62"/>
        <v>49</v>
      </c>
      <c r="D1087">
        <f>D1057</f>
        <v>2</v>
      </c>
      <c r="E1087" t="str">
        <f>VLOOKUP(D1087,name!A:B,2,1)</f>
        <v>Tanaka</v>
      </c>
      <c r="F1087" t="str">
        <f>F1057</f>
        <v>Moment, ich kann ihr vielleicht etwas schenken….</v>
      </c>
      <c r="G1087" t="str">
        <f t="shared" si="65"/>
        <v>a</v>
      </c>
      <c r="H1087" t="str">
        <f>VLOOKUP(D1087,name!A:C,3,1)</f>
        <v>assets/icons/image013.png</v>
      </c>
    </row>
    <row r="1088" spans="1:8" x14ac:dyDescent="0.15">
      <c r="A1088" t="str">
        <f t="shared" ref="A1088:B1088" si="90">A1087</f>
        <v>ドイツ語</v>
      </c>
      <c r="B1088">
        <f t="shared" si="90"/>
        <v>12</v>
      </c>
      <c r="C1088">
        <f t="shared" si="62"/>
        <v>50</v>
      </c>
      <c r="D1088">
        <v>0</v>
      </c>
      <c r="E1088" t="str">
        <f>VLOOKUP(D1088,name!A:B,2,1)</f>
        <v>Player</v>
      </c>
      <c r="F1088" t="str">
        <f>F1057</f>
        <v>Moment, ich kann ihr vielleicht etwas schenken….</v>
      </c>
      <c r="G1088" t="str">
        <f t="shared" si="65"/>
        <v>q</v>
      </c>
      <c r="H1088" t="str">
        <f>VLOOKUP(D1088,name!A:C,3,1)</f>
        <v>assets/icons/image326.png</v>
      </c>
    </row>
    <row r="1089" spans="1:8" x14ac:dyDescent="0.15">
      <c r="A1089" t="str">
        <f t="shared" ref="A1089:B1089" si="91">A1088</f>
        <v>ドイツ語</v>
      </c>
      <c r="B1089">
        <f t="shared" si="91"/>
        <v>12</v>
      </c>
      <c r="C1089">
        <f t="shared" si="62"/>
        <v>51</v>
      </c>
      <c r="D1089">
        <f>D1058</f>
        <v>2</v>
      </c>
      <c r="E1089" t="str">
        <f>VLOOKUP(D1089,name!A:B,2,1)</f>
        <v>Tanaka</v>
      </c>
      <c r="F1089" t="str">
        <f>F1058</f>
        <v>どうぞ、これは妹さんに。</v>
      </c>
      <c r="G1089" t="str">
        <f t="shared" si="65"/>
        <v>a</v>
      </c>
      <c r="H1089" t="str">
        <f>VLOOKUP(D1089,name!A:C,3,1)</f>
        <v>assets/icons/image013.png</v>
      </c>
    </row>
    <row r="1090" spans="1:8" x14ac:dyDescent="0.15">
      <c r="A1090" t="str">
        <f t="shared" ref="A1090:B1090" si="92">A1089</f>
        <v>ドイツ語</v>
      </c>
      <c r="B1090">
        <f t="shared" si="92"/>
        <v>12</v>
      </c>
      <c r="C1090">
        <f t="shared" si="62"/>
        <v>52</v>
      </c>
      <c r="D1090">
        <f>D1059</f>
        <v>2</v>
      </c>
      <c r="E1090" t="str">
        <f>VLOOKUP(D1090,name!A:B,2,1)</f>
        <v>Tanaka</v>
      </c>
      <c r="F1090" t="str">
        <f>F1059</f>
        <v>Bitte, das ist für deine Schwester.</v>
      </c>
      <c r="G1090" t="str">
        <f t="shared" si="65"/>
        <v>a</v>
      </c>
      <c r="H1090" t="str">
        <f>VLOOKUP(D1090,name!A:C,3,1)</f>
        <v>assets/icons/image013.png</v>
      </c>
    </row>
    <row r="1091" spans="1:8" x14ac:dyDescent="0.15">
      <c r="A1091" t="str">
        <f t="shared" ref="A1091:B1091" si="93">A1090</f>
        <v>ドイツ語</v>
      </c>
      <c r="B1091">
        <f t="shared" si="93"/>
        <v>12</v>
      </c>
      <c r="C1091">
        <f t="shared" si="62"/>
        <v>53</v>
      </c>
      <c r="D1091">
        <v>0</v>
      </c>
      <c r="E1091" t="str">
        <f>VLOOKUP(D1091,name!A:B,2,1)</f>
        <v>Player</v>
      </c>
      <c r="F1091" t="str">
        <f>F1059</f>
        <v>Bitte, das ist für deine Schwester.</v>
      </c>
      <c r="G1091" t="str">
        <f t="shared" si="65"/>
        <v>q</v>
      </c>
      <c r="H1091" t="str">
        <f>VLOOKUP(D1091,name!A:C,3,1)</f>
        <v>assets/icons/image326.png</v>
      </c>
    </row>
    <row r="1092" spans="1:8" x14ac:dyDescent="0.15">
      <c r="A1092" t="str">
        <f t="shared" ref="A1092:B1092" si="94">A1091</f>
        <v>ドイツ語</v>
      </c>
      <c r="B1092">
        <f t="shared" si="94"/>
        <v>12</v>
      </c>
      <c r="C1092">
        <f t="shared" si="62"/>
        <v>54</v>
      </c>
      <c r="D1092">
        <f>D1060</f>
        <v>2</v>
      </c>
      <c r="E1092" t="str">
        <f>VLOOKUP(D1092,name!A:B,2,1)</f>
        <v>Tanaka</v>
      </c>
      <c r="F1092" t="str">
        <f>F1060</f>
        <v>封筒付きの日本からの便箋です。</v>
      </c>
      <c r="G1092" t="str">
        <f t="shared" si="65"/>
        <v>a</v>
      </c>
      <c r="H1092" t="str">
        <f>VLOOKUP(D1092,name!A:C,3,1)</f>
        <v>assets/icons/image013.png</v>
      </c>
    </row>
    <row r="1093" spans="1:8" x14ac:dyDescent="0.15">
      <c r="A1093" t="str">
        <f t="shared" ref="A1093:B1093" si="95">A1092</f>
        <v>ドイツ語</v>
      </c>
      <c r="B1093">
        <f t="shared" si="95"/>
        <v>12</v>
      </c>
      <c r="C1093">
        <f t="shared" si="62"/>
        <v>55</v>
      </c>
      <c r="D1093">
        <f>D1061</f>
        <v>2</v>
      </c>
      <c r="E1093" t="str">
        <f>VLOOKUP(D1093,name!A:B,2,1)</f>
        <v>Tanaka</v>
      </c>
      <c r="F1093" t="str">
        <f>F1061</f>
        <v>Briefpapier aus Japan mit Umschlägen.</v>
      </c>
      <c r="G1093" t="str">
        <f t="shared" si="65"/>
        <v>a</v>
      </c>
      <c r="H1093" t="str">
        <f>VLOOKUP(D1093,name!A:C,3,1)</f>
        <v>assets/icons/image013.png</v>
      </c>
    </row>
    <row r="1094" spans="1:8" x14ac:dyDescent="0.15">
      <c r="A1094" t="str">
        <f t="shared" ref="A1094:B1094" si="96">A1093</f>
        <v>ドイツ語</v>
      </c>
      <c r="B1094">
        <f t="shared" si="96"/>
        <v>12</v>
      </c>
      <c r="C1094">
        <f t="shared" si="62"/>
        <v>56</v>
      </c>
      <c r="D1094">
        <v>0</v>
      </c>
      <c r="E1094" t="str">
        <f>VLOOKUP(D1094,name!A:B,2,1)</f>
        <v>Player</v>
      </c>
      <c r="F1094" t="str">
        <f>F1061</f>
        <v>Briefpapier aus Japan mit Umschlägen.</v>
      </c>
      <c r="G1094" t="str">
        <f t="shared" si="65"/>
        <v>q</v>
      </c>
      <c r="H1094" t="str">
        <f>VLOOKUP(D1094,name!A:C,3,1)</f>
        <v>assets/icons/image326.png</v>
      </c>
    </row>
    <row r="1095" spans="1:8" x14ac:dyDescent="0.15">
      <c r="A1095" t="str">
        <f t="shared" ref="A1095:B1095" si="97">A1094</f>
        <v>ドイツ語</v>
      </c>
      <c r="B1095">
        <f t="shared" si="97"/>
        <v>12</v>
      </c>
      <c r="C1095">
        <f t="shared" si="62"/>
        <v>57</v>
      </c>
      <c r="D1095">
        <f>D1062</f>
        <v>4</v>
      </c>
      <c r="E1095" t="str">
        <f>VLOOKUP(D1095,name!A:B,2,1)</f>
        <v>Weber</v>
      </c>
      <c r="F1095" t="str">
        <f>F1062</f>
        <v>ありがとうございます！きっと喜ぶと思います。</v>
      </c>
      <c r="G1095" t="str">
        <f t="shared" si="65"/>
        <v>a</v>
      </c>
      <c r="H1095" t="str">
        <f>VLOOKUP(D1095,name!A:C,3,1)</f>
        <v>assets/icons/image016.png</v>
      </c>
    </row>
    <row r="1096" spans="1:8" x14ac:dyDescent="0.15">
      <c r="A1096" t="str">
        <f t="shared" ref="A1096:B1096" si="98">A1095</f>
        <v>ドイツ語</v>
      </c>
      <c r="B1096">
        <f t="shared" si="98"/>
        <v>12</v>
      </c>
      <c r="C1096">
        <f t="shared" si="62"/>
        <v>58</v>
      </c>
      <c r="D1096">
        <f>D1063</f>
        <v>4</v>
      </c>
      <c r="E1096" t="str">
        <f>VLOOKUP(D1096,name!A:B,2,1)</f>
        <v>Weber</v>
      </c>
      <c r="F1096" t="str">
        <f>F1063</f>
        <v>Danke! Das wird sie sicher freuen.</v>
      </c>
      <c r="G1096" t="str">
        <f t="shared" si="65"/>
        <v>a</v>
      </c>
      <c r="H1096" t="str">
        <f>VLOOKUP(D1096,name!A:C,3,1)</f>
        <v>assets/icons/image016.png</v>
      </c>
    </row>
    <row r="1097" spans="1:8" x14ac:dyDescent="0.15">
      <c r="A1097" t="str">
        <f t="shared" ref="A1097:B1097" si="99">A1096</f>
        <v>ドイツ語</v>
      </c>
      <c r="B1097">
        <f t="shared" si="99"/>
        <v>12</v>
      </c>
      <c r="C1097">
        <f t="shared" si="62"/>
        <v>59</v>
      </c>
      <c r="D1097">
        <v>0</v>
      </c>
      <c r="E1097" t="str">
        <f>VLOOKUP(D1097,name!A:B,2,1)</f>
        <v>Player</v>
      </c>
      <c r="F1097" t="str">
        <f>F1063</f>
        <v>Danke! Das wird sie sicher freuen.</v>
      </c>
      <c r="G1097" t="str">
        <f t="shared" si="65"/>
        <v>q</v>
      </c>
      <c r="H1097" t="str">
        <f>VLOOKUP(D1097,name!A:C,3,1)</f>
        <v>assets/icons/image326.png</v>
      </c>
    </row>
    <row r="1098" spans="1:8" x14ac:dyDescent="0.15">
      <c r="A1098" t="str">
        <f t="shared" ref="A1098:B1098" si="100">A1097</f>
        <v>ドイツ語</v>
      </c>
      <c r="B1098">
        <f t="shared" si="100"/>
        <v>12</v>
      </c>
      <c r="C1098">
        <f t="shared" si="62"/>
        <v>60</v>
      </c>
      <c r="D1098">
        <v>1</v>
      </c>
      <c r="E1098" t="str">
        <f>VLOOKUP(D1098,name!A:B,2,1)</f>
        <v>Navigator</v>
      </c>
      <c r="F1098" t="str">
        <f>"次の日本語を"&amp;A1098&amp;"に訳して答えてね！"</f>
        <v>次の日本語をドイツ語に訳して答えてね！</v>
      </c>
      <c r="G1098" t="str">
        <f t="shared" si="65"/>
        <v>a</v>
      </c>
      <c r="H1098" t="str">
        <f>VLOOKUP(D1098,name!A:C,3,1)</f>
        <v>assets/icons/image014.png</v>
      </c>
    </row>
    <row r="1099" spans="1:8" x14ac:dyDescent="0.15">
      <c r="A1099" t="str">
        <f t="shared" ref="A1099:B1099" si="101">A1098</f>
        <v>ドイツ語</v>
      </c>
      <c r="B1099">
        <f t="shared" si="101"/>
        <v>12</v>
      </c>
      <c r="C1099">
        <f t="shared" si="62"/>
        <v>61</v>
      </c>
      <c r="D1099">
        <f>D1042</f>
        <v>4</v>
      </c>
      <c r="E1099" t="str">
        <f>VLOOKUP(D1099,name!A:B,2,1)</f>
        <v>Weber</v>
      </c>
      <c r="F1099" t="str">
        <f t="shared" ref="F1099:F1120" si="102">F1042</f>
        <v>さて、私はそろそろ行かなければなりません。</v>
      </c>
      <c r="G1099" t="str">
        <f t="shared" si="65"/>
        <v>a</v>
      </c>
      <c r="H1099" t="str">
        <f>VLOOKUP(D1099,name!A:C,3,1)</f>
        <v>assets/icons/image016.png</v>
      </c>
    </row>
    <row r="1100" spans="1:8" x14ac:dyDescent="0.15">
      <c r="A1100" t="str">
        <f t="shared" ref="A1100:B1100" si="103">A1099</f>
        <v>ドイツ語</v>
      </c>
      <c r="B1100">
        <f t="shared" si="103"/>
        <v>12</v>
      </c>
      <c r="C1100">
        <f t="shared" si="62"/>
        <v>62</v>
      </c>
      <c r="D1100">
        <v>0</v>
      </c>
      <c r="E1100" t="str">
        <f>VLOOKUP(D1100,name!A:B,2,1)</f>
        <v>Player</v>
      </c>
      <c r="F1100" t="str">
        <f t="shared" si="102"/>
        <v>So, ich muss jetzt gehen.</v>
      </c>
      <c r="G1100" t="str">
        <f t="shared" si="65"/>
        <v>q</v>
      </c>
      <c r="H1100" t="str">
        <f>VLOOKUP(D1100,name!A:C,3,1)</f>
        <v>assets/icons/image326.png</v>
      </c>
    </row>
    <row r="1101" spans="1:8" x14ac:dyDescent="0.15">
      <c r="A1101" t="str">
        <f t="shared" ref="A1101:B1101" si="104">A1100</f>
        <v>ドイツ語</v>
      </c>
      <c r="B1101">
        <f t="shared" si="104"/>
        <v>12</v>
      </c>
      <c r="C1101">
        <f t="shared" si="62"/>
        <v>63</v>
      </c>
      <c r="D1101">
        <f>D1044</f>
        <v>4</v>
      </c>
      <c r="E1101" t="str">
        <f>VLOOKUP(D1101,name!A:B,2,1)</f>
        <v>Weber</v>
      </c>
      <c r="F1101" t="str">
        <f t="shared" si="102"/>
        <v>今日は妹の誕生日で、私は彼女の料理を手伝わなければなりません。</v>
      </c>
      <c r="G1101" t="str">
        <f t="shared" si="65"/>
        <v>a</v>
      </c>
      <c r="H1101" t="str">
        <f>VLOOKUP(D1101,name!A:C,3,1)</f>
        <v>assets/icons/image016.png</v>
      </c>
    </row>
    <row r="1102" spans="1:8" x14ac:dyDescent="0.15">
      <c r="A1102" t="str">
        <f t="shared" ref="A1102:B1102" si="105">A1101</f>
        <v>ドイツ語</v>
      </c>
      <c r="B1102">
        <f t="shared" si="105"/>
        <v>12</v>
      </c>
      <c r="C1102">
        <f t="shared" si="62"/>
        <v>64</v>
      </c>
      <c r="D1102">
        <v>0</v>
      </c>
      <c r="E1102" t="str">
        <f>VLOOKUP(D1102,name!A:B,2,1)</f>
        <v>Player</v>
      </c>
      <c r="F1102" t="str">
        <f t="shared" si="102"/>
        <v>Heute ist der Geburtstag meiner Schwester und ich muss ihr beim Kochen helfen.</v>
      </c>
      <c r="G1102" t="str">
        <f t="shared" si="65"/>
        <v>q</v>
      </c>
      <c r="H1102" t="str">
        <f>VLOOKUP(D1102,name!A:C,3,1)</f>
        <v>assets/icons/image326.png</v>
      </c>
    </row>
    <row r="1103" spans="1:8" x14ac:dyDescent="0.15">
      <c r="A1103" t="str">
        <f t="shared" ref="A1103:B1103" si="106">A1102</f>
        <v>ドイツ語</v>
      </c>
      <c r="B1103">
        <f t="shared" si="106"/>
        <v>12</v>
      </c>
      <c r="C1103">
        <f t="shared" si="62"/>
        <v>65</v>
      </c>
      <c r="D1103">
        <f>D1046</f>
        <v>2</v>
      </c>
      <c r="E1103" t="str">
        <f>VLOOKUP(D1103,name!A:B,2,1)</f>
        <v>Tanaka</v>
      </c>
      <c r="F1103" t="str">
        <f t="shared" si="102"/>
        <v>彼女は何歳になりますか?</v>
      </c>
      <c r="G1103" t="str">
        <f t="shared" si="65"/>
        <v>a</v>
      </c>
      <c r="H1103" t="str">
        <f>VLOOKUP(D1103,name!A:C,3,1)</f>
        <v>assets/icons/image013.png</v>
      </c>
    </row>
    <row r="1104" spans="1:8" x14ac:dyDescent="0.15">
      <c r="A1104" t="str">
        <f t="shared" ref="A1104:B1104" si="107">A1103</f>
        <v>ドイツ語</v>
      </c>
      <c r="B1104">
        <f t="shared" si="107"/>
        <v>12</v>
      </c>
      <c r="C1104">
        <f t="shared" si="62"/>
        <v>66</v>
      </c>
      <c r="D1104">
        <v>0</v>
      </c>
      <c r="E1104" t="str">
        <f>VLOOKUP(D1104,name!A:B,2,1)</f>
        <v>Player</v>
      </c>
      <c r="F1104" t="str">
        <f t="shared" si="102"/>
        <v>Wie alt wird sie denn?</v>
      </c>
      <c r="G1104" t="str">
        <f t="shared" si="65"/>
        <v>q</v>
      </c>
      <c r="H1104" t="str">
        <f>VLOOKUP(D1104,name!A:C,3,1)</f>
        <v>assets/icons/image326.png</v>
      </c>
    </row>
    <row r="1105" spans="1:8" x14ac:dyDescent="0.15">
      <c r="A1105" t="str">
        <f t="shared" ref="A1105:B1105" si="108">A1104</f>
        <v>ドイツ語</v>
      </c>
      <c r="B1105">
        <f t="shared" si="108"/>
        <v>12</v>
      </c>
      <c r="C1105">
        <f t="shared" ref="C1105:C1121" si="109">C1104+1</f>
        <v>67</v>
      </c>
      <c r="D1105">
        <f>D1048</f>
        <v>4</v>
      </c>
      <c r="E1105" t="str">
        <f>VLOOKUP(D1105,name!A:B,2,1)</f>
        <v>Weber</v>
      </c>
      <c r="F1105" t="str">
        <f t="shared" si="102"/>
        <v>17です。</v>
      </c>
      <c r="G1105" t="str">
        <f t="shared" si="65"/>
        <v>a</v>
      </c>
      <c r="H1105" t="str">
        <f>VLOOKUP(D1105,name!A:C,3,1)</f>
        <v>assets/icons/image016.png</v>
      </c>
    </row>
    <row r="1106" spans="1:8" x14ac:dyDescent="0.15">
      <c r="A1106" t="str">
        <f t="shared" ref="A1106:B1106" si="110">A1105</f>
        <v>ドイツ語</v>
      </c>
      <c r="B1106">
        <f t="shared" si="110"/>
        <v>12</v>
      </c>
      <c r="C1106">
        <f t="shared" si="109"/>
        <v>68</v>
      </c>
      <c r="D1106">
        <v>0</v>
      </c>
      <c r="E1106" t="str">
        <f>VLOOKUP(D1106,name!A:B,2,1)</f>
        <v>Player</v>
      </c>
      <c r="F1106" t="str">
        <f t="shared" si="102"/>
        <v>siebzehn</v>
      </c>
      <c r="G1106" t="str">
        <f t="shared" si="65"/>
        <v>q</v>
      </c>
      <c r="H1106" t="str">
        <f>VLOOKUP(D1106,name!A:C,3,1)</f>
        <v>assets/icons/image326.png</v>
      </c>
    </row>
    <row r="1107" spans="1:8" x14ac:dyDescent="0.15">
      <c r="A1107" t="str">
        <f t="shared" ref="A1107:B1107" si="111">A1106</f>
        <v>ドイツ語</v>
      </c>
      <c r="B1107">
        <f t="shared" si="111"/>
        <v>12</v>
      </c>
      <c r="C1107">
        <f t="shared" si="109"/>
        <v>69</v>
      </c>
      <c r="D1107">
        <f>D1050</f>
        <v>4</v>
      </c>
      <c r="E1107" t="str">
        <f>VLOOKUP(D1107,name!A:B,2,1)</f>
        <v>Weber</v>
      </c>
      <c r="F1107" t="str">
        <f t="shared" si="102"/>
        <v>彼女はもちろん、友達のみんなと祝いたいと思っています。</v>
      </c>
      <c r="G1107" t="str">
        <f t="shared" si="65"/>
        <v>a</v>
      </c>
      <c r="H1107" t="str">
        <f>VLOOKUP(D1107,name!A:C,3,1)</f>
        <v>assets/icons/image016.png</v>
      </c>
    </row>
    <row r="1108" spans="1:8" x14ac:dyDescent="0.15">
      <c r="A1108" t="str">
        <f t="shared" ref="A1108:B1108" si="112">A1107</f>
        <v>ドイツ語</v>
      </c>
      <c r="B1108">
        <f t="shared" si="112"/>
        <v>12</v>
      </c>
      <c r="C1108">
        <f t="shared" si="109"/>
        <v>70</v>
      </c>
      <c r="D1108">
        <v>0</v>
      </c>
      <c r="E1108" t="str">
        <f>VLOOKUP(D1108,name!A:B,2,1)</f>
        <v>Player</v>
      </c>
      <c r="F1108" t="str">
        <f t="shared" si="102"/>
        <v>Sie will natürlich mit allen ihren Freunden feiern.</v>
      </c>
      <c r="G1108" t="str">
        <f t="shared" si="65"/>
        <v>q</v>
      </c>
      <c r="H1108" t="str">
        <f>VLOOKUP(D1108,name!A:C,3,1)</f>
        <v>assets/icons/image326.png</v>
      </c>
    </row>
    <row r="1109" spans="1:8" x14ac:dyDescent="0.15">
      <c r="A1109" t="str">
        <f t="shared" ref="A1109:B1109" si="113">A1108</f>
        <v>ドイツ語</v>
      </c>
      <c r="B1109">
        <f t="shared" si="113"/>
        <v>12</v>
      </c>
      <c r="C1109">
        <f t="shared" si="109"/>
        <v>71</v>
      </c>
      <c r="D1109">
        <f>D1052</f>
        <v>4</v>
      </c>
      <c r="E1109" t="str">
        <f>VLOOKUP(D1109,name!A:B,2,1)</f>
        <v>Weber</v>
      </c>
      <c r="F1109" t="str">
        <f t="shared" si="102"/>
        <v>だから、今日は準備することがたくさんあります。</v>
      </c>
      <c r="G1109" t="str">
        <f t="shared" si="65"/>
        <v>a</v>
      </c>
      <c r="H1109" t="str">
        <f>VLOOKUP(D1109,name!A:C,3,1)</f>
        <v>assets/icons/image016.png</v>
      </c>
    </row>
    <row r="1110" spans="1:8" x14ac:dyDescent="0.15">
      <c r="A1110" t="str">
        <f t="shared" ref="A1110:B1110" si="114">A1109</f>
        <v>ドイツ語</v>
      </c>
      <c r="B1110">
        <f t="shared" si="114"/>
        <v>12</v>
      </c>
      <c r="C1110">
        <f t="shared" si="109"/>
        <v>72</v>
      </c>
      <c r="D1110">
        <v>0</v>
      </c>
      <c r="E1110" t="str">
        <f>VLOOKUP(D1110,name!A:B,2,1)</f>
        <v>Player</v>
      </c>
      <c r="F1110" t="str">
        <f t="shared" si="102"/>
        <v>Deshalb müssen wir heute viel vorbereiten.</v>
      </c>
      <c r="G1110" t="str">
        <f t="shared" si="65"/>
        <v>q</v>
      </c>
      <c r="H1110" t="str">
        <f>VLOOKUP(D1110,name!A:C,3,1)</f>
        <v>assets/icons/image326.png</v>
      </c>
    </row>
    <row r="1111" spans="1:8" x14ac:dyDescent="0.15">
      <c r="A1111" t="str">
        <f t="shared" ref="A1111:B1111" si="115">A1110</f>
        <v>ドイツ語</v>
      </c>
      <c r="B1111">
        <f t="shared" si="115"/>
        <v>12</v>
      </c>
      <c r="C1111">
        <f t="shared" si="109"/>
        <v>73</v>
      </c>
      <c r="D1111">
        <f>D1054</f>
        <v>2</v>
      </c>
      <c r="E1111" t="str">
        <f>VLOOKUP(D1111,name!A:B,2,1)</f>
        <v>Tanaka</v>
      </c>
      <c r="F1111" t="str">
        <f t="shared" si="102"/>
        <v>よいですね。</v>
      </c>
      <c r="G1111" t="str">
        <f t="shared" si="65"/>
        <v>a</v>
      </c>
      <c r="H1111" t="str">
        <f>VLOOKUP(D1111,name!A:C,3,1)</f>
        <v>assets/icons/image013.png</v>
      </c>
    </row>
    <row r="1112" spans="1:8" x14ac:dyDescent="0.15">
      <c r="A1112" t="str">
        <f t="shared" ref="A1112:B1112" si="116">A1111</f>
        <v>ドイツ語</v>
      </c>
      <c r="B1112">
        <f t="shared" si="116"/>
        <v>12</v>
      </c>
      <c r="C1112">
        <f t="shared" si="109"/>
        <v>74</v>
      </c>
      <c r="D1112">
        <v>0</v>
      </c>
      <c r="E1112" t="str">
        <f>VLOOKUP(D1112,name!A:B,2,1)</f>
        <v>Player</v>
      </c>
      <c r="F1112" t="str">
        <f t="shared" si="102"/>
        <v xml:space="preserve">Schön. </v>
      </c>
      <c r="G1112" t="str">
        <f t="shared" si="65"/>
        <v>q</v>
      </c>
      <c r="H1112" t="str">
        <f>VLOOKUP(D1112,name!A:C,3,1)</f>
        <v>assets/icons/image326.png</v>
      </c>
    </row>
    <row r="1113" spans="1:8" x14ac:dyDescent="0.15">
      <c r="A1113" t="str">
        <f t="shared" ref="A1113:B1113" si="117">A1112</f>
        <v>ドイツ語</v>
      </c>
      <c r="B1113">
        <f t="shared" si="117"/>
        <v>12</v>
      </c>
      <c r="C1113">
        <f t="shared" si="109"/>
        <v>75</v>
      </c>
      <c r="D1113">
        <f>D1056</f>
        <v>2</v>
      </c>
      <c r="E1113" t="str">
        <f>VLOOKUP(D1113,name!A:B,2,1)</f>
        <v>Tanaka</v>
      </c>
      <c r="F1113" t="str">
        <f t="shared" si="102"/>
        <v>ちょっと待って、彼女にもしかしたら何かをあげられるかも....</v>
      </c>
      <c r="G1113" t="str">
        <f t="shared" si="65"/>
        <v>a</v>
      </c>
      <c r="H1113" t="str">
        <f>VLOOKUP(D1113,name!A:C,3,1)</f>
        <v>assets/icons/image013.png</v>
      </c>
    </row>
    <row r="1114" spans="1:8" x14ac:dyDescent="0.15">
      <c r="A1114" t="str">
        <f t="shared" ref="A1114:B1114" si="118">A1113</f>
        <v>ドイツ語</v>
      </c>
      <c r="B1114">
        <f t="shared" si="118"/>
        <v>12</v>
      </c>
      <c r="C1114">
        <f t="shared" si="109"/>
        <v>76</v>
      </c>
      <c r="D1114">
        <v>0</v>
      </c>
      <c r="E1114" t="str">
        <f>VLOOKUP(D1114,name!A:B,2,1)</f>
        <v>Player</v>
      </c>
      <c r="F1114" t="str">
        <f t="shared" si="102"/>
        <v>Moment, ich kann ihr vielleicht etwas schenken….</v>
      </c>
      <c r="G1114" t="str">
        <f t="shared" si="65"/>
        <v>q</v>
      </c>
      <c r="H1114" t="str">
        <f>VLOOKUP(D1114,name!A:C,3,1)</f>
        <v>assets/icons/image326.png</v>
      </c>
    </row>
    <row r="1115" spans="1:8" x14ac:dyDescent="0.15">
      <c r="A1115" t="str">
        <f t="shared" ref="A1115:B1115" si="119">A1114</f>
        <v>ドイツ語</v>
      </c>
      <c r="B1115">
        <f t="shared" si="119"/>
        <v>12</v>
      </c>
      <c r="C1115">
        <f t="shared" si="109"/>
        <v>77</v>
      </c>
      <c r="D1115">
        <f>D1058</f>
        <v>2</v>
      </c>
      <c r="E1115" t="str">
        <f>VLOOKUP(D1115,name!A:B,2,1)</f>
        <v>Tanaka</v>
      </c>
      <c r="F1115" t="str">
        <f t="shared" si="102"/>
        <v>どうぞ、これは妹さんに。</v>
      </c>
      <c r="G1115" t="str">
        <f t="shared" si="65"/>
        <v>a</v>
      </c>
      <c r="H1115" t="str">
        <f>VLOOKUP(D1115,name!A:C,3,1)</f>
        <v>assets/icons/image013.png</v>
      </c>
    </row>
    <row r="1116" spans="1:8" x14ac:dyDescent="0.15">
      <c r="A1116" t="str">
        <f t="shared" ref="A1116:B1116" si="120">A1115</f>
        <v>ドイツ語</v>
      </c>
      <c r="B1116">
        <f t="shared" si="120"/>
        <v>12</v>
      </c>
      <c r="C1116">
        <f t="shared" si="109"/>
        <v>78</v>
      </c>
      <c r="D1116">
        <v>0</v>
      </c>
      <c r="E1116" t="str">
        <f>VLOOKUP(D1116,name!A:B,2,1)</f>
        <v>Player</v>
      </c>
      <c r="F1116" t="str">
        <f t="shared" si="102"/>
        <v>Bitte, das ist für deine Schwester.</v>
      </c>
      <c r="G1116" t="str">
        <f t="shared" si="65"/>
        <v>q</v>
      </c>
      <c r="H1116" t="str">
        <f>VLOOKUP(D1116,name!A:C,3,1)</f>
        <v>assets/icons/image326.png</v>
      </c>
    </row>
    <row r="1117" spans="1:8" x14ac:dyDescent="0.15">
      <c r="A1117" t="str">
        <f t="shared" ref="A1117:B1117" si="121">A1116</f>
        <v>ドイツ語</v>
      </c>
      <c r="B1117">
        <f t="shared" si="121"/>
        <v>12</v>
      </c>
      <c r="C1117">
        <f t="shared" si="109"/>
        <v>79</v>
      </c>
      <c r="D1117">
        <f>D1060</f>
        <v>2</v>
      </c>
      <c r="E1117" t="str">
        <f>VLOOKUP(D1117,name!A:B,2,1)</f>
        <v>Tanaka</v>
      </c>
      <c r="F1117" t="str">
        <f t="shared" si="102"/>
        <v>封筒付きの日本からの便箋です。</v>
      </c>
      <c r="G1117" t="str">
        <f t="shared" si="65"/>
        <v>a</v>
      </c>
      <c r="H1117" t="str">
        <f>VLOOKUP(D1117,name!A:C,3,1)</f>
        <v>assets/icons/image013.png</v>
      </c>
    </row>
    <row r="1118" spans="1:8" x14ac:dyDescent="0.15">
      <c r="A1118" t="str">
        <f t="shared" ref="A1118:B1118" si="122">A1117</f>
        <v>ドイツ語</v>
      </c>
      <c r="B1118">
        <f t="shared" si="122"/>
        <v>12</v>
      </c>
      <c r="C1118">
        <f t="shared" si="109"/>
        <v>80</v>
      </c>
      <c r="D1118">
        <v>0</v>
      </c>
      <c r="E1118" t="str">
        <f>VLOOKUP(D1118,name!A:B,2,1)</f>
        <v>Player</v>
      </c>
      <c r="F1118" t="str">
        <f t="shared" si="102"/>
        <v>Briefpapier aus Japan mit Umschlägen.</v>
      </c>
      <c r="G1118" t="str">
        <f t="shared" si="65"/>
        <v>q</v>
      </c>
      <c r="H1118" t="str">
        <f>VLOOKUP(D1118,name!A:C,3,1)</f>
        <v>assets/icons/image326.png</v>
      </c>
    </row>
    <row r="1119" spans="1:8" x14ac:dyDescent="0.15">
      <c r="A1119" t="str">
        <f t="shared" ref="A1119:B1119" si="123">A1118</f>
        <v>ドイツ語</v>
      </c>
      <c r="B1119">
        <f t="shared" si="123"/>
        <v>12</v>
      </c>
      <c r="C1119">
        <f t="shared" si="109"/>
        <v>81</v>
      </c>
      <c r="D1119">
        <f>D1062</f>
        <v>4</v>
      </c>
      <c r="E1119" t="str">
        <f>VLOOKUP(D1119,name!A:B,2,1)</f>
        <v>Weber</v>
      </c>
      <c r="F1119" t="str">
        <f t="shared" si="102"/>
        <v>ありがとうございます！きっと喜ぶと思います。</v>
      </c>
      <c r="G1119" t="str">
        <f t="shared" si="65"/>
        <v>a</v>
      </c>
      <c r="H1119" t="str">
        <f>VLOOKUP(D1119,name!A:C,3,1)</f>
        <v>assets/icons/image016.png</v>
      </c>
    </row>
    <row r="1120" spans="1:8" x14ac:dyDescent="0.15">
      <c r="A1120" t="str">
        <f t="shared" ref="A1120:B1120" si="124">A1119</f>
        <v>ドイツ語</v>
      </c>
      <c r="B1120">
        <f t="shared" si="124"/>
        <v>12</v>
      </c>
      <c r="C1120">
        <f t="shared" si="109"/>
        <v>82</v>
      </c>
      <c r="D1120">
        <v>0</v>
      </c>
      <c r="E1120" t="str">
        <f>VLOOKUP(D1120,name!A:B,2,1)</f>
        <v>Player</v>
      </c>
      <c r="F1120" t="str">
        <f t="shared" si="102"/>
        <v>Danke! Das wird sie sicher freuen.</v>
      </c>
      <c r="G1120" t="str">
        <f t="shared" si="65"/>
        <v>q</v>
      </c>
      <c r="H1120" t="str">
        <f>VLOOKUP(D1120,name!A:C,3,1)</f>
        <v>assets/icons/image326.png</v>
      </c>
    </row>
    <row r="1121" spans="1:12" x14ac:dyDescent="0.15">
      <c r="A1121" t="str">
        <f t="shared" ref="A1121:B1121" si="125">A1120</f>
        <v>ドイツ語</v>
      </c>
      <c r="B1121">
        <f t="shared" si="125"/>
        <v>12</v>
      </c>
      <c r="C1121">
        <f t="shared" si="109"/>
        <v>83</v>
      </c>
      <c r="D1121">
        <v>1</v>
      </c>
      <c r="E1121" t="str">
        <f>VLOOKUP(D1121,name!A:B,2,1)</f>
        <v>Navigator</v>
      </c>
      <c r="F1121" t="str">
        <f>"とても良くできました。レッスン"&amp;B1121&amp;"はこれで終了です。"</f>
        <v>とても良くできました。レッスン12はこれで終了です。</v>
      </c>
      <c r="G1121" t="str">
        <f t="shared" si="65"/>
        <v>e</v>
      </c>
      <c r="H1121" t="str">
        <f>VLOOKUP(D1121,name!A:C,3,1)</f>
        <v>assets/icons/image014.png</v>
      </c>
    </row>
    <row r="1122" spans="1:12" x14ac:dyDescent="0.15">
      <c r="A1122" t="str">
        <f>A1121</f>
        <v>ドイツ語</v>
      </c>
      <c r="B1122">
        <f>B1121+1</f>
        <v>13</v>
      </c>
      <c r="C1122">
        <v>1</v>
      </c>
      <c r="D1122">
        <v>1</v>
      </c>
      <c r="E1122" t="str">
        <f>VLOOKUP(D1122,name!A:B,2,1)</f>
        <v>Navigator</v>
      </c>
      <c r="F1122" t="s">
        <v>418</v>
      </c>
      <c r="G1122" t="str">
        <f t="shared" ref="G1122:G1185" si="126">IF(B1122&lt;&gt;B1123,"e",IF(D1122=0,"q","a"))</f>
        <v>a</v>
      </c>
      <c r="H1122" t="str">
        <f>VLOOKUP(D1122,name!A:C,3,1)</f>
        <v>assets/icons/image014.png</v>
      </c>
    </row>
    <row r="1123" spans="1:12" x14ac:dyDescent="0.15">
      <c r="A1123" t="str">
        <f t="shared" ref="A1123:B1126" si="127">A1122</f>
        <v>ドイツ語</v>
      </c>
      <c r="B1123">
        <f>B1122</f>
        <v>13</v>
      </c>
      <c r="C1123">
        <f>C1122+1</f>
        <v>2</v>
      </c>
      <c r="D1123">
        <v>1</v>
      </c>
      <c r="E1123" t="str">
        <f>VLOOKUP(D1123,name!A:B,2,1)</f>
        <v>Navigator</v>
      </c>
      <c r="F1123" t="str">
        <f>"レッスン"&amp;B1123</f>
        <v>レッスン13</v>
      </c>
      <c r="G1123" t="str">
        <f t="shared" si="126"/>
        <v>a</v>
      </c>
      <c r="H1123" t="str">
        <f>VLOOKUP(D1123,name!A:C,3,1)</f>
        <v>assets/icons/image014.png</v>
      </c>
    </row>
    <row r="1124" spans="1:12" ht="40.5" x14ac:dyDescent="0.15">
      <c r="A1124" t="str">
        <f t="shared" si="127"/>
        <v>ドイツ語</v>
      </c>
      <c r="B1124">
        <f t="shared" si="127"/>
        <v>13</v>
      </c>
      <c r="C1124">
        <f t="shared" ref="C1124:C1187" si="128">C1123+1</f>
        <v>3</v>
      </c>
      <c r="D1124">
        <v>1</v>
      </c>
      <c r="E1124" t="str">
        <f>VLOOKUP(D1124,name!A:B,2,1)</f>
        <v>Navigator</v>
      </c>
      <c r="F1124" s="1" t="str">
        <f>"まずは対話文を流します。その後に、日本語と"&amp;A1124&amp;"を一文ずつ流すので"&amp;A1124&amp;"を真似して下さい。最後に日本語のみを流すので、"&amp;A1124&amp;"で答えてください。"</f>
        <v>まずは対話文を流します。その後に、日本語とドイツ語を一文ずつ流すのでドイツ語を真似して下さい。最後に日本語のみを流すので、ドイツ語で答えてください。</v>
      </c>
      <c r="G1124" t="str">
        <f t="shared" si="126"/>
        <v>a</v>
      </c>
      <c r="H1124" t="str">
        <f>VLOOKUP(D1124,name!A:C,3,1)</f>
        <v>assets/icons/image014.png</v>
      </c>
    </row>
    <row r="1125" spans="1:12" x14ac:dyDescent="0.15">
      <c r="A1125" t="str">
        <f t="shared" si="127"/>
        <v>ドイツ語</v>
      </c>
      <c r="B1125">
        <f t="shared" si="127"/>
        <v>13</v>
      </c>
      <c r="C1125">
        <f t="shared" si="128"/>
        <v>4</v>
      </c>
      <c r="D1125">
        <f>D1126</f>
        <v>3</v>
      </c>
      <c r="E1125" t="str">
        <f>VLOOKUP(D1125,name!A:B,2,1)</f>
        <v>Schneider.</v>
      </c>
      <c r="F1125" t="s">
        <v>19</v>
      </c>
      <c r="G1125" t="str">
        <f t="shared" si="126"/>
        <v>a</v>
      </c>
      <c r="H1125" t="str">
        <f>VLOOKUP(D1125,name!A:C,3,1)</f>
        <v>assets/icons/image003.png</v>
      </c>
      <c r="L1125" s="1"/>
    </row>
    <row r="1126" spans="1:12" x14ac:dyDescent="0.15">
      <c r="A1126" t="str">
        <f t="shared" si="127"/>
        <v>ドイツ語</v>
      </c>
      <c r="B1126">
        <f t="shared" si="127"/>
        <v>13</v>
      </c>
      <c r="C1126">
        <f t="shared" si="128"/>
        <v>5</v>
      </c>
      <c r="D1126">
        <f t="shared" ref="D1126:D1159" si="129">D1127</f>
        <v>3</v>
      </c>
      <c r="E1126" t="str">
        <f>VLOOKUP(D1126,name!A:B,2,1)</f>
        <v>Schneider.</v>
      </c>
      <c r="F1126" t="s">
        <v>419</v>
      </c>
      <c r="G1126" t="str">
        <f t="shared" si="126"/>
        <v>a</v>
      </c>
      <c r="H1126" t="str">
        <f>VLOOKUP(D1126,name!A:C,3,1)</f>
        <v>assets/icons/image003.png</v>
      </c>
    </row>
    <row r="1127" spans="1:12" x14ac:dyDescent="0.15">
      <c r="A1127" t="str">
        <f t="shared" ref="A1127:B1127" si="130">A1126</f>
        <v>ドイツ語</v>
      </c>
      <c r="B1127">
        <f t="shared" si="130"/>
        <v>13</v>
      </c>
      <c r="C1127">
        <f t="shared" si="128"/>
        <v>6</v>
      </c>
      <c r="D1127">
        <f t="shared" si="129"/>
        <v>3</v>
      </c>
      <c r="E1127" t="str">
        <f>VLOOKUP(D1127,name!A:B,2,1)</f>
        <v>Schneider.</v>
      </c>
      <c r="F1127" t="s">
        <v>437</v>
      </c>
      <c r="G1127" t="str">
        <f t="shared" si="126"/>
        <v>a</v>
      </c>
      <c r="H1127" t="str">
        <f>VLOOKUP(D1127,name!A:C,3,1)</f>
        <v>assets/icons/image003.png</v>
      </c>
    </row>
    <row r="1128" spans="1:12" x14ac:dyDescent="0.15">
      <c r="A1128" t="str">
        <f t="shared" ref="A1128:B1128" si="131">A1127</f>
        <v>ドイツ語</v>
      </c>
      <c r="B1128">
        <f t="shared" si="131"/>
        <v>13</v>
      </c>
      <c r="C1128">
        <f t="shared" si="128"/>
        <v>7</v>
      </c>
      <c r="D1128">
        <f t="shared" si="129"/>
        <v>3</v>
      </c>
      <c r="E1128" t="str">
        <f>VLOOKUP(D1128,name!A:B,2,1)</f>
        <v>Schneider.</v>
      </c>
      <c r="F1128" t="s">
        <v>420</v>
      </c>
      <c r="G1128" t="str">
        <f t="shared" si="126"/>
        <v>a</v>
      </c>
      <c r="H1128" t="str">
        <f>VLOOKUP(D1128,name!A:C,3,1)</f>
        <v>assets/icons/image003.png</v>
      </c>
    </row>
    <row r="1129" spans="1:12" x14ac:dyDescent="0.15">
      <c r="A1129" t="str">
        <f t="shared" ref="A1129:B1129" si="132">A1128</f>
        <v>ドイツ語</v>
      </c>
      <c r="B1129">
        <f t="shared" si="132"/>
        <v>13</v>
      </c>
      <c r="C1129">
        <f t="shared" si="128"/>
        <v>8</v>
      </c>
      <c r="D1129">
        <f t="shared" si="129"/>
        <v>3</v>
      </c>
      <c r="E1129" t="str">
        <f>VLOOKUP(D1129,name!A:B,2,1)</f>
        <v>Schneider.</v>
      </c>
      <c r="F1129" t="s">
        <v>439</v>
      </c>
      <c r="G1129" t="str">
        <f t="shared" si="126"/>
        <v>a</v>
      </c>
      <c r="H1129" t="str">
        <f>VLOOKUP(D1129,name!A:C,3,1)</f>
        <v>assets/icons/image003.png</v>
      </c>
    </row>
    <row r="1130" spans="1:12" x14ac:dyDescent="0.15">
      <c r="A1130" t="str">
        <f t="shared" ref="A1130:B1130" si="133">A1129</f>
        <v>ドイツ語</v>
      </c>
      <c r="B1130">
        <f t="shared" si="133"/>
        <v>13</v>
      </c>
      <c r="C1130">
        <f t="shared" si="128"/>
        <v>9</v>
      </c>
      <c r="D1130">
        <v>3</v>
      </c>
      <c r="E1130" t="str">
        <f>VLOOKUP(D1130,name!A:B,2,1)</f>
        <v>Schneider.</v>
      </c>
      <c r="F1130" t="s">
        <v>421</v>
      </c>
      <c r="G1130" t="str">
        <f t="shared" si="126"/>
        <v>a</v>
      </c>
      <c r="H1130" t="str">
        <f>VLOOKUP(D1130,name!A:C,3,1)</f>
        <v>assets/icons/image003.png</v>
      </c>
    </row>
    <row r="1131" spans="1:12" x14ac:dyDescent="0.15">
      <c r="A1131" t="str">
        <f t="shared" ref="A1131:B1131" si="134">A1130</f>
        <v>ドイツ語</v>
      </c>
      <c r="B1131">
        <f t="shared" si="134"/>
        <v>13</v>
      </c>
      <c r="C1131">
        <f t="shared" si="128"/>
        <v>10</v>
      </c>
      <c r="D1131">
        <f t="shared" si="129"/>
        <v>2</v>
      </c>
      <c r="E1131" t="str">
        <f>VLOOKUP(D1131,name!A:B,2,1)</f>
        <v>Tanaka</v>
      </c>
      <c r="F1131" t="s">
        <v>438</v>
      </c>
      <c r="G1131" t="str">
        <f t="shared" si="126"/>
        <v>a</v>
      </c>
      <c r="H1131" t="str">
        <f>VLOOKUP(D1131,name!A:C,3,1)</f>
        <v>assets/icons/image013.png</v>
      </c>
    </row>
    <row r="1132" spans="1:12" x14ac:dyDescent="0.15">
      <c r="A1132" t="str">
        <f t="shared" ref="A1132:B1132" si="135">A1131</f>
        <v>ドイツ語</v>
      </c>
      <c r="B1132">
        <f t="shared" si="135"/>
        <v>13</v>
      </c>
      <c r="C1132">
        <f t="shared" si="128"/>
        <v>11</v>
      </c>
      <c r="D1132">
        <f t="shared" si="129"/>
        <v>2</v>
      </c>
      <c r="E1132" t="str">
        <f>VLOOKUP(D1132,name!A:B,2,1)</f>
        <v>Tanaka</v>
      </c>
      <c r="F1132" t="s">
        <v>422</v>
      </c>
      <c r="G1132" t="str">
        <f t="shared" si="126"/>
        <v>a</v>
      </c>
      <c r="H1132" t="str">
        <f>VLOOKUP(D1132,name!A:C,3,1)</f>
        <v>assets/icons/image013.png</v>
      </c>
    </row>
    <row r="1133" spans="1:12" x14ac:dyDescent="0.15">
      <c r="A1133" t="str">
        <f t="shared" ref="A1133:B1133" si="136">A1132</f>
        <v>ドイツ語</v>
      </c>
      <c r="B1133">
        <f t="shared" si="136"/>
        <v>13</v>
      </c>
      <c r="C1133">
        <f t="shared" si="128"/>
        <v>12</v>
      </c>
      <c r="D1133">
        <f t="shared" si="129"/>
        <v>2</v>
      </c>
      <c r="E1133" t="str">
        <f>VLOOKUP(D1133,name!A:B,2,1)</f>
        <v>Tanaka</v>
      </c>
      <c r="F1133" t="s">
        <v>440</v>
      </c>
      <c r="G1133" t="str">
        <f t="shared" si="126"/>
        <v>a</v>
      </c>
      <c r="H1133" t="str">
        <f>VLOOKUP(D1133,name!A:C,3,1)</f>
        <v>assets/icons/image013.png</v>
      </c>
    </row>
    <row r="1134" spans="1:12" x14ac:dyDescent="0.15">
      <c r="A1134" t="str">
        <f t="shared" ref="A1134:B1134" si="137">A1133</f>
        <v>ドイツ語</v>
      </c>
      <c r="B1134">
        <f t="shared" si="137"/>
        <v>13</v>
      </c>
      <c r="C1134">
        <f t="shared" si="128"/>
        <v>13</v>
      </c>
      <c r="D1134">
        <v>2</v>
      </c>
      <c r="E1134" t="str">
        <f>VLOOKUP(D1134,name!A:B,2,1)</f>
        <v>Tanaka</v>
      </c>
      <c r="F1134" t="s">
        <v>423</v>
      </c>
      <c r="G1134" t="str">
        <f t="shared" si="126"/>
        <v>a</v>
      </c>
      <c r="H1134" t="str">
        <f>VLOOKUP(D1134,name!A:C,3,1)</f>
        <v>assets/icons/image013.png</v>
      </c>
    </row>
    <row r="1135" spans="1:12" x14ac:dyDescent="0.15">
      <c r="A1135" t="str">
        <f t="shared" ref="A1135:B1135" si="138">A1134</f>
        <v>ドイツ語</v>
      </c>
      <c r="B1135">
        <f t="shared" si="138"/>
        <v>13</v>
      </c>
      <c r="C1135">
        <f t="shared" si="128"/>
        <v>14</v>
      </c>
      <c r="D1135">
        <f t="shared" si="129"/>
        <v>3</v>
      </c>
      <c r="E1135" t="str">
        <f>VLOOKUP(D1135,name!A:B,2,1)</f>
        <v>Schneider.</v>
      </c>
      <c r="F1135" t="s">
        <v>441</v>
      </c>
      <c r="G1135" t="str">
        <f t="shared" si="126"/>
        <v>a</v>
      </c>
      <c r="H1135" t="str">
        <f>VLOOKUP(D1135,name!A:C,3,1)</f>
        <v>assets/icons/image003.png</v>
      </c>
    </row>
    <row r="1136" spans="1:12" x14ac:dyDescent="0.15">
      <c r="A1136" t="str">
        <f t="shared" ref="A1136:B1136" si="139">A1135</f>
        <v>ドイツ語</v>
      </c>
      <c r="B1136">
        <f t="shared" si="139"/>
        <v>13</v>
      </c>
      <c r="C1136">
        <f t="shared" si="128"/>
        <v>15</v>
      </c>
      <c r="D1136">
        <f t="shared" si="129"/>
        <v>3</v>
      </c>
      <c r="E1136" t="str">
        <f>VLOOKUP(D1136,name!A:B,2,1)</f>
        <v>Schneider.</v>
      </c>
      <c r="F1136" t="s">
        <v>424</v>
      </c>
      <c r="G1136" t="str">
        <f t="shared" si="126"/>
        <v>a</v>
      </c>
      <c r="H1136" t="str">
        <f>VLOOKUP(D1136,name!A:C,3,1)</f>
        <v>assets/icons/image003.png</v>
      </c>
    </row>
    <row r="1137" spans="1:8" x14ac:dyDescent="0.15">
      <c r="A1137" t="str">
        <f t="shared" ref="A1137:B1137" si="140">A1136</f>
        <v>ドイツ語</v>
      </c>
      <c r="B1137">
        <f t="shared" si="140"/>
        <v>13</v>
      </c>
      <c r="C1137">
        <f t="shared" si="128"/>
        <v>16</v>
      </c>
      <c r="D1137">
        <f t="shared" si="129"/>
        <v>3</v>
      </c>
      <c r="E1137" t="str">
        <f>VLOOKUP(D1137,name!A:B,2,1)</f>
        <v>Schneider.</v>
      </c>
      <c r="F1137" t="s">
        <v>442</v>
      </c>
      <c r="G1137" t="str">
        <f t="shared" si="126"/>
        <v>a</v>
      </c>
      <c r="H1137" t="str">
        <f>VLOOKUP(D1137,name!A:C,3,1)</f>
        <v>assets/icons/image003.png</v>
      </c>
    </row>
    <row r="1138" spans="1:8" x14ac:dyDescent="0.15">
      <c r="A1138" t="str">
        <f t="shared" ref="A1138:B1138" si="141">A1137</f>
        <v>ドイツ語</v>
      </c>
      <c r="B1138">
        <f t="shared" si="141"/>
        <v>13</v>
      </c>
      <c r="C1138">
        <f t="shared" si="128"/>
        <v>17</v>
      </c>
      <c r="D1138">
        <v>3</v>
      </c>
      <c r="E1138" t="str">
        <f>VLOOKUP(D1138,name!A:B,2,1)</f>
        <v>Schneider.</v>
      </c>
      <c r="F1138" t="s">
        <v>425</v>
      </c>
      <c r="G1138" t="str">
        <f t="shared" si="126"/>
        <v>a</v>
      </c>
      <c r="H1138" t="str">
        <f>VLOOKUP(D1138,name!A:C,3,1)</f>
        <v>assets/icons/image003.png</v>
      </c>
    </row>
    <row r="1139" spans="1:8" x14ac:dyDescent="0.15">
      <c r="A1139" t="str">
        <f t="shared" ref="A1139:B1139" si="142">A1138</f>
        <v>ドイツ語</v>
      </c>
      <c r="B1139">
        <f t="shared" si="142"/>
        <v>13</v>
      </c>
      <c r="C1139">
        <f t="shared" si="128"/>
        <v>18</v>
      </c>
      <c r="D1139">
        <f t="shared" si="129"/>
        <v>2</v>
      </c>
      <c r="E1139" t="str">
        <f>VLOOKUP(D1139,name!A:B,2,1)</f>
        <v>Tanaka</v>
      </c>
      <c r="F1139" t="s">
        <v>443</v>
      </c>
      <c r="G1139" t="str">
        <f t="shared" si="126"/>
        <v>a</v>
      </c>
      <c r="H1139" t="str">
        <f>VLOOKUP(D1139,name!A:C,3,1)</f>
        <v>assets/icons/image013.png</v>
      </c>
    </row>
    <row r="1140" spans="1:8" x14ac:dyDescent="0.15">
      <c r="A1140" t="str">
        <f t="shared" ref="A1140:B1140" si="143">A1139</f>
        <v>ドイツ語</v>
      </c>
      <c r="B1140">
        <f t="shared" si="143"/>
        <v>13</v>
      </c>
      <c r="C1140">
        <f t="shared" si="128"/>
        <v>19</v>
      </c>
      <c r="D1140">
        <f t="shared" si="129"/>
        <v>2</v>
      </c>
      <c r="E1140" t="str">
        <f>VLOOKUP(D1140,name!A:B,2,1)</f>
        <v>Tanaka</v>
      </c>
      <c r="F1140" s="1" t="s">
        <v>426</v>
      </c>
      <c r="G1140" t="str">
        <f t="shared" si="126"/>
        <v>a</v>
      </c>
      <c r="H1140" t="str">
        <f>VLOOKUP(D1140,name!A:C,3,1)</f>
        <v>assets/icons/image013.png</v>
      </c>
    </row>
    <row r="1141" spans="1:8" x14ac:dyDescent="0.15">
      <c r="A1141" t="str">
        <f t="shared" ref="A1141:B1141" si="144">A1140</f>
        <v>ドイツ語</v>
      </c>
      <c r="B1141">
        <f t="shared" si="144"/>
        <v>13</v>
      </c>
      <c r="C1141">
        <f t="shared" si="128"/>
        <v>20</v>
      </c>
      <c r="D1141">
        <f t="shared" si="129"/>
        <v>2</v>
      </c>
      <c r="E1141" t="str">
        <f>VLOOKUP(D1141,name!A:B,2,1)</f>
        <v>Tanaka</v>
      </c>
      <c r="F1141" t="s">
        <v>444</v>
      </c>
      <c r="G1141" t="str">
        <f t="shared" si="126"/>
        <v>a</v>
      </c>
      <c r="H1141" t="str">
        <f>VLOOKUP(D1141,name!A:C,3,1)</f>
        <v>assets/icons/image013.png</v>
      </c>
    </row>
    <row r="1142" spans="1:8" x14ac:dyDescent="0.15">
      <c r="A1142" t="str">
        <f t="shared" ref="A1142:B1142" si="145">A1141</f>
        <v>ドイツ語</v>
      </c>
      <c r="B1142">
        <f t="shared" si="145"/>
        <v>13</v>
      </c>
      <c r="C1142">
        <f t="shared" si="128"/>
        <v>21</v>
      </c>
      <c r="D1142">
        <v>2</v>
      </c>
      <c r="E1142" t="str">
        <f>VLOOKUP(D1142,name!A:B,2,1)</f>
        <v>Tanaka</v>
      </c>
      <c r="F1142" t="s">
        <v>427</v>
      </c>
      <c r="G1142" t="str">
        <f t="shared" si="126"/>
        <v>a</v>
      </c>
      <c r="H1142" t="str">
        <f>VLOOKUP(D1142,name!A:C,3,1)</f>
        <v>assets/icons/image013.png</v>
      </c>
    </row>
    <row r="1143" spans="1:8" x14ac:dyDescent="0.15">
      <c r="A1143" t="str">
        <f t="shared" ref="A1143:B1143" si="146">A1142</f>
        <v>ドイツ語</v>
      </c>
      <c r="B1143">
        <f t="shared" si="146"/>
        <v>13</v>
      </c>
      <c r="C1143">
        <f t="shared" si="128"/>
        <v>22</v>
      </c>
      <c r="D1143">
        <f t="shared" si="129"/>
        <v>3</v>
      </c>
      <c r="E1143" t="str">
        <f>VLOOKUP(D1143,name!A:B,2,1)</f>
        <v>Schneider.</v>
      </c>
      <c r="F1143" t="s">
        <v>445</v>
      </c>
      <c r="G1143" t="str">
        <f t="shared" si="126"/>
        <v>a</v>
      </c>
      <c r="H1143" t="str">
        <f>VLOOKUP(D1143,name!A:C,3,1)</f>
        <v>assets/icons/image003.png</v>
      </c>
    </row>
    <row r="1144" spans="1:8" x14ac:dyDescent="0.15">
      <c r="A1144" t="str">
        <f t="shared" ref="A1144:B1144" si="147">A1143</f>
        <v>ドイツ語</v>
      </c>
      <c r="B1144">
        <f t="shared" si="147"/>
        <v>13</v>
      </c>
      <c r="C1144">
        <f t="shared" si="128"/>
        <v>23</v>
      </c>
      <c r="D1144">
        <f t="shared" si="129"/>
        <v>3</v>
      </c>
      <c r="E1144" t="str">
        <f>VLOOKUP(D1144,name!A:B,2,1)</f>
        <v>Schneider.</v>
      </c>
      <c r="F1144" t="s">
        <v>428</v>
      </c>
      <c r="G1144" t="str">
        <f t="shared" si="126"/>
        <v>a</v>
      </c>
      <c r="H1144" t="str">
        <f>VLOOKUP(D1144,name!A:C,3,1)</f>
        <v>assets/icons/image003.png</v>
      </c>
    </row>
    <row r="1145" spans="1:8" x14ac:dyDescent="0.15">
      <c r="A1145" t="str">
        <f t="shared" ref="A1145:B1145" si="148">A1144</f>
        <v>ドイツ語</v>
      </c>
      <c r="B1145">
        <f t="shared" si="148"/>
        <v>13</v>
      </c>
      <c r="C1145">
        <f t="shared" si="128"/>
        <v>24</v>
      </c>
      <c r="D1145">
        <f t="shared" si="129"/>
        <v>3</v>
      </c>
      <c r="E1145" t="str">
        <f>VLOOKUP(D1145,name!A:B,2,1)</f>
        <v>Schneider.</v>
      </c>
      <c r="F1145" t="s">
        <v>446</v>
      </c>
      <c r="G1145" t="str">
        <f t="shared" si="126"/>
        <v>a</v>
      </c>
      <c r="H1145" t="str">
        <f>VLOOKUP(D1145,name!A:C,3,1)</f>
        <v>assets/icons/image003.png</v>
      </c>
    </row>
    <row r="1146" spans="1:8" x14ac:dyDescent="0.15">
      <c r="A1146" t="str">
        <f t="shared" ref="A1146:B1146" si="149">A1145</f>
        <v>ドイツ語</v>
      </c>
      <c r="B1146">
        <f t="shared" si="149"/>
        <v>13</v>
      </c>
      <c r="C1146">
        <f t="shared" si="128"/>
        <v>25</v>
      </c>
      <c r="D1146">
        <f t="shared" si="129"/>
        <v>3</v>
      </c>
      <c r="E1146" t="str">
        <f>VLOOKUP(D1146,name!A:B,2,1)</f>
        <v>Schneider.</v>
      </c>
      <c r="F1146" t="s">
        <v>429</v>
      </c>
      <c r="G1146" t="str">
        <f t="shared" si="126"/>
        <v>a</v>
      </c>
      <c r="H1146" t="str">
        <f>VLOOKUP(D1146,name!A:C,3,1)</f>
        <v>assets/icons/image003.png</v>
      </c>
    </row>
    <row r="1147" spans="1:8" x14ac:dyDescent="0.15">
      <c r="A1147" t="str">
        <f t="shared" ref="A1147:B1147" si="150">A1146</f>
        <v>ドイツ語</v>
      </c>
      <c r="B1147">
        <f t="shared" si="150"/>
        <v>13</v>
      </c>
      <c r="C1147">
        <f t="shared" si="128"/>
        <v>26</v>
      </c>
      <c r="D1147">
        <f t="shared" si="129"/>
        <v>3</v>
      </c>
      <c r="E1147" t="str">
        <f>VLOOKUP(D1147,name!A:B,2,1)</f>
        <v>Schneider.</v>
      </c>
      <c r="F1147" t="s">
        <v>447</v>
      </c>
      <c r="G1147" t="str">
        <f t="shared" si="126"/>
        <v>a</v>
      </c>
      <c r="H1147" t="str">
        <f>VLOOKUP(D1147,name!A:C,3,1)</f>
        <v>assets/icons/image003.png</v>
      </c>
    </row>
    <row r="1148" spans="1:8" x14ac:dyDescent="0.15">
      <c r="A1148" t="str">
        <f t="shared" ref="A1148:B1148" si="151">A1147</f>
        <v>ドイツ語</v>
      </c>
      <c r="B1148">
        <f t="shared" si="151"/>
        <v>13</v>
      </c>
      <c r="C1148">
        <f t="shared" si="128"/>
        <v>27</v>
      </c>
      <c r="D1148">
        <v>3</v>
      </c>
      <c r="E1148" t="str">
        <f>VLOOKUP(D1148,name!A:B,2,1)</f>
        <v>Schneider.</v>
      </c>
      <c r="F1148" t="s">
        <v>430</v>
      </c>
      <c r="G1148" t="str">
        <f t="shared" si="126"/>
        <v>a</v>
      </c>
      <c r="H1148" t="str">
        <f>VLOOKUP(D1148,name!A:C,3,1)</f>
        <v>assets/icons/image003.png</v>
      </c>
    </row>
    <row r="1149" spans="1:8" x14ac:dyDescent="0.15">
      <c r="A1149" t="str">
        <f t="shared" ref="A1149:B1149" si="152">A1148</f>
        <v>ドイツ語</v>
      </c>
      <c r="B1149">
        <f t="shared" si="152"/>
        <v>13</v>
      </c>
      <c r="C1149">
        <f t="shared" si="128"/>
        <v>28</v>
      </c>
      <c r="D1149">
        <f t="shared" si="129"/>
        <v>2</v>
      </c>
      <c r="E1149" t="str">
        <f>VLOOKUP(D1149,name!A:B,2,1)</f>
        <v>Tanaka</v>
      </c>
      <c r="F1149" t="s">
        <v>448</v>
      </c>
      <c r="G1149" t="str">
        <f t="shared" si="126"/>
        <v>a</v>
      </c>
      <c r="H1149" t="str">
        <f>VLOOKUP(D1149,name!A:C,3,1)</f>
        <v>assets/icons/image013.png</v>
      </c>
    </row>
    <row r="1150" spans="1:8" x14ac:dyDescent="0.15">
      <c r="A1150" t="str">
        <f t="shared" ref="A1150:B1150" si="153">A1149</f>
        <v>ドイツ語</v>
      </c>
      <c r="B1150">
        <f t="shared" si="153"/>
        <v>13</v>
      </c>
      <c r="C1150">
        <f t="shared" si="128"/>
        <v>29</v>
      </c>
      <c r="D1150">
        <f t="shared" si="129"/>
        <v>2</v>
      </c>
      <c r="E1150" t="str">
        <f>VLOOKUP(D1150,name!A:B,2,1)</f>
        <v>Tanaka</v>
      </c>
      <c r="F1150" t="s">
        <v>431</v>
      </c>
      <c r="G1150" t="str">
        <f t="shared" si="126"/>
        <v>a</v>
      </c>
      <c r="H1150" t="str">
        <f>VLOOKUP(D1150,name!A:C,3,1)</f>
        <v>assets/icons/image013.png</v>
      </c>
    </row>
    <row r="1151" spans="1:8" x14ac:dyDescent="0.15">
      <c r="A1151" t="str">
        <f t="shared" ref="A1151:B1151" si="154">A1150</f>
        <v>ドイツ語</v>
      </c>
      <c r="B1151">
        <f t="shared" si="154"/>
        <v>13</v>
      </c>
      <c r="C1151">
        <f t="shared" si="128"/>
        <v>30</v>
      </c>
      <c r="D1151">
        <f t="shared" si="129"/>
        <v>2</v>
      </c>
      <c r="E1151" t="str">
        <f>VLOOKUP(D1151,name!A:B,2,1)</f>
        <v>Tanaka</v>
      </c>
      <c r="F1151" t="s">
        <v>449</v>
      </c>
      <c r="G1151" t="str">
        <f t="shared" si="126"/>
        <v>a</v>
      </c>
      <c r="H1151" t="str">
        <f>VLOOKUP(D1151,name!A:C,3,1)</f>
        <v>assets/icons/image013.png</v>
      </c>
    </row>
    <row r="1152" spans="1:8" x14ac:dyDescent="0.15">
      <c r="A1152" t="str">
        <f t="shared" ref="A1152:B1152" si="155">A1151</f>
        <v>ドイツ語</v>
      </c>
      <c r="B1152">
        <f t="shared" si="155"/>
        <v>13</v>
      </c>
      <c r="C1152">
        <f t="shared" si="128"/>
        <v>31</v>
      </c>
      <c r="D1152">
        <f t="shared" si="129"/>
        <v>2</v>
      </c>
      <c r="E1152" t="str">
        <f>VLOOKUP(D1152,name!A:B,2,1)</f>
        <v>Tanaka</v>
      </c>
      <c r="F1152" t="s">
        <v>432</v>
      </c>
      <c r="G1152" t="str">
        <f t="shared" si="126"/>
        <v>a</v>
      </c>
      <c r="H1152" t="str">
        <f>VLOOKUP(D1152,name!A:C,3,1)</f>
        <v>assets/icons/image013.png</v>
      </c>
    </row>
    <row r="1153" spans="1:8" x14ac:dyDescent="0.15">
      <c r="A1153" t="str">
        <f t="shared" ref="A1153:B1153" si="156">A1152</f>
        <v>ドイツ語</v>
      </c>
      <c r="B1153">
        <f t="shared" si="156"/>
        <v>13</v>
      </c>
      <c r="C1153">
        <f t="shared" si="128"/>
        <v>32</v>
      </c>
      <c r="D1153">
        <f t="shared" si="129"/>
        <v>2</v>
      </c>
      <c r="E1153" t="str">
        <f>VLOOKUP(D1153,name!A:B,2,1)</f>
        <v>Tanaka</v>
      </c>
      <c r="F1153" t="s">
        <v>450</v>
      </c>
      <c r="G1153" t="str">
        <f t="shared" si="126"/>
        <v>a</v>
      </c>
      <c r="H1153" t="str">
        <f>VLOOKUP(D1153,name!A:C,3,1)</f>
        <v>assets/icons/image013.png</v>
      </c>
    </row>
    <row r="1154" spans="1:8" x14ac:dyDescent="0.15">
      <c r="A1154" t="str">
        <f t="shared" ref="A1154:B1154" si="157">A1153</f>
        <v>ドイツ語</v>
      </c>
      <c r="B1154">
        <f t="shared" si="157"/>
        <v>13</v>
      </c>
      <c r="C1154">
        <f t="shared" si="128"/>
        <v>33</v>
      </c>
      <c r="D1154">
        <v>2</v>
      </c>
      <c r="E1154" t="str">
        <f>VLOOKUP(D1154,name!A:B,2,1)</f>
        <v>Tanaka</v>
      </c>
      <c r="F1154" t="s">
        <v>433</v>
      </c>
      <c r="G1154" t="str">
        <f t="shared" si="126"/>
        <v>a</v>
      </c>
      <c r="H1154" t="str">
        <f>VLOOKUP(D1154,name!A:C,3,1)</f>
        <v>assets/icons/image013.png</v>
      </c>
    </row>
    <row r="1155" spans="1:8" x14ac:dyDescent="0.15">
      <c r="A1155" t="str">
        <f t="shared" ref="A1155:B1155" si="158">A1154</f>
        <v>ドイツ語</v>
      </c>
      <c r="B1155">
        <f t="shared" si="158"/>
        <v>13</v>
      </c>
      <c r="C1155">
        <f t="shared" si="128"/>
        <v>34</v>
      </c>
      <c r="D1155">
        <f t="shared" si="129"/>
        <v>3</v>
      </c>
      <c r="E1155" t="str">
        <f>VLOOKUP(D1155,name!A:B,2,1)</f>
        <v>Schneider.</v>
      </c>
      <c r="F1155" t="s">
        <v>451</v>
      </c>
      <c r="G1155" t="str">
        <f t="shared" si="126"/>
        <v>a</v>
      </c>
      <c r="H1155" t="str">
        <f>VLOOKUP(D1155,name!A:C,3,1)</f>
        <v>assets/icons/image003.png</v>
      </c>
    </row>
    <row r="1156" spans="1:8" x14ac:dyDescent="0.15">
      <c r="A1156" t="str">
        <f t="shared" ref="A1156:B1156" si="159">A1155</f>
        <v>ドイツ語</v>
      </c>
      <c r="B1156">
        <f t="shared" si="159"/>
        <v>13</v>
      </c>
      <c r="C1156">
        <f t="shared" si="128"/>
        <v>35</v>
      </c>
      <c r="D1156">
        <v>3</v>
      </c>
      <c r="E1156" t="str">
        <f>VLOOKUP(D1156,name!A:B,2,1)</f>
        <v>Schneider.</v>
      </c>
      <c r="F1156" t="s">
        <v>434</v>
      </c>
      <c r="G1156" t="str">
        <f t="shared" si="126"/>
        <v>a</v>
      </c>
      <c r="H1156" t="str">
        <f>VLOOKUP(D1156,name!A:C,3,1)</f>
        <v>assets/icons/image003.png</v>
      </c>
    </row>
    <row r="1157" spans="1:8" x14ac:dyDescent="0.15">
      <c r="A1157" t="str">
        <f t="shared" ref="A1157:B1157" si="160">A1156</f>
        <v>ドイツ語</v>
      </c>
      <c r="B1157">
        <f t="shared" si="160"/>
        <v>13</v>
      </c>
      <c r="C1157">
        <f t="shared" si="128"/>
        <v>36</v>
      </c>
      <c r="D1157">
        <f t="shared" si="129"/>
        <v>2</v>
      </c>
      <c r="E1157" t="str">
        <f>VLOOKUP(D1157,name!A:B,2,1)</f>
        <v>Tanaka</v>
      </c>
      <c r="F1157" t="s">
        <v>452</v>
      </c>
      <c r="G1157" t="str">
        <f t="shared" si="126"/>
        <v>a</v>
      </c>
      <c r="H1157" t="str">
        <f>VLOOKUP(D1157,name!A:C,3,1)</f>
        <v>assets/icons/image013.png</v>
      </c>
    </row>
    <row r="1158" spans="1:8" x14ac:dyDescent="0.15">
      <c r="A1158" t="str">
        <f t="shared" ref="A1158:B1158" si="161">A1157</f>
        <v>ドイツ語</v>
      </c>
      <c r="B1158">
        <f t="shared" si="161"/>
        <v>13</v>
      </c>
      <c r="C1158">
        <f t="shared" si="128"/>
        <v>37</v>
      </c>
      <c r="D1158">
        <v>2</v>
      </c>
      <c r="E1158" t="str">
        <f>VLOOKUP(D1158,name!A:B,2,1)</f>
        <v>Tanaka</v>
      </c>
      <c r="F1158" t="s">
        <v>435</v>
      </c>
      <c r="G1158" t="str">
        <f t="shared" si="126"/>
        <v>a</v>
      </c>
      <c r="H1158" t="str">
        <f>VLOOKUP(D1158,name!A:C,3,1)</f>
        <v>assets/icons/image013.png</v>
      </c>
    </row>
    <row r="1159" spans="1:8" x14ac:dyDescent="0.15">
      <c r="A1159" t="str">
        <f t="shared" ref="A1159:B1159" si="162">A1158</f>
        <v>ドイツ語</v>
      </c>
      <c r="B1159">
        <f t="shared" si="162"/>
        <v>13</v>
      </c>
      <c r="C1159">
        <f t="shared" si="128"/>
        <v>38</v>
      </c>
      <c r="D1159">
        <f t="shared" si="129"/>
        <v>2</v>
      </c>
      <c r="E1159" t="str">
        <f>VLOOKUP(D1159,name!A:B,2,1)</f>
        <v>Tanaka</v>
      </c>
      <c r="F1159" t="s">
        <v>453</v>
      </c>
      <c r="G1159" t="str">
        <f t="shared" si="126"/>
        <v>a</v>
      </c>
      <c r="H1159" t="str">
        <f>VLOOKUP(D1159,name!A:C,3,1)</f>
        <v>assets/icons/image013.png</v>
      </c>
    </row>
    <row r="1160" spans="1:8" x14ac:dyDescent="0.15">
      <c r="A1160" t="str">
        <f t="shared" ref="A1160:B1160" si="163">A1159</f>
        <v>ドイツ語</v>
      </c>
      <c r="B1160">
        <f t="shared" si="163"/>
        <v>13</v>
      </c>
      <c r="C1160">
        <f t="shared" si="128"/>
        <v>39</v>
      </c>
      <c r="D1160">
        <v>2</v>
      </c>
      <c r="E1160" t="str">
        <f>VLOOKUP(D1160,name!A:B,2,1)</f>
        <v>Tanaka</v>
      </c>
      <c r="F1160" t="s">
        <v>436</v>
      </c>
      <c r="G1160" t="str">
        <f t="shared" si="126"/>
        <v>a</v>
      </c>
      <c r="H1160" t="str">
        <f>VLOOKUP(D1160,name!A:C,3,1)</f>
        <v>assets/icons/image013.png</v>
      </c>
    </row>
    <row r="1161" spans="1:8" x14ac:dyDescent="0.15">
      <c r="A1161" t="str">
        <f t="shared" ref="A1161:B1161" si="164">A1160</f>
        <v>ドイツ語</v>
      </c>
      <c r="B1161">
        <f t="shared" si="164"/>
        <v>13</v>
      </c>
      <c r="C1161">
        <f t="shared" si="128"/>
        <v>40</v>
      </c>
      <c r="D1161">
        <v>1</v>
      </c>
      <c r="E1161" t="str">
        <f>VLOOKUP(D1161,name!A:B,2,1)</f>
        <v>Navigator</v>
      </c>
      <c r="F1161" t="str">
        <f>"次の"&amp;A1161&amp;"を真似してね！"</f>
        <v>次のドイツ語を真似してね！</v>
      </c>
      <c r="G1161" t="str">
        <f t="shared" si="126"/>
        <v>a</v>
      </c>
      <c r="H1161" t="str">
        <f>VLOOKUP(D1161,name!A:C,3,1)</f>
        <v>assets/icons/image014.png</v>
      </c>
    </row>
    <row r="1162" spans="1:8" x14ac:dyDescent="0.15">
      <c r="A1162" t="str">
        <f t="shared" ref="A1162:B1162" si="165">A1161</f>
        <v>ドイツ語</v>
      </c>
      <c r="B1162">
        <f t="shared" si="165"/>
        <v>13</v>
      </c>
      <c r="C1162">
        <f t="shared" si="128"/>
        <v>41</v>
      </c>
      <c r="D1162">
        <f>D1125</f>
        <v>3</v>
      </c>
      <c r="E1162" t="str">
        <f>VLOOKUP(D1162,name!A:B,2,1)</f>
        <v>Schneider.</v>
      </c>
      <c r="F1162" t="str">
        <f>F1125</f>
        <v>こんにちは、田中さん。</v>
      </c>
      <c r="G1162" t="str">
        <f t="shared" si="126"/>
        <v>a</v>
      </c>
      <c r="H1162" t="str">
        <f>VLOOKUP(D1162,name!A:C,3,1)</f>
        <v>assets/icons/image003.png</v>
      </c>
    </row>
    <row r="1163" spans="1:8" x14ac:dyDescent="0.15">
      <c r="A1163" t="str">
        <f t="shared" ref="A1163:B1163" si="166">A1162</f>
        <v>ドイツ語</v>
      </c>
      <c r="B1163">
        <f t="shared" si="166"/>
        <v>13</v>
      </c>
      <c r="C1163">
        <f t="shared" si="128"/>
        <v>42</v>
      </c>
      <c r="D1163">
        <f>D1126</f>
        <v>3</v>
      </c>
      <c r="E1163" t="str">
        <f>VLOOKUP(D1163,name!A:B,2,1)</f>
        <v>Schneider.</v>
      </c>
      <c r="F1163" t="str">
        <f>F1126</f>
        <v xml:space="preserve">Guten Tag, Herr Tanaka. </v>
      </c>
      <c r="G1163" t="str">
        <f t="shared" si="126"/>
        <v>a</v>
      </c>
      <c r="H1163" t="str">
        <f>VLOOKUP(D1163,name!A:C,3,1)</f>
        <v>assets/icons/image003.png</v>
      </c>
    </row>
    <row r="1164" spans="1:8" x14ac:dyDescent="0.15">
      <c r="A1164" t="str">
        <f t="shared" ref="A1164:B1164" si="167">A1163</f>
        <v>ドイツ語</v>
      </c>
      <c r="B1164">
        <f t="shared" si="167"/>
        <v>13</v>
      </c>
      <c r="C1164">
        <f t="shared" si="128"/>
        <v>43</v>
      </c>
      <c r="D1164">
        <v>0</v>
      </c>
      <c r="E1164" t="str">
        <f>VLOOKUP(D1164,name!A:B,2,1)</f>
        <v>Player</v>
      </c>
      <c r="F1164" t="str">
        <f>F1126</f>
        <v xml:space="preserve">Guten Tag, Herr Tanaka. </v>
      </c>
      <c r="G1164" t="str">
        <f t="shared" si="126"/>
        <v>q</v>
      </c>
      <c r="H1164" t="str">
        <f>VLOOKUP(D1164,name!A:C,3,1)</f>
        <v>assets/icons/image326.png</v>
      </c>
    </row>
    <row r="1165" spans="1:8" x14ac:dyDescent="0.15">
      <c r="A1165" t="str">
        <f t="shared" ref="A1165:B1165" si="168">A1164</f>
        <v>ドイツ語</v>
      </c>
      <c r="B1165">
        <f t="shared" si="168"/>
        <v>13</v>
      </c>
      <c r="C1165">
        <f t="shared" si="128"/>
        <v>44</v>
      </c>
      <c r="D1165">
        <f>D1127</f>
        <v>3</v>
      </c>
      <c r="E1165" t="str">
        <f>VLOOKUP(D1165,name!A:B,2,1)</f>
        <v>Schneider.</v>
      </c>
      <c r="F1165" t="str">
        <f>F1127</f>
        <v>お久しぶりです。</v>
      </c>
      <c r="G1165" t="str">
        <f t="shared" si="126"/>
        <v>a</v>
      </c>
      <c r="H1165" t="str">
        <f>VLOOKUP(D1165,name!A:C,3,1)</f>
        <v>assets/icons/image003.png</v>
      </c>
    </row>
    <row r="1166" spans="1:8" x14ac:dyDescent="0.15">
      <c r="A1166" t="str">
        <f t="shared" ref="A1166:B1166" si="169">A1165</f>
        <v>ドイツ語</v>
      </c>
      <c r="B1166">
        <f t="shared" si="169"/>
        <v>13</v>
      </c>
      <c r="C1166">
        <f t="shared" si="128"/>
        <v>45</v>
      </c>
      <c r="D1166">
        <f>D1128</f>
        <v>3</v>
      </c>
      <c r="E1166" t="str">
        <f>VLOOKUP(D1166,name!A:B,2,1)</f>
        <v>Schneider.</v>
      </c>
      <c r="F1166" t="str">
        <f>F1128</f>
        <v>Lange nicht gesehen.</v>
      </c>
      <c r="G1166" t="str">
        <f t="shared" si="126"/>
        <v>a</v>
      </c>
      <c r="H1166" t="str">
        <f>VLOOKUP(D1166,name!A:C,3,1)</f>
        <v>assets/icons/image003.png</v>
      </c>
    </row>
    <row r="1167" spans="1:8" x14ac:dyDescent="0.15">
      <c r="A1167" t="str">
        <f t="shared" ref="A1167:B1167" si="170">A1166</f>
        <v>ドイツ語</v>
      </c>
      <c r="B1167">
        <f t="shared" si="170"/>
        <v>13</v>
      </c>
      <c r="C1167">
        <f t="shared" si="128"/>
        <v>46</v>
      </c>
      <c r="D1167">
        <v>0</v>
      </c>
      <c r="E1167" t="str">
        <f>VLOOKUP(D1167,name!A:B,2,1)</f>
        <v>Player</v>
      </c>
      <c r="F1167" t="str">
        <f>F1128</f>
        <v>Lange nicht gesehen.</v>
      </c>
      <c r="G1167" t="str">
        <f t="shared" si="126"/>
        <v>q</v>
      </c>
      <c r="H1167" t="str">
        <f>VLOOKUP(D1167,name!A:C,3,1)</f>
        <v>assets/icons/image326.png</v>
      </c>
    </row>
    <row r="1168" spans="1:8" x14ac:dyDescent="0.15">
      <c r="A1168" t="str">
        <f t="shared" ref="A1168:B1168" si="171">A1167</f>
        <v>ドイツ語</v>
      </c>
      <c r="B1168">
        <f t="shared" si="171"/>
        <v>13</v>
      </c>
      <c r="C1168">
        <f t="shared" si="128"/>
        <v>47</v>
      </c>
      <c r="D1168">
        <f>D1129</f>
        <v>3</v>
      </c>
      <c r="E1168" t="str">
        <f>VLOOKUP(D1168,name!A:B,2,1)</f>
        <v>Schneider.</v>
      </c>
      <c r="F1168" t="str">
        <f>F1129</f>
        <v>旅行していたんですか?</v>
      </c>
      <c r="G1168" t="str">
        <f t="shared" si="126"/>
        <v>a</v>
      </c>
      <c r="H1168" t="str">
        <f>VLOOKUP(D1168,name!A:C,3,1)</f>
        <v>assets/icons/image003.png</v>
      </c>
    </row>
    <row r="1169" spans="1:8" x14ac:dyDescent="0.15">
      <c r="A1169" t="str">
        <f t="shared" ref="A1169:B1169" si="172">A1168</f>
        <v>ドイツ語</v>
      </c>
      <c r="B1169">
        <f t="shared" si="172"/>
        <v>13</v>
      </c>
      <c r="C1169">
        <f t="shared" si="128"/>
        <v>48</v>
      </c>
      <c r="D1169">
        <f>D1130</f>
        <v>3</v>
      </c>
      <c r="E1169" t="str">
        <f>VLOOKUP(D1169,name!A:B,2,1)</f>
        <v>Schneider.</v>
      </c>
      <c r="F1169" t="str">
        <f>F1130</f>
        <v>Waren Sie verreist?</v>
      </c>
      <c r="G1169" t="str">
        <f t="shared" si="126"/>
        <v>a</v>
      </c>
      <c r="H1169" t="str">
        <f>VLOOKUP(D1169,name!A:C,3,1)</f>
        <v>assets/icons/image003.png</v>
      </c>
    </row>
    <row r="1170" spans="1:8" x14ac:dyDescent="0.15">
      <c r="A1170" t="str">
        <f t="shared" ref="A1170:B1170" si="173">A1169</f>
        <v>ドイツ語</v>
      </c>
      <c r="B1170">
        <f t="shared" si="173"/>
        <v>13</v>
      </c>
      <c r="C1170">
        <f t="shared" si="128"/>
        <v>49</v>
      </c>
      <c r="D1170">
        <v>0</v>
      </c>
      <c r="E1170" t="str">
        <f>VLOOKUP(D1170,name!A:B,2,1)</f>
        <v>Player</v>
      </c>
      <c r="F1170" t="str">
        <f>F1130</f>
        <v>Waren Sie verreist?</v>
      </c>
      <c r="G1170" t="str">
        <f t="shared" si="126"/>
        <v>q</v>
      </c>
      <c r="H1170" t="str">
        <f>VLOOKUP(D1170,name!A:C,3,1)</f>
        <v>assets/icons/image326.png</v>
      </c>
    </row>
    <row r="1171" spans="1:8" x14ac:dyDescent="0.15">
      <c r="A1171" t="str">
        <f t="shared" ref="A1171:B1171" si="174">A1170</f>
        <v>ドイツ語</v>
      </c>
      <c r="B1171">
        <f t="shared" si="174"/>
        <v>13</v>
      </c>
      <c r="C1171">
        <f t="shared" si="128"/>
        <v>50</v>
      </c>
      <c r="D1171">
        <f>D1131</f>
        <v>2</v>
      </c>
      <c r="E1171" t="str">
        <f>VLOOKUP(D1171,name!A:B,2,1)</f>
        <v>Tanaka</v>
      </c>
      <c r="F1171" t="str">
        <f>F1131</f>
        <v>はい。</v>
      </c>
      <c r="G1171" t="str">
        <f t="shared" si="126"/>
        <v>a</v>
      </c>
      <c r="H1171" t="str">
        <f>VLOOKUP(D1171,name!A:C,3,1)</f>
        <v>assets/icons/image013.png</v>
      </c>
    </row>
    <row r="1172" spans="1:8" x14ac:dyDescent="0.15">
      <c r="A1172" t="str">
        <f t="shared" ref="A1172:B1172" si="175">A1171</f>
        <v>ドイツ語</v>
      </c>
      <c r="B1172">
        <f t="shared" si="175"/>
        <v>13</v>
      </c>
      <c r="C1172">
        <f t="shared" si="128"/>
        <v>51</v>
      </c>
      <c r="D1172">
        <f>D1132</f>
        <v>2</v>
      </c>
      <c r="E1172" t="str">
        <f>VLOOKUP(D1172,name!A:B,2,1)</f>
        <v>Tanaka</v>
      </c>
      <c r="F1172" t="str">
        <f>F1132</f>
        <v>Ja.</v>
      </c>
      <c r="G1172" t="str">
        <f t="shared" si="126"/>
        <v>a</v>
      </c>
      <c r="H1172" t="str">
        <f>VLOOKUP(D1172,name!A:C,3,1)</f>
        <v>assets/icons/image013.png</v>
      </c>
    </row>
    <row r="1173" spans="1:8" x14ac:dyDescent="0.15">
      <c r="A1173" t="str">
        <f t="shared" ref="A1173:B1173" si="176">A1172</f>
        <v>ドイツ語</v>
      </c>
      <c r="B1173">
        <f t="shared" si="176"/>
        <v>13</v>
      </c>
      <c r="C1173">
        <f t="shared" si="128"/>
        <v>52</v>
      </c>
      <c r="D1173">
        <v>0</v>
      </c>
      <c r="E1173" t="str">
        <f>VLOOKUP(D1173,name!A:B,2,1)</f>
        <v>Player</v>
      </c>
      <c r="F1173" t="str">
        <f>F1132</f>
        <v>Ja.</v>
      </c>
      <c r="G1173" t="str">
        <f t="shared" si="126"/>
        <v>q</v>
      </c>
      <c r="H1173" t="str">
        <f>VLOOKUP(D1173,name!A:C,3,1)</f>
        <v>assets/icons/image326.png</v>
      </c>
    </row>
    <row r="1174" spans="1:8" x14ac:dyDescent="0.15">
      <c r="A1174" t="str">
        <f t="shared" ref="A1174:B1174" si="177">A1173</f>
        <v>ドイツ語</v>
      </c>
      <c r="B1174">
        <f t="shared" si="177"/>
        <v>13</v>
      </c>
      <c r="C1174">
        <f t="shared" si="128"/>
        <v>53</v>
      </c>
      <c r="D1174">
        <f>D1133</f>
        <v>2</v>
      </c>
      <c r="E1174" t="str">
        <f>VLOOKUP(D1174,name!A:B,2,1)</f>
        <v>Tanaka</v>
      </c>
      <c r="F1174" t="str">
        <f>F1133</f>
        <v>ザルツブルクで一週間過ごしました。</v>
      </c>
      <c r="G1174" t="str">
        <f t="shared" si="126"/>
        <v>a</v>
      </c>
      <c r="H1174" t="str">
        <f>VLOOKUP(D1174,name!A:C,3,1)</f>
        <v>assets/icons/image013.png</v>
      </c>
    </row>
    <row r="1175" spans="1:8" x14ac:dyDescent="0.15">
      <c r="A1175" t="str">
        <f t="shared" ref="A1175:B1175" si="178">A1174</f>
        <v>ドイツ語</v>
      </c>
      <c r="B1175">
        <f t="shared" si="178"/>
        <v>13</v>
      </c>
      <c r="C1175">
        <f t="shared" si="128"/>
        <v>54</v>
      </c>
      <c r="D1175">
        <f>D1134</f>
        <v>2</v>
      </c>
      <c r="E1175" t="str">
        <f>VLOOKUP(D1175,name!A:B,2,1)</f>
        <v>Tanaka</v>
      </c>
      <c r="F1175" t="str">
        <f>F1134</f>
        <v xml:space="preserve"> Ich war eine Woche in Salzburg.</v>
      </c>
      <c r="G1175" t="str">
        <f t="shared" si="126"/>
        <v>a</v>
      </c>
      <c r="H1175" t="str">
        <f>VLOOKUP(D1175,name!A:C,3,1)</f>
        <v>assets/icons/image013.png</v>
      </c>
    </row>
    <row r="1176" spans="1:8" x14ac:dyDescent="0.15">
      <c r="A1176" t="str">
        <f t="shared" ref="A1176:B1176" si="179">A1175</f>
        <v>ドイツ語</v>
      </c>
      <c r="B1176">
        <f t="shared" si="179"/>
        <v>13</v>
      </c>
      <c r="C1176">
        <f t="shared" si="128"/>
        <v>55</v>
      </c>
      <c r="D1176">
        <v>0</v>
      </c>
      <c r="E1176" t="str">
        <f>VLOOKUP(D1176,name!A:B,2,1)</f>
        <v>Player</v>
      </c>
      <c r="F1176" t="str">
        <f>F1134</f>
        <v xml:space="preserve"> Ich war eine Woche in Salzburg.</v>
      </c>
      <c r="G1176" t="str">
        <f t="shared" si="126"/>
        <v>q</v>
      </c>
      <c r="H1176" t="str">
        <f>VLOOKUP(D1176,name!A:C,3,1)</f>
        <v>assets/icons/image326.png</v>
      </c>
    </row>
    <row r="1177" spans="1:8" x14ac:dyDescent="0.15">
      <c r="A1177" t="str">
        <f t="shared" ref="A1177:B1177" si="180">A1176</f>
        <v>ドイツ語</v>
      </c>
      <c r="B1177">
        <f t="shared" si="180"/>
        <v>13</v>
      </c>
      <c r="C1177">
        <f t="shared" si="128"/>
        <v>56</v>
      </c>
      <c r="D1177">
        <f>D1135</f>
        <v>3</v>
      </c>
      <c r="E1177" t="str">
        <f>VLOOKUP(D1177,name!A:B,2,1)</f>
        <v>Schneider.</v>
      </c>
      <c r="F1177" t="str">
        <f>F1135</f>
        <v>それはいいですね。</v>
      </c>
      <c r="G1177" t="str">
        <f t="shared" si="126"/>
        <v>a</v>
      </c>
      <c r="H1177" t="str">
        <f>VLOOKUP(D1177,name!A:C,3,1)</f>
        <v>assets/icons/image003.png</v>
      </c>
    </row>
    <row r="1178" spans="1:8" x14ac:dyDescent="0.15">
      <c r="A1178" t="str">
        <f t="shared" ref="A1178:B1178" si="181">A1177</f>
        <v>ドイツ語</v>
      </c>
      <c r="B1178">
        <f t="shared" si="181"/>
        <v>13</v>
      </c>
      <c r="C1178">
        <f t="shared" si="128"/>
        <v>57</v>
      </c>
      <c r="D1178">
        <f>D1136</f>
        <v>3</v>
      </c>
      <c r="E1178" t="str">
        <f>VLOOKUP(D1178,name!A:B,2,1)</f>
        <v>Schneider.</v>
      </c>
      <c r="F1178" t="str">
        <f>F1136</f>
        <v>Das klingt schön.</v>
      </c>
      <c r="G1178" t="str">
        <f t="shared" si="126"/>
        <v>a</v>
      </c>
      <c r="H1178" t="str">
        <f>VLOOKUP(D1178,name!A:C,3,1)</f>
        <v>assets/icons/image003.png</v>
      </c>
    </row>
    <row r="1179" spans="1:8" x14ac:dyDescent="0.15">
      <c r="A1179" t="str">
        <f t="shared" ref="A1179:B1179" si="182">A1178</f>
        <v>ドイツ語</v>
      </c>
      <c r="B1179">
        <f t="shared" si="182"/>
        <v>13</v>
      </c>
      <c r="C1179">
        <f t="shared" si="128"/>
        <v>58</v>
      </c>
      <c r="D1179">
        <v>0</v>
      </c>
      <c r="E1179" t="str">
        <f>VLOOKUP(D1179,name!A:B,2,1)</f>
        <v>Player</v>
      </c>
      <c r="F1179" t="str">
        <f>F1136</f>
        <v>Das klingt schön.</v>
      </c>
      <c r="G1179" t="str">
        <f t="shared" si="126"/>
        <v>q</v>
      </c>
      <c r="H1179" t="str">
        <f>VLOOKUP(D1179,name!A:C,3,1)</f>
        <v>assets/icons/image326.png</v>
      </c>
    </row>
    <row r="1180" spans="1:8" x14ac:dyDescent="0.15">
      <c r="A1180" t="str">
        <f t="shared" ref="A1180:B1180" si="183">A1179</f>
        <v>ドイツ語</v>
      </c>
      <c r="B1180">
        <f t="shared" si="183"/>
        <v>13</v>
      </c>
      <c r="C1180">
        <f t="shared" si="128"/>
        <v>59</v>
      </c>
      <c r="D1180">
        <f>D1137</f>
        <v>3</v>
      </c>
      <c r="E1180" t="str">
        <f>VLOOKUP(D1180,name!A:B,2,1)</f>
        <v>Schneider.</v>
      </c>
      <c r="F1180" t="str">
        <f>F1137</f>
        <v>そこで何をしていましたか?</v>
      </c>
      <c r="G1180" t="str">
        <f t="shared" si="126"/>
        <v>a</v>
      </c>
      <c r="H1180" t="str">
        <f>VLOOKUP(D1180,name!A:C,3,1)</f>
        <v>assets/icons/image003.png</v>
      </c>
    </row>
    <row r="1181" spans="1:8" x14ac:dyDescent="0.15">
      <c r="A1181" t="str">
        <f t="shared" ref="A1181:B1181" si="184">A1180</f>
        <v>ドイツ語</v>
      </c>
      <c r="B1181">
        <f t="shared" si="184"/>
        <v>13</v>
      </c>
      <c r="C1181">
        <f t="shared" si="128"/>
        <v>60</v>
      </c>
      <c r="D1181">
        <f>D1138</f>
        <v>3</v>
      </c>
      <c r="E1181" t="str">
        <f>VLOOKUP(D1181,name!A:B,2,1)</f>
        <v>Schneider.</v>
      </c>
      <c r="F1181" t="str">
        <f>F1138</f>
        <v>Was haben Sie dort gemacht?</v>
      </c>
      <c r="G1181" t="str">
        <f t="shared" si="126"/>
        <v>a</v>
      </c>
      <c r="H1181" t="str">
        <f>VLOOKUP(D1181,name!A:C,3,1)</f>
        <v>assets/icons/image003.png</v>
      </c>
    </row>
    <row r="1182" spans="1:8" x14ac:dyDescent="0.15">
      <c r="A1182" t="str">
        <f t="shared" ref="A1182:B1182" si="185">A1181</f>
        <v>ドイツ語</v>
      </c>
      <c r="B1182">
        <f t="shared" si="185"/>
        <v>13</v>
      </c>
      <c r="C1182">
        <f t="shared" si="128"/>
        <v>61</v>
      </c>
      <c r="D1182">
        <v>0</v>
      </c>
      <c r="E1182" t="str">
        <f>VLOOKUP(D1182,name!A:B,2,1)</f>
        <v>Player</v>
      </c>
      <c r="F1182" t="str">
        <f>F1138</f>
        <v>Was haben Sie dort gemacht?</v>
      </c>
      <c r="G1182" t="str">
        <f t="shared" si="126"/>
        <v>q</v>
      </c>
      <c r="H1182" t="str">
        <f>VLOOKUP(D1182,name!A:C,3,1)</f>
        <v>assets/icons/image326.png</v>
      </c>
    </row>
    <row r="1183" spans="1:8" x14ac:dyDescent="0.15">
      <c r="A1183" t="str">
        <f t="shared" ref="A1183:B1183" si="186">A1182</f>
        <v>ドイツ語</v>
      </c>
      <c r="B1183">
        <f t="shared" si="186"/>
        <v>13</v>
      </c>
      <c r="C1183">
        <f t="shared" si="128"/>
        <v>62</v>
      </c>
      <c r="D1183">
        <f>D1139</f>
        <v>2</v>
      </c>
      <c r="E1183" t="str">
        <f>VLOOKUP(D1183,name!A:B,2,1)</f>
        <v>Tanaka</v>
      </c>
      <c r="F1183" t="str">
        <f>F1139</f>
        <v>私は弟を訪ねていました。</v>
      </c>
      <c r="G1183" t="str">
        <f t="shared" si="126"/>
        <v>a</v>
      </c>
      <c r="H1183" t="str">
        <f>VLOOKUP(D1183,name!A:C,3,1)</f>
        <v>assets/icons/image013.png</v>
      </c>
    </row>
    <row r="1184" spans="1:8" x14ac:dyDescent="0.15">
      <c r="A1184" t="str">
        <f t="shared" ref="A1184:B1184" si="187">A1183</f>
        <v>ドイツ語</v>
      </c>
      <c r="B1184">
        <f t="shared" si="187"/>
        <v>13</v>
      </c>
      <c r="C1184">
        <f t="shared" si="128"/>
        <v>63</v>
      </c>
      <c r="D1184">
        <f>D1140</f>
        <v>2</v>
      </c>
      <c r="E1184" t="str">
        <f>VLOOKUP(D1184,name!A:B,2,1)</f>
        <v>Tanaka</v>
      </c>
      <c r="F1184" t="str">
        <f>F1140</f>
        <v>Ich habe meinen Bruder besucht.</v>
      </c>
      <c r="G1184" t="str">
        <f t="shared" si="126"/>
        <v>a</v>
      </c>
      <c r="H1184" t="str">
        <f>VLOOKUP(D1184,name!A:C,3,1)</f>
        <v>assets/icons/image013.png</v>
      </c>
    </row>
    <row r="1185" spans="1:8" x14ac:dyDescent="0.15">
      <c r="A1185" t="str">
        <f t="shared" ref="A1185:B1185" si="188">A1184</f>
        <v>ドイツ語</v>
      </c>
      <c r="B1185">
        <f t="shared" si="188"/>
        <v>13</v>
      </c>
      <c r="C1185">
        <f t="shared" si="128"/>
        <v>64</v>
      </c>
      <c r="D1185">
        <v>0</v>
      </c>
      <c r="E1185" t="str">
        <f>VLOOKUP(D1185,name!A:B,2,1)</f>
        <v>Player</v>
      </c>
      <c r="F1185" t="str">
        <f>F1140</f>
        <v>Ich habe meinen Bruder besucht.</v>
      </c>
      <c r="G1185" t="str">
        <f t="shared" si="126"/>
        <v>q</v>
      </c>
      <c r="H1185" t="str">
        <f>VLOOKUP(D1185,name!A:C,3,1)</f>
        <v>assets/icons/image326.png</v>
      </c>
    </row>
    <row r="1186" spans="1:8" x14ac:dyDescent="0.15">
      <c r="A1186" t="str">
        <f t="shared" ref="A1186:B1186" si="189">A1185</f>
        <v>ドイツ語</v>
      </c>
      <c r="B1186">
        <f t="shared" si="189"/>
        <v>13</v>
      </c>
      <c r="C1186">
        <f t="shared" si="128"/>
        <v>65</v>
      </c>
      <c r="D1186">
        <f>D1141</f>
        <v>2</v>
      </c>
      <c r="E1186" t="str">
        <f>VLOOKUP(D1186,name!A:B,2,1)</f>
        <v>Tanaka</v>
      </c>
      <c r="F1186" t="str">
        <f>F1141</f>
        <v>彼はパティシエで、そこに店を持っています。</v>
      </c>
      <c r="G1186" t="str">
        <f t="shared" ref="G1186:G1249" si="190">IF(B1186&lt;&gt;B1187,"e",IF(D1186=0,"q","a"))</f>
        <v>a</v>
      </c>
      <c r="H1186" t="str">
        <f>VLOOKUP(D1186,name!A:C,3,1)</f>
        <v>assets/icons/image013.png</v>
      </c>
    </row>
    <row r="1187" spans="1:8" x14ac:dyDescent="0.15">
      <c r="A1187" t="str">
        <f t="shared" ref="A1187:B1187" si="191">A1186</f>
        <v>ドイツ語</v>
      </c>
      <c r="B1187">
        <f t="shared" si="191"/>
        <v>13</v>
      </c>
      <c r="C1187">
        <f t="shared" si="128"/>
        <v>66</v>
      </c>
      <c r="D1187">
        <f>D1142</f>
        <v>2</v>
      </c>
      <c r="E1187" t="str">
        <f>VLOOKUP(D1187,name!A:B,2,1)</f>
        <v>Tanaka</v>
      </c>
      <c r="F1187" t="str">
        <f>F1142</f>
        <v>Er ist Patissier und hat ein Geschäft dort.</v>
      </c>
      <c r="G1187" t="str">
        <f t="shared" si="190"/>
        <v>a</v>
      </c>
      <c r="H1187" t="str">
        <f>VLOOKUP(D1187,name!A:C,3,1)</f>
        <v>assets/icons/image013.png</v>
      </c>
    </row>
    <row r="1188" spans="1:8" x14ac:dyDescent="0.15">
      <c r="A1188" t="str">
        <f t="shared" ref="A1188:B1188" si="192">A1187</f>
        <v>ドイツ語</v>
      </c>
      <c r="B1188">
        <f t="shared" si="192"/>
        <v>13</v>
      </c>
      <c r="C1188">
        <f t="shared" ref="C1188:C1252" si="193">C1187+1</f>
        <v>67</v>
      </c>
      <c r="D1188">
        <v>0</v>
      </c>
      <c r="E1188" t="str">
        <f>VLOOKUP(D1188,name!A:B,2,1)</f>
        <v>Player</v>
      </c>
      <c r="F1188" t="str">
        <f>F1142</f>
        <v>Er ist Patissier und hat ein Geschäft dort.</v>
      </c>
      <c r="G1188" t="str">
        <f t="shared" si="190"/>
        <v>q</v>
      </c>
      <c r="H1188" t="str">
        <f>VLOOKUP(D1188,name!A:C,3,1)</f>
        <v>assets/icons/image326.png</v>
      </c>
    </row>
    <row r="1189" spans="1:8" x14ac:dyDescent="0.15">
      <c r="A1189" t="str">
        <f t="shared" ref="A1189:B1189" si="194">A1188</f>
        <v>ドイツ語</v>
      </c>
      <c r="B1189">
        <f t="shared" si="194"/>
        <v>13</v>
      </c>
      <c r="C1189">
        <f t="shared" si="193"/>
        <v>68</v>
      </c>
      <c r="D1189">
        <f>D1143</f>
        <v>3</v>
      </c>
      <c r="E1189" t="str">
        <f>VLOOKUP(D1189,name!A:B,2,1)</f>
        <v>Schneider.</v>
      </c>
      <c r="F1189" t="str">
        <f>F1143</f>
        <v>あ、そうですね。</v>
      </c>
      <c r="G1189" t="str">
        <f t="shared" si="190"/>
        <v>a</v>
      </c>
      <c r="H1189" t="str">
        <f>VLOOKUP(D1189,name!A:C,3,1)</f>
        <v>assets/icons/image003.png</v>
      </c>
    </row>
    <row r="1190" spans="1:8" x14ac:dyDescent="0.15">
      <c r="A1190" t="str">
        <f t="shared" ref="A1190:B1190" si="195">A1189</f>
        <v>ドイツ語</v>
      </c>
      <c r="B1190">
        <f t="shared" si="195"/>
        <v>13</v>
      </c>
      <c r="C1190">
        <f t="shared" si="193"/>
        <v>69</v>
      </c>
      <c r="D1190">
        <f>D1144</f>
        <v>3</v>
      </c>
      <c r="E1190" t="str">
        <f>VLOOKUP(D1190,name!A:B,2,1)</f>
        <v>Schneider.</v>
      </c>
      <c r="F1190" t="str">
        <f>F1144</f>
        <v>Ach, stimmt.</v>
      </c>
      <c r="G1190" t="str">
        <f t="shared" si="190"/>
        <v>a</v>
      </c>
      <c r="H1190" t="str">
        <f>VLOOKUP(D1190,name!A:C,3,1)</f>
        <v>assets/icons/image003.png</v>
      </c>
    </row>
    <row r="1191" spans="1:8" x14ac:dyDescent="0.15">
      <c r="A1191" t="str">
        <f t="shared" ref="A1191:B1191" si="196">A1190</f>
        <v>ドイツ語</v>
      </c>
      <c r="B1191">
        <f t="shared" si="196"/>
        <v>13</v>
      </c>
      <c r="C1191">
        <f t="shared" si="193"/>
        <v>70</v>
      </c>
      <c r="D1191">
        <v>0</v>
      </c>
      <c r="E1191" t="str">
        <f>VLOOKUP(D1191,name!A:B,2,1)</f>
        <v>Player</v>
      </c>
      <c r="F1191" t="str">
        <f>F1144</f>
        <v>Ach, stimmt.</v>
      </c>
      <c r="G1191" t="str">
        <f t="shared" si="190"/>
        <v>q</v>
      </c>
      <c r="H1191" t="str">
        <f>VLOOKUP(D1191,name!A:C,3,1)</f>
        <v>assets/icons/image326.png</v>
      </c>
    </row>
    <row r="1192" spans="1:8" x14ac:dyDescent="0.15">
      <c r="A1192" t="str">
        <f t="shared" ref="A1192:B1192" si="197">A1191</f>
        <v>ドイツ語</v>
      </c>
      <c r="B1192">
        <f t="shared" si="197"/>
        <v>13</v>
      </c>
      <c r="C1192">
        <f t="shared" si="193"/>
        <v>71</v>
      </c>
      <c r="D1192">
        <f>D1145</f>
        <v>3</v>
      </c>
      <c r="E1192" t="str">
        <f>VLOOKUP(D1192,name!A:B,2,1)</f>
        <v>Schneider.</v>
      </c>
      <c r="F1192" t="str">
        <f>F1145</f>
        <v>前にそう言ってました。</v>
      </c>
      <c r="G1192" t="str">
        <f t="shared" si="190"/>
        <v>a</v>
      </c>
      <c r="H1192" t="str">
        <f>VLOOKUP(D1192,name!A:C,3,1)</f>
        <v>assets/icons/image003.png</v>
      </c>
    </row>
    <row r="1193" spans="1:8" x14ac:dyDescent="0.15">
      <c r="A1193" t="str">
        <f t="shared" ref="A1193:B1193" si="198">A1192</f>
        <v>ドイツ語</v>
      </c>
      <c r="B1193">
        <f t="shared" si="198"/>
        <v>13</v>
      </c>
      <c r="C1193">
        <f t="shared" si="193"/>
        <v>72</v>
      </c>
      <c r="D1193">
        <f>D1146</f>
        <v>3</v>
      </c>
      <c r="E1193" t="str">
        <f>VLOOKUP(D1193,name!A:B,2,1)</f>
        <v>Schneider.</v>
      </c>
      <c r="F1193" t="str">
        <f>F1146</f>
        <v>Das haben Sie mir mal erzählt.</v>
      </c>
      <c r="G1193" t="str">
        <f t="shared" si="190"/>
        <v>a</v>
      </c>
      <c r="H1193" t="str">
        <f>VLOOKUP(D1193,name!A:C,3,1)</f>
        <v>assets/icons/image003.png</v>
      </c>
    </row>
    <row r="1194" spans="1:8" x14ac:dyDescent="0.15">
      <c r="A1194" t="str">
        <f t="shared" ref="A1194:B1194" si="199">A1193</f>
        <v>ドイツ語</v>
      </c>
      <c r="B1194">
        <f t="shared" si="199"/>
        <v>13</v>
      </c>
      <c r="C1194">
        <f t="shared" si="193"/>
        <v>73</v>
      </c>
      <c r="D1194">
        <v>0</v>
      </c>
      <c r="E1194" t="str">
        <f>VLOOKUP(D1194,name!A:B,2,1)</f>
        <v>Player</v>
      </c>
      <c r="F1194" t="str">
        <f>F1146</f>
        <v>Das haben Sie mir mal erzählt.</v>
      </c>
      <c r="G1194" t="str">
        <f t="shared" si="190"/>
        <v>q</v>
      </c>
      <c r="H1194" t="str">
        <f>VLOOKUP(D1194,name!A:C,3,1)</f>
        <v>assets/icons/image326.png</v>
      </c>
    </row>
    <row r="1195" spans="1:8" x14ac:dyDescent="0.15">
      <c r="A1195" t="str">
        <f t="shared" ref="A1195:B1195" si="200">A1194</f>
        <v>ドイツ語</v>
      </c>
      <c r="B1195">
        <f t="shared" si="200"/>
        <v>13</v>
      </c>
      <c r="C1195">
        <f t="shared" si="193"/>
        <v>74</v>
      </c>
      <c r="D1195">
        <f>D1147</f>
        <v>3</v>
      </c>
      <c r="E1195" t="str">
        <f>VLOOKUP(D1195,name!A:B,2,1)</f>
        <v>Schneider.</v>
      </c>
      <c r="F1195" t="str">
        <f>F1147</f>
        <v>電車で旅行したんですか?</v>
      </c>
      <c r="G1195" t="str">
        <f t="shared" si="190"/>
        <v>a</v>
      </c>
      <c r="H1195" t="str">
        <f>VLOOKUP(D1195,name!A:C,3,1)</f>
        <v>assets/icons/image003.png</v>
      </c>
    </row>
    <row r="1196" spans="1:8" x14ac:dyDescent="0.15">
      <c r="A1196" t="str">
        <f t="shared" ref="A1196:B1196" si="201">A1195</f>
        <v>ドイツ語</v>
      </c>
      <c r="B1196">
        <f t="shared" si="201"/>
        <v>13</v>
      </c>
      <c r="C1196">
        <f t="shared" si="193"/>
        <v>75</v>
      </c>
      <c r="D1196">
        <f>D1148</f>
        <v>3</v>
      </c>
      <c r="E1196" t="str">
        <f>VLOOKUP(D1196,name!A:B,2,1)</f>
        <v>Schneider.</v>
      </c>
      <c r="F1196" t="str">
        <f>F1148</f>
        <v>Sind Sie mit der Bahn gefahren?</v>
      </c>
      <c r="G1196" t="str">
        <f t="shared" si="190"/>
        <v>a</v>
      </c>
      <c r="H1196" t="str">
        <f>VLOOKUP(D1196,name!A:C,3,1)</f>
        <v>assets/icons/image003.png</v>
      </c>
    </row>
    <row r="1197" spans="1:8" x14ac:dyDescent="0.15">
      <c r="A1197" t="str">
        <f t="shared" ref="A1197:B1197" si="202">A1196</f>
        <v>ドイツ語</v>
      </c>
      <c r="B1197">
        <f t="shared" si="202"/>
        <v>13</v>
      </c>
      <c r="C1197">
        <f t="shared" si="193"/>
        <v>76</v>
      </c>
      <c r="D1197">
        <v>0</v>
      </c>
      <c r="E1197" t="str">
        <f>VLOOKUP(D1197,name!A:B,2,1)</f>
        <v>Player</v>
      </c>
      <c r="F1197" t="str">
        <f>F1148</f>
        <v>Sind Sie mit der Bahn gefahren?</v>
      </c>
      <c r="G1197" t="str">
        <f t="shared" si="190"/>
        <v>q</v>
      </c>
      <c r="H1197" t="str">
        <f>VLOOKUP(D1197,name!A:C,3,1)</f>
        <v>assets/icons/image326.png</v>
      </c>
    </row>
    <row r="1198" spans="1:8" x14ac:dyDescent="0.15">
      <c r="A1198" t="str">
        <f t="shared" ref="A1198:B1198" si="203">A1197</f>
        <v>ドイツ語</v>
      </c>
      <c r="B1198">
        <f t="shared" si="203"/>
        <v>13</v>
      </c>
      <c r="C1198">
        <f t="shared" si="193"/>
        <v>77</v>
      </c>
      <c r="D1198">
        <f>D1149</f>
        <v>2</v>
      </c>
      <c r="E1198" t="str">
        <f>VLOOKUP(D1198,name!A:B,2,1)</f>
        <v>Tanaka</v>
      </c>
      <c r="F1198" t="str">
        <f>F1149</f>
        <v>いいえ、車で。</v>
      </c>
      <c r="G1198" t="str">
        <f t="shared" si="190"/>
        <v>a</v>
      </c>
      <c r="H1198" t="str">
        <f>VLOOKUP(D1198,name!A:C,3,1)</f>
        <v>assets/icons/image013.png</v>
      </c>
    </row>
    <row r="1199" spans="1:8" x14ac:dyDescent="0.15">
      <c r="A1199" t="str">
        <f t="shared" ref="A1199:B1199" si="204">A1198</f>
        <v>ドイツ語</v>
      </c>
      <c r="B1199">
        <f t="shared" si="204"/>
        <v>13</v>
      </c>
      <c r="C1199">
        <f t="shared" si="193"/>
        <v>78</v>
      </c>
      <c r="D1199">
        <f>D1150</f>
        <v>2</v>
      </c>
      <c r="E1199" t="str">
        <f>VLOOKUP(D1199,name!A:B,2,1)</f>
        <v>Tanaka</v>
      </c>
      <c r="F1199" t="str">
        <f>F1150</f>
        <v>Nein, mit dem Auto.</v>
      </c>
      <c r="G1199" t="str">
        <f t="shared" si="190"/>
        <v>a</v>
      </c>
      <c r="H1199" t="str">
        <f>VLOOKUP(D1199,name!A:C,3,1)</f>
        <v>assets/icons/image013.png</v>
      </c>
    </row>
    <row r="1200" spans="1:8" x14ac:dyDescent="0.15">
      <c r="A1200" t="str">
        <f t="shared" ref="A1200:B1200" si="205">A1199</f>
        <v>ドイツ語</v>
      </c>
      <c r="B1200">
        <f t="shared" si="205"/>
        <v>13</v>
      </c>
      <c r="C1200">
        <f t="shared" si="193"/>
        <v>79</v>
      </c>
      <c r="D1200">
        <v>0</v>
      </c>
      <c r="E1200" t="str">
        <f>VLOOKUP(D1200,name!A:B,2,1)</f>
        <v>Player</v>
      </c>
      <c r="F1200" t="str">
        <f>F1150</f>
        <v>Nein, mit dem Auto.</v>
      </c>
      <c r="G1200" t="str">
        <f t="shared" si="190"/>
        <v>q</v>
      </c>
      <c r="H1200" t="str">
        <f>VLOOKUP(D1200,name!A:C,3,1)</f>
        <v>assets/icons/image326.png</v>
      </c>
    </row>
    <row r="1201" spans="1:8" x14ac:dyDescent="0.15">
      <c r="A1201" t="str">
        <f t="shared" ref="A1201:B1201" si="206">A1200</f>
        <v>ドイツ語</v>
      </c>
      <c r="B1201">
        <f t="shared" si="206"/>
        <v>13</v>
      </c>
      <c r="C1201">
        <f t="shared" si="193"/>
        <v>80</v>
      </c>
      <c r="D1201">
        <f>D1151</f>
        <v>2</v>
      </c>
      <c r="E1201" t="str">
        <f>VLOOKUP(D1201,name!A:B,2,1)</f>
        <v>Tanaka</v>
      </c>
      <c r="F1201" t="str">
        <f>F1151</f>
        <v>私たちは3人でした。</v>
      </c>
      <c r="G1201" t="str">
        <f t="shared" si="190"/>
        <v>a</v>
      </c>
      <c r="H1201" t="str">
        <f>VLOOKUP(D1201,name!A:C,3,1)</f>
        <v>assets/icons/image013.png</v>
      </c>
    </row>
    <row r="1202" spans="1:8" x14ac:dyDescent="0.15">
      <c r="A1202" t="str">
        <f t="shared" ref="A1202:B1202" si="207">A1201</f>
        <v>ドイツ語</v>
      </c>
      <c r="B1202">
        <f t="shared" si="207"/>
        <v>13</v>
      </c>
      <c r="C1202">
        <f t="shared" si="193"/>
        <v>81</v>
      </c>
      <c r="D1202">
        <f>D1152</f>
        <v>2</v>
      </c>
      <c r="E1202" t="str">
        <f>VLOOKUP(D1202,name!A:B,2,1)</f>
        <v>Tanaka</v>
      </c>
      <c r="F1202" t="str">
        <f>F1152</f>
        <v>Wir sind zu dritt gefahren.</v>
      </c>
      <c r="G1202" t="str">
        <f t="shared" si="190"/>
        <v>a</v>
      </c>
      <c r="H1202" t="str">
        <f>VLOOKUP(D1202,name!A:C,3,1)</f>
        <v>assets/icons/image013.png</v>
      </c>
    </row>
    <row r="1203" spans="1:8" x14ac:dyDescent="0.15">
      <c r="A1203" t="str">
        <f t="shared" ref="A1203:B1203" si="208">A1202</f>
        <v>ドイツ語</v>
      </c>
      <c r="B1203">
        <f t="shared" si="208"/>
        <v>13</v>
      </c>
      <c r="C1203">
        <f t="shared" si="193"/>
        <v>82</v>
      </c>
      <c r="D1203">
        <v>0</v>
      </c>
      <c r="E1203" t="str">
        <f>VLOOKUP(D1203,name!A:B,2,1)</f>
        <v>Player</v>
      </c>
      <c r="F1203" t="str">
        <f>F1152</f>
        <v>Wir sind zu dritt gefahren.</v>
      </c>
      <c r="G1203" t="str">
        <f t="shared" si="190"/>
        <v>q</v>
      </c>
      <c r="H1203" t="str">
        <f>VLOOKUP(D1203,name!A:C,3,1)</f>
        <v>assets/icons/image326.png</v>
      </c>
    </row>
    <row r="1204" spans="1:8" x14ac:dyDescent="0.15">
      <c r="A1204" t="str">
        <f t="shared" ref="A1204:B1204" si="209">A1203</f>
        <v>ドイツ語</v>
      </c>
      <c r="B1204">
        <f t="shared" si="209"/>
        <v>13</v>
      </c>
      <c r="C1204">
        <f t="shared" si="193"/>
        <v>83</v>
      </c>
      <c r="D1204">
        <f>D1153</f>
        <v>2</v>
      </c>
      <c r="E1204" t="str">
        <f>VLOOKUP(D1204,name!A:B,2,1)</f>
        <v>Tanaka</v>
      </c>
      <c r="F1204" t="str">
        <f>F1153</f>
        <v>ウェーバーさん、彼女のボーイフレンドと私。</v>
      </c>
      <c r="G1204" t="str">
        <f t="shared" si="190"/>
        <v>a</v>
      </c>
      <c r="H1204" t="str">
        <f>VLOOKUP(D1204,name!A:C,3,1)</f>
        <v>assets/icons/image013.png</v>
      </c>
    </row>
    <row r="1205" spans="1:8" x14ac:dyDescent="0.15">
      <c r="A1205" t="str">
        <f t="shared" ref="A1205:B1205" si="210">A1204</f>
        <v>ドイツ語</v>
      </c>
      <c r="B1205">
        <f t="shared" si="210"/>
        <v>13</v>
      </c>
      <c r="C1205">
        <f t="shared" si="193"/>
        <v>84</v>
      </c>
      <c r="D1205">
        <f>D1154</f>
        <v>2</v>
      </c>
      <c r="E1205" t="str">
        <f>VLOOKUP(D1205,name!A:B,2,1)</f>
        <v>Tanaka</v>
      </c>
      <c r="F1205" t="str">
        <f>F1154</f>
        <v>Frau Weber, ihr Freund und ich.</v>
      </c>
      <c r="G1205" t="str">
        <f t="shared" si="190"/>
        <v>a</v>
      </c>
      <c r="H1205" t="str">
        <f>VLOOKUP(D1205,name!A:C,3,1)</f>
        <v>assets/icons/image013.png</v>
      </c>
    </row>
    <row r="1206" spans="1:8" x14ac:dyDescent="0.15">
      <c r="A1206" t="str">
        <f t="shared" ref="A1206:B1206" si="211">A1205</f>
        <v>ドイツ語</v>
      </c>
      <c r="B1206">
        <f t="shared" si="211"/>
        <v>13</v>
      </c>
      <c r="C1206">
        <f t="shared" si="193"/>
        <v>85</v>
      </c>
      <c r="D1206">
        <v>0</v>
      </c>
      <c r="E1206" t="str">
        <f>VLOOKUP(D1206,name!A:B,2,1)</f>
        <v>Player</v>
      </c>
      <c r="F1206" t="str">
        <f>F1154</f>
        <v>Frau Weber, ihr Freund und ich.</v>
      </c>
      <c r="G1206" t="str">
        <f t="shared" si="190"/>
        <v>q</v>
      </c>
      <c r="H1206" t="str">
        <f>VLOOKUP(D1206,name!A:C,3,1)</f>
        <v>assets/icons/image326.png</v>
      </c>
    </row>
    <row r="1207" spans="1:8" x14ac:dyDescent="0.15">
      <c r="A1207" t="str">
        <f t="shared" ref="A1207:B1207" si="212">A1206</f>
        <v>ドイツ語</v>
      </c>
      <c r="B1207">
        <f t="shared" si="212"/>
        <v>13</v>
      </c>
      <c r="C1207">
        <f t="shared" si="193"/>
        <v>86</v>
      </c>
      <c r="D1207">
        <f>D1155</f>
        <v>3</v>
      </c>
      <c r="E1207" t="str">
        <f>VLOOKUP(D1207,name!A:B,2,1)</f>
        <v>Schneider.</v>
      </c>
      <c r="F1207" t="str">
        <f>F1155</f>
        <v>それで、ザルツブルクは気に入りましたか?</v>
      </c>
      <c r="G1207" t="str">
        <f t="shared" si="190"/>
        <v>a</v>
      </c>
      <c r="H1207" t="str">
        <f>VLOOKUP(D1207,name!A:C,3,1)</f>
        <v>assets/icons/image003.png</v>
      </c>
    </row>
    <row r="1208" spans="1:8" x14ac:dyDescent="0.15">
      <c r="A1208" t="str">
        <f t="shared" ref="A1208:B1208" si="213">A1207</f>
        <v>ドイツ語</v>
      </c>
      <c r="B1208">
        <f t="shared" si="213"/>
        <v>13</v>
      </c>
      <c r="C1208">
        <f t="shared" si="193"/>
        <v>87</v>
      </c>
      <c r="D1208">
        <f>D1156</f>
        <v>3</v>
      </c>
      <c r="E1208" t="str">
        <f>VLOOKUP(D1208,name!A:B,2,1)</f>
        <v>Schneider.</v>
      </c>
      <c r="F1208" t="str">
        <f>F1156</f>
        <v>Und hat es Ihnen in Salzburg gefallen?</v>
      </c>
      <c r="G1208" t="str">
        <f t="shared" si="190"/>
        <v>a</v>
      </c>
      <c r="H1208" t="str">
        <f>VLOOKUP(D1208,name!A:C,3,1)</f>
        <v>assets/icons/image003.png</v>
      </c>
    </row>
    <row r="1209" spans="1:8" x14ac:dyDescent="0.15">
      <c r="A1209" t="str">
        <f t="shared" ref="A1209:B1209" si="214">A1208</f>
        <v>ドイツ語</v>
      </c>
      <c r="B1209">
        <f t="shared" si="214"/>
        <v>13</v>
      </c>
      <c r="C1209">
        <f t="shared" si="193"/>
        <v>88</v>
      </c>
      <c r="D1209">
        <v>0</v>
      </c>
      <c r="E1209" t="str">
        <f>VLOOKUP(D1209,name!A:B,2,1)</f>
        <v>Player</v>
      </c>
      <c r="F1209" t="str">
        <f>F1156</f>
        <v>Und hat es Ihnen in Salzburg gefallen?</v>
      </c>
      <c r="G1209" t="str">
        <f t="shared" si="190"/>
        <v>q</v>
      </c>
      <c r="H1209" t="str">
        <f>VLOOKUP(D1209,name!A:C,3,1)</f>
        <v>assets/icons/image326.png</v>
      </c>
    </row>
    <row r="1210" spans="1:8" x14ac:dyDescent="0.15">
      <c r="A1210" t="str">
        <f t="shared" ref="A1210:B1210" si="215">A1209</f>
        <v>ドイツ語</v>
      </c>
      <c r="B1210">
        <f t="shared" si="215"/>
        <v>13</v>
      </c>
      <c r="C1210">
        <f t="shared" si="193"/>
        <v>89</v>
      </c>
      <c r="D1210">
        <f>D1157</f>
        <v>2</v>
      </c>
      <c r="E1210" t="str">
        <f>VLOOKUP(D1210,name!A:B,2,1)</f>
        <v>Tanaka</v>
      </c>
      <c r="F1210" t="str">
        <f>F1157</f>
        <v>はい、とても。</v>
      </c>
      <c r="G1210" t="str">
        <f t="shared" si="190"/>
        <v>a</v>
      </c>
      <c r="H1210" t="str">
        <f>VLOOKUP(D1210,name!A:C,3,1)</f>
        <v>assets/icons/image013.png</v>
      </c>
    </row>
    <row r="1211" spans="1:8" x14ac:dyDescent="0.15">
      <c r="A1211" t="str">
        <f t="shared" ref="A1211:B1211" si="216">A1210</f>
        <v>ドイツ語</v>
      </c>
      <c r="B1211">
        <f t="shared" si="216"/>
        <v>13</v>
      </c>
      <c r="C1211">
        <f t="shared" si="193"/>
        <v>90</v>
      </c>
      <c r="D1211">
        <f>D1158</f>
        <v>2</v>
      </c>
      <c r="E1211" t="str">
        <f>VLOOKUP(D1211,name!A:B,2,1)</f>
        <v>Tanaka</v>
      </c>
      <c r="F1211" t="str">
        <f>F1158</f>
        <v>Ja, sehr.</v>
      </c>
      <c r="G1211" t="str">
        <f t="shared" si="190"/>
        <v>a</v>
      </c>
      <c r="H1211" t="str">
        <f>VLOOKUP(D1211,name!A:C,3,1)</f>
        <v>assets/icons/image013.png</v>
      </c>
    </row>
    <row r="1212" spans="1:8" x14ac:dyDescent="0.15">
      <c r="A1212" t="str">
        <f t="shared" ref="A1212:B1212" si="217">A1211</f>
        <v>ドイツ語</v>
      </c>
      <c r="B1212">
        <f t="shared" si="217"/>
        <v>13</v>
      </c>
      <c r="C1212">
        <f t="shared" si="193"/>
        <v>91</v>
      </c>
      <c r="D1212">
        <v>0</v>
      </c>
      <c r="E1212" t="str">
        <f>VLOOKUP(D1212,name!A:B,2,1)</f>
        <v>Player</v>
      </c>
      <c r="F1212" t="str">
        <f>F1158</f>
        <v>Ja, sehr.</v>
      </c>
      <c r="G1212" t="str">
        <f t="shared" si="190"/>
        <v>q</v>
      </c>
      <c r="H1212" t="str">
        <f>VLOOKUP(D1212,name!A:C,3,1)</f>
        <v>assets/icons/image326.png</v>
      </c>
    </row>
    <row r="1213" spans="1:8" x14ac:dyDescent="0.15">
      <c r="A1213" t="str">
        <f t="shared" ref="A1213:B1213" si="218">A1212</f>
        <v>ドイツ語</v>
      </c>
      <c r="B1213">
        <f t="shared" si="218"/>
        <v>13</v>
      </c>
      <c r="C1213">
        <f t="shared" si="193"/>
        <v>92</v>
      </c>
      <c r="D1213">
        <f>D1159</f>
        <v>2</v>
      </c>
      <c r="E1213" t="str">
        <f>VLOOKUP(D1213,name!A:B,2,1)</f>
        <v>Tanaka</v>
      </c>
      <c r="F1213" t="str">
        <f>F1159</f>
        <v>また行きたいです。</v>
      </c>
      <c r="G1213" t="str">
        <f t="shared" si="190"/>
        <v>a</v>
      </c>
      <c r="H1213" t="str">
        <f>VLOOKUP(D1213,name!A:C,3,1)</f>
        <v>assets/icons/image013.png</v>
      </c>
    </row>
    <row r="1214" spans="1:8" x14ac:dyDescent="0.15">
      <c r="A1214" t="str">
        <f t="shared" ref="A1214:B1214" si="219">A1213</f>
        <v>ドイツ語</v>
      </c>
      <c r="B1214">
        <f t="shared" si="219"/>
        <v>13</v>
      </c>
      <c r="C1214">
        <f t="shared" si="193"/>
        <v>93</v>
      </c>
      <c r="D1214">
        <f>D1160</f>
        <v>2</v>
      </c>
      <c r="E1214" t="str">
        <f>VLOOKUP(D1214,name!A:B,2,1)</f>
        <v>Tanaka</v>
      </c>
      <c r="F1214" t="str">
        <f>F1160</f>
        <v>Ich möchte wieder mal dorthin.</v>
      </c>
      <c r="G1214" t="str">
        <f t="shared" si="190"/>
        <v>a</v>
      </c>
      <c r="H1214" t="str">
        <f>VLOOKUP(D1214,name!A:C,3,1)</f>
        <v>assets/icons/image013.png</v>
      </c>
    </row>
    <row r="1215" spans="1:8" x14ac:dyDescent="0.15">
      <c r="A1215" t="str">
        <f t="shared" ref="A1215:B1216" si="220">A1214</f>
        <v>ドイツ語</v>
      </c>
      <c r="B1215">
        <f t="shared" si="220"/>
        <v>13</v>
      </c>
      <c r="C1215">
        <f t="shared" si="193"/>
        <v>94</v>
      </c>
      <c r="D1215">
        <v>0</v>
      </c>
      <c r="E1215" t="str">
        <f>VLOOKUP(D1215,name!A:B,2,1)</f>
        <v>Player</v>
      </c>
      <c r="F1215" t="str">
        <f>F1160</f>
        <v>Ich möchte wieder mal dorthin.</v>
      </c>
      <c r="G1215" t="str">
        <f t="shared" si="190"/>
        <v>q</v>
      </c>
      <c r="H1215" t="str">
        <f>VLOOKUP(D1215,name!A:C,3,1)</f>
        <v>assets/icons/image326.png</v>
      </c>
    </row>
    <row r="1216" spans="1:8" x14ac:dyDescent="0.15">
      <c r="A1216" t="str">
        <f t="shared" si="220"/>
        <v>ドイツ語</v>
      </c>
      <c r="B1216">
        <f t="shared" si="220"/>
        <v>13</v>
      </c>
      <c r="C1216">
        <f t="shared" si="193"/>
        <v>95</v>
      </c>
      <c r="D1216">
        <v>1</v>
      </c>
      <c r="E1216" t="str">
        <f>VLOOKUP(D1216,name!A:B,2,1)</f>
        <v>Navigator</v>
      </c>
      <c r="F1216" t="str">
        <f>"次の日本語を"&amp;A1216&amp;"に訳して答えてね！"</f>
        <v>次の日本語をドイツ語に訳して答えてね！</v>
      </c>
      <c r="G1216" t="str">
        <f t="shared" si="190"/>
        <v>a</v>
      </c>
      <c r="H1216" t="str">
        <f>VLOOKUP(D1216,name!A:C,3,1)</f>
        <v>assets/icons/image014.png</v>
      </c>
    </row>
    <row r="1217" spans="1:8" x14ac:dyDescent="0.15">
      <c r="A1217" t="str">
        <f t="shared" ref="A1217:B1217" si="221">A1215</f>
        <v>ドイツ語</v>
      </c>
      <c r="B1217">
        <f t="shared" si="221"/>
        <v>13</v>
      </c>
      <c r="C1217">
        <f t="shared" si="193"/>
        <v>96</v>
      </c>
      <c r="D1217">
        <f>D1125</f>
        <v>3</v>
      </c>
      <c r="E1217" t="str">
        <f>VLOOKUP(D1217,name!A:B,2,1)</f>
        <v>Schneider.</v>
      </c>
      <c r="F1217" t="str">
        <f t="shared" ref="F1217:F1252" si="222">F1125</f>
        <v>こんにちは、田中さん。</v>
      </c>
      <c r="G1217" t="str">
        <f t="shared" si="190"/>
        <v>a</v>
      </c>
      <c r="H1217" t="str">
        <f>VLOOKUP(D1217,name!A:C,3,1)</f>
        <v>assets/icons/image003.png</v>
      </c>
    </row>
    <row r="1218" spans="1:8" x14ac:dyDescent="0.15">
      <c r="A1218" t="str">
        <f t="shared" ref="A1218:B1218" si="223">A1217</f>
        <v>ドイツ語</v>
      </c>
      <c r="B1218">
        <f t="shared" si="223"/>
        <v>13</v>
      </c>
      <c r="C1218">
        <f t="shared" si="193"/>
        <v>97</v>
      </c>
      <c r="D1218">
        <v>0</v>
      </c>
      <c r="E1218" t="str">
        <f>VLOOKUP(D1218,name!A:B,2,1)</f>
        <v>Player</v>
      </c>
      <c r="F1218" t="str">
        <f t="shared" si="222"/>
        <v xml:space="preserve">Guten Tag, Herr Tanaka. </v>
      </c>
      <c r="G1218" t="str">
        <f t="shared" si="190"/>
        <v>q</v>
      </c>
      <c r="H1218" t="str">
        <f>VLOOKUP(D1218,name!A:C,3,1)</f>
        <v>assets/icons/image326.png</v>
      </c>
    </row>
    <row r="1219" spans="1:8" x14ac:dyDescent="0.15">
      <c r="A1219" t="str">
        <f t="shared" ref="A1219:B1219" si="224">A1218</f>
        <v>ドイツ語</v>
      </c>
      <c r="B1219">
        <f t="shared" si="224"/>
        <v>13</v>
      </c>
      <c r="C1219">
        <f t="shared" si="193"/>
        <v>98</v>
      </c>
      <c r="D1219">
        <f>D1127</f>
        <v>3</v>
      </c>
      <c r="E1219" t="str">
        <f>VLOOKUP(D1219,name!A:B,2,1)</f>
        <v>Schneider.</v>
      </c>
      <c r="F1219" t="str">
        <f t="shared" si="222"/>
        <v>お久しぶりです。</v>
      </c>
      <c r="G1219" t="str">
        <f t="shared" si="190"/>
        <v>a</v>
      </c>
      <c r="H1219" t="str">
        <f>VLOOKUP(D1219,name!A:C,3,1)</f>
        <v>assets/icons/image003.png</v>
      </c>
    </row>
    <row r="1220" spans="1:8" x14ac:dyDescent="0.15">
      <c r="A1220" t="str">
        <f t="shared" ref="A1220:B1220" si="225">A1219</f>
        <v>ドイツ語</v>
      </c>
      <c r="B1220">
        <f t="shared" si="225"/>
        <v>13</v>
      </c>
      <c r="C1220">
        <f t="shared" si="193"/>
        <v>99</v>
      </c>
      <c r="D1220">
        <v>0</v>
      </c>
      <c r="E1220" t="str">
        <f>VLOOKUP(D1220,name!A:B,2,1)</f>
        <v>Player</v>
      </c>
      <c r="F1220" t="str">
        <f t="shared" si="222"/>
        <v>Lange nicht gesehen.</v>
      </c>
      <c r="G1220" t="str">
        <f t="shared" si="190"/>
        <v>q</v>
      </c>
      <c r="H1220" t="str">
        <f>VLOOKUP(D1220,name!A:C,3,1)</f>
        <v>assets/icons/image326.png</v>
      </c>
    </row>
    <row r="1221" spans="1:8" x14ac:dyDescent="0.15">
      <c r="A1221" t="str">
        <f t="shared" ref="A1221:B1221" si="226">A1220</f>
        <v>ドイツ語</v>
      </c>
      <c r="B1221">
        <f t="shared" si="226"/>
        <v>13</v>
      </c>
      <c r="C1221">
        <f t="shared" si="193"/>
        <v>100</v>
      </c>
      <c r="D1221">
        <f>D1129</f>
        <v>3</v>
      </c>
      <c r="E1221" t="str">
        <f>VLOOKUP(D1221,name!A:B,2,1)</f>
        <v>Schneider.</v>
      </c>
      <c r="F1221" t="str">
        <f t="shared" si="222"/>
        <v>旅行していたんですか?</v>
      </c>
      <c r="G1221" t="str">
        <f t="shared" si="190"/>
        <v>a</v>
      </c>
      <c r="H1221" t="str">
        <f>VLOOKUP(D1221,name!A:C,3,1)</f>
        <v>assets/icons/image003.png</v>
      </c>
    </row>
    <row r="1222" spans="1:8" x14ac:dyDescent="0.15">
      <c r="A1222" t="str">
        <f t="shared" ref="A1222:B1222" si="227">A1221</f>
        <v>ドイツ語</v>
      </c>
      <c r="B1222">
        <f t="shared" si="227"/>
        <v>13</v>
      </c>
      <c r="C1222">
        <f t="shared" si="193"/>
        <v>101</v>
      </c>
      <c r="D1222">
        <v>0</v>
      </c>
      <c r="E1222" t="str">
        <f>VLOOKUP(D1222,name!A:B,2,1)</f>
        <v>Player</v>
      </c>
      <c r="F1222" t="str">
        <f t="shared" si="222"/>
        <v>Waren Sie verreist?</v>
      </c>
      <c r="G1222" t="str">
        <f t="shared" si="190"/>
        <v>q</v>
      </c>
      <c r="H1222" t="str">
        <f>VLOOKUP(D1222,name!A:C,3,1)</f>
        <v>assets/icons/image326.png</v>
      </c>
    </row>
    <row r="1223" spans="1:8" x14ac:dyDescent="0.15">
      <c r="A1223" t="str">
        <f t="shared" ref="A1223:B1223" si="228">A1222</f>
        <v>ドイツ語</v>
      </c>
      <c r="B1223">
        <f t="shared" si="228"/>
        <v>13</v>
      </c>
      <c r="C1223">
        <f t="shared" si="193"/>
        <v>102</v>
      </c>
      <c r="D1223">
        <f>D1131</f>
        <v>2</v>
      </c>
      <c r="E1223" t="str">
        <f>VLOOKUP(D1223,name!A:B,2,1)</f>
        <v>Tanaka</v>
      </c>
      <c r="F1223" t="str">
        <f t="shared" si="222"/>
        <v>はい。</v>
      </c>
      <c r="G1223" t="str">
        <f t="shared" si="190"/>
        <v>a</v>
      </c>
      <c r="H1223" t="str">
        <f>VLOOKUP(D1223,name!A:C,3,1)</f>
        <v>assets/icons/image013.png</v>
      </c>
    </row>
    <row r="1224" spans="1:8" x14ac:dyDescent="0.15">
      <c r="A1224" t="str">
        <f t="shared" ref="A1224:B1224" si="229">A1223</f>
        <v>ドイツ語</v>
      </c>
      <c r="B1224">
        <f t="shared" si="229"/>
        <v>13</v>
      </c>
      <c r="C1224">
        <f t="shared" si="193"/>
        <v>103</v>
      </c>
      <c r="D1224">
        <v>0</v>
      </c>
      <c r="E1224" t="str">
        <f>VLOOKUP(D1224,name!A:B,2,1)</f>
        <v>Player</v>
      </c>
      <c r="F1224" t="str">
        <f t="shared" si="222"/>
        <v>Ja.</v>
      </c>
      <c r="G1224" t="str">
        <f t="shared" si="190"/>
        <v>q</v>
      </c>
      <c r="H1224" t="str">
        <f>VLOOKUP(D1224,name!A:C,3,1)</f>
        <v>assets/icons/image326.png</v>
      </c>
    </row>
    <row r="1225" spans="1:8" x14ac:dyDescent="0.15">
      <c r="A1225" t="str">
        <f t="shared" ref="A1225:B1225" si="230">A1224</f>
        <v>ドイツ語</v>
      </c>
      <c r="B1225">
        <f t="shared" si="230"/>
        <v>13</v>
      </c>
      <c r="C1225">
        <f t="shared" si="193"/>
        <v>104</v>
      </c>
      <c r="D1225">
        <f>D1133</f>
        <v>2</v>
      </c>
      <c r="E1225" t="str">
        <f>VLOOKUP(D1225,name!A:B,2,1)</f>
        <v>Tanaka</v>
      </c>
      <c r="F1225" t="str">
        <f t="shared" si="222"/>
        <v>ザルツブルクで一週間過ごしました。</v>
      </c>
      <c r="G1225" t="str">
        <f t="shared" si="190"/>
        <v>a</v>
      </c>
      <c r="H1225" t="str">
        <f>VLOOKUP(D1225,name!A:C,3,1)</f>
        <v>assets/icons/image013.png</v>
      </c>
    </row>
    <row r="1226" spans="1:8" x14ac:dyDescent="0.15">
      <c r="A1226" t="str">
        <f t="shared" ref="A1226:B1226" si="231">A1225</f>
        <v>ドイツ語</v>
      </c>
      <c r="B1226">
        <f t="shared" si="231"/>
        <v>13</v>
      </c>
      <c r="C1226">
        <f t="shared" si="193"/>
        <v>105</v>
      </c>
      <c r="D1226">
        <v>0</v>
      </c>
      <c r="E1226" t="str">
        <f>VLOOKUP(D1226,name!A:B,2,1)</f>
        <v>Player</v>
      </c>
      <c r="F1226" t="str">
        <f t="shared" si="222"/>
        <v xml:space="preserve"> Ich war eine Woche in Salzburg.</v>
      </c>
      <c r="G1226" t="str">
        <f t="shared" si="190"/>
        <v>q</v>
      </c>
      <c r="H1226" t="str">
        <f>VLOOKUP(D1226,name!A:C,3,1)</f>
        <v>assets/icons/image326.png</v>
      </c>
    </row>
    <row r="1227" spans="1:8" x14ac:dyDescent="0.15">
      <c r="A1227" t="str">
        <f t="shared" ref="A1227:B1227" si="232">A1226</f>
        <v>ドイツ語</v>
      </c>
      <c r="B1227">
        <f t="shared" si="232"/>
        <v>13</v>
      </c>
      <c r="C1227">
        <f t="shared" si="193"/>
        <v>106</v>
      </c>
      <c r="D1227">
        <f>D1135</f>
        <v>3</v>
      </c>
      <c r="E1227" t="str">
        <f>VLOOKUP(D1227,name!A:B,2,1)</f>
        <v>Schneider.</v>
      </c>
      <c r="F1227" t="str">
        <f t="shared" si="222"/>
        <v>それはいいですね。</v>
      </c>
      <c r="G1227" t="str">
        <f t="shared" si="190"/>
        <v>a</v>
      </c>
      <c r="H1227" t="str">
        <f>VLOOKUP(D1227,name!A:C,3,1)</f>
        <v>assets/icons/image003.png</v>
      </c>
    </row>
    <row r="1228" spans="1:8" x14ac:dyDescent="0.15">
      <c r="A1228" t="str">
        <f t="shared" ref="A1228:B1228" si="233">A1227</f>
        <v>ドイツ語</v>
      </c>
      <c r="B1228">
        <f t="shared" si="233"/>
        <v>13</v>
      </c>
      <c r="C1228">
        <f t="shared" si="193"/>
        <v>107</v>
      </c>
      <c r="D1228">
        <v>0</v>
      </c>
      <c r="E1228" t="str">
        <f>VLOOKUP(D1228,name!A:B,2,1)</f>
        <v>Player</v>
      </c>
      <c r="F1228" t="str">
        <f t="shared" si="222"/>
        <v>Das klingt schön.</v>
      </c>
      <c r="G1228" t="str">
        <f t="shared" si="190"/>
        <v>q</v>
      </c>
      <c r="H1228" t="str">
        <f>VLOOKUP(D1228,name!A:C,3,1)</f>
        <v>assets/icons/image326.png</v>
      </c>
    </row>
    <row r="1229" spans="1:8" x14ac:dyDescent="0.15">
      <c r="A1229" t="str">
        <f t="shared" ref="A1229:B1229" si="234">A1228</f>
        <v>ドイツ語</v>
      </c>
      <c r="B1229">
        <f t="shared" si="234"/>
        <v>13</v>
      </c>
      <c r="C1229">
        <f t="shared" si="193"/>
        <v>108</v>
      </c>
      <c r="D1229">
        <f>D1137</f>
        <v>3</v>
      </c>
      <c r="E1229" t="str">
        <f>VLOOKUP(D1229,name!A:B,2,1)</f>
        <v>Schneider.</v>
      </c>
      <c r="F1229" t="str">
        <f t="shared" si="222"/>
        <v>そこで何をしていましたか?</v>
      </c>
      <c r="G1229" t="str">
        <f t="shared" si="190"/>
        <v>a</v>
      </c>
      <c r="H1229" t="str">
        <f>VLOOKUP(D1229,name!A:C,3,1)</f>
        <v>assets/icons/image003.png</v>
      </c>
    </row>
    <row r="1230" spans="1:8" x14ac:dyDescent="0.15">
      <c r="A1230" t="str">
        <f t="shared" ref="A1230:B1230" si="235">A1229</f>
        <v>ドイツ語</v>
      </c>
      <c r="B1230">
        <f t="shared" si="235"/>
        <v>13</v>
      </c>
      <c r="C1230">
        <f t="shared" si="193"/>
        <v>109</v>
      </c>
      <c r="D1230">
        <v>0</v>
      </c>
      <c r="E1230" t="str">
        <f>VLOOKUP(D1230,name!A:B,2,1)</f>
        <v>Player</v>
      </c>
      <c r="F1230" t="str">
        <f t="shared" si="222"/>
        <v>Was haben Sie dort gemacht?</v>
      </c>
      <c r="G1230" t="str">
        <f t="shared" si="190"/>
        <v>q</v>
      </c>
      <c r="H1230" t="str">
        <f>VLOOKUP(D1230,name!A:C,3,1)</f>
        <v>assets/icons/image326.png</v>
      </c>
    </row>
    <row r="1231" spans="1:8" x14ac:dyDescent="0.15">
      <c r="A1231" t="str">
        <f t="shared" ref="A1231:B1231" si="236">A1230</f>
        <v>ドイツ語</v>
      </c>
      <c r="B1231">
        <f t="shared" si="236"/>
        <v>13</v>
      </c>
      <c r="C1231">
        <f t="shared" si="193"/>
        <v>110</v>
      </c>
      <c r="D1231">
        <f>D1139</f>
        <v>2</v>
      </c>
      <c r="E1231" t="str">
        <f>VLOOKUP(D1231,name!A:B,2,1)</f>
        <v>Tanaka</v>
      </c>
      <c r="F1231" t="str">
        <f t="shared" si="222"/>
        <v>私は弟を訪ねていました。</v>
      </c>
      <c r="G1231" t="str">
        <f t="shared" si="190"/>
        <v>a</v>
      </c>
      <c r="H1231" t="str">
        <f>VLOOKUP(D1231,name!A:C,3,1)</f>
        <v>assets/icons/image013.png</v>
      </c>
    </row>
    <row r="1232" spans="1:8" x14ac:dyDescent="0.15">
      <c r="A1232" t="str">
        <f t="shared" ref="A1232:B1232" si="237">A1231</f>
        <v>ドイツ語</v>
      </c>
      <c r="B1232">
        <f t="shared" si="237"/>
        <v>13</v>
      </c>
      <c r="C1232">
        <f t="shared" si="193"/>
        <v>111</v>
      </c>
      <c r="D1232">
        <v>0</v>
      </c>
      <c r="E1232" t="str">
        <f>VLOOKUP(D1232,name!A:B,2,1)</f>
        <v>Player</v>
      </c>
      <c r="F1232" t="str">
        <f t="shared" si="222"/>
        <v>Ich habe meinen Bruder besucht.</v>
      </c>
      <c r="G1232" t="str">
        <f t="shared" si="190"/>
        <v>q</v>
      </c>
      <c r="H1232" t="str">
        <f>VLOOKUP(D1232,name!A:C,3,1)</f>
        <v>assets/icons/image326.png</v>
      </c>
    </row>
    <row r="1233" spans="1:8" x14ac:dyDescent="0.15">
      <c r="A1233" t="str">
        <f t="shared" ref="A1233:B1233" si="238">A1232</f>
        <v>ドイツ語</v>
      </c>
      <c r="B1233">
        <f t="shared" si="238"/>
        <v>13</v>
      </c>
      <c r="C1233">
        <f t="shared" si="193"/>
        <v>112</v>
      </c>
      <c r="D1233">
        <f>D1141</f>
        <v>2</v>
      </c>
      <c r="E1233" t="str">
        <f>VLOOKUP(D1233,name!A:B,2,1)</f>
        <v>Tanaka</v>
      </c>
      <c r="F1233" t="str">
        <f t="shared" si="222"/>
        <v>彼はパティシエで、そこに店を持っています。</v>
      </c>
      <c r="G1233" t="str">
        <f t="shared" si="190"/>
        <v>a</v>
      </c>
      <c r="H1233" t="str">
        <f>VLOOKUP(D1233,name!A:C,3,1)</f>
        <v>assets/icons/image013.png</v>
      </c>
    </row>
    <row r="1234" spans="1:8" x14ac:dyDescent="0.15">
      <c r="A1234" t="str">
        <f t="shared" ref="A1234:B1234" si="239">A1233</f>
        <v>ドイツ語</v>
      </c>
      <c r="B1234">
        <f t="shared" si="239"/>
        <v>13</v>
      </c>
      <c r="C1234">
        <f t="shared" si="193"/>
        <v>113</v>
      </c>
      <c r="D1234">
        <v>0</v>
      </c>
      <c r="E1234" t="str">
        <f>VLOOKUP(D1234,name!A:B,2,1)</f>
        <v>Player</v>
      </c>
      <c r="F1234" t="str">
        <f t="shared" si="222"/>
        <v>Er ist Patissier und hat ein Geschäft dort.</v>
      </c>
      <c r="G1234" t="str">
        <f t="shared" si="190"/>
        <v>q</v>
      </c>
      <c r="H1234" t="str">
        <f>VLOOKUP(D1234,name!A:C,3,1)</f>
        <v>assets/icons/image326.png</v>
      </c>
    </row>
    <row r="1235" spans="1:8" x14ac:dyDescent="0.15">
      <c r="A1235" t="str">
        <f t="shared" ref="A1235:B1235" si="240">A1234</f>
        <v>ドイツ語</v>
      </c>
      <c r="B1235">
        <f t="shared" si="240"/>
        <v>13</v>
      </c>
      <c r="C1235">
        <f t="shared" si="193"/>
        <v>114</v>
      </c>
      <c r="D1235">
        <f>D1143</f>
        <v>3</v>
      </c>
      <c r="E1235" t="str">
        <f>VLOOKUP(D1235,name!A:B,2,1)</f>
        <v>Schneider.</v>
      </c>
      <c r="F1235" t="str">
        <f t="shared" si="222"/>
        <v>あ、そうですね。</v>
      </c>
      <c r="G1235" t="str">
        <f t="shared" si="190"/>
        <v>a</v>
      </c>
      <c r="H1235" t="str">
        <f>VLOOKUP(D1235,name!A:C,3,1)</f>
        <v>assets/icons/image003.png</v>
      </c>
    </row>
    <row r="1236" spans="1:8" x14ac:dyDescent="0.15">
      <c r="A1236" t="str">
        <f t="shared" ref="A1236:B1236" si="241">A1235</f>
        <v>ドイツ語</v>
      </c>
      <c r="B1236">
        <f t="shared" si="241"/>
        <v>13</v>
      </c>
      <c r="C1236">
        <f t="shared" si="193"/>
        <v>115</v>
      </c>
      <c r="D1236">
        <v>0</v>
      </c>
      <c r="E1236" t="str">
        <f>VLOOKUP(D1236,name!A:B,2,1)</f>
        <v>Player</v>
      </c>
      <c r="F1236" t="str">
        <f t="shared" si="222"/>
        <v>Ach, stimmt.</v>
      </c>
      <c r="G1236" t="str">
        <f t="shared" si="190"/>
        <v>q</v>
      </c>
      <c r="H1236" t="str">
        <f>VLOOKUP(D1236,name!A:C,3,1)</f>
        <v>assets/icons/image326.png</v>
      </c>
    </row>
    <row r="1237" spans="1:8" x14ac:dyDescent="0.15">
      <c r="A1237" t="str">
        <f t="shared" ref="A1237:B1237" si="242">A1236</f>
        <v>ドイツ語</v>
      </c>
      <c r="B1237">
        <f t="shared" si="242"/>
        <v>13</v>
      </c>
      <c r="C1237">
        <f t="shared" si="193"/>
        <v>116</v>
      </c>
      <c r="D1237">
        <f>D1145</f>
        <v>3</v>
      </c>
      <c r="E1237" t="str">
        <f>VLOOKUP(D1237,name!A:B,2,1)</f>
        <v>Schneider.</v>
      </c>
      <c r="F1237" t="str">
        <f t="shared" si="222"/>
        <v>前にそう言ってました。</v>
      </c>
      <c r="G1237" t="str">
        <f t="shared" si="190"/>
        <v>a</v>
      </c>
      <c r="H1237" t="str">
        <f>VLOOKUP(D1237,name!A:C,3,1)</f>
        <v>assets/icons/image003.png</v>
      </c>
    </row>
    <row r="1238" spans="1:8" x14ac:dyDescent="0.15">
      <c r="A1238" t="str">
        <f t="shared" ref="A1238:B1238" si="243">A1237</f>
        <v>ドイツ語</v>
      </c>
      <c r="B1238">
        <f t="shared" si="243"/>
        <v>13</v>
      </c>
      <c r="C1238">
        <f t="shared" si="193"/>
        <v>117</v>
      </c>
      <c r="D1238">
        <v>0</v>
      </c>
      <c r="E1238" t="str">
        <f>VLOOKUP(D1238,name!A:B,2,1)</f>
        <v>Player</v>
      </c>
      <c r="F1238" t="str">
        <f t="shared" si="222"/>
        <v>Das haben Sie mir mal erzählt.</v>
      </c>
      <c r="G1238" t="str">
        <f t="shared" si="190"/>
        <v>q</v>
      </c>
      <c r="H1238" t="str">
        <f>VLOOKUP(D1238,name!A:C,3,1)</f>
        <v>assets/icons/image326.png</v>
      </c>
    </row>
    <row r="1239" spans="1:8" x14ac:dyDescent="0.15">
      <c r="A1239" t="str">
        <f t="shared" ref="A1239:B1239" si="244">A1238</f>
        <v>ドイツ語</v>
      </c>
      <c r="B1239">
        <f t="shared" si="244"/>
        <v>13</v>
      </c>
      <c r="C1239">
        <f t="shared" si="193"/>
        <v>118</v>
      </c>
      <c r="D1239">
        <f>D1147</f>
        <v>3</v>
      </c>
      <c r="E1239" t="str">
        <f>VLOOKUP(D1239,name!A:B,2,1)</f>
        <v>Schneider.</v>
      </c>
      <c r="F1239" t="str">
        <f t="shared" si="222"/>
        <v>電車で旅行したんですか?</v>
      </c>
      <c r="G1239" t="str">
        <f t="shared" si="190"/>
        <v>a</v>
      </c>
      <c r="H1239" t="str">
        <f>VLOOKUP(D1239,name!A:C,3,1)</f>
        <v>assets/icons/image003.png</v>
      </c>
    </row>
    <row r="1240" spans="1:8" x14ac:dyDescent="0.15">
      <c r="A1240" t="str">
        <f t="shared" ref="A1240:B1240" si="245">A1239</f>
        <v>ドイツ語</v>
      </c>
      <c r="B1240">
        <f t="shared" si="245"/>
        <v>13</v>
      </c>
      <c r="C1240">
        <f t="shared" si="193"/>
        <v>119</v>
      </c>
      <c r="D1240">
        <v>0</v>
      </c>
      <c r="E1240" t="str">
        <f>VLOOKUP(D1240,name!A:B,2,1)</f>
        <v>Player</v>
      </c>
      <c r="F1240" t="str">
        <f t="shared" si="222"/>
        <v>Sind Sie mit der Bahn gefahren?</v>
      </c>
      <c r="G1240" t="str">
        <f t="shared" si="190"/>
        <v>q</v>
      </c>
      <c r="H1240" t="str">
        <f>VLOOKUP(D1240,name!A:C,3,1)</f>
        <v>assets/icons/image326.png</v>
      </c>
    </row>
    <row r="1241" spans="1:8" x14ac:dyDescent="0.15">
      <c r="A1241" t="str">
        <f t="shared" ref="A1241:B1241" si="246">A1240</f>
        <v>ドイツ語</v>
      </c>
      <c r="B1241">
        <f t="shared" si="246"/>
        <v>13</v>
      </c>
      <c r="C1241">
        <f t="shared" si="193"/>
        <v>120</v>
      </c>
      <c r="D1241">
        <f>D1149</f>
        <v>2</v>
      </c>
      <c r="E1241" t="str">
        <f>VLOOKUP(D1241,name!A:B,2,1)</f>
        <v>Tanaka</v>
      </c>
      <c r="F1241" t="str">
        <f t="shared" si="222"/>
        <v>いいえ、車で。</v>
      </c>
      <c r="G1241" t="str">
        <f t="shared" si="190"/>
        <v>a</v>
      </c>
      <c r="H1241" t="str">
        <f>VLOOKUP(D1241,name!A:C,3,1)</f>
        <v>assets/icons/image013.png</v>
      </c>
    </row>
    <row r="1242" spans="1:8" x14ac:dyDescent="0.15">
      <c r="A1242" t="str">
        <f t="shared" ref="A1242:B1242" si="247">A1241</f>
        <v>ドイツ語</v>
      </c>
      <c r="B1242">
        <f t="shared" si="247"/>
        <v>13</v>
      </c>
      <c r="C1242">
        <f t="shared" si="193"/>
        <v>121</v>
      </c>
      <c r="D1242">
        <v>0</v>
      </c>
      <c r="E1242" t="str">
        <f>VLOOKUP(D1242,name!A:B,2,1)</f>
        <v>Player</v>
      </c>
      <c r="F1242" t="str">
        <f t="shared" si="222"/>
        <v>Nein, mit dem Auto.</v>
      </c>
      <c r="G1242" t="str">
        <f t="shared" si="190"/>
        <v>q</v>
      </c>
      <c r="H1242" t="str">
        <f>VLOOKUP(D1242,name!A:C,3,1)</f>
        <v>assets/icons/image326.png</v>
      </c>
    </row>
    <row r="1243" spans="1:8" x14ac:dyDescent="0.15">
      <c r="A1243" t="str">
        <f t="shared" ref="A1243:B1243" si="248">A1242</f>
        <v>ドイツ語</v>
      </c>
      <c r="B1243">
        <f t="shared" si="248"/>
        <v>13</v>
      </c>
      <c r="C1243">
        <f t="shared" si="193"/>
        <v>122</v>
      </c>
      <c r="D1243">
        <f>D1151</f>
        <v>2</v>
      </c>
      <c r="E1243" t="str">
        <f>VLOOKUP(D1243,name!A:B,2,1)</f>
        <v>Tanaka</v>
      </c>
      <c r="F1243" t="str">
        <f t="shared" si="222"/>
        <v>私たちは3人でした。</v>
      </c>
      <c r="G1243" t="str">
        <f t="shared" si="190"/>
        <v>a</v>
      </c>
      <c r="H1243" t="str">
        <f>VLOOKUP(D1243,name!A:C,3,1)</f>
        <v>assets/icons/image013.png</v>
      </c>
    </row>
    <row r="1244" spans="1:8" x14ac:dyDescent="0.15">
      <c r="A1244" t="str">
        <f t="shared" ref="A1244:B1244" si="249">A1243</f>
        <v>ドイツ語</v>
      </c>
      <c r="B1244">
        <f t="shared" si="249"/>
        <v>13</v>
      </c>
      <c r="C1244">
        <f t="shared" si="193"/>
        <v>123</v>
      </c>
      <c r="D1244">
        <v>0</v>
      </c>
      <c r="E1244" t="str">
        <f>VLOOKUP(D1244,name!A:B,2,1)</f>
        <v>Player</v>
      </c>
      <c r="F1244" t="str">
        <f t="shared" si="222"/>
        <v>Wir sind zu dritt gefahren.</v>
      </c>
      <c r="G1244" t="str">
        <f t="shared" si="190"/>
        <v>q</v>
      </c>
      <c r="H1244" t="str">
        <f>VLOOKUP(D1244,name!A:C,3,1)</f>
        <v>assets/icons/image326.png</v>
      </c>
    </row>
    <row r="1245" spans="1:8" x14ac:dyDescent="0.15">
      <c r="A1245" t="str">
        <f t="shared" ref="A1245:B1245" si="250">A1244</f>
        <v>ドイツ語</v>
      </c>
      <c r="B1245">
        <f t="shared" si="250"/>
        <v>13</v>
      </c>
      <c r="C1245">
        <f t="shared" si="193"/>
        <v>124</v>
      </c>
      <c r="D1245">
        <f>D1153</f>
        <v>2</v>
      </c>
      <c r="E1245" t="str">
        <f>VLOOKUP(D1245,name!A:B,2,1)</f>
        <v>Tanaka</v>
      </c>
      <c r="F1245" t="str">
        <f t="shared" si="222"/>
        <v>ウェーバーさん、彼女のボーイフレンドと私。</v>
      </c>
      <c r="G1245" t="str">
        <f t="shared" si="190"/>
        <v>a</v>
      </c>
      <c r="H1245" t="str">
        <f>VLOOKUP(D1245,name!A:C,3,1)</f>
        <v>assets/icons/image013.png</v>
      </c>
    </row>
    <row r="1246" spans="1:8" x14ac:dyDescent="0.15">
      <c r="A1246" t="str">
        <f t="shared" ref="A1246:B1246" si="251">A1245</f>
        <v>ドイツ語</v>
      </c>
      <c r="B1246">
        <f t="shared" si="251"/>
        <v>13</v>
      </c>
      <c r="C1246">
        <f t="shared" si="193"/>
        <v>125</v>
      </c>
      <c r="D1246">
        <v>0</v>
      </c>
      <c r="E1246" t="str">
        <f>VLOOKUP(D1246,name!A:B,2,1)</f>
        <v>Player</v>
      </c>
      <c r="F1246" t="str">
        <f t="shared" si="222"/>
        <v>Frau Weber, ihr Freund und ich.</v>
      </c>
      <c r="G1246" t="str">
        <f t="shared" si="190"/>
        <v>q</v>
      </c>
      <c r="H1246" t="str">
        <f>VLOOKUP(D1246,name!A:C,3,1)</f>
        <v>assets/icons/image326.png</v>
      </c>
    </row>
    <row r="1247" spans="1:8" x14ac:dyDescent="0.15">
      <c r="A1247" t="str">
        <f t="shared" ref="A1247:B1247" si="252">A1246</f>
        <v>ドイツ語</v>
      </c>
      <c r="B1247">
        <f t="shared" si="252"/>
        <v>13</v>
      </c>
      <c r="C1247">
        <f t="shared" si="193"/>
        <v>126</v>
      </c>
      <c r="D1247">
        <f>D1155</f>
        <v>3</v>
      </c>
      <c r="E1247" t="str">
        <f>VLOOKUP(D1247,name!A:B,2,1)</f>
        <v>Schneider.</v>
      </c>
      <c r="F1247" t="str">
        <f t="shared" si="222"/>
        <v>それで、ザルツブルクは気に入りましたか?</v>
      </c>
      <c r="G1247" t="str">
        <f t="shared" si="190"/>
        <v>a</v>
      </c>
      <c r="H1247" t="str">
        <f>VLOOKUP(D1247,name!A:C,3,1)</f>
        <v>assets/icons/image003.png</v>
      </c>
    </row>
    <row r="1248" spans="1:8" x14ac:dyDescent="0.15">
      <c r="A1248" t="str">
        <f t="shared" ref="A1248:B1248" si="253">A1247</f>
        <v>ドイツ語</v>
      </c>
      <c r="B1248">
        <f t="shared" si="253"/>
        <v>13</v>
      </c>
      <c r="C1248">
        <f t="shared" si="193"/>
        <v>127</v>
      </c>
      <c r="D1248">
        <v>0</v>
      </c>
      <c r="E1248" t="str">
        <f>VLOOKUP(D1248,name!A:B,2,1)</f>
        <v>Player</v>
      </c>
      <c r="F1248" t="str">
        <f t="shared" si="222"/>
        <v>Und hat es Ihnen in Salzburg gefallen?</v>
      </c>
      <c r="G1248" t="str">
        <f t="shared" si="190"/>
        <v>q</v>
      </c>
      <c r="H1248" t="str">
        <f>VLOOKUP(D1248,name!A:C,3,1)</f>
        <v>assets/icons/image326.png</v>
      </c>
    </row>
    <row r="1249" spans="1:12" x14ac:dyDescent="0.15">
      <c r="A1249" t="str">
        <f t="shared" ref="A1249:B1249" si="254">A1248</f>
        <v>ドイツ語</v>
      </c>
      <c r="B1249">
        <f t="shared" si="254"/>
        <v>13</v>
      </c>
      <c r="C1249">
        <f t="shared" si="193"/>
        <v>128</v>
      </c>
      <c r="D1249">
        <f>D1157</f>
        <v>2</v>
      </c>
      <c r="E1249" t="str">
        <f>VLOOKUP(D1249,name!A:B,2,1)</f>
        <v>Tanaka</v>
      </c>
      <c r="F1249" t="str">
        <f t="shared" si="222"/>
        <v>はい、とても。</v>
      </c>
      <c r="G1249" t="str">
        <f t="shared" si="190"/>
        <v>a</v>
      </c>
      <c r="H1249" t="str">
        <f>VLOOKUP(D1249,name!A:C,3,1)</f>
        <v>assets/icons/image013.png</v>
      </c>
    </row>
    <row r="1250" spans="1:12" x14ac:dyDescent="0.15">
      <c r="A1250" t="str">
        <f t="shared" ref="A1250:B1250" si="255">A1249</f>
        <v>ドイツ語</v>
      </c>
      <c r="B1250">
        <f t="shared" si="255"/>
        <v>13</v>
      </c>
      <c r="C1250">
        <f t="shared" si="193"/>
        <v>129</v>
      </c>
      <c r="D1250">
        <v>0</v>
      </c>
      <c r="E1250" t="str">
        <f>VLOOKUP(D1250,name!A:B,2,1)</f>
        <v>Player</v>
      </c>
      <c r="F1250" t="str">
        <f t="shared" si="222"/>
        <v>Ja, sehr.</v>
      </c>
      <c r="G1250" t="str">
        <f t="shared" ref="G1250:G1313" si="256">IF(B1250&lt;&gt;B1251,"e",IF(D1250=0,"q","a"))</f>
        <v>q</v>
      </c>
      <c r="H1250" t="str">
        <f>VLOOKUP(D1250,name!A:C,3,1)</f>
        <v>assets/icons/image326.png</v>
      </c>
    </row>
    <row r="1251" spans="1:12" x14ac:dyDescent="0.15">
      <c r="A1251" t="str">
        <f t="shared" ref="A1251:B1251" si="257">A1250</f>
        <v>ドイツ語</v>
      </c>
      <c r="B1251">
        <f t="shared" si="257"/>
        <v>13</v>
      </c>
      <c r="C1251">
        <f t="shared" si="193"/>
        <v>130</v>
      </c>
      <c r="D1251">
        <f>D1159</f>
        <v>2</v>
      </c>
      <c r="E1251" t="str">
        <f>VLOOKUP(D1251,name!A:B,2,1)</f>
        <v>Tanaka</v>
      </c>
      <c r="F1251" t="str">
        <f t="shared" si="222"/>
        <v>また行きたいです。</v>
      </c>
      <c r="G1251" t="str">
        <f t="shared" si="256"/>
        <v>a</v>
      </c>
      <c r="H1251" t="str">
        <f>VLOOKUP(D1251,name!A:C,3,1)</f>
        <v>assets/icons/image013.png</v>
      </c>
    </row>
    <row r="1252" spans="1:12" x14ac:dyDescent="0.15">
      <c r="A1252" t="str">
        <f t="shared" ref="A1252:B1252" si="258">A1251</f>
        <v>ドイツ語</v>
      </c>
      <c r="B1252">
        <f t="shared" si="258"/>
        <v>13</v>
      </c>
      <c r="C1252">
        <f t="shared" si="193"/>
        <v>131</v>
      </c>
      <c r="D1252">
        <v>0</v>
      </c>
      <c r="E1252" t="str">
        <f>VLOOKUP(D1252,name!A:B,2,1)</f>
        <v>Player</v>
      </c>
      <c r="F1252" t="str">
        <f t="shared" si="222"/>
        <v>Ich möchte wieder mal dorthin.</v>
      </c>
      <c r="G1252" t="str">
        <f t="shared" si="256"/>
        <v>q</v>
      </c>
      <c r="H1252" t="str">
        <f>VLOOKUP(D1252,name!A:C,3,1)</f>
        <v>assets/icons/image326.png</v>
      </c>
    </row>
    <row r="1253" spans="1:12" x14ac:dyDescent="0.15">
      <c r="A1253" t="str">
        <f t="shared" ref="A1253:B1253" si="259">A1252</f>
        <v>ドイツ語</v>
      </c>
      <c r="B1253">
        <f t="shared" si="259"/>
        <v>13</v>
      </c>
      <c r="C1253">
        <f t="shared" ref="C1253" si="260">C1252+1</f>
        <v>132</v>
      </c>
      <c r="D1253">
        <v>1</v>
      </c>
      <c r="E1253" t="str">
        <f>VLOOKUP(D1253,name!A:B,2,1)</f>
        <v>Navigator</v>
      </c>
      <c r="F1253" t="str">
        <f>"とても良くできました。レッスン"&amp;B1253&amp;"はこれで終了です。"</f>
        <v>とても良くできました。レッスン13はこれで終了です。</v>
      </c>
      <c r="G1253" t="str">
        <f t="shared" si="256"/>
        <v>e</v>
      </c>
      <c r="H1253" t="str">
        <f>VLOOKUP(D1253,name!A:C,3,1)</f>
        <v>assets/icons/image014.png</v>
      </c>
    </row>
    <row r="1254" spans="1:12" x14ac:dyDescent="0.15">
      <c r="A1254" t="str">
        <f>A1253</f>
        <v>ドイツ語</v>
      </c>
      <c r="B1254">
        <f>B1253+1</f>
        <v>14</v>
      </c>
      <c r="C1254">
        <v>1</v>
      </c>
      <c r="D1254">
        <v>1</v>
      </c>
      <c r="E1254" t="str">
        <f>VLOOKUP(D1254,name!A:B,2,1)</f>
        <v>Navigator</v>
      </c>
      <c r="F1254" t="s">
        <v>454</v>
      </c>
      <c r="G1254" t="str">
        <f t="shared" si="256"/>
        <v>a</v>
      </c>
      <c r="H1254" t="str">
        <f>VLOOKUP(D1254,name!A:C,3,1)</f>
        <v>assets/icons/image014.png</v>
      </c>
    </row>
    <row r="1255" spans="1:12" x14ac:dyDescent="0.15">
      <c r="A1255" t="str">
        <f t="shared" ref="A1255:B1270" si="261">A1254</f>
        <v>ドイツ語</v>
      </c>
      <c r="B1255">
        <f>B1254</f>
        <v>14</v>
      </c>
      <c r="C1255">
        <f>C1254+1</f>
        <v>2</v>
      </c>
      <c r="D1255">
        <v>1</v>
      </c>
      <c r="E1255" t="str">
        <f>VLOOKUP(D1255,name!A:B,2,1)</f>
        <v>Navigator</v>
      </c>
      <c r="F1255" t="str">
        <f>"レッスン"&amp;B1255</f>
        <v>レッスン14</v>
      </c>
      <c r="G1255" t="str">
        <f t="shared" si="256"/>
        <v>a</v>
      </c>
      <c r="H1255" t="str">
        <f>VLOOKUP(D1255,name!A:C,3,1)</f>
        <v>assets/icons/image014.png</v>
      </c>
    </row>
    <row r="1256" spans="1:12" ht="40.5" x14ac:dyDescent="0.15">
      <c r="A1256" t="str">
        <f t="shared" si="261"/>
        <v>ドイツ語</v>
      </c>
      <c r="B1256">
        <f t="shared" si="261"/>
        <v>14</v>
      </c>
      <c r="C1256">
        <f t="shared" ref="C1256:C1319" si="262">C1255+1</f>
        <v>3</v>
      </c>
      <c r="D1256">
        <v>1</v>
      </c>
      <c r="E1256" t="str">
        <f>VLOOKUP(D1256,name!A:B,2,1)</f>
        <v>Navigator</v>
      </c>
      <c r="F1256" s="1" t="str">
        <f>"まずは対話文を流します。その後に、日本語と"&amp;A1256&amp;"を一文ずつ流すので"&amp;A1256&amp;"を真似して下さい。最後に日本語のみを流すので、"&amp;A1256&amp;"で答えてください。"</f>
        <v>まずは対話文を流します。その後に、日本語とドイツ語を一文ずつ流すのでドイツ語を真似して下さい。最後に日本語のみを流すので、ドイツ語で答えてください。</v>
      </c>
      <c r="G1256" t="str">
        <f t="shared" si="256"/>
        <v>a</v>
      </c>
      <c r="H1256" t="str">
        <f>VLOOKUP(D1256,name!A:C,3,1)</f>
        <v>assets/icons/image014.png</v>
      </c>
      <c r="L1256" s="1"/>
    </row>
    <row r="1257" spans="1:12" x14ac:dyDescent="0.15">
      <c r="A1257" t="str">
        <f t="shared" si="261"/>
        <v>ドイツ語</v>
      </c>
      <c r="B1257">
        <f t="shared" si="261"/>
        <v>14</v>
      </c>
      <c r="C1257">
        <f t="shared" si="262"/>
        <v>4</v>
      </c>
      <c r="D1257">
        <v>16</v>
      </c>
      <c r="E1257" t="str">
        <f>VLOOKUP(D1257,name!A:B,2,1)</f>
        <v>Mayer</v>
      </c>
      <c r="F1257" t="s">
        <v>473</v>
      </c>
      <c r="G1257" t="str">
        <f t="shared" si="256"/>
        <v>a</v>
      </c>
      <c r="H1257" t="str">
        <f>VLOOKUP(D1257,name!A:C,3,1)</f>
        <v>assets/icons/image208.png</v>
      </c>
    </row>
    <row r="1258" spans="1:12" x14ac:dyDescent="0.15">
      <c r="A1258" t="str">
        <f t="shared" si="261"/>
        <v>ドイツ語</v>
      </c>
      <c r="B1258">
        <f t="shared" si="261"/>
        <v>14</v>
      </c>
      <c r="C1258">
        <f t="shared" si="262"/>
        <v>5</v>
      </c>
      <c r="D1258">
        <v>16</v>
      </c>
      <c r="E1258" t="str">
        <f>VLOOKUP(D1258,name!A:B,2,1)</f>
        <v>Mayer</v>
      </c>
      <c r="F1258" t="s">
        <v>457</v>
      </c>
      <c r="G1258" t="str">
        <f t="shared" si="256"/>
        <v>a</v>
      </c>
      <c r="H1258" t="str">
        <f>VLOOKUP(D1258,name!A:C,3,1)</f>
        <v>assets/icons/image208.png</v>
      </c>
    </row>
    <row r="1259" spans="1:12" x14ac:dyDescent="0.15">
      <c r="A1259" t="str">
        <f t="shared" si="261"/>
        <v>ドイツ語</v>
      </c>
      <c r="B1259">
        <f t="shared" si="261"/>
        <v>14</v>
      </c>
      <c r="C1259">
        <f t="shared" si="262"/>
        <v>6</v>
      </c>
      <c r="D1259">
        <f t="shared" ref="D1259:D1287" si="263">D1260</f>
        <v>2</v>
      </c>
      <c r="E1259" t="str">
        <f>VLOOKUP(D1259,name!A:B,2,1)</f>
        <v>Tanaka</v>
      </c>
      <c r="F1259" t="s">
        <v>474</v>
      </c>
      <c r="G1259" t="str">
        <f t="shared" si="256"/>
        <v>a</v>
      </c>
      <c r="H1259" t="str">
        <f>VLOOKUP(D1259,name!A:C,3,1)</f>
        <v>assets/icons/image013.png</v>
      </c>
    </row>
    <row r="1260" spans="1:12" x14ac:dyDescent="0.15">
      <c r="A1260" t="str">
        <f t="shared" si="261"/>
        <v>ドイツ語</v>
      </c>
      <c r="B1260">
        <f t="shared" si="261"/>
        <v>14</v>
      </c>
      <c r="C1260">
        <f t="shared" si="262"/>
        <v>7</v>
      </c>
      <c r="D1260">
        <f t="shared" si="263"/>
        <v>2</v>
      </c>
      <c r="E1260" t="str">
        <f>VLOOKUP(D1260,name!A:B,2,1)</f>
        <v>Tanaka</v>
      </c>
      <c r="F1260" t="s">
        <v>458</v>
      </c>
      <c r="G1260" t="str">
        <f t="shared" si="256"/>
        <v>a</v>
      </c>
      <c r="H1260" t="str">
        <f>VLOOKUP(D1260,name!A:C,3,1)</f>
        <v>assets/icons/image013.png</v>
      </c>
    </row>
    <row r="1261" spans="1:12" x14ac:dyDescent="0.15">
      <c r="A1261" t="str">
        <f t="shared" si="261"/>
        <v>ドイツ語</v>
      </c>
      <c r="B1261">
        <f t="shared" si="261"/>
        <v>14</v>
      </c>
      <c r="C1261">
        <f t="shared" si="262"/>
        <v>8</v>
      </c>
      <c r="D1261">
        <f t="shared" si="263"/>
        <v>2</v>
      </c>
      <c r="E1261" t="str">
        <f>VLOOKUP(D1261,name!A:B,2,1)</f>
        <v>Tanaka</v>
      </c>
      <c r="F1261" t="s">
        <v>475</v>
      </c>
      <c r="G1261" t="str">
        <f t="shared" si="256"/>
        <v>a</v>
      </c>
      <c r="H1261" t="str">
        <f>VLOOKUP(D1261,name!A:C,3,1)</f>
        <v>assets/icons/image013.png</v>
      </c>
    </row>
    <row r="1262" spans="1:12" x14ac:dyDescent="0.15">
      <c r="A1262" t="str">
        <f t="shared" si="261"/>
        <v>ドイツ語</v>
      </c>
      <c r="B1262">
        <f t="shared" si="261"/>
        <v>14</v>
      </c>
      <c r="C1262">
        <f t="shared" si="262"/>
        <v>9</v>
      </c>
      <c r="D1262">
        <v>2</v>
      </c>
      <c r="E1262" t="str">
        <f>VLOOKUP(D1262,name!A:B,2,1)</f>
        <v>Tanaka</v>
      </c>
      <c r="F1262" t="s">
        <v>459</v>
      </c>
      <c r="G1262" t="str">
        <f t="shared" si="256"/>
        <v>a</v>
      </c>
      <c r="H1262" t="str">
        <f>VLOOKUP(D1262,name!A:C,3,1)</f>
        <v>assets/icons/image013.png</v>
      </c>
    </row>
    <row r="1263" spans="1:12" x14ac:dyDescent="0.15">
      <c r="A1263" t="str">
        <f t="shared" si="261"/>
        <v>ドイツ語</v>
      </c>
      <c r="B1263">
        <f t="shared" si="261"/>
        <v>14</v>
      </c>
      <c r="C1263">
        <f t="shared" si="262"/>
        <v>10</v>
      </c>
      <c r="D1263">
        <f t="shared" si="263"/>
        <v>16</v>
      </c>
      <c r="E1263" t="str">
        <f>VLOOKUP(D1263,name!A:B,2,1)</f>
        <v>Mayer</v>
      </c>
      <c r="F1263" t="s">
        <v>476</v>
      </c>
      <c r="G1263" t="str">
        <f t="shared" si="256"/>
        <v>a</v>
      </c>
      <c r="H1263" t="str">
        <f>VLOOKUP(D1263,name!A:C,3,1)</f>
        <v>assets/icons/image208.png</v>
      </c>
    </row>
    <row r="1264" spans="1:12" x14ac:dyDescent="0.15">
      <c r="A1264" t="str">
        <f t="shared" si="261"/>
        <v>ドイツ語</v>
      </c>
      <c r="B1264">
        <f t="shared" si="261"/>
        <v>14</v>
      </c>
      <c r="C1264">
        <f t="shared" si="262"/>
        <v>11</v>
      </c>
      <c r="D1264">
        <v>16</v>
      </c>
      <c r="E1264" t="str">
        <f>VLOOKUP(D1264,name!A:B,2,1)</f>
        <v>Mayer</v>
      </c>
      <c r="F1264" t="s">
        <v>460</v>
      </c>
      <c r="G1264" t="str">
        <f t="shared" si="256"/>
        <v>a</v>
      </c>
      <c r="H1264" t="str">
        <f>VLOOKUP(D1264,name!A:C,3,1)</f>
        <v>assets/icons/image208.png</v>
      </c>
    </row>
    <row r="1265" spans="1:8" x14ac:dyDescent="0.15">
      <c r="A1265" t="str">
        <f t="shared" si="261"/>
        <v>ドイツ語</v>
      </c>
      <c r="B1265">
        <f t="shared" si="261"/>
        <v>14</v>
      </c>
      <c r="C1265">
        <f t="shared" si="262"/>
        <v>12</v>
      </c>
      <c r="D1265">
        <f t="shared" si="263"/>
        <v>2</v>
      </c>
      <c r="E1265" t="str">
        <f>VLOOKUP(D1265,name!A:B,2,1)</f>
        <v>Tanaka</v>
      </c>
      <c r="F1265" t="s">
        <v>477</v>
      </c>
      <c r="G1265" t="str">
        <f t="shared" si="256"/>
        <v>a</v>
      </c>
      <c r="H1265" t="str">
        <f>VLOOKUP(D1265,name!A:C,3,1)</f>
        <v>assets/icons/image013.png</v>
      </c>
    </row>
    <row r="1266" spans="1:8" x14ac:dyDescent="0.15">
      <c r="A1266" t="str">
        <f t="shared" si="261"/>
        <v>ドイツ語</v>
      </c>
      <c r="B1266">
        <f t="shared" si="261"/>
        <v>14</v>
      </c>
      <c r="C1266">
        <f t="shared" si="262"/>
        <v>13</v>
      </c>
      <c r="D1266">
        <v>2</v>
      </c>
      <c r="E1266" t="str">
        <f>VLOOKUP(D1266,name!A:B,2,1)</f>
        <v>Tanaka</v>
      </c>
      <c r="F1266" t="s">
        <v>461</v>
      </c>
      <c r="G1266" t="str">
        <f t="shared" si="256"/>
        <v>a</v>
      </c>
      <c r="H1266" t="str">
        <f>VLOOKUP(D1266,name!A:C,3,1)</f>
        <v>assets/icons/image013.png</v>
      </c>
    </row>
    <row r="1267" spans="1:8" x14ac:dyDescent="0.15">
      <c r="A1267" t="str">
        <f t="shared" si="261"/>
        <v>ドイツ語</v>
      </c>
      <c r="B1267">
        <f t="shared" si="261"/>
        <v>14</v>
      </c>
      <c r="C1267">
        <f t="shared" si="262"/>
        <v>14</v>
      </c>
      <c r="D1267">
        <f t="shared" si="263"/>
        <v>16</v>
      </c>
      <c r="E1267" t="str">
        <f>VLOOKUP(D1267,name!A:B,2,1)</f>
        <v>Mayer</v>
      </c>
      <c r="F1267" t="s">
        <v>478</v>
      </c>
      <c r="G1267" t="str">
        <f t="shared" si="256"/>
        <v>a</v>
      </c>
      <c r="H1267" t="str">
        <f>VLOOKUP(D1267,name!A:C,3,1)</f>
        <v>assets/icons/image208.png</v>
      </c>
    </row>
    <row r="1268" spans="1:8" x14ac:dyDescent="0.15">
      <c r="A1268" t="str">
        <f t="shared" si="261"/>
        <v>ドイツ語</v>
      </c>
      <c r="B1268">
        <f t="shared" si="261"/>
        <v>14</v>
      </c>
      <c r="C1268">
        <f t="shared" si="262"/>
        <v>15</v>
      </c>
      <c r="D1268">
        <f t="shared" si="263"/>
        <v>16</v>
      </c>
      <c r="E1268" t="str">
        <f>VLOOKUP(D1268,name!A:B,2,1)</f>
        <v>Mayer</v>
      </c>
      <c r="F1268" t="s">
        <v>462</v>
      </c>
      <c r="G1268" t="str">
        <f t="shared" si="256"/>
        <v>a</v>
      </c>
      <c r="H1268" t="str">
        <f>VLOOKUP(D1268,name!A:C,3,1)</f>
        <v>assets/icons/image208.png</v>
      </c>
    </row>
    <row r="1269" spans="1:8" x14ac:dyDescent="0.15">
      <c r="A1269" t="str">
        <f t="shared" si="261"/>
        <v>ドイツ語</v>
      </c>
      <c r="B1269">
        <f t="shared" si="261"/>
        <v>14</v>
      </c>
      <c r="C1269">
        <f t="shared" si="262"/>
        <v>16</v>
      </c>
      <c r="D1269">
        <f t="shared" si="263"/>
        <v>16</v>
      </c>
      <c r="E1269" t="str">
        <f>VLOOKUP(D1269,name!A:B,2,1)</f>
        <v>Mayer</v>
      </c>
      <c r="F1269" t="s">
        <v>479</v>
      </c>
      <c r="G1269" t="str">
        <f t="shared" si="256"/>
        <v>a</v>
      </c>
      <c r="H1269" t="str">
        <f>VLOOKUP(D1269,name!A:C,3,1)</f>
        <v>assets/icons/image208.png</v>
      </c>
    </row>
    <row r="1270" spans="1:8" x14ac:dyDescent="0.15">
      <c r="A1270" t="str">
        <f t="shared" si="261"/>
        <v>ドイツ語</v>
      </c>
      <c r="B1270">
        <f t="shared" si="261"/>
        <v>14</v>
      </c>
      <c r="C1270">
        <f t="shared" si="262"/>
        <v>17</v>
      </c>
      <c r="D1270">
        <f t="shared" si="263"/>
        <v>16</v>
      </c>
      <c r="E1270" t="str">
        <f>VLOOKUP(D1270,name!A:B,2,1)</f>
        <v>Mayer</v>
      </c>
      <c r="F1270" t="s">
        <v>463</v>
      </c>
      <c r="G1270" t="str">
        <f t="shared" si="256"/>
        <v>a</v>
      </c>
      <c r="H1270" t="str">
        <f>VLOOKUP(D1270,name!A:C,3,1)</f>
        <v>assets/icons/image208.png</v>
      </c>
    </row>
    <row r="1271" spans="1:8" x14ac:dyDescent="0.15">
      <c r="A1271" t="str">
        <f t="shared" ref="A1271:B1286" si="264">A1270</f>
        <v>ドイツ語</v>
      </c>
      <c r="B1271">
        <f t="shared" si="264"/>
        <v>14</v>
      </c>
      <c r="C1271">
        <f t="shared" si="262"/>
        <v>18</v>
      </c>
      <c r="D1271">
        <f t="shared" si="263"/>
        <v>16</v>
      </c>
      <c r="E1271" t="str">
        <f>VLOOKUP(D1271,name!A:B,2,1)</f>
        <v>Mayer</v>
      </c>
      <c r="F1271" t="s">
        <v>480</v>
      </c>
      <c r="G1271" t="str">
        <f t="shared" si="256"/>
        <v>a</v>
      </c>
      <c r="H1271" t="str">
        <f>VLOOKUP(D1271,name!A:C,3,1)</f>
        <v>assets/icons/image208.png</v>
      </c>
    </row>
    <row r="1272" spans="1:8" x14ac:dyDescent="0.15">
      <c r="A1272" t="str">
        <f t="shared" si="264"/>
        <v>ドイツ語</v>
      </c>
      <c r="B1272">
        <f t="shared" si="264"/>
        <v>14</v>
      </c>
      <c r="C1272">
        <f t="shared" si="262"/>
        <v>19</v>
      </c>
      <c r="D1272">
        <f t="shared" si="263"/>
        <v>16</v>
      </c>
      <c r="E1272" t="str">
        <f>VLOOKUP(D1272,name!A:B,2,1)</f>
        <v>Mayer</v>
      </c>
      <c r="F1272" t="s">
        <v>464</v>
      </c>
      <c r="G1272" t="str">
        <f t="shared" si="256"/>
        <v>a</v>
      </c>
      <c r="H1272" t="str">
        <f>VLOOKUP(D1272,name!A:C,3,1)</f>
        <v>assets/icons/image208.png</v>
      </c>
    </row>
    <row r="1273" spans="1:8" x14ac:dyDescent="0.15">
      <c r="A1273" t="str">
        <f t="shared" si="264"/>
        <v>ドイツ語</v>
      </c>
      <c r="B1273">
        <f t="shared" si="264"/>
        <v>14</v>
      </c>
      <c r="C1273">
        <f t="shared" si="262"/>
        <v>20</v>
      </c>
      <c r="D1273">
        <f t="shared" si="263"/>
        <v>16</v>
      </c>
      <c r="E1273" t="str">
        <f>VLOOKUP(D1273,name!A:B,2,1)</f>
        <v>Mayer</v>
      </c>
      <c r="F1273" t="s">
        <v>481</v>
      </c>
      <c r="G1273" t="str">
        <f t="shared" si="256"/>
        <v>a</v>
      </c>
      <c r="H1273" t="str">
        <f>VLOOKUP(D1273,name!A:C,3,1)</f>
        <v>assets/icons/image208.png</v>
      </c>
    </row>
    <row r="1274" spans="1:8" x14ac:dyDescent="0.15">
      <c r="A1274" t="str">
        <f t="shared" si="264"/>
        <v>ドイツ語</v>
      </c>
      <c r="B1274">
        <f t="shared" si="264"/>
        <v>14</v>
      </c>
      <c r="C1274">
        <f t="shared" si="262"/>
        <v>21</v>
      </c>
      <c r="D1274">
        <v>16</v>
      </c>
      <c r="E1274" t="str">
        <f>VLOOKUP(D1274,name!A:B,2,1)</f>
        <v>Mayer</v>
      </c>
      <c r="F1274" t="s">
        <v>465</v>
      </c>
      <c r="G1274" t="str">
        <f t="shared" si="256"/>
        <v>a</v>
      </c>
      <c r="H1274" t="str">
        <f>VLOOKUP(D1274,name!A:C,3,1)</f>
        <v>assets/icons/image208.png</v>
      </c>
    </row>
    <row r="1275" spans="1:8" x14ac:dyDescent="0.15">
      <c r="A1275" t="str">
        <f t="shared" si="264"/>
        <v>ドイツ語</v>
      </c>
      <c r="B1275">
        <f t="shared" si="264"/>
        <v>14</v>
      </c>
      <c r="C1275">
        <f t="shared" si="262"/>
        <v>22</v>
      </c>
      <c r="D1275">
        <f t="shared" si="263"/>
        <v>2</v>
      </c>
      <c r="E1275" t="str">
        <f>VLOOKUP(D1275,name!A:B,2,1)</f>
        <v>Tanaka</v>
      </c>
      <c r="F1275" t="s">
        <v>482</v>
      </c>
      <c r="G1275" t="str">
        <f t="shared" si="256"/>
        <v>a</v>
      </c>
      <c r="H1275" t="str">
        <f>VLOOKUP(D1275,name!A:C,3,1)</f>
        <v>assets/icons/image013.png</v>
      </c>
    </row>
    <row r="1276" spans="1:8" x14ac:dyDescent="0.15">
      <c r="A1276" t="str">
        <f t="shared" si="264"/>
        <v>ドイツ語</v>
      </c>
      <c r="B1276">
        <f t="shared" si="264"/>
        <v>14</v>
      </c>
      <c r="C1276">
        <f t="shared" si="262"/>
        <v>23</v>
      </c>
      <c r="D1276">
        <f t="shared" si="263"/>
        <v>2</v>
      </c>
      <c r="E1276" t="str">
        <f>VLOOKUP(D1276,name!A:B,2,1)</f>
        <v>Tanaka</v>
      </c>
      <c r="F1276" t="s">
        <v>466</v>
      </c>
      <c r="G1276" t="str">
        <f t="shared" si="256"/>
        <v>a</v>
      </c>
      <c r="H1276" t="str">
        <f>VLOOKUP(D1276,name!A:C,3,1)</f>
        <v>assets/icons/image013.png</v>
      </c>
    </row>
    <row r="1277" spans="1:8" x14ac:dyDescent="0.15">
      <c r="A1277" t="str">
        <f t="shared" si="264"/>
        <v>ドイツ語</v>
      </c>
      <c r="B1277">
        <f t="shared" si="264"/>
        <v>14</v>
      </c>
      <c r="C1277">
        <f t="shared" si="262"/>
        <v>24</v>
      </c>
      <c r="D1277">
        <f t="shared" si="263"/>
        <v>2</v>
      </c>
      <c r="E1277" t="str">
        <f>VLOOKUP(D1277,name!A:B,2,1)</f>
        <v>Tanaka</v>
      </c>
      <c r="F1277" t="s">
        <v>483</v>
      </c>
      <c r="G1277" t="str">
        <f t="shared" si="256"/>
        <v>a</v>
      </c>
      <c r="H1277" t="str">
        <f>VLOOKUP(D1277,name!A:C,3,1)</f>
        <v>assets/icons/image013.png</v>
      </c>
    </row>
    <row r="1278" spans="1:8" x14ac:dyDescent="0.15">
      <c r="A1278" t="str">
        <f t="shared" si="264"/>
        <v>ドイツ語</v>
      </c>
      <c r="B1278">
        <f t="shared" si="264"/>
        <v>14</v>
      </c>
      <c r="C1278">
        <f t="shared" si="262"/>
        <v>25</v>
      </c>
      <c r="D1278">
        <v>2</v>
      </c>
      <c r="E1278" t="str">
        <f>VLOOKUP(D1278,name!A:B,2,1)</f>
        <v>Tanaka</v>
      </c>
      <c r="F1278" t="s">
        <v>467</v>
      </c>
      <c r="G1278" t="str">
        <f t="shared" si="256"/>
        <v>a</v>
      </c>
      <c r="H1278" t="str">
        <f>VLOOKUP(D1278,name!A:C,3,1)</f>
        <v>assets/icons/image013.png</v>
      </c>
    </row>
    <row r="1279" spans="1:8" x14ac:dyDescent="0.15">
      <c r="A1279" t="str">
        <f t="shared" si="264"/>
        <v>ドイツ語</v>
      </c>
      <c r="B1279">
        <f t="shared" si="264"/>
        <v>14</v>
      </c>
      <c r="C1279">
        <f t="shared" si="262"/>
        <v>26</v>
      </c>
      <c r="D1279">
        <f t="shared" si="263"/>
        <v>16</v>
      </c>
      <c r="E1279" t="str">
        <f>VLOOKUP(D1279,name!A:B,2,1)</f>
        <v>Mayer</v>
      </c>
      <c r="F1279" t="s">
        <v>484</v>
      </c>
      <c r="G1279" t="str">
        <f t="shared" si="256"/>
        <v>a</v>
      </c>
      <c r="H1279" t="str">
        <f>VLOOKUP(D1279,name!A:C,3,1)</f>
        <v>assets/icons/image208.png</v>
      </c>
    </row>
    <row r="1280" spans="1:8" x14ac:dyDescent="0.15">
      <c r="A1280" t="str">
        <f t="shared" si="264"/>
        <v>ドイツ語</v>
      </c>
      <c r="B1280">
        <f t="shared" si="264"/>
        <v>14</v>
      </c>
      <c r="C1280">
        <f t="shared" si="262"/>
        <v>27</v>
      </c>
      <c r="D1280">
        <f t="shared" si="263"/>
        <v>16</v>
      </c>
      <c r="E1280" t="str">
        <f>VLOOKUP(D1280,name!A:B,2,1)</f>
        <v>Mayer</v>
      </c>
      <c r="F1280" t="s">
        <v>468</v>
      </c>
      <c r="G1280" t="str">
        <f t="shared" si="256"/>
        <v>a</v>
      </c>
      <c r="H1280" t="str">
        <f>VLOOKUP(D1280,name!A:C,3,1)</f>
        <v>assets/icons/image208.png</v>
      </c>
    </row>
    <row r="1281" spans="1:8" x14ac:dyDescent="0.15">
      <c r="A1281" t="str">
        <f t="shared" si="264"/>
        <v>ドイツ語</v>
      </c>
      <c r="B1281">
        <f t="shared" si="264"/>
        <v>14</v>
      </c>
      <c r="C1281">
        <f t="shared" si="262"/>
        <v>28</v>
      </c>
      <c r="D1281">
        <f t="shared" si="263"/>
        <v>16</v>
      </c>
      <c r="E1281" t="str">
        <f>VLOOKUP(D1281,name!A:B,2,1)</f>
        <v>Mayer</v>
      </c>
      <c r="F1281" t="s">
        <v>485</v>
      </c>
      <c r="G1281" t="str">
        <f t="shared" si="256"/>
        <v>a</v>
      </c>
      <c r="H1281" t="str">
        <f>VLOOKUP(D1281,name!A:C,3,1)</f>
        <v>assets/icons/image208.png</v>
      </c>
    </row>
    <row r="1282" spans="1:8" x14ac:dyDescent="0.15">
      <c r="A1282" t="str">
        <f t="shared" si="264"/>
        <v>ドイツ語</v>
      </c>
      <c r="B1282">
        <f t="shared" si="264"/>
        <v>14</v>
      </c>
      <c r="C1282">
        <f t="shared" si="262"/>
        <v>29</v>
      </c>
      <c r="D1282">
        <f t="shared" si="263"/>
        <v>16</v>
      </c>
      <c r="E1282" t="str">
        <f>VLOOKUP(D1282,name!A:B,2,1)</f>
        <v>Mayer</v>
      </c>
      <c r="F1282" t="s">
        <v>469</v>
      </c>
      <c r="G1282" t="str">
        <f t="shared" si="256"/>
        <v>a</v>
      </c>
      <c r="H1282" t="str">
        <f>VLOOKUP(D1282,name!A:C,3,1)</f>
        <v>assets/icons/image208.png</v>
      </c>
    </row>
    <row r="1283" spans="1:8" x14ac:dyDescent="0.15">
      <c r="A1283" t="str">
        <f t="shared" si="264"/>
        <v>ドイツ語</v>
      </c>
      <c r="B1283">
        <f t="shared" si="264"/>
        <v>14</v>
      </c>
      <c r="C1283">
        <f t="shared" si="262"/>
        <v>30</v>
      </c>
      <c r="D1283">
        <f t="shared" si="263"/>
        <v>16</v>
      </c>
      <c r="E1283" t="str">
        <f>VLOOKUP(D1283,name!A:B,2,1)</f>
        <v>Mayer</v>
      </c>
      <c r="F1283" t="s">
        <v>486</v>
      </c>
      <c r="G1283" t="str">
        <f t="shared" si="256"/>
        <v>a</v>
      </c>
      <c r="H1283" t="str">
        <f>VLOOKUP(D1283,name!A:C,3,1)</f>
        <v>assets/icons/image208.png</v>
      </c>
    </row>
    <row r="1284" spans="1:8" x14ac:dyDescent="0.15">
      <c r="A1284" t="str">
        <f t="shared" si="264"/>
        <v>ドイツ語</v>
      </c>
      <c r="B1284">
        <f t="shared" si="264"/>
        <v>14</v>
      </c>
      <c r="C1284">
        <f t="shared" si="262"/>
        <v>31</v>
      </c>
      <c r="D1284">
        <v>16</v>
      </c>
      <c r="E1284" t="str">
        <f>VLOOKUP(D1284,name!A:B,2,1)</f>
        <v>Mayer</v>
      </c>
      <c r="F1284" t="s">
        <v>470</v>
      </c>
      <c r="G1284" t="str">
        <f t="shared" si="256"/>
        <v>a</v>
      </c>
      <c r="H1284" t="str">
        <f>VLOOKUP(D1284,name!A:C,3,1)</f>
        <v>assets/icons/image208.png</v>
      </c>
    </row>
    <row r="1285" spans="1:8" x14ac:dyDescent="0.15">
      <c r="A1285" t="str">
        <f t="shared" si="264"/>
        <v>ドイツ語</v>
      </c>
      <c r="B1285">
        <f t="shared" si="264"/>
        <v>14</v>
      </c>
      <c r="C1285">
        <f t="shared" si="262"/>
        <v>32</v>
      </c>
      <c r="D1285">
        <f t="shared" si="263"/>
        <v>2</v>
      </c>
      <c r="E1285" t="str">
        <f>VLOOKUP(D1285,name!A:B,2,1)</f>
        <v>Tanaka</v>
      </c>
      <c r="F1285" t="s">
        <v>487</v>
      </c>
      <c r="G1285" t="str">
        <f t="shared" si="256"/>
        <v>a</v>
      </c>
      <c r="H1285" t="str">
        <f>VLOOKUP(D1285,name!A:C,3,1)</f>
        <v>assets/icons/image013.png</v>
      </c>
    </row>
    <row r="1286" spans="1:8" x14ac:dyDescent="0.15">
      <c r="A1286" t="str">
        <f t="shared" si="264"/>
        <v>ドイツ語</v>
      </c>
      <c r="B1286">
        <f t="shared" si="264"/>
        <v>14</v>
      </c>
      <c r="C1286">
        <f t="shared" si="262"/>
        <v>33</v>
      </c>
      <c r="D1286">
        <f t="shared" si="263"/>
        <v>2</v>
      </c>
      <c r="E1286" t="str">
        <f>VLOOKUP(D1286,name!A:B,2,1)</f>
        <v>Tanaka</v>
      </c>
      <c r="F1286" t="s">
        <v>471</v>
      </c>
      <c r="G1286" t="str">
        <f t="shared" si="256"/>
        <v>a</v>
      </c>
      <c r="H1286" t="str">
        <f>VLOOKUP(D1286,name!A:C,3,1)</f>
        <v>assets/icons/image013.png</v>
      </c>
    </row>
    <row r="1287" spans="1:8" x14ac:dyDescent="0.15">
      <c r="A1287" t="str">
        <f t="shared" ref="A1287:B1288" si="265">A1286</f>
        <v>ドイツ語</v>
      </c>
      <c r="B1287">
        <f t="shared" si="265"/>
        <v>14</v>
      </c>
      <c r="C1287">
        <f t="shared" si="262"/>
        <v>34</v>
      </c>
      <c r="D1287">
        <f t="shared" si="263"/>
        <v>2</v>
      </c>
      <c r="E1287" t="str">
        <f>VLOOKUP(D1287,name!A:B,2,1)</f>
        <v>Tanaka</v>
      </c>
      <c r="F1287" t="s">
        <v>488</v>
      </c>
      <c r="G1287" t="str">
        <f t="shared" si="256"/>
        <v>a</v>
      </c>
      <c r="H1287" t="str">
        <f>VLOOKUP(D1287,name!A:C,3,1)</f>
        <v>assets/icons/image013.png</v>
      </c>
    </row>
    <row r="1288" spans="1:8" x14ac:dyDescent="0.15">
      <c r="A1288" t="str">
        <f t="shared" si="265"/>
        <v>ドイツ語</v>
      </c>
      <c r="B1288">
        <f t="shared" si="265"/>
        <v>14</v>
      </c>
      <c r="C1288">
        <f t="shared" si="262"/>
        <v>35</v>
      </c>
      <c r="D1288">
        <v>2</v>
      </c>
      <c r="E1288" t="str">
        <f>VLOOKUP(D1288,name!A:B,2,1)</f>
        <v>Tanaka</v>
      </c>
      <c r="F1288" t="s">
        <v>472</v>
      </c>
      <c r="G1288" t="str">
        <f t="shared" si="256"/>
        <v>a</v>
      </c>
      <c r="H1288" t="str">
        <f>VLOOKUP(D1288,name!A:C,3,1)</f>
        <v>assets/icons/image013.png</v>
      </c>
    </row>
    <row r="1289" spans="1:8" x14ac:dyDescent="0.15">
      <c r="A1289" t="str">
        <f t="shared" ref="A1289:B1289" si="266">A1288</f>
        <v>ドイツ語</v>
      </c>
      <c r="B1289">
        <f t="shared" si="266"/>
        <v>14</v>
      </c>
      <c r="C1289">
        <f t="shared" si="262"/>
        <v>36</v>
      </c>
      <c r="D1289">
        <v>1</v>
      </c>
      <c r="E1289" t="str">
        <f>VLOOKUP(D1289,name!A:B,2,1)</f>
        <v>Navigator</v>
      </c>
      <c r="F1289" t="str">
        <f>"次の"&amp;A1289&amp;"を真似してね！"</f>
        <v>次のドイツ語を真似してね！</v>
      </c>
      <c r="G1289" t="str">
        <f t="shared" si="256"/>
        <v>a</v>
      </c>
      <c r="H1289" t="str">
        <f>VLOOKUP(D1289,name!A:C,3,1)</f>
        <v>assets/icons/image014.png</v>
      </c>
    </row>
    <row r="1290" spans="1:8" x14ac:dyDescent="0.15">
      <c r="A1290" t="str">
        <f t="shared" ref="A1290:B1290" si="267">A1289</f>
        <v>ドイツ語</v>
      </c>
      <c r="B1290">
        <f t="shared" si="267"/>
        <v>14</v>
      </c>
      <c r="C1290">
        <f t="shared" si="262"/>
        <v>37</v>
      </c>
      <c r="D1290">
        <f>D1257</f>
        <v>16</v>
      </c>
      <c r="E1290" t="str">
        <f>VLOOKUP(D1290,name!A:B,2,1)</f>
        <v>Mayer</v>
      </c>
      <c r="F1290" t="str">
        <f>F1257</f>
        <v>田中さんは中国に行ったことはありますか?</v>
      </c>
      <c r="G1290" t="str">
        <f t="shared" si="256"/>
        <v>a</v>
      </c>
      <c r="H1290" t="str">
        <f>VLOOKUP(D1290,name!A:C,3,1)</f>
        <v>assets/icons/image208.png</v>
      </c>
    </row>
    <row r="1291" spans="1:8" x14ac:dyDescent="0.15">
      <c r="A1291" t="str">
        <f t="shared" ref="A1291:B1291" si="268">A1290</f>
        <v>ドイツ語</v>
      </c>
      <c r="B1291">
        <f t="shared" si="268"/>
        <v>14</v>
      </c>
      <c r="C1291">
        <f t="shared" si="262"/>
        <v>38</v>
      </c>
      <c r="D1291">
        <f>D1258</f>
        <v>16</v>
      </c>
      <c r="E1291" t="str">
        <f>VLOOKUP(D1291,name!A:B,2,1)</f>
        <v>Mayer</v>
      </c>
      <c r="F1291" t="str">
        <f>F1258</f>
        <v>Herr Tanaka, waren Sie schon einmal in China?</v>
      </c>
      <c r="G1291" t="str">
        <f t="shared" si="256"/>
        <v>a</v>
      </c>
      <c r="H1291" t="str">
        <f>VLOOKUP(D1291,name!A:C,3,1)</f>
        <v>assets/icons/image208.png</v>
      </c>
    </row>
    <row r="1292" spans="1:8" x14ac:dyDescent="0.15">
      <c r="A1292" t="str">
        <f t="shared" ref="A1292:B1292" si="269">A1291</f>
        <v>ドイツ語</v>
      </c>
      <c r="B1292">
        <f t="shared" si="269"/>
        <v>14</v>
      </c>
      <c r="C1292">
        <f t="shared" si="262"/>
        <v>39</v>
      </c>
      <c r="D1292">
        <v>0</v>
      </c>
      <c r="E1292" t="str">
        <f>VLOOKUP(D1292,name!A:B,2,1)</f>
        <v>Player</v>
      </c>
      <c r="F1292" t="str">
        <f>F1258</f>
        <v>Herr Tanaka, waren Sie schon einmal in China?</v>
      </c>
      <c r="G1292" t="str">
        <f t="shared" si="256"/>
        <v>q</v>
      </c>
      <c r="H1292" t="str">
        <f>VLOOKUP(D1292,name!A:C,3,1)</f>
        <v>assets/icons/image326.png</v>
      </c>
    </row>
    <row r="1293" spans="1:8" x14ac:dyDescent="0.15">
      <c r="A1293" t="str">
        <f t="shared" ref="A1293:B1293" si="270">A1292</f>
        <v>ドイツ語</v>
      </c>
      <c r="B1293">
        <f t="shared" si="270"/>
        <v>14</v>
      </c>
      <c r="C1293">
        <f t="shared" si="262"/>
        <v>40</v>
      </c>
      <c r="D1293">
        <f>D1259</f>
        <v>2</v>
      </c>
      <c r="E1293" t="str">
        <f>VLOOKUP(D1293,name!A:B,2,1)</f>
        <v>Tanaka</v>
      </c>
      <c r="F1293" t="str">
        <f>F1259</f>
        <v>はい、私は2回いったことがあります。</v>
      </c>
      <c r="G1293" t="str">
        <f t="shared" si="256"/>
        <v>a</v>
      </c>
      <c r="H1293" t="str">
        <f>VLOOKUP(D1293,name!A:C,3,1)</f>
        <v>assets/icons/image013.png</v>
      </c>
    </row>
    <row r="1294" spans="1:8" x14ac:dyDescent="0.15">
      <c r="A1294" t="str">
        <f t="shared" ref="A1294:B1294" si="271">A1293</f>
        <v>ドイツ語</v>
      </c>
      <c r="B1294">
        <f t="shared" si="271"/>
        <v>14</v>
      </c>
      <c r="C1294">
        <f t="shared" si="262"/>
        <v>41</v>
      </c>
      <c r="D1294">
        <f>D1260</f>
        <v>2</v>
      </c>
      <c r="E1294" t="str">
        <f>VLOOKUP(D1294,name!A:B,2,1)</f>
        <v>Tanaka</v>
      </c>
      <c r="F1294" t="str">
        <f>F1260</f>
        <v>Ja, da war ich zwei Mal.</v>
      </c>
      <c r="G1294" t="str">
        <f t="shared" si="256"/>
        <v>a</v>
      </c>
      <c r="H1294" t="str">
        <f>VLOOKUP(D1294,name!A:C,3,1)</f>
        <v>assets/icons/image013.png</v>
      </c>
    </row>
    <row r="1295" spans="1:8" x14ac:dyDescent="0.15">
      <c r="A1295" t="str">
        <f t="shared" ref="A1295:B1295" si="272">A1294</f>
        <v>ドイツ語</v>
      </c>
      <c r="B1295">
        <f t="shared" si="272"/>
        <v>14</v>
      </c>
      <c r="C1295">
        <f t="shared" si="262"/>
        <v>42</v>
      </c>
      <c r="D1295">
        <v>0</v>
      </c>
      <c r="E1295" t="str">
        <f>VLOOKUP(D1295,name!A:B,2,1)</f>
        <v>Player</v>
      </c>
      <c r="F1295" t="str">
        <f>F1260</f>
        <v>Ja, da war ich zwei Mal.</v>
      </c>
      <c r="G1295" t="str">
        <f t="shared" si="256"/>
        <v>q</v>
      </c>
      <c r="H1295" t="str">
        <f>VLOOKUP(D1295,name!A:C,3,1)</f>
        <v>assets/icons/image326.png</v>
      </c>
    </row>
    <row r="1296" spans="1:8" x14ac:dyDescent="0.15">
      <c r="A1296" t="str">
        <f t="shared" ref="A1296:B1296" si="273">A1295</f>
        <v>ドイツ語</v>
      </c>
      <c r="B1296">
        <f t="shared" si="273"/>
        <v>14</v>
      </c>
      <c r="C1296">
        <f t="shared" si="262"/>
        <v>43</v>
      </c>
      <c r="D1296">
        <f>D1261</f>
        <v>2</v>
      </c>
      <c r="E1296" t="str">
        <f>VLOOKUP(D1296,name!A:B,2,1)</f>
        <v>Tanaka</v>
      </c>
      <c r="F1296" t="str">
        <f>F1261</f>
        <v>なぜですか。</v>
      </c>
      <c r="G1296" t="str">
        <f t="shared" si="256"/>
        <v>a</v>
      </c>
      <c r="H1296" t="str">
        <f>VLOOKUP(D1296,name!A:C,3,1)</f>
        <v>assets/icons/image013.png</v>
      </c>
    </row>
    <row r="1297" spans="1:8" x14ac:dyDescent="0.15">
      <c r="A1297" t="str">
        <f t="shared" ref="A1297:B1297" si="274">A1296</f>
        <v>ドイツ語</v>
      </c>
      <c r="B1297">
        <f t="shared" si="274"/>
        <v>14</v>
      </c>
      <c r="C1297">
        <f t="shared" si="262"/>
        <v>44</v>
      </c>
      <c r="D1297">
        <f>D1262</f>
        <v>2</v>
      </c>
      <c r="E1297" t="str">
        <f>VLOOKUP(D1297,name!A:B,2,1)</f>
        <v>Tanaka</v>
      </c>
      <c r="F1297" t="str">
        <f>F1262</f>
        <v xml:space="preserve"> Warum?</v>
      </c>
      <c r="G1297" t="str">
        <f t="shared" si="256"/>
        <v>a</v>
      </c>
      <c r="H1297" t="str">
        <f>VLOOKUP(D1297,name!A:C,3,1)</f>
        <v>assets/icons/image013.png</v>
      </c>
    </row>
    <row r="1298" spans="1:8" x14ac:dyDescent="0.15">
      <c r="A1298" t="str">
        <f t="shared" ref="A1298:B1298" si="275">A1297</f>
        <v>ドイツ語</v>
      </c>
      <c r="B1298">
        <f t="shared" si="275"/>
        <v>14</v>
      </c>
      <c r="C1298">
        <f t="shared" si="262"/>
        <v>45</v>
      </c>
      <c r="D1298">
        <v>0</v>
      </c>
      <c r="E1298" t="str">
        <f>VLOOKUP(D1298,name!A:B,2,1)</f>
        <v>Player</v>
      </c>
      <c r="F1298" t="str">
        <f>F1262</f>
        <v xml:space="preserve"> Warum?</v>
      </c>
      <c r="G1298" t="str">
        <f t="shared" si="256"/>
        <v>q</v>
      </c>
      <c r="H1298" t="str">
        <f>VLOOKUP(D1298,name!A:C,3,1)</f>
        <v>assets/icons/image326.png</v>
      </c>
    </row>
    <row r="1299" spans="1:8" x14ac:dyDescent="0.15">
      <c r="A1299" t="str">
        <f t="shared" ref="A1299:B1299" si="276">A1298</f>
        <v>ドイツ語</v>
      </c>
      <c r="B1299">
        <f t="shared" si="276"/>
        <v>14</v>
      </c>
      <c r="C1299">
        <f t="shared" si="262"/>
        <v>46</v>
      </c>
      <c r="D1299">
        <f>D1263</f>
        <v>16</v>
      </c>
      <c r="E1299" t="str">
        <f>VLOOKUP(D1299,name!A:B,2,1)</f>
        <v>Mayer</v>
      </c>
      <c r="F1299" t="str">
        <f>F1263</f>
        <v>私の娘が中国人と結婚するのです。</v>
      </c>
      <c r="G1299" t="str">
        <f t="shared" si="256"/>
        <v>a</v>
      </c>
      <c r="H1299" t="str">
        <f>VLOOKUP(D1299,name!A:C,3,1)</f>
        <v>assets/icons/image208.png</v>
      </c>
    </row>
    <row r="1300" spans="1:8" x14ac:dyDescent="0.15">
      <c r="A1300" t="str">
        <f t="shared" ref="A1300:B1300" si="277">A1299</f>
        <v>ドイツ語</v>
      </c>
      <c r="B1300">
        <f t="shared" si="277"/>
        <v>14</v>
      </c>
      <c r="C1300">
        <f t="shared" si="262"/>
        <v>47</v>
      </c>
      <c r="D1300">
        <f>D1264</f>
        <v>16</v>
      </c>
      <c r="E1300" t="str">
        <f>VLOOKUP(D1300,name!A:B,2,1)</f>
        <v>Mayer</v>
      </c>
      <c r="F1300" t="str">
        <f>F1264</f>
        <v>Meine Tochter heiratet einen Chinesen.</v>
      </c>
      <c r="G1300" t="str">
        <f t="shared" si="256"/>
        <v>a</v>
      </c>
      <c r="H1300" t="str">
        <f>VLOOKUP(D1300,name!A:C,3,1)</f>
        <v>assets/icons/image208.png</v>
      </c>
    </row>
    <row r="1301" spans="1:8" x14ac:dyDescent="0.15">
      <c r="A1301" t="str">
        <f t="shared" ref="A1301:B1301" si="278">A1300</f>
        <v>ドイツ語</v>
      </c>
      <c r="B1301">
        <f t="shared" si="278"/>
        <v>14</v>
      </c>
      <c r="C1301">
        <f t="shared" si="262"/>
        <v>48</v>
      </c>
      <c r="D1301">
        <v>0</v>
      </c>
      <c r="E1301" t="str">
        <f>VLOOKUP(D1301,name!A:B,2,1)</f>
        <v>Player</v>
      </c>
      <c r="F1301" t="str">
        <f>F1264</f>
        <v>Meine Tochter heiratet einen Chinesen.</v>
      </c>
      <c r="G1301" t="str">
        <f t="shared" si="256"/>
        <v>q</v>
      </c>
      <c r="H1301" t="str">
        <f>VLOOKUP(D1301,name!A:C,3,1)</f>
        <v>assets/icons/image326.png</v>
      </c>
    </row>
    <row r="1302" spans="1:8" x14ac:dyDescent="0.15">
      <c r="A1302" t="str">
        <f t="shared" ref="A1302:B1302" si="279">A1301</f>
        <v>ドイツ語</v>
      </c>
      <c r="B1302">
        <f t="shared" si="279"/>
        <v>14</v>
      </c>
      <c r="C1302">
        <f t="shared" si="262"/>
        <v>49</v>
      </c>
      <c r="D1302">
        <f>D1265</f>
        <v>2</v>
      </c>
      <c r="E1302" t="str">
        <f>VLOOKUP(D1302,name!A:B,2,1)</f>
        <v>Tanaka</v>
      </c>
      <c r="F1302" t="str">
        <f>F1265</f>
        <v>それは、おめでとうございます!</v>
      </c>
      <c r="G1302" t="str">
        <f t="shared" si="256"/>
        <v>a</v>
      </c>
      <c r="H1302" t="str">
        <f>VLOOKUP(D1302,name!A:C,3,1)</f>
        <v>assets/icons/image013.png</v>
      </c>
    </row>
    <row r="1303" spans="1:8" x14ac:dyDescent="0.15">
      <c r="A1303" t="str">
        <f t="shared" ref="A1303:B1303" si="280">A1302</f>
        <v>ドイツ語</v>
      </c>
      <c r="B1303">
        <f t="shared" si="280"/>
        <v>14</v>
      </c>
      <c r="C1303">
        <f t="shared" si="262"/>
        <v>50</v>
      </c>
      <c r="D1303">
        <f>D1266</f>
        <v>2</v>
      </c>
      <c r="E1303" t="str">
        <f>VLOOKUP(D1303,name!A:B,2,1)</f>
        <v>Tanaka</v>
      </c>
      <c r="F1303" t="str">
        <f>F1266</f>
        <v>Oh, herzlichen Glückwunsch!</v>
      </c>
      <c r="G1303" t="str">
        <f t="shared" si="256"/>
        <v>a</v>
      </c>
      <c r="H1303" t="str">
        <f>VLOOKUP(D1303,name!A:C,3,1)</f>
        <v>assets/icons/image013.png</v>
      </c>
    </row>
    <row r="1304" spans="1:8" x14ac:dyDescent="0.15">
      <c r="A1304" t="str">
        <f t="shared" ref="A1304:B1304" si="281">A1303</f>
        <v>ドイツ語</v>
      </c>
      <c r="B1304">
        <f t="shared" si="281"/>
        <v>14</v>
      </c>
      <c r="C1304">
        <f t="shared" si="262"/>
        <v>51</v>
      </c>
      <c r="D1304">
        <v>0</v>
      </c>
      <c r="E1304" t="str">
        <f>VLOOKUP(D1304,name!A:B,2,1)</f>
        <v>Player</v>
      </c>
      <c r="F1304" t="str">
        <f>F1266</f>
        <v>Oh, herzlichen Glückwunsch!</v>
      </c>
      <c r="G1304" t="str">
        <f t="shared" si="256"/>
        <v>q</v>
      </c>
      <c r="H1304" t="str">
        <f>VLOOKUP(D1304,name!A:C,3,1)</f>
        <v>assets/icons/image326.png</v>
      </c>
    </row>
    <row r="1305" spans="1:8" x14ac:dyDescent="0.15">
      <c r="A1305" t="str">
        <f t="shared" ref="A1305:B1305" si="282">A1304</f>
        <v>ドイツ語</v>
      </c>
      <c r="B1305">
        <f t="shared" si="282"/>
        <v>14</v>
      </c>
      <c r="C1305">
        <f t="shared" si="262"/>
        <v>52</v>
      </c>
      <c r="D1305">
        <f>D1267</f>
        <v>16</v>
      </c>
      <c r="E1305" t="str">
        <f>VLOOKUP(D1305,name!A:B,2,1)</f>
        <v>Mayer</v>
      </c>
      <c r="F1305" t="str">
        <f>F1267</f>
        <v>ありがとうございます。</v>
      </c>
      <c r="G1305" t="str">
        <f t="shared" si="256"/>
        <v>a</v>
      </c>
      <c r="H1305" t="str">
        <f>VLOOKUP(D1305,name!A:C,3,1)</f>
        <v>assets/icons/image208.png</v>
      </c>
    </row>
    <row r="1306" spans="1:8" x14ac:dyDescent="0.15">
      <c r="A1306" t="str">
        <f t="shared" ref="A1306:B1306" si="283">A1305</f>
        <v>ドイツ語</v>
      </c>
      <c r="B1306">
        <f t="shared" si="283"/>
        <v>14</v>
      </c>
      <c r="C1306">
        <f t="shared" si="262"/>
        <v>53</v>
      </c>
      <c r="D1306">
        <f>D1268</f>
        <v>16</v>
      </c>
      <c r="E1306" t="str">
        <f>VLOOKUP(D1306,name!A:B,2,1)</f>
        <v>Mayer</v>
      </c>
      <c r="F1306" t="str">
        <f>F1268</f>
        <v xml:space="preserve">Danke. </v>
      </c>
      <c r="G1306" t="str">
        <f t="shared" si="256"/>
        <v>a</v>
      </c>
      <c r="H1306" t="str">
        <f>VLOOKUP(D1306,name!A:C,3,1)</f>
        <v>assets/icons/image208.png</v>
      </c>
    </row>
    <row r="1307" spans="1:8" x14ac:dyDescent="0.15">
      <c r="A1307" t="str">
        <f t="shared" ref="A1307:B1307" si="284">A1306</f>
        <v>ドイツ語</v>
      </c>
      <c r="B1307">
        <f t="shared" si="284"/>
        <v>14</v>
      </c>
      <c r="C1307">
        <f t="shared" si="262"/>
        <v>54</v>
      </c>
      <c r="D1307">
        <v>0</v>
      </c>
      <c r="E1307" t="str">
        <f>VLOOKUP(D1307,name!A:B,2,1)</f>
        <v>Player</v>
      </c>
      <c r="F1307" t="str">
        <f>F1268</f>
        <v xml:space="preserve">Danke. </v>
      </c>
      <c r="G1307" t="str">
        <f t="shared" si="256"/>
        <v>q</v>
      </c>
      <c r="H1307" t="str">
        <f>VLOOKUP(D1307,name!A:C,3,1)</f>
        <v>assets/icons/image326.png</v>
      </c>
    </row>
    <row r="1308" spans="1:8" x14ac:dyDescent="0.15">
      <c r="A1308" t="str">
        <f t="shared" ref="A1308:B1308" si="285">A1307</f>
        <v>ドイツ語</v>
      </c>
      <c r="B1308">
        <f t="shared" si="285"/>
        <v>14</v>
      </c>
      <c r="C1308">
        <f t="shared" si="262"/>
        <v>55</v>
      </c>
      <c r="D1308">
        <f>D1269</f>
        <v>16</v>
      </c>
      <c r="E1308" t="str">
        <f>VLOOKUP(D1308,name!A:B,2,1)</f>
        <v>Mayer</v>
      </c>
      <c r="F1308" t="str">
        <f>F1269</f>
        <v>それで、12月に私たちは結婚披露宴のために北京に行くのです。</v>
      </c>
      <c r="G1308" t="str">
        <f t="shared" si="256"/>
        <v>a</v>
      </c>
      <c r="H1308" t="str">
        <f>VLOOKUP(D1308,name!A:C,3,1)</f>
        <v>assets/icons/image208.png</v>
      </c>
    </row>
    <row r="1309" spans="1:8" x14ac:dyDescent="0.15">
      <c r="A1309" t="str">
        <f t="shared" ref="A1309:B1309" si="286">A1308</f>
        <v>ドイツ語</v>
      </c>
      <c r="B1309">
        <f t="shared" si="286"/>
        <v>14</v>
      </c>
      <c r="C1309">
        <f t="shared" si="262"/>
        <v>56</v>
      </c>
      <c r="D1309">
        <f>D1270</f>
        <v>16</v>
      </c>
      <c r="E1309" t="str">
        <f>VLOOKUP(D1309,name!A:B,2,1)</f>
        <v>Mayer</v>
      </c>
      <c r="F1309" t="str">
        <f>F1270</f>
        <v xml:space="preserve">Nun, im Dezember fahren wir zur Hochzeitsfeier nach Peking. </v>
      </c>
      <c r="G1309" t="str">
        <f t="shared" si="256"/>
        <v>a</v>
      </c>
      <c r="H1309" t="str">
        <f>VLOOKUP(D1309,name!A:C,3,1)</f>
        <v>assets/icons/image208.png</v>
      </c>
    </row>
    <row r="1310" spans="1:8" x14ac:dyDescent="0.15">
      <c r="A1310" t="str">
        <f t="shared" ref="A1310:B1310" si="287">A1309</f>
        <v>ドイツ語</v>
      </c>
      <c r="B1310">
        <f t="shared" si="287"/>
        <v>14</v>
      </c>
      <c r="C1310">
        <f t="shared" si="262"/>
        <v>57</v>
      </c>
      <c r="D1310">
        <v>0</v>
      </c>
      <c r="E1310" t="str">
        <f>VLOOKUP(D1310,name!A:B,2,1)</f>
        <v>Player</v>
      </c>
      <c r="F1310" t="str">
        <f>F1270</f>
        <v xml:space="preserve">Nun, im Dezember fahren wir zur Hochzeitsfeier nach Peking. </v>
      </c>
      <c r="G1310" t="str">
        <f t="shared" si="256"/>
        <v>q</v>
      </c>
      <c r="H1310" t="str">
        <f>VLOOKUP(D1310,name!A:C,3,1)</f>
        <v>assets/icons/image326.png</v>
      </c>
    </row>
    <row r="1311" spans="1:8" x14ac:dyDescent="0.15">
      <c r="A1311" t="str">
        <f t="shared" ref="A1311:B1311" si="288">A1310</f>
        <v>ドイツ語</v>
      </c>
      <c r="B1311">
        <f t="shared" si="288"/>
        <v>14</v>
      </c>
      <c r="C1311">
        <f t="shared" si="262"/>
        <v>58</v>
      </c>
      <c r="D1311">
        <f>D1271</f>
        <v>16</v>
      </c>
      <c r="E1311" t="str">
        <f>VLOOKUP(D1311,name!A:B,2,1)</f>
        <v>Mayer</v>
      </c>
      <c r="F1311" t="str">
        <f>F1271</f>
        <v>しかし、中国はどのような感じですか?</v>
      </c>
      <c r="G1311" t="str">
        <f t="shared" si="256"/>
        <v>a</v>
      </c>
      <c r="H1311" t="str">
        <f>VLOOKUP(D1311,name!A:C,3,1)</f>
        <v>assets/icons/image208.png</v>
      </c>
    </row>
    <row r="1312" spans="1:8" x14ac:dyDescent="0.15">
      <c r="A1312" t="str">
        <f t="shared" ref="A1312:B1312" si="289">A1311</f>
        <v>ドイツ語</v>
      </c>
      <c r="B1312">
        <f t="shared" si="289"/>
        <v>14</v>
      </c>
      <c r="C1312">
        <f t="shared" si="262"/>
        <v>59</v>
      </c>
      <c r="D1312">
        <f>D1272</f>
        <v>16</v>
      </c>
      <c r="E1312" t="str">
        <f>VLOOKUP(D1312,name!A:B,2,1)</f>
        <v>Mayer</v>
      </c>
      <c r="F1312" t="str">
        <f>F1272</f>
        <v>Aber wie ist es denn so in China?</v>
      </c>
      <c r="G1312" t="str">
        <f t="shared" si="256"/>
        <v>a</v>
      </c>
      <c r="H1312" t="str">
        <f>VLOOKUP(D1312,name!A:C,3,1)</f>
        <v>assets/icons/image208.png</v>
      </c>
    </row>
    <row r="1313" spans="1:8" x14ac:dyDescent="0.15">
      <c r="A1313" t="str">
        <f t="shared" ref="A1313:B1313" si="290">A1312</f>
        <v>ドイツ語</v>
      </c>
      <c r="B1313">
        <f t="shared" si="290"/>
        <v>14</v>
      </c>
      <c r="C1313">
        <f t="shared" si="262"/>
        <v>60</v>
      </c>
      <c r="D1313">
        <v>0</v>
      </c>
      <c r="E1313" t="str">
        <f>VLOOKUP(D1313,name!A:B,2,1)</f>
        <v>Player</v>
      </c>
      <c r="F1313" t="str">
        <f>F1272</f>
        <v>Aber wie ist es denn so in China?</v>
      </c>
      <c r="G1313" t="str">
        <f t="shared" si="256"/>
        <v>q</v>
      </c>
      <c r="H1313" t="str">
        <f>VLOOKUP(D1313,name!A:C,3,1)</f>
        <v>assets/icons/image326.png</v>
      </c>
    </row>
    <row r="1314" spans="1:8" x14ac:dyDescent="0.15">
      <c r="A1314" t="str">
        <f t="shared" ref="A1314:B1314" si="291">A1313</f>
        <v>ドイツ語</v>
      </c>
      <c r="B1314">
        <f t="shared" si="291"/>
        <v>14</v>
      </c>
      <c r="C1314">
        <f t="shared" si="262"/>
        <v>61</v>
      </c>
      <c r="D1314">
        <f>D1273</f>
        <v>16</v>
      </c>
      <c r="E1314" t="str">
        <f>VLOOKUP(D1314,name!A:B,2,1)</f>
        <v>Mayer</v>
      </c>
      <c r="F1314" t="str">
        <f>F1273</f>
        <v>英語は通じますか?</v>
      </c>
      <c r="G1314" t="str">
        <f t="shared" ref="G1314:G1370" si="292">IF(B1314&lt;&gt;B1315,"e",IF(D1314=0,"q","a"))</f>
        <v>a</v>
      </c>
      <c r="H1314" t="str">
        <f>VLOOKUP(D1314,name!A:C,3,1)</f>
        <v>assets/icons/image208.png</v>
      </c>
    </row>
    <row r="1315" spans="1:8" x14ac:dyDescent="0.15">
      <c r="A1315" t="str">
        <f t="shared" ref="A1315:B1315" si="293">A1314</f>
        <v>ドイツ語</v>
      </c>
      <c r="B1315">
        <f t="shared" si="293"/>
        <v>14</v>
      </c>
      <c r="C1315">
        <f t="shared" si="262"/>
        <v>62</v>
      </c>
      <c r="D1315">
        <f>D1274</f>
        <v>16</v>
      </c>
      <c r="E1315" t="str">
        <f>VLOOKUP(D1315,name!A:B,2,1)</f>
        <v>Mayer</v>
      </c>
      <c r="F1315" t="str">
        <f>F1274</f>
        <v>Kommt man da mit Englisch durch?</v>
      </c>
      <c r="G1315" t="str">
        <f t="shared" si="292"/>
        <v>a</v>
      </c>
      <c r="H1315" t="str">
        <f>VLOOKUP(D1315,name!A:C,3,1)</f>
        <v>assets/icons/image208.png</v>
      </c>
    </row>
    <row r="1316" spans="1:8" x14ac:dyDescent="0.15">
      <c r="A1316" t="str">
        <f t="shared" ref="A1316:B1316" si="294">A1315</f>
        <v>ドイツ語</v>
      </c>
      <c r="B1316">
        <f t="shared" si="294"/>
        <v>14</v>
      </c>
      <c r="C1316">
        <f t="shared" si="262"/>
        <v>63</v>
      </c>
      <c r="D1316">
        <v>0</v>
      </c>
      <c r="E1316" t="str">
        <f>VLOOKUP(D1316,name!A:B,2,1)</f>
        <v>Player</v>
      </c>
      <c r="F1316" t="str">
        <f>F1274</f>
        <v>Kommt man da mit Englisch durch?</v>
      </c>
      <c r="G1316" t="str">
        <f t="shared" si="292"/>
        <v>q</v>
      </c>
      <c r="H1316" t="str">
        <f>VLOOKUP(D1316,name!A:C,3,1)</f>
        <v>assets/icons/image326.png</v>
      </c>
    </row>
    <row r="1317" spans="1:8" x14ac:dyDescent="0.15">
      <c r="A1317" t="str">
        <f t="shared" ref="A1317:B1317" si="295">A1316</f>
        <v>ドイツ語</v>
      </c>
      <c r="B1317">
        <f t="shared" si="295"/>
        <v>14</v>
      </c>
      <c r="C1317">
        <f t="shared" si="262"/>
        <v>64</v>
      </c>
      <c r="D1317">
        <f>D1275</f>
        <v>2</v>
      </c>
      <c r="E1317" t="str">
        <f>VLOOKUP(D1317,name!A:B,2,1)</f>
        <v>Tanaka</v>
      </c>
      <c r="F1317" t="str">
        <f>F1275</f>
        <v>まあ、英語では少し難しいかもしれません。</v>
      </c>
      <c r="G1317" t="str">
        <f t="shared" si="292"/>
        <v>a</v>
      </c>
      <c r="H1317" t="str">
        <f>VLOOKUP(D1317,name!A:C,3,1)</f>
        <v>assets/icons/image013.png</v>
      </c>
    </row>
    <row r="1318" spans="1:8" x14ac:dyDescent="0.15">
      <c r="A1318" t="str">
        <f t="shared" ref="A1318:B1318" si="296">A1317</f>
        <v>ドイツ語</v>
      </c>
      <c r="B1318">
        <f t="shared" si="296"/>
        <v>14</v>
      </c>
      <c r="C1318">
        <f t="shared" si="262"/>
        <v>65</v>
      </c>
      <c r="D1318">
        <f>D1276</f>
        <v>2</v>
      </c>
      <c r="E1318" t="str">
        <f>VLOOKUP(D1318,name!A:B,2,1)</f>
        <v>Tanaka</v>
      </c>
      <c r="F1318" t="str">
        <f>F1276</f>
        <v>Na ja, mit Englisch kann es etwas schwierig sein.</v>
      </c>
      <c r="G1318" t="str">
        <f t="shared" si="292"/>
        <v>a</v>
      </c>
      <c r="H1318" t="str">
        <f>VLOOKUP(D1318,name!A:C,3,1)</f>
        <v>assets/icons/image013.png</v>
      </c>
    </row>
    <row r="1319" spans="1:8" x14ac:dyDescent="0.15">
      <c r="A1319" t="str">
        <f t="shared" ref="A1319:B1319" si="297">A1318</f>
        <v>ドイツ語</v>
      </c>
      <c r="B1319">
        <f t="shared" si="297"/>
        <v>14</v>
      </c>
      <c r="C1319">
        <f t="shared" si="262"/>
        <v>66</v>
      </c>
      <c r="D1319">
        <v>0</v>
      </c>
      <c r="E1319" t="str">
        <f>VLOOKUP(D1319,name!A:B,2,1)</f>
        <v>Player</v>
      </c>
      <c r="F1319" t="str">
        <f>F1276</f>
        <v>Na ja, mit Englisch kann es etwas schwierig sein.</v>
      </c>
      <c r="G1319" t="str">
        <f t="shared" si="292"/>
        <v>q</v>
      </c>
      <c r="H1319" t="str">
        <f>VLOOKUP(D1319,name!A:C,3,1)</f>
        <v>assets/icons/image326.png</v>
      </c>
    </row>
    <row r="1320" spans="1:8" x14ac:dyDescent="0.15">
      <c r="A1320" t="str">
        <f t="shared" ref="A1320:B1320" si="298">A1319</f>
        <v>ドイツ語</v>
      </c>
      <c r="B1320">
        <f t="shared" si="298"/>
        <v>14</v>
      </c>
      <c r="C1320">
        <f t="shared" ref="C1320:C1371" si="299">C1319+1</f>
        <v>67</v>
      </c>
      <c r="D1320">
        <f>D1277</f>
        <v>2</v>
      </c>
      <c r="E1320" t="str">
        <f>VLOOKUP(D1320,name!A:B,2,1)</f>
        <v>Tanaka</v>
      </c>
      <c r="F1320" t="str">
        <f>F1277</f>
        <v>しかし、あなたの娘さんは中国語を上手に話せますよね？</v>
      </c>
      <c r="G1320" t="str">
        <f t="shared" si="292"/>
        <v>a</v>
      </c>
      <c r="H1320" t="str">
        <f>VLOOKUP(D1320,name!A:C,3,1)</f>
        <v>assets/icons/image013.png</v>
      </c>
    </row>
    <row r="1321" spans="1:8" x14ac:dyDescent="0.15">
      <c r="A1321" t="str">
        <f t="shared" ref="A1321:B1321" si="300">A1320</f>
        <v>ドイツ語</v>
      </c>
      <c r="B1321">
        <f t="shared" si="300"/>
        <v>14</v>
      </c>
      <c r="C1321">
        <f t="shared" si="299"/>
        <v>68</v>
      </c>
      <c r="D1321">
        <f>D1278</f>
        <v>2</v>
      </c>
      <c r="E1321" t="str">
        <f>VLOOKUP(D1321,name!A:B,2,1)</f>
        <v>Tanaka</v>
      </c>
      <c r="F1321" t="str">
        <f>F1278</f>
        <v>Aber Ihre Tochter spricht sicher gut Chinesisch, oder?</v>
      </c>
      <c r="G1321" t="str">
        <f t="shared" si="292"/>
        <v>a</v>
      </c>
      <c r="H1321" t="str">
        <f>VLOOKUP(D1321,name!A:C,3,1)</f>
        <v>assets/icons/image013.png</v>
      </c>
    </row>
    <row r="1322" spans="1:8" x14ac:dyDescent="0.15">
      <c r="A1322" t="str">
        <f t="shared" ref="A1322:B1322" si="301">A1321</f>
        <v>ドイツ語</v>
      </c>
      <c r="B1322">
        <f t="shared" si="301"/>
        <v>14</v>
      </c>
      <c r="C1322">
        <f t="shared" si="299"/>
        <v>69</v>
      </c>
      <c r="D1322">
        <v>0</v>
      </c>
      <c r="E1322" t="str">
        <f>VLOOKUP(D1322,name!A:B,2,1)</f>
        <v>Player</v>
      </c>
      <c r="F1322" t="str">
        <f>F1278</f>
        <v>Aber Ihre Tochter spricht sicher gut Chinesisch, oder?</v>
      </c>
      <c r="G1322" t="str">
        <f t="shared" si="292"/>
        <v>q</v>
      </c>
      <c r="H1322" t="str">
        <f>VLOOKUP(D1322,name!A:C,3,1)</f>
        <v>assets/icons/image326.png</v>
      </c>
    </row>
    <row r="1323" spans="1:8" x14ac:dyDescent="0.15">
      <c r="A1323" t="str">
        <f t="shared" ref="A1323:B1323" si="302">A1322</f>
        <v>ドイツ語</v>
      </c>
      <c r="B1323">
        <f t="shared" si="302"/>
        <v>14</v>
      </c>
      <c r="C1323">
        <f t="shared" si="299"/>
        <v>70</v>
      </c>
      <c r="D1323">
        <f>D1279</f>
        <v>16</v>
      </c>
      <c r="E1323" t="str">
        <f>VLOOKUP(D1323,name!A:B,2,1)</f>
        <v>Mayer</v>
      </c>
      <c r="F1323" t="str">
        <f>F1279</f>
        <v>はい、彼女は中国学を学び、すでに中国からの多くの友人がいました。</v>
      </c>
      <c r="G1323" t="str">
        <f t="shared" si="292"/>
        <v>a</v>
      </c>
      <c r="H1323" t="str">
        <f>VLOOKUP(D1323,name!A:C,3,1)</f>
        <v>assets/icons/image208.png</v>
      </c>
    </row>
    <row r="1324" spans="1:8" x14ac:dyDescent="0.15">
      <c r="A1324" t="str">
        <f t="shared" ref="A1324:B1324" si="303">A1323</f>
        <v>ドイツ語</v>
      </c>
      <c r="B1324">
        <f t="shared" si="303"/>
        <v>14</v>
      </c>
      <c r="C1324">
        <f t="shared" si="299"/>
        <v>71</v>
      </c>
      <c r="D1324">
        <f>D1280</f>
        <v>16</v>
      </c>
      <c r="E1324" t="str">
        <f>VLOOKUP(D1324,name!A:B,2,1)</f>
        <v>Mayer</v>
      </c>
      <c r="F1324" t="str">
        <f>F1280</f>
        <v xml:space="preserve">Ja, sie hat Sinologie studiert und hatte damals schon viele Freunde aus China. </v>
      </c>
      <c r="G1324" t="str">
        <f t="shared" si="292"/>
        <v>a</v>
      </c>
      <c r="H1324" t="str">
        <f>VLOOKUP(D1324,name!A:C,3,1)</f>
        <v>assets/icons/image208.png</v>
      </c>
    </row>
    <row r="1325" spans="1:8" x14ac:dyDescent="0.15">
      <c r="A1325" t="str">
        <f t="shared" ref="A1325:B1325" si="304">A1324</f>
        <v>ドイツ語</v>
      </c>
      <c r="B1325">
        <f t="shared" si="304"/>
        <v>14</v>
      </c>
      <c r="C1325">
        <f t="shared" si="299"/>
        <v>72</v>
      </c>
      <c r="D1325">
        <v>0</v>
      </c>
      <c r="E1325" t="str">
        <f>VLOOKUP(D1325,name!A:B,2,1)</f>
        <v>Player</v>
      </c>
      <c r="F1325" t="str">
        <f>F1280</f>
        <v xml:space="preserve">Ja, sie hat Sinologie studiert und hatte damals schon viele Freunde aus China. </v>
      </c>
      <c r="G1325" t="str">
        <f t="shared" si="292"/>
        <v>q</v>
      </c>
      <c r="H1325" t="str">
        <f>VLOOKUP(D1325,name!A:C,3,1)</f>
        <v>assets/icons/image326.png</v>
      </c>
    </row>
    <row r="1326" spans="1:8" x14ac:dyDescent="0.15">
      <c r="A1326" t="str">
        <f t="shared" ref="A1326:B1326" si="305">A1325</f>
        <v>ドイツ語</v>
      </c>
      <c r="B1326">
        <f t="shared" si="305"/>
        <v>14</v>
      </c>
      <c r="C1326">
        <f t="shared" si="299"/>
        <v>73</v>
      </c>
      <c r="D1326">
        <f>D1281</f>
        <v>16</v>
      </c>
      <c r="E1326" t="str">
        <f>VLOOKUP(D1326,name!A:B,2,1)</f>
        <v>Mayer</v>
      </c>
      <c r="F1326" t="str">
        <f>F1281</f>
        <v>その時、彼女は私たちに友人を紹介したいと言いました...</v>
      </c>
      <c r="G1326" t="str">
        <f t="shared" si="292"/>
        <v>a</v>
      </c>
      <c r="H1326" t="str">
        <f>VLOOKUP(D1326,name!A:C,3,1)</f>
        <v>assets/icons/image208.png</v>
      </c>
    </row>
    <row r="1327" spans="1:8" x14ac:dyDescent="0.15">
      <c r="A1327" t="str">
        <f t="shared" ref="A1327:B1327" si="306">A1326</f>
        <v>ドイツ語</v>
      </c>
      <c r="B1327">
        <f t="shared" si="306"/>
        <v>14</v>
      </c>
      <c r="C1327">
        <f t="shared" si="299"/>
        <v>74</v>
      </c>
      <c r="D1327">
        <f>D1282</f>
        <v>16</v>
      </c>
      <c r="E1327" t="str">
        <f>VLOOKUP(D1327,name!A:B,2,1)</f>
        <v>Mayer</v>
      </c>
      <c r="F1327" t="str">
        <f>F1282</f>
        <v xml:space="preserve">Einmal wollte sie uns einen Freund vorstellen und ... </v>
      </c>
      <c r="G1327" t="str">
        <f t="shared" si="292"/>
        <v>a</v>
      </c>
      <c r="H1327" t="str">
        <f>VLOOKUP(D1327,name!A:C,3,1)</f>
        <v>assets/icons/image208.png</v>
      </c>
    </row>
    <row r="1328" spans="1:8" x14ac:dyDescent="0.15">
      <c r="A1328" t="str">
        <f t="shared" ref="A1328:B1328" si="307">A1327</f>
        <v>ドイツ語</v>
      </c>
      <c r="B1328">
        <f t="shared" si="307"/>
        <v>14</v>
      </c>
      <c r="C1328">
        <f t="shared" si="299"/>
        <v>75</v>
      </c>
      <c r="D1328">
        <v>0</v>
      </c>
      <c r="E1328" t="str">
        <f>VLOOKUP(D1328,name!A:B,2,1)</f>
        <v>Player</v>
      </c>
      <c r="F1328" t="str">
        <f>F1282</f>
        <v xml:space="preserve">Einmal wollte sie uns einen Freund vorstellen und ... </v>
      </c>
      <c r="G1328" t="str">
        <f t="shared" si="292"/>
        <v>q</v>
      </c>
      <c r="H1328" t="str">
        <f>VLOOKUP(D1328,name!A:C,3,1)</f>
        <v>assets/icons/image326.png</v>
      </c>
    </row>
    <row r="1329" spans="1:8" x14ac:dyDescent="0.15">
      <c r="A1329" t="str">
        <f t="shared" ref="A1329:B1329" si="308">A1328</f>
        <v>ドイツ語</v>
      </c>
      <c r="B1329">
        <f t="shared" si="308"/>
        <v>14</v>
      </c>
      <c r="C1329">
        <f t="shared" si="299"/>
        <v>76</v>
      </c>
      <c r="D1329">
        <f>D1283</f>
        <v>16</v>
      </c>
      <c r="E1329" t="str">
        <f>VLOOKUP(D1329,name!A:B,2,1)</f>
        <v>Mayer</v>
      </c>
      <c r="F1329" t="str">
        <f>F1283</f>
        <v>それが彼でした。</v>
      </c>
      <c r="G1329" t="str">
        <f t="shared" si="292"/>
        <v>a</v>
      </c>
      <c r="H1329" t="str">
        <f>VLOOKUP(D1329,name!A:C,3,1)</f>
        <v>assets/icons/image208.png</v>
      </c>
    </row>
    <row r="1330" spans="1:8" x14ac:dyDescent="0.15">
      <c r="A1330" t="str">
        <f t="shared" ref="A1330:B1330" si="309">A1329</f>
        <v>ドイツ語</v>
      </c>
      <c r="B1330">
        <f t="shared" si="309"/>
        <v>14</v>
      </c>
      <c r="C1330">
        <f t="shared" si="299"/>
        <v>77</v>
      </c>
      <c r="D1330">
        <f>D1284</f>
        <v>16</v>
      </c>
      <c r="E1330" t="str">
        <f>VLOOKUP(D1330,name!A:B,2,1)</f>
        <v>Mayer</v>
      </c>
      <c r="F1330" t="str">
        <f>F1284</f>
        <v>das war er dann.</v>
      </c>
      <c r="G1330" t="str">
        <f t="shared" si="292"/>
        <v>a</v>
      </c>
      <c r="H1330" t="str">
        <f>VLOOKUP(D1330,name!A:C,3,1)</f>
        <v>assets/icons/image208.png</v>
      </c>
    </row>
    <row r="1331" spans="1:8" x14ac:dyDescent="0.15">
      <c r="A1331" t="str">
        <f t="shared" ref="A1331:B1331" si="310">A1330</f>
        <v>ドイツ語</v>
      </c>
      <c r="B1331">
        <f t="shared" si="310"/>
        <v>14</v>
      </c>
      <c r="C1331">
        <f t="shared" si="299"/>
        <v>78</v>
      </c>
      <c r="D1331">
        <v>0</v>
      </c>
      <c r="E1331" t="str">
        <f>VLOOKUP(D1331,name!A:B,2,1)</f>
        <v>Player</v>
      </c>
      <c r="F1331" t="str">
        <f>F1284</f>
        <v>das war er dann.</v>
      </c>
      <c r="G1331" t="str">
        <f t="shared" si="292"/>
        <v>q</v>
      </c>
      <c r="H1331" t="str">
        <f>VLOOKUP(D1331,name!A:C,3,1)</f>
        <v>assets/icons/image326.png</v>
      </c>
    </row>
    <row r="1332" spans="1:8" x14ac:dyDescent="0.15">
      <c r="A1332" t="str">
        <f t="shared" ref="A1332:B1332" si="311">A1331</f>
        <v>ドイツ語</v>
      </c>
      <c r="B1332">
        <f t="shared" si="311"/>
        <v>14</v>
      </c>
      <c r="C1332">
        <f t="shared" si="299"/>
        <v>79</v>
      </c>
      <c r="D1332">
        <f>D1285</f>
        <v>2</v>
      </c>
      <c r="E1332" t="str">
        <f>VLOOKUP(D1332,name!A:B,2,1)</f>
        <v>Tanaka</v>
      </c>
      <c r="F1332" t="str">
        <f>F1285</f>
        <v>なるほど。</v>
      </c>
      <c r="G1332" t="str">
        <f t="shared" si="292"/>
        <v>a</v>
      </c>
      <c r="H1332" t="str">
        <f>VLOOKUP(D1332,name!A:C,3,1)</f>
        <v>assets/icons/image013.png</v>
      </c>
    </row>
    <row r="1333" spans="1:8" x14ac:dyDescent="0.15">
      <c r="A1333" t="str">
        <f t="shared" ref="A1333:B1333" si="312">A1332</f>
        <v>ドイツ語</v>
      </c>
      <c r="B1333">
        <f t="shared" si="312"/>
        <v>14</v>
      </c>
      <c r="C1333">
        <f t="shared" si="299"/>
        <v>80</v>
      </c>
      <c r="D1333">
        <f>D1286</f>
        <v>2</v>
      </c>
      <c r="E1333" t="str">
        <f>VLOOKUP(D1333,name!A:B,2,1)</f>
        <v>Tanaka</v>
      </c>
      <c r="F1333" t="str">
        <f>F1286</f>
        <v xml:space="preserve">Aha. </v>
      </c>
      <c r="G1333" t="str">
        <f t="shared" si="292"/>
        <v>a</v>
      </c>
      <c r="H1333" t="str">
        <f>VLOOKUP(D1333,name!A:C,3,1)</f>
        <v>assets/icons/image013.png</v>
      </c>
    </row>
    <row r="1334" spans="1:8" x14ac:dyDescent="0.15">
      <c r="A1334" t="str">
        <f t="shared" ref="A1334:B1334" si="313">A1333</f>
        <v>ドイツ語</v>
      </c>
      <c r="B1334">
        <f t="shared" si="313"/>
        <v>14</v>
      </c>
      <c r="C1334">
        <f t="shared" si="299"/>
        <v>81</v>
      </c>
      <c r="D1334">
        <v>0</v>
      </c>
      <c r="E1334" t="str">
        <f>VLOOKUP(D1334,name!A:B,2,1)</f>
        <v>Player</v>
      </c>
      <c r="F1334" t="str">
        <f>F1286</f>
        <v xml:space="preserve">Aha. </v>
      </c>
      <c r="G1334" t="str">
        <f t="shared" si="292"/>
        <v>q</v>
      </c>
      <c r="H1334" t="str">
        <f>VLOOKUP(D1334,name!A:C,3,1)</f>
        <v>assets/icons/image326.png</v>
      </c>
    </row>
    <row r="1335" spans="1:8" x14ac:dyDescent="0.15">
      <c r="A1335" t="str">
        <f t="shared" ref="A1335:B1335" si="314">A1334</f>
        <v>ドイツ語</v>
      </c>
      <c r="B1335">
        <f t="shared" si="314"/>
        <v>14</v>
      </c>
      <c r="C1335">
        <f t="shared" si="299"/>
        <v>82</v>
      </c>
      <c r="D1335">
        <f>D1287</f>
        <v>2</v>
      </c>
      <c r="E1335" t="str">
        <f>VLOOKUP(D1335,name!A:B,2,1)</f>
        <v>Tanaka</v>
      </c>
      <c r="F1335" t="str">
        <f>F1287</f>
        <v>では、あなたは中国語を学ぶ必要がありますね。</v>
      </c>
      <c r="G1335" t="str">
        <f t="shared" si="292"/>
        <v>a</v>
      </c>
      <c r="H1335" t="str">
        <f>VLOOKUP(D1335,name!A:C,3,1)</f>
        <v>assets/icons/image013.png</v>
      </c>
    </row>
    <row r="1336" spans="1:8" x14ac:dyDescent="0.15">
      <c r="A1336" t="str">
        <f t="shared" ref="A1336:B1336" si="315">A1335</f>
        <v>ドイツ語</v>
      </c>
      <c r="B1336">
        <f t="shared" si="315"/>
        <v>14</v>
      </c>
      <c r="C1336">
        <f t="shared" si="299"/>
        <v>83</v>
      </c>
      <c r="D1336">
        <f>D1288</f>
        <v>2</v>
      </c>
      <c r="E1336" t="str">
        <f>VLOOKUP(D1336,name!A:B,2,1)</f>
        <v>Tanaka</v>
      </c>
      <c r="F1336" t="str">
        <f>F1288</f>
        <v>Da müssen Sie jetzt Chinesisch lernen.</v>
      </c>
      <c r="G1336" t="str">
        <f t="shared" si="292"/>
        <v>a</v>
      </c>
      <c r="H1336" t="str">
        <f>VLOOKUP(D1336,name!A:C,3,1)</f>
        <v>assets/icons/image013.png</v>
      </c>
    </row>
    <row r="1337" spans="1:8" x14ac:dyDescent="0.15">
      <c r="A1337" t="str">
        <f t="shared" ref="A1337:B1337" si="316">A1336</f>
        <v>ドイツ語</v>
      </c>
      <c r="B1337">
        <f t="shared" si="316"/>
        <v>14</v>
      </c>
      <c r="C1337">
        <f t="shared" si="299"/>
        <v>84</v>
      </c>
      <c r="D1337">
        <v>0</v>
      </c>
      <c r="E1337" t="str">
        <f>VLOOKUP(D1337,name!A:B,2,1)</f>
        <v>Player</v>
      </c>
      <c r="F1337" t="str">
        <f>F1288</f>
        <v>Da müssen Sie jetzt Chinesisch lernen.</v>
      </c>
      <c r="G1337" t="str">
        <f t="shared" si="292"/>
        <v>q</v>
      </c>
      <c r="H1337" t="str">
        <f>VLOOKUP(D1337,name!A:C,3,1)</f>
        <v>assets/icons/image326.png</v>
      </c>
    </row>
    <row r="1338" spans="1:8" x14ac:dyDescent="0.15">
      <c r="A1338" t="str">
        <f t="shared" ref="A1338:B1338" si="317">A1337</f>
        <v>ドイツ語</v>
      </c>
      <c r="B1338">
        <f t="shared" si="317"/>
        <v>14</v>
      </c>
      <c r="C1338">
        <f t="shared" si="299"/>
        <v>85</v>
      </c>
      <c r="D1338">
        <v>1</v>
      </c>
      <c r="E1338" t="str">
        <f>VLOOKUP(D1338,name!A:B,2,1)</f>
        <v>Navigator</v>
      </c>
      <c r="F1338" t="str">
        <f>"次の日本語を"&amp;A1338&amp;"に訳して答えてね！"</f>
        <v>次の日本語をドイツ語に訳して答えてね！</v>
      </c>
      <c r="G1338" t="str">
        <f t="shared" si="292"/>
        <v>a</v>
      </c>
      <c r="H1338" t="str">
        <f>VLOOKUP(D1338,name!A:C,3,1)</f>
        <v>assets/icons/image014.png</v>
      </c>
    </row>
    <row r="1339" spans="1:8" x14ac:dyDescent="0.15">
      <c r="A1339" t="str">
        <f t="shared" ref="A1339:B1339" si="318">A1338</f>
        <v>ドイツ語</v>
      </c>
      <c r="B1339">
        <f t="shared" si="318"/>
        <v>14</v>
      </c>
      <c r="C1339">
        <f t="shared" si="299"/>
        <v>86</v>
      </c>
      <c r="D1339">
        <f>D1257</f>
        <v>16</v>
      </c>
      <c r="E1339" t="str">
        <f>VLOOKUP(D1339,name!A:B,2,1)</f>
        <v>Mayer</v>
      </c>
      <c r="F1339" t="str">
        <f t="shared" ref="F1339:F1370" si="319">F1257</f>
        <v>田中さんは中国に行ったことはありますか?</v>
      </c>
      <c r="G1339" t="str">
        <f t="shared" si="292"/>
        <v>a</v>
      </c>
      <c r="H1339" t="str">
        <f>VLOOKUP(D1339,name!A:C,3,1)</f>
        <v>assets/icons/image208.png</v>
      </c>
    </row>
    <row r="1340" spans="1:8" x14ac:dyDescent="0.15">
      <c r="A1340" t="str">
        <f t="shared" ref="A1340:B1340" si="320">A1339</f>
        <v>ドイツ語</v>
      </c>
      <c r="B1340">
        <f t="shared" si="320"/>
        <v>14</v>
      </c>
      <c r="C1340">
        <f t="shared" si="299"/>
        <v>87</v>
      </c>
      <c r="D1340">
        <v>0</v>
      </c>
      <c r="E1340" t="str">
        <f>VLOOKUP(D1340,name!A:B,2,1)</f>
        <v>Player</v>
      </c>
      <c r="F1340" t="str">
        <f t="shared" si="319"/>
        <v>Herr Tanaka, waren Sie schon einmal in China?</v>
      </c>
      <c r="G1340" t="str">
        <f t="shared" si="292"/>
        <v>q</v>
      </c>
      <c r="H1340" t="str">
        <f>VLOOKUP(D1340,name!A:C,3,1)</f>
        <v>assets/icons/image326.png</v>
      </c>
    </row>
    <row r="1341" spans="1:8" x14ac:dyDescent="0.15">
      <c r="A1341" t="str">
        <f t="shared" ref="A1341:B1341" si="321">A1340</f>
        <v>ドイツ語</v>
      </c>
      <c r="B1341">
        <f t="shared" si="321"/>
        <v>14</v>
      </c>
      <c r="C1341">
        <f t="shared" si="299"/>
        <v>88</v>
      </c>
      <c r="D1341">
        <f>D1259</f>
        <v>2</v>
      </c>
      <c r="E1341" t="str">
        <f>VLOOKUP(D1341,name!A:B,2,1)</f>
        <v>Tanaka</v>
      </c>
      <c r="F1341" t="str">
        <f t="shared" si="319"/>
        <v>はい、私は2回いったことがあります。</v>
      </c>
      <c r="G1341" t="str">
        <f t="shared" si="292"/>
        <v>a</v>
      </c>
      <c r="H1341" t="str">
        <f>VLOOKUP(D1341,name!A:C,3,1)</f>
        <v>assets/icons/image013.png</v>
      </c>
    </row>
    <row r="1342" spans="1:8" x14ac:dyDescent="0.15">
      <c r="A1342" t="str">
        <f t="shared" ref="A1342:B1342" si="322">A1341</f>
        <v>ドイツ語</v>
      </c>
      <c r="B1342">
        <f t="shared" si="322"/>
        <v>14</v>
      </c>
      <c r="C1342">
        <f t="shared" si="299"/>
        <v>89</v>
      </c>
      <c r="D1342">
        <v>0</v>
      </c>
      <c r="E1342" t="str">
        <f>VLOOKUP(D1342,name!A:B,2,1)</f>
        <v>Player</v>
      </c>
      <c r="F1342" t="str">
        <f t="shared" si="319"/>
        <v>Ja, da war ich zwei Mal.</v>
      </c>
      <c r="G1342" t="str">
        <f t="shared" si="292"/>
        <v>q</v>
      </c>
      <c r="H1342" t="str">
        <f>VLOOKUP(D1342,name!A:C,3,1)</f>
        <v>assets/icons/image326.png</v>
      </c>
    </row>
    <row r="1343" spans="1:8" x14ac:dyDescent="0.15">
      <c r="A1343" t="str">
        <f t="shared" ref="A1343:B1343" si="323">A1342</f>
        <v>ドイツ語</v>
      </c>
      <c r="B1343">
        <f t="shared" si="323"/>
        <v>14</v>
      </c>
      <c r="C1343">
        <f t="shared" si="299"/>
        <v>90</v>
      </c>
      <c r="D1343">
        <f>D1261</f>
        <v>2</v>
      </c>
      <c r="E1343" t="str">
        <f>VLOOKUP(D1343,name!A:B,2,1)</f>
        <v>Tanaka</v>
      </c>
      <c r="F1343" t="str">
        <f t="shared" si="319"/>
        <v>なぜですか。</v>
      </c>
      <c r="G1343" t="str">
        <f t="shared" si="292"/>
        <v>a</v>
      </c>
      <c r="H1343" t="str">
        <f>VLOOKUP(D1343,name!A:C,3,1)</f>
        <v>assets/icons/image013.png</v>
      </c>
    </row>
    <row r="1344" spans="1:8" x14ac:dyDescent="0.15">
      <c r="A1344" t="str">
        <f t="shared" ref="A1344:B1344" si="324">A1343</f>
        <v>ドイツ語</v>
      </c>
      <c r="B1344">
        <f t="shared" si="324"/>
        <v>14</v>
      </c>
      <c r="C1344">
        <f t="shared" si="299"/>
        <v>91</v>
      </c>
      <c r="D1344">
        <v>0</v>
      </c>
      <c r="E1344" t="str">
        <f>VLOOKUP(D1344,name!A:B,2,1)</f>
        <v>Player</v>
      </c>
      <c r="F1344" t="str">
        <f t="shared" si="319"/>
        <v xml:space="preserve"> Warum?</v>
      </c>
      <c r="G1344" t="str">
        <f t="shared" si="292"/>
        <v>q</v>
      </c>
      <c r="H1344" t="str">
        <f>VLOOKUP(D1344,name!A:C,3,1)</f>
        <v>assets/icons/image326.png</v>
      </c>
    </row>
    <row r="1345" spans="1:8" x14ac:dyDescent="0.15">
      <c r="A1345" t="str">
        <f t="shared" ref="A1345:B1345" si="325">A1344</f>
        <v>ドイツ語</v>
      </c>
      <c r="B1345">
        <f t="shared" si="325"/>
        <v>14</v>
      </c>
      <c r="C1345">
        <f t="shared" si="299"/>
        <v>92</v>
      </c>
      <c r="D1345">
        <f>D1263</f>
        <v>16</v>
      </c>
      <c r="E1345" t="str">
        <f>VLOOKUP(D1345,name!A:B,2,1)</f>
        <v>Mayer</v>
      </c>
      <c r="F1345" t="str">
        <f t="shared" si="319"/>
        <v>私の娘が中国人と結婚するのです。</v>
      </c>
      <c r="G1345" t="str">
        <f t="shared" si="292"/>
        <v>a</v>
      </c>
      <c r="H1345" t="str">
        <f>VLOOKUP(D1345,name!A:C,3,1)</f>
        <v>assets/icons/image208.png</v>
      </c>
    </row>
    <row r="1346" spans="1:8" x14ac:dyDescent="0.15">
      <c r="A1346" t="str">
        <f t="shared" ref="A1346:B1346" si="326">A1345</f>
        <v>ドイツ語</v>
      </c>
      <c r="B1346">
        <f t="shared" si="326"/>
        <v>14</v>
      </c>
      <c r="C1346">
        <f t="shared" si="299"/>
        <v>93</v>
      </c>
      <c r="D1346">
        <v>0</v>
      </c>
      <c r="E1346" t="str">
        <f>VLOOKUP(D1346,name!A:B,2,1)</f>
        <v>Player</v>
      </c>
      <c r="F1346" t="str">
        <f t="shared" si="319"/>
        <v>Meine Tochter heiratet einen Chinesen.</v>
      </c>
      <c r="G1346" t="str">
        <f t="shared" si="292"/>
        <v>q</v>
      </c>
      <c r="H1346" t="str">
        <f>VLOOKUP(D1346,name!A:C,3,1)</f>
        <v>assets/icons/image326.png</v>
      </c>
    </row>
    <row r="1347" spans="1:8" x14ac:dyDescent="0.15">
      <c r="A1347" t="str">
        <f t="shared" ref="A1347:B1347" si="327">A1346</f>
        <v>ドイツ語</v>
      </c>
      <c r="B1347">
        <f t="shared" si="327"/>
        <v>14</v>
      </c>
      <c r="C1347">
        <f t="shared" si="299"/>
        <v>94</v>
      </c>
      <c r="D1347">
        <f>D1265</f>
        <v>2</v>
      </c>
      <c r="E1347" t="str">
        <f>VLOOKUP(D1347,name!A:B,2,1)</f>
        <v>Tanaka</v>
      </c>
      <c r="F1347" t="str">
        <f t="shared" si="319"/>
        <v>それは、おめでとうございます!</v>
      </c>
      <c r="G1347" t="str">
        <f t="shared" si="292"/>
        <v>a</v>
      </c>
      <c r="H1347" t="str">
        <f>VLOOKUP(D1347,name!A:C,3,1)</f>
        <v>assets/icons/image013.png</v>
      </c>
    </row>
    <row r="1348" spans="1:8" x14ac:dyDescent="0.15">
      <c r="A1348" t="str">
        <f t="shared" ref="A1348:B1348" si="328">A1347</f>
        <v>ドイツ語</v>
      </c>
      <c r="B1348">
        <f t="shared" si="328"/>
        <v>14</v>
      </c>
      <c r="C1348">
        <f t="shared" si="299"/>
        <v>95</v>
      </c>
      <c r="D1348">
        <v>0</v>
      </c>
      <c r="E1348" t="str">
        <f>VLOOKUP(D1348,name!A:B,2,1)</f>
        <v>Player</v>
      </c>
      <c r="F1348" t="str">
        <f t="shared" si="319"/>
        <v>Oh, herzlichen Glückwunsch!</v>
      </c>
      <c r="G1348" t="str">
        <f t="shared" si="292"/>
        <v>q</v>
      </c>
      <c r="H1348" t="str">
        <f>VLOOKUP(D1348,name!A:C,3,1)</f>
        <v>assets/icons/image326.png</v>
      </c>
    </row>
    <row r="1349" spans="1:8" x14ac:dyDescent="0.15">
      <c r="A1349" t="str">
        <f t="shared" ref="A1349:B1349" si="329">A1348</f>
        <v>ドイツ語</v>
      </c>
      <c r="B1349">
        <f t="shared" si="329"/>
        <v>14</v>
      </c>
      <c r="C1349">
        <f t="shared" si="299"/>
        <v>96</v>
      </c>
      <c r="D1349">
        <f>D1267</f>
        <v>16</v>
      </c>
      <c r="E1349" t="str">
        <f>VLOOKUP(D1349,name!A:B,2,1)</f>
        <v>Mayer</v>
      </c>
      <c r="F1349" t="str">
        <f t="shared" si="319"/>
        <v>ありがとうございます。</v>
      </c>
      <c r="G1349" t="str">
        <f t="shared" si="292"/>
        <v>a</v>
      </c>
      <c r="H1349" t="str">
        <f>VLOOKUP(D1349,name!A:C,3,1)</f>
        <v>assets/icons/image208.png</v>
      </c>
    </row>
    <row r="1350" spans="1:8" x14ac:dyDescent="0.15">
      <c r="A1350" t="str">
        <f t="shared" ref="A1350:B1350" si="330">A1349</f>
        <v>ドイツ語</v>
      </c>
      <c r="B1350">
        <f t="shared" si="330"/>
        <v>14</v>
      </c>
      <c r="C1350">
        <f t="shared" si="299"/>
        <v>97</v>
      </c>
      <c r="D1350">
        <v>0</v>
      </c>
      <c r="E1350" t="str">
        <f>VLOOKUP(D1350,name!A:B,2,1)</f>
        <v>Player</v>
      </c>
      <c r="F1350" t="str">
        <f t="shared" si="319"/>
        <v xml:space="preserve">Danke. </v>
      </c>
      <c r="G1350" t="str">
        <f t="shared" si="292"/>
        <v>q</v>
      </c>
      <c r="H1350" t="str">
        <f>VLOOKUP(D1350,name!A:C,3,1)</f>
        <v>assets/icons/image326.png</v>
      </c>
    </row>
    <row r="1351" spans="1:8" x14ac:dyDescent="0.15">
      <c r="A1351" t="str">
        <f t="shared" ref="A1351:B1351" si="331">A1350</f>
        <v>ドイツ語</v>
      </c>
      <c r="B1351">
        <f t="shared" si="331"/>
        <v>14</v>
      </c>
      <c r="C1351">
        <f t="shared" si="299"/>
        <v>98</v>
      </c>
      <c r="D1351">
        <f>D1269</f>
        <v>16</v>
      </c>
      <c r="E1351" t="str">
        <f>VLOOKUP(D1351,name!A:B,2,1)</f>
        <v>Mayer</v>
      </c>
      <c r="F1351" t="str">
        <f t="shared" si="319"/>
        <v>それで、12月に私たちは結婚披露宴のために北京に行くのです。</v>
      </c>
      <c r="G1351" t="str">
        <f t="shared" si="292"/>
        <v>a</v>
      </c>
      <c r="H1351" t="str">
        <f>VLOOKUP(D1351,name!A:C,3,1)</f>
        <v>assets/icons/image208.png</v>
      </c>
    </row>
    <row r="1352" spans="1:8" x14ac:dyDescent="0.15">
      <c r="A1352" t="str">
        <f t="shared" ref="A1352:B1352" si="332">A1351</f>
        <v>ドイツ語</v>
      </c>
      <c r="B1352">
        <f t="shared" si="332"/>
        <v>14</v>
      </c>
      <c r="C1352">
        <f t="shared" si="299"/>
        <v>99</v>
      </c>
      <c r="D1352">
        <v>0</v>
      </c>
      <c r="E1352" t="str">
        <f>VLOOKUP(D1352,name!A:B,2,1)</f>
        <v>Player</v>
      </c>
      <c r="F1352" t="str">
        <f t="shared" si="319"/>
        <v xml:space="preserve">Nun, im Dezember fahren wir zur Hochzeitsfeier nach Peking. </v>
      </c>
      <c r="G1352" t="str">
        <f t="shared" si="292"/>
        <v>q</v>
      </c>
      <c r="H1352" t="str">
        <f>VLOOKUP(D1352,name!A:C,3,1)</f>
        <v>assets/icons/image326.png</v>
      </c>
    </row>
    <row r="1353" spans="1:8" x14ac:dyDescent="0.15">
      <c r="A1353" t="str">
        <f t="shared" ref="A1353:B1353" si="333">A1352</f>
        <v>ドイツ語</v>
      </c>
      <c r="B1353">
        <f t="shared" si="333"/>
        <v>14</v>
      </c>
      <c r="C1353">
        <f t="shared" si="299"/>
        <v>100</v>
      </c>
      <c r="D1353">
        <f>D1271</f>
        <v>16</v>
      </c>
      <c r="E1353" t="str">
        <f>VLOOKUP(D1353,name!A:B,2,1)</f>
        <v>Mayer</v>
      </c>
      <c r="F1353" t="str">
        <f t="shared" si="319"/>
        <v>しかし、中国はどのような感じですか?</v>
      </c>
      <c r="G1353" t="str">
        <f t="shared" si="292"/>
        <v>a</v>
      </c>
      <c r="H1353" t="str">
        <f>VLOOKUP(D1353,name!A:C,3,1)</f>
        <v>assets/icons/image208.png</v>
      </c>
    </row>
    <row r="1354" spans="1:8" x14ac:dyDescent="0.15">
      <c r="A1354" t="str">
        <f t="shared" ref="A1354:B1354" si="334">A1353</f>
        <v>ドイツ語</v>
      </c>
      <c r="B1354">
        <f t="shared" si="334"/>
        <v>14</v>
      </c>
      <c r="C1354">
        <f t="shared" si="299"/>
        <v>101</v>
      </c>
      <c r="D1354">
        <v>0</v>
      </c>
      <c r="E1354" t="str">
        <f>VLOOKUP(D1354,name!A:B,2,1)</f>
        <v>Player</v>
      </c>
      <c r="F1354" t="str">
        <f t="shared" si="319"/>
        <v>Aber wie ist es denn so in China?</v>
      </c>
      <c r="G1354" t="str">
        <f t="shared" si="292"/>
        <v>q</v>
      </c>
      <c r="H1354" t="str">
        <f>VLOOKUP(D1354,name!A:C,3,1)</f>
        <v>assets/icons/image326.png</v>
      </c>
    </row>
    <row r="1355" spans="1:8" x14ac:dyDescent="0.15">
      <c r="A1355" t="str">
        <f t="shared" ref="A1355:B1355" si="335">A1354</f>
        <v>ドイツ語</v>
      </c>
      <c r="B1355">
        <f t="shared" si="335"/>
        <v>14</v>
      </c>
      <c r="C1355">
        <f t="shared" si="299"/>
        <v>102</v>
      </c>
      <c r="D1355">
        <f>D1273</f>
        <v>16</v>
      </c>
      <c r="E1355" t="str">
        <f>VLOOKUP(D1355,name!A:B,2,1)</f>
        <v>Mayer</v>
      </c>
      <c r="F1355" t="str">
        <f t="shared" si="319"/>
        <v>英語は通じますか?</v>
      </c>
      <c r="G1355" t="str">
        <f t="shared" si="292"/>
        <v>a</v>
      </c>
      <c r="H1355" t="str">
        <f>VLOOKUP(D1355,name!A:C,3,1)</f>
        <v>assets/icons/image208.png</v>
      </c>
    </row>
    <row r="1356" spans="1:8" x14ac:dyDescent="0.15">
      <c r="A1356" t="str">
        <f t="shared" ref="A1356:B1356" si="336">A1355</f>
        <v>ドイツ語</v>
      </c>
      <c r="B1356">
        <f t="shared" si="336"/>
        <v>14</v>
      </c>
      <c r="C1356">
        <f t="shared" si="299"/>
        <v>103</v>
      </c>
      <c r="D1356">
        <v>0</v>
      </c>
      <c r="E1356" t="str">
        <f>VLOOKUP(D1356,name!A:B,2,1)</f>
        <v>Player</v>
      </c>
      <c r="F1356" t="str">
        <f t="shared" si="319"/>
        <v>Kommt man da mit Englisch durch?</v>
      </c>
      <c r="G1356" t="str">
        <f t="shared" si="292"/>
        <v>q</v>
      </c>
      <c r="H1356" t="str">
        <f>VLOOKUP(D1356,name!A:C,3,1)</f>
        <v>assets/icons/image326.png</v>
      </c>
    </row>
    <row r="1357" spans="1:8" x14ac:dyDescent="0.15">
      <c r="A1357" t="str">
        <f t="shared" ref="A1357:B1357" si="337">A1356</f>
        <v>ドイツ語</v>
      </c>
      <c r="B1357">
        <f t="shared" si="337"/>
        <v>14</v>
      </c>
      <c r="C1357">
        <f t="shared" si="299"/>
        <v>104</v>
      </c>
      <c r="D1357">
        <f>D1275</f>
        <v>2</v>
      </c>
      <c r="E1357" t="str">
        <f>VLOOKUP(D1357,name!A:B,2,1)</f>
        <v>Tanaka</v>
      </c>
      <c r="F1357" t="str">
        <f t="shared" si="319"/>
        <v>まあ、英語では少し難しいかもしれません。</v>
      </c>
      <c r="G1357" t="str">
        <f t="shared" si="292"/>
        <v>a</v>
      </c>
      <c r="H1357" t="str">
        <f>VLOOKUP(D1357,name!A:C,3,1)</f>
        <v>assets/icons/image013.png</v>
      </c>
    </row>
    <row r="1358" spans="1:8" x14ac:dyDescent="0.15">
      <c r="A1358" t="str">
        <f t="shared" ref="A1358:B1358" si="338">A1357</f>
        <v>ドイツ語</v>
      </c>
      <c r="B1358">
        <f t="shared" si="338"/>
        <v>14</v>
      </c>
      <c r="C1358">
        <f t="shared" si="299"/>
        <v>105</v>
      </c>
      <c r="D1358">
        <v>0</v>
      </c>
      <c r="E1358" t="str">
        <f>VLOOKUP(D1358,name!A:B,2,1)</f>
        <v>Player</v>
      </c>
      <c r="F1358" t="str">
        <f t="shared" si="319"/>
        <v>Na ja, mit Englisch kann es etwas schwierig sein.</v>
      </c>
      <c r="G1358" t="str">
        <f t="shared" si="292"/>
        <v>q</v>
      </c>
      <c r="H1358" t="str">
        <f>VLOOKUP(D1358,name!A:C,3,1)</f>
        <v>assets/icons/image326.png</v>
      </c>
    </row>
    <row r="1359" spans="1:8" x14ac:dyDescent="0.15">
      <c r="A1359" t="str">
        <f t="shared" ref="A1359:B1359" si="339">A1358</f>
        <v>ドイツ語</v>
      </c>
      <c r="B1359">
        <f t="shared" si="339"/>
        <v>14</v>
      </c>
      <c r="C1359">
        <f t="shared" si="299"/>
        <v>106</v>
      </c>
      <c r="D1359">
        <f>D1277</f>
        <v>2</v>
      </c>
      <c r="E1359" t="str">
        <f>VLOOKUP(D1359,name!A:B,2,1)</f>
        <v>Tanaka</v>
      </c>
      <c r="F1359" t="str">
        <f t="shared" si="319"/>
        <v>しかし、あなたの娘さんは中国語を上手に話せますよね？</v>
      </c>
      <c r="G1359" t="str">
        <f t="shared" si="292"/>
        <v>a</v>
      </c>
      <c r="H1359" t="str">
        <f>VLOOKUP(D1359,name!A:C,3,1)</f>
        <v>assets/icons/image013.png</v>
      </c>
    </row>
    <row r="1360" spans="1:8" x14ac:dyDescent="0.15">
      <c r="A1360" t="str">
        <f t="shared" ref="A1360:B1360" si="340">A1359</f>
        <v>ドイツ語</v>
      </c>
      <c r="B1360">
        <f t="shared" si="340"/>
        <v>14</v>
      </c>
      <c r="C1360">
        <f t="shared" si="299"/>
        <v>107</v>
      </c>
      <c r="D1360">
        <v>0</v>
      </c>
      <c r="E1360" t="str">
        <f>VLOOKUP(D1360,name!A:B,2,1)</f>
        <v>Player</v>
      </c>
      <c r="F1360" t="str">
        <f t="shared" si="319"/>
        <v>Aber Ihre Tochter spricht sicher gut Chinesisch, oder?</v>
      </c>
      <c r="G1360" t="str">
        <f t="shared" si="292"/>
        <v>q</v>
      </c>
      <c r="H1360" t="str">
        <f>VLOOKUP(D1360,name!A:C,3,1)</f>
        <v>assets/icons/image326.png</v>
      </c>
    </row>
    <row r="1361" spans="1:12" x14ac:dyDescent="0.15">
      <c r="A1361" t="str">
        <f t="shared" ref="A1361:B1361" si="341">A1360</f>
        <v>ドイツ語</v>
      </c>
      <c r="B1361">
        <f t="shared" si="341"/>
        <v>14</v>
      </c>
      <c r="C1361">
        <f t="shared" si="299"/>
        <v>108</v>
      </c>
      <c r="D1361">
        <f>D1279</f>
        <v>16</v>
      </c>
      <c r="E1361" t="str">
        <f>VLOOKUP(D1361,name!A:B,2,1)</f>
        <v>Mayer</v>
      </c>
      <c r="F1361" t="str">
        <f t="shared" si="319"/>
        <v>はい、彼女は中国学を学び、すでに中国からの多くの友人がいました。</v>
      </c>
      <c r="G1361" t="str">
        <f t="shared" si="292"/>
        <v>a</v>
      </c>
      <c r="H1361" t="str">
        <f>VLOOKUP(D1361,name!A:C,3,1)</f>
        <v>assets/icons/image208.png</v>
      </c>
    </row>
    <row r="1362" spans="1:12" x14ac:dyDescent="0.15">
      <c r="A1362" t="str">
        <f t="shared" ref="A1362:B1362" si="342">A1361</f>
        <v>ドイツ語</v>
      </c>
      <c r="B1362">
        <f t="shared" si="342"/>
        <v>14</v>
      </c>
      <c r="C1362">
        <f t="shared" si="299"/>
        <v>109</v>
      </c>
      <c r="D1362">
        <v>0</v>
      </c>
      <c r="E1362" t="str">
        <f>VLOOKUP(D1362,name!A:B,2,1)</f>
        <v>Player</v>
      </c>
      <c r="F1362" t="str">
        <f t="shared" si="319"/>
        <v xml:space="preserve">Ja, sie hat Sinologie studiert und hatte damals schon viele Freunde aus China. </v>
      </c>
      <c r="G1362" t="str">
        <f t="shared" si="292"/>
        <v>q</v>
      </c>
      <c r="H1362" t="str">
        <f>VLOOKUP(D1362,name!A:C,3,1)</f>
        <v>assets/icons/image326.png</v>
      </c>
    </row>
    <row r="1363" spans="1:12" x14ac:dyDescent="0.15">
      <c r="A1363" t="str">
        <f t="shared" ref="A1363:B1363" si="343">A1362</f>
        <v>ドイツ語</v>
      </c>
      <c r="B1363">
        <f t="shared" si="343"/>
        <v>14</v>
      </c>
      <c r="C1363">
        <f t="shared" si="299"/>
        <v>110</v>
      </c>
      <c r="D1363">
        <f>D1281</f>
        <v>16</v>
      </c>
      <c r="E1363" t="str">
        <f>VLOOKUP(D1363,name!A:B,2,1)</f>
        <v>Mayer</v>
      </c>
      <c r="F1363" t="str">
        <f t="shared" si="319"/>
        <v>その時、彼女は私たちに友人を紹介したいと言いました...</v>
      </c>
      <c r="G1363" t="str">
        <f t="shared" si="292"/>
        <v>a</v>
      </c>
      <c r="H1363" t="str">
        <f>VLOOKUP(D1363,name!A:C,3,1)</f>
        <v>assets/icons/image208.png</v>
      </c>
    </row>
    <row r="1364" spans="1:12" x14ac:dyDescent="0.15">
      <c r="A1364" t="str">
        <f t="shared" ref="A1364:B1364" si="344">A1363</f>
        <v>ドイツ語</v>
      </c>
      <c r="B1364">
        <f t="shared" si="344"/>
        <v>14</v>
      </c>
      <c r="C1364">
        <f t="shared" si="299"/>
        <v>111</v>
      </c>
      <c r="D1364">
        <v>0</v>
      </c>
      <c r="E1364" t="str">
        <f>VLOOKUP(D1364,name!A:B,2,1)</f>
        <v>Player</v>
      </c>
      <c r="F1364" t="str">
        <f t="shared" si="319"/>
        <v xml:space="preserve">Einmal wollte sie uns einen Freund vorstellen und ... </v>
      </c>
      <c r="G1364" t="str">
        <f t="shared" si="292"/>
        <v>q</v>
      </c>
      <c r="H1364" t="str">
        <f>VLOOKUP(D1364,name!A:C,3,1)</f>
        <v>assets/icons/image326.png</v>
      </c>
    </row>
    <row r="1365" spans="1:12" x14ac:dyDescent="0.15">
      <c r="A1365" t="str">
        <f t="shared" ref="A1365:B1365" si="345">A1364</f>
        <v>ドイツ語</v>
      </c>
      <c r="B1365">
        <f t="shared" si="345"/>
        <v>14</v>
      </c>
      <c r="C1365">
        <f t="shared" si="299"/>
        <v>112</v>
      </c>
      <c r="D1365">
        <f>D1283</f>
        <v>16</v>
      </c>
      <c r="E1365" t="str">
        <f>VLOOKUP(D1365,name!A:B,2,1)</f>
        <v>Mayer</v>
      </c>
      <c r="F1365" t="str">
        <f t="shared" si="319"/>
        <v>それが彼でした。</v>
      </c>
      <c r="G1365" t="str">
        <f t="shared" si="292"/>
        <v>a</v>
      </c>
      <c r="H1365" t="str">
        <f>VLOOKUP(D1365,name!A:C,3,1)</f>
        <v>assets/icons/image208.png</v>
      </c>
    </row>
    <row r="1366" spans="1:12" x14ac:dyDescent="0.15">
      <c r="A1366" t="str">
        <f t="shared" ref="A1366:B1366" si="346">A1365</f>
        <v>ドイツ語</v>
      </c>
      <c r="B1366">
        <f t="shared" si="346"/>
        <v>14</v>
      </c>
      <c r="C1366">
        <f t="shared" si="299"/>
        <v>113</v>
      </c>
      <c r="D1366">
        <v>0</v>
      </c>
      <c r="E1366" t="str">
        <f>VLOOKUP(D1366,name!A:B,2,1)</f>
        <v>Player</v>
      </c>
      <c r="F1366" t="str">
        <f t="shared" si="319"/>
        <v>das war er dann.</v>
      </c>
      <c r="G1366" t="str">
        <f t="shared" si="292"/>
        <v>q</v>
      </c>
      <c r="H1366" t="str">
        <f>VLOOKUP(D1366,name!A:C,3,1)</f>
        <v>assets/icons/image326.png</v>
      </c>
    </row>
    <row r="1367" spans="1:12" x14ac:dyDescent="0.15">
      <c r="A1367" t="str">
        <f t="shared" ref="A1367:B1367" si="347">A1366</f>
        <v>ドイツ語</v>
      </c>
      <c r="B1367">
        <f t="shared" si="347"/>
        <v>14</v>
      </c>
      <c r="C1367">
        <f t="shared" si="299"/>
        <v>114</v>
      </c>
      <c r="D1367">
        <f>D1285</f>
        <v>2</v>
      </c>
      <c r="E1367" t="str">
        <f>VLOOKUP(D1367,name!A:B,2,1)</f>
        <v>Tanaka</v>
      </c>
      <c r="F1367" t="str">
        <f t="shared" si="319"/>
        <v>なるほど。</v>
      </c>
      <c r="G1367" t="str">
        <f t="shared" si="292"/>
        <v>a</v>
      </c>
      <c r="H1367" t="str">
        <f>VLOOKUP(D1367,name!A:C,3,1)</f>
        <v>assets/icons/image013.png</v>
      </c>
    </row>
    <row r="1368" spans="1:12" x14ac:dyDescent="0.15">
      <c r="A1368" t="str">
        <f t="shared" ref="A1368:B1368" si="348">A1367</f>
        <v>ドイツ語</v>
      </c>
      <c r="B1368">
        <f t="shared" si="348"/>
        <v>14</v>
      </c>
      <c r="C1368">
        <f t="shared" si="299"/>
        <v>115</v>
      </c>
      <c r="D1368">
        <v>0</v>
      </c>
      <c r="E1368" t="str">
        <f>VLOOKUP(D1368,name!A:B,2,1)</f>
        <v>Player</v>
      </c>
      <c r="F1368" t="str">
        <f t="shared" si="319"/>
        <v xml:space="preserve">Aha. </v>
      </c>
      <c r="G1368" t="str">
        <f t="shared" si="292"/>
        <v>q</v>
      </c>
      <c r="H1368" t="str">
        <f>VLOOKUP(D1368,name!A:C,3,1)</f>
        <v>assets/icons/image326.png</v>
      </c>
    </row>
    <row r="1369" spans="1:12" x14ac:dyDescent="0.15">
      <c r="A1369" t="str">
        <f t="shared" ref="A1369:B1369" si="349">A1368</f>
        <v>ドイツ語</v>
      </c>
      <c r="B1369">
        <f t="shared" si="349"/>
        <v>14</v>
      </c>
      <c r="C1369">
        <f t="shared" si="299"/>
        <v>116</v>
      </c>
      <c r="D1369">
        <f>D1287</f>
        <v>2</v>
      </c>
      <c r="E1369" t="str">
        <f>VLOOKUP(D1369,name!A:B,2,1)</f>
        <v>Tanaka</v>
      </c>
      <c r="F1369" t="str">
        <f t="shared" si="319"/>
        <v>では、あなたは中国語を学ぶ必要がありますね。</v>
      </c>
      <c r="G1369" t="str">
        <f t="shared" si="292"/>
        <v>a</v>
      </c>
      <c r="H1369" t="str">
        <f>VLOOKUP(D1369,name!A:C,3,1)</f>
        <v>assets/icons/image013.png</v>
      </c>
    </row>
    <row r="1370" spans="1:12" x14ac:dyDescent="0.15">
      <c r="A1370" t="str">
        <f t="shared" ref="A1370:B1370" si="350">A1369</f>
        <v>ドイツ語</v>
      </c>
      <c r="B1370">
        <f t="shared" si="350"/>
        <v>14</v>
      </c>
      <c r="C1370">
        <f t="shared" si="299"/>
        <v>117</v>
      </c>
      <c r="D1370">
        <v>0</v>
      </c>
      <c r="E1370" t="str">
        <f>VLOOKUP(D1370,name!A:B,2,1)</f>
        <v>Player</v>
      </c>
      <c r="F1370" t="str">
        <f t="shared" si="319"/>
        <v>Da müssen Sie jetzt Chinesisch lernen.</v>
      </c>
      <c r="G1370" t="str">
        <f t="shared" si="292"/>
        <v>q</v>
      </c>
      <c r="H1370" t="str">
        <f>VLOOKUP(D1370,name!A:C,3,1)</f>
        <v>assets/icons/image326.png</v>
      </c>
    </row>
    <row r="1371" spans="1:12" x14ac:dyDescent="0.15">
      <c r="A1371" t="str">
        <f t="shared" ref="A1371:B1371" si="351">A1370</f>
        <v>ドイツ語</v>
      </c>
      <c r="B1371">
        <f t="shared" si="351"/>
        <v>14</v>
      </c>
      <c r="C1371">
        <f t="shared" si="299"/>
        <v>118</v>
      </c>
      <c r="D1371">
        <v>1</v>
      </c>
      <c r="E1371" t="str">
        <f>VLOOKUP(D1371,name!A:B,2,1)</f>
        <v>Navigator</v>
      </c>
      <c r="F1371" t="str">
        <f>"とても良くできました。レッスン"&amp;B1371&amp;"はこれで終了です。"</f>
        <v>とても良くできました。レッスン14はこれで終了です。</v>
      </c>
      <c r="G1371" t="str">
        <f>IF(B1371&lt;&gt;B1573,"e",IF(D1371=0,"q","a"))</f>
        <v>e</v>
      </c>
      <c r="H1371" t="str">
        <f>VLOOKUP(D1371,name!A:C,3,1)</f>
        <v>assets/icons/image014.png</v>
      </c>
    </row>
    <row r="1372" spans="1:12" x14ac:dyDescent="0.15">
      <c r="A1372" t="str">
        <f>A1371</f>
        <v>ドイツ語</v>
      </c>
      <c r="B1372">
        <f>B1371+1</f>
        <v>15</v>
      </c>
      <c r="C1372">
        <v>1</v>
      </c>
      <c r="D1372">
        <v>1</v>
      </c>
      <c r="E1372" t="str">
        <f>VLOOKUP(D1372,name!A:B,2,1)</f>
        <v>Navigator</v>
      </c>
      <c r="F1372" t="s">
        <v>489</v>
      </c>
      <c r="G1372" t="str">
        <f t="shared" ref="G1372" si="352">IF(B1372&lt;&gt;B1373,"e",IF(D1372=0,"q","a"))</f>
        <v>a</v>
      </c>
      <c r="H1372" t="str">
        <f>VLOOKUP(D1372,name!A:C,3,1)</f>
        <v>assets/icons/image014.png</v>
      </c>
    </row>
    <row r="1373" spans="1:12" x14ac:dyDescent="0.15">
      <c r="A1373" t="str">
        <f t="shared" ref="A1373:B1388" si="353">A1372</f>
        <v>ドイツ語</v>
      </c>
      <c r="B1373">
        <f>B1372</f>
        <v>15</v>
      </c>
      <c r="C1373">
        <f>C1372+1</f>
        <v>2</v>
      </c>
      <c r="D1373">
        <v>1</v>
      </c>
      <c r="E1373" t="str">
        <f>VLOOKUP(D1373,name!A:B,2,1)</f>
        <v>Navigator</v>
      </c>
      <c r="F1373" t="str">
        <f>"レッスン"&amp;B1373</f>
        <v>レッスン15</v>
      </c>
      <c r="G1373" t="str">
        <f t="shared" ref="G1373:G1436" si="354">IF(B1373&lt;&gt;B1374,"e",IF(D1373=0,"q","a"))</f>
        <v>a</v>
      </c>
      <c r="H1373" t="str">
        <f>VLOOKUP(D1373,name!A:C,3,1)</f>
        <v>assets/icons/image014.png</v>
      </c>
    </row>
    <row r="1374" spans="1:12" ht="40.5" x14ac:dyDescent="0.15">
      <c r="A1374" t="str">
        <f t="shared" si="353"/>
        <v>ドイツ語</v>
      </c>
      <c r="B1374">
        <f t="shared" si="353"/>
        <v>15</v>
      </c>
      <c r="C1374">
        <f t="shared" ref="C1374:C1437" si="355">C1373+1</f>
        <v>3</v>
      </c>
      <c r="D1374">
        <v>1</v>
      </c>
      <c r="E1374" t="str">
        <f>VLOOKUP(D1374,name!A:B,2,1)</f>
        <v>Navigator</v>
      </c>
      <c r="F1374" s="1" t="str">
        <f>"まずは対話文を流します。その後に、日本語と"&amp;A1374&amp;"を一文ずつ流すので"&amp;A1374&amp;"を真似して下さい。最後に日本語のみを流すので、"&amp;A1374&amp;"で答えてください。"</f>
        <v>まずは対話文を流します。その後に、日本語とドイツ語を一文ずつ流すのでドイツ語を真似して下さい。最後に日本語のみを流すので、ドイツ語で答えてください。</v>
      </c>
      <c r="G1374" t="str">
        <f t="shared" si="354"/>
        <v>a</v>
      </c>
      <c r="H1374" t="str">
        <f>VLOOKUP(D1374,name!A:C,3,1)</f>
        <v>assets/icons/image014.png</v>
      </c>
      <c r="L1374" s="1"/>
    </row>
    <row r="1375" spans="1:12" x14ac:dyDescent="0.15">
      <c r="A1375" t="str">
        <f t="shared" si="353"/>
        <v>ドイツ語</v>
      </c>
      <c r="B1375">
        <f t="shared" si="353"/>
        <v>15</v>
      </c>
      <c r="C1375">
        <f t="shared" si="355"/>
        <v>4</v>
      </c>
      <c r="D1375">
        <f>D1376</f>
        <v>2</v>
      </c>
      <c r="E1375" t="str">
        <f>VLOOKUP(D1375,name!A:B,2,1)</f>
        <v>Tanaka</v>
      </c>
      <c r="F1375" t="s">
        <v>505</v>
      </c>
      <c r="G1375" t="str">
        <f t="shared" si="354"/>
        <v>a</v>
      </c>
      <c r="H1375" t="str">
        <f>VLOOKUP(D1375,name!A:C,3,1)</f>
        <v>assets/icons/image013.png</v>
      </c>
    </row>
    <row r="1376" spans="1:12" x14ac:dyDescent="0.15">
      <c r="A1376" t="str">
        <f t="shared" si="353"/>
        <v>ドイツ語</v>
      </c>
      <c r="B1376">
        <f t="shared" si="353"/>
        <v>15</v>
      </c>
      <c r="C1376">
        <f t="shared" si="355"/>
        <v>5</v>
      </c>
      <c r="D1376">
        <v>2</v>
      </c>
      <c r="E1376" t="str">
        <f>VLOOKUP(D1376,name!A:B,2,1)</f>
        <v>Tanaka</v>
      </c>
      <c r="F1376" t="s">
        <v>490</v>
      </c>
      <c r="G1376" t="str">
        <f t="shared" si="354"/>
        <v>a</v>
      </c>
      <c r="H1376" t="str">
        <f>VLOOKUP(D1376,name!A:C,3,1)</f>
        <v>assets/icons/image013.png</v>
      </c>
    </row>
    <row r="1377" spans="1:8" x14ac:dyDescent="0.15">
      <c r="A1377" t="str">
        <f t="shared" si="353"/>
        <v>ドイツ語</v>
      </c>
      <c r="B1377">
        <f t="shared" si="353"/>
        <v>15</v>
      </c>
      <c r="C1377">
        <f t="shared" si="355"/>
        <v>6</v>
      </c>
      <c r="D1377">
        <f t="shared" ref="D1377:D1403" si="356">D1378</f>
        <v>4</v>
      </c>
      <c r="E1377" t="str">
        <f>VLOOKUP(D1377,name!A:B,2,1)</f>
        <v>Weber</v>
      </c>
      <c r="F1377" t="s">
        <v>506</v>
      </c>
      <c r="G1377" t="str">
        <f t="shared" si="354"/>
        <v>a</v>
      </c>
      <c r="H1377" t="str">
        <f>VLOOKUP(D1377,name!A:C,3,1)</f>
        <v>assets/icons/image016.png</v>
      </c>
    </row>
    <row r="1378" spans="1:8" x14ac:dyDescent="0.15">
      <c r="A1378" t="str">
        <f t="shared" si="353"/>
        <v>ドイツ語</v>
      </c>
      <c r="B1378">
        <f t="shared" si="353"/>
        <v>15</v>
      </c>
      <c r="C1378">
        <f t="shared" si="355"/>
        <v>7</v>
      </c>
      <c r="D1378">
        <v>4</v>
      </c>
      <c r="E1378" t="str">
        <f>VLOOKUP(D1378,name!A:B,2,1)</f>
        <v>Weber</v>
      </c>
      <c r="F1378" t="s">
        <v>491</v>
      </c>
      <c r="G1378" t="str">
        <f t="shared" si="354"/>
        <v>a</v>
      </c>
      <c r="H1378" t="str">
        <f>VLOOKUP(D1378,name!A:C,3,1)</f>
        <v>assets/icons/image016.png</v>
      </c>
    </row>
    <row r="1379" spans="1:8" x14ac:dyDescent="0.15">
      <c r="A1379" t="str">
        <f t="shared" si="353"/>
        <v>ドイツ語</v>
      </c>
      <c r="B1379">
        <f t="shared" si="353"/>
        <v>15</v>
      </c>
      <c r="C1379">
        <f t="shared" si="355"/>
        <v>8</v>
      </c>
      <c r="D1379">
        <f t="shared" si="356"/>
        <v>2</v>
      </c>
      <c r="E1379" t="str">
        <f>VLOOKUP(D1379,name!A:B,2,1)</f>
        <v>Tanaka</v>
      </c>
      <c r="F1379" t="s">
        <v>507</v>
      </c>
      <c r="G1379" t="str">
        <f t="shared" si="354"/>
        <v>a</v>
      </c>
      <c r="H1379" t="str">
        <f>VLOOKUP(D1379,name!A:C,3,1)</f>
        <v>assets/icons/image013.png</v>
      </c>
    </row>
    <row r="1380" spans="1:8" x14ac:dyDescent="0.15">
      <c r="A1380" t="str">
        <f t="shared" si="353"/>
        <v>ドイツ語</v>
      </c>
      <c r="B1380">
        <f t="shared" si="353"/>
        <v>15</v>
      </c>
      <c r="C1380">
        <f t="shared" si="355"/>
        <v>9</v>
      </c>
      <c r="D1380">
        <v>2</v>
      </c>
      <c r="E1380" t="str">
        <f>VLOOKUP(D1380,name!A:B,2,1)</f>
        <v>Tanaka</v>
      </c>
      <c r="F1380" t="s">
        <v>492</v>
      </c>
      <c r="G1380" t="str">
        <f t="shared" si="354"/>
        <v>a</v>
      </c>
      <c r="H1380" t="str">
        <f>VLOOKUP(D1380,name!A:C,3,1)</f>
        <v>assets/icons/image013.png</v>
      </c>
    </row>
    <row r="1381" spans="1:8" x14ac:dyDescent="0.15">
      <c r="A1381" t="str">
        <f t="shared" si="353"/>
        <v>ドイツ語</v>
      </c>
      <c r="B1381">
        <f t="shared" si="353"/>
        <v>15</v>
      </c>
      <c r="C1381">
        <f t="shared" si="355"/>
        <v>10</v>
      </c>
      <c r="D1381">
        <f t="shared" si="356"/>
        <v>4</v>
      </c>
      <c r="E1381" t="str">
        <f>VLOOKUP(D1381,name!A:B,2,1)</f>
        <v>Weber</v>
      </c>
      <c r="F1381" t="s">
        <v>508</v>
      </c>
      <c r="G1381" t="str">
        <f t="shared" si="354"/>
        <v>a</v>
      </c>
      <c r="H1381" t="str">
        <f>VLOOKUP(D1381,name!A:C,3,1)</f>
        <v>assets/icons/image016.png</v>
      </c>
    </row>
    <row r="1382" spans="1:8" x14ac:dyDescent="0.15">
      <c r="A1382" t="str">
        <f t="shared" si="353"/>
        <v>ドイツ語</v>
      </c>
      <c r="B1382">
        <f t="shared" si="353"/>
        <v>15</v>
      </c>
      <c r="C1382">
        <f t="shared" si="355"/>
        <v>11</v>
      </c>
      <c r="D1382">
        <f t="shared" si="356"/>
        <v>4</v>
      </c>
      <c r="E1382" t="str">
        <f>VLOOKUP(D1382,name!A:B,2,1)</f>
        <v>Weber</v>
      </c>
      <c r="F1382" t="s">
        <v>493</v>
      </c>
      <c r="G1382" t="str">
        <f t="shared" si="354"/>
        <v>a</v>
      </c>
      <c r="H1382" t="str">
        <f>VLOOKUP(D1382,name!A:C,3,1)</f>
        <v>assets/icons/image016.png</v>
      </c>
    </row>
    <row r="1383" spans="1:8" x14ac:dyDescent="0.15">
      <c r="A1383" t="str">
        <f t="shared" si="353"/>
        <v>ドイツ語</v>
      </c>
      <c r="B1383">
        <f t="shared" si="353"/>
        <v>15</v>
      </c>
      <c r="C1383">
        <f t="shared" si="355"/>
        <v>12</v>
      </c>
      <c r="D1383">
        <f t="shared" si="356"/>
        <v>4</v>
      </c>
      <c r="E1383" t="str">
        <f>VLOOKUP(D1383,name!A:B,2,1)</f>
        <v>Weber</v>
      </c>
      <c r="F1383" t="s">
        <v>509</v>
      </c>
      <c r="G1383" t="str">
        <f t="shared" si="354"/>
        <v>a</v>
      </c>
      <c r="H1383" t="str">
        <f>VLOOKUP(D1383,name!A:C,3,1)</f>
        <v>assets/icons/image016.png</v>
      </c>
    </row>
    <row r="1384" spans="1:8" x14ac:dyDescent="0.15">
      <c r="A1384" t="str">
        <f t="shared" si="353"/>
        <v>ドイツ語</v>
      </c>
      <c r="B1384">
        <f t="shared" si="353"/>
        <v>15</v>
      </c>
      <c r="C1384">
        <f t="shared" si="355"/>
        <v>13</v>
      </c>
      <c r="D1384">
        <v>4</v>
      </c>
      <c r="E1384" t="str">
        <f>VLOOKUP(D1384,name!A:B,2,1)</f>
        <v>Weber</v>
      </c>
      <c r="F1384" t="s">
        <v>494</v>
      </c>
      <c r="G1384" t="str">
        <f t="shared" si="354"/>
        <v>a</v>
      </c>
      <c r="H1384" t="str">
        <f>VLOOKUP(D1384,name!A:C,3,1)</f>
        <v>assets/icons/image016.png</v>
      </c>
    </row>
    <row r="1385" spans="1:8" x14ac:dyDescent="0.15">
      <c r="A1385" t="str">
        <f t="shared" si="353"/>
        <v>ドイツ語</v>
      </c>
      <c r="B1385">
        <f t="shared" si="353"/>
        <v>15</v>
      </c>
      <c r="C1385">
        <f t="shared" si="355"/>
        <v>14</v>
      </c>
      <c r="D1385">
        <f t="shared" si="356"/>
        <v>2</v>
      </c>
      <c r="E1385" t="str">
        <f>VLOOKUP(D1385,name!A:B,2,1)</f>
        <v>Tanaka</v>
      </c>
      <c r="F1385" t="s">
        <v>510</v>
      </c>
      <c r="G1385" t="str">
        <f t="shared" si="354"/>
        <v>a</v>
      </c>
      <c r="H1385" t="str">
        <f>VLOOKUP(D1385,name!A:C,3,1)</f>
        <v>assets/icons/image013.png</v>
      </c>
    </row>
    <row r="1386" spans="1:8" x14ac:dyDescent="0.15">
      <c r="A1386" t="str">
        <f t="shared" si="353"/>
        <v>ドイツ語</v>
      </c>
      <c r="B1386">
        <f t="shared" si="353"/>
        <v>15</v>
      </c>
      <c r="C1386">
        <f t="shared" si="355"/>
        <v>15</v>
      </c>
      <c r="D1386">
        <f t="shared" si="356"/>
        <v>2</v>
      </c>
      <c r="E1386" t="str">
        <f>VLOOKUP(D1386,name!A:B,2,1)</f>
        <v>Tanaka</v>
      </c>
      <c r="F1386" t="s">
        <v>495</v>
      </c>
      <c r="G1386" t="str">
        <f t="shared" si="354"/>
        <v>a</v>
      </c>
      <c r="H1386" t="str">
        <f>VLOOKUP(D1386,name!A:C,3,1)</f>
        <v>assets/icons/image013.png</v>
      </c>
    </row>
    <row r="1387" spans="1:8" x14ac:dyDescent="0.15">
      <c r="A1387" t="str">
        <f t="shared" si="353"/>
        <v>ドイツ語</v>
      </c>
      <c r="B1387">
        <f t="shared" si="353"/>
        <v>15</v>
      </c>
      <c r="C1387">
        <f t="shared" si="355"/>
        <v>16</v>
      </c>
      <c r="D1387">
        <f t="shared" si="356"/>
        <v>2</v>
      </c>
      <c r="E1387" t="str">
        <f>VLOOKUP(D1387,name!A:B,2,1)</f>
        <v>Tanaka</v>
      </c>
      <c r="F1387" t="s">
        <v>511</v>
      </c>
      <c r="G1387" t="str">
        <f t="shared" si="354"/>
        <v>a</v>
      </c>
      <c r="H1387" t="str">
        <f>VLOOKUP(D1387,name!A:C,3,1)</f>
        <v>assets/icons/image013.png</v>
      </c>
    </row>
    <row r="1388" spans="1:8" x14ac:dyDescent="0.15">
      <c r="A1388" t="str">
        <f t="shared" si="353"/>
        <v>ドイツ語</v>
      </c>
      <c r="B1388">
        <f t="shared" si="353"/>
        <v>15</v>
      </c>
      <c r="C1388">
        <f t="shared" si="355"/>
        <v>17</v>
      </c>
      <c r="D1388">
        <v>2</v>
      </c>
      <c r="E1388" t="str">
        <f>VLOOKUP(D1388,name!A:B,2,1)</f>
        <v>Tanaka</v>
      </c>
      <c r="F1388" t="s">
        <v>496</v>
      </c>
      <c r="G1388" t="str">
        <f t="shared" si="354"/>
        <v>a</v>
      </c>
      <c r="H1388" t="str">
        <f>VLOOKUP(D1388,name!A:C,3,1)</f>
        <v>assets/icons/image013.png</v>
      </c>
    </row>
    <row r="1389" spans="1:8" x14ac:dyDescent="0.15">
      <c r="A1389" t="str">
        <f t="shared" ref="A1389:B1403" si="357">A1388</f>
        <v>ドイツ語</v>
      </c>
      <c r="B1389">
        <f t="shared" si="357"/>
        <v>15</v>
      </c>
      <c r="C1389">
        <f t="shared" si="355"/>
        <v>18</v>
      </c>
      <c r="D1389">
        <f t="shared" si="356"/>
        <v>2</v>
      </c>
      <c r="E1389" t="str">
        <f>VLOOKUP(D1389,name!A:B,2,1)</f>
        <v>Tanaka</v>
      </c>
      <c r="F1389" t="s">
        <v>512</v>
      </c>
      <c r="G1389" t="str">
        <f t="shared" si="354"/>
        <v>a</v>
      </c>
      <c r="H1389" t="str">
        <f>VLOOKUP(D1389,name!A:C,3,1)</f>
        <v>assets/icons/image013.png</v>
      </c>
    </row>
    <row r="1390" spans="1:8" x14ac:dyDescent="0.15">
      <c r="A1390" t="str">
        <f t="shared" si="357"/>
        <v>ドイツ語</v>
      </c>
      <c r="B1390">
        <f t="shared" si="357"/>
        <v>15</v>
      </c>
      <c r="C1390">
        <f t="shared" si="355"/>
        <v>19</v>
      </c>
      <c r="D1390">
        <v>2</v>
      </c>
      <c r="E1390" t="str">
        <f>VLOOKUP(D1390,name!A:B,2,1)</f>
        <v>Tanaka</v>
      </c>
      <c r="F1390" t="s">
        <v>497</v>
      </c>
      <c r="G1390" t="str">
        <f t="shared" si="354"/>
        <v>a</v>
      </c>
      <c r="H1390" t="str">
        <f>VLOOKUP(D1390,name!A:C,3,1)</f>
        <v>assets/icons/image013.png</v>
      </c>
    </row>
    <row r="1391" spans="1:8" x14ac:dyDescent="0.15">
      <c r="A1391" t="str">
        <f t="shared" si="357"/>
        <v>ドイツ語</v>
      </c>
      <c r="B1391">
        <f t="shared" si="357"/>
        <v>15</v>
      </c>
      <c r="C1391">
        <f t="shared" si="355"/>
        <v>20</v>
      </c>
      <c r="D1391">
        <f t="shared" si="356"/>
        <v>4</v>
      </c>
      <c r="E1391" t="str">
        <f>VLOOKUP(D1391,name!A:B,2,1)</f>
        <v>Weber</v>
      </c>
      <c r="F1391" t="s">
        <v>513</v>
      </c>
      <c r="G1391" t="str">
        <f t="shared" si="354"/>
        <v>a</v>
      </c>
      <c r="H1391" t="str">
        <f>VLOOKUP(D1391,name!A:C,3,1)</f>
        <v>assets/icons/image016.png</v>
      </c>
    </row>
    <row r="1392" spans="1:8" x14ac:dyDescent="0.15">
      <c r="A1392" t="str">
        <f t="shared" si="357"/>
        <v>ドイツ語</v>
      </c>
      <c r="B1392">
        <f t="shared" si="357"/>
        <v>15</v>
      </c>
      <c r="C1392">
        <f t="shared" si="355"/>
        <v>21</v>
      </c>
      <c r="D1392">
        <f t="shared" si="356"/>
        <v>4</v>
      </c>
      <c r="E1392" t="str">
        <f>VLOOKUP(D1392,name!A:B,2,1)</f>
        <v>Weber</v>
      </c>
      <c r="F1392" t="s">
        <v>498</v>
      </c>
      <c r="G1392" t="str">
        <f t="shared" si="354"/>
        <v>a</v>
      </c>
      <c r="H1392" t="str">
        <f>VLOOKUP(D1392,name!A:C,3,1)</f>
        <v>assets/icons/image016.png</v>
      </c>
    </row>
    <row r="1393" spans="1:8" x14ac:dyDescent="0.15">
      <c r="A1393" t="str">
        <f t="shared" si="357"/>
        <v>ドイツ語</v>
      </c>
      <c r="B1393">
        <f t="shared" si="357"/>
        <v>15</v>
      </c>
      <c r="C1393">
        <f t="shared" si="355"/>
        <v>22</v>
      </c>
      <c r="D1393">
        <f t="shared" si="356"/>
        <v>4</v>
      </c>
      <c r="E1393" t="str">
        <f>VLOOKUP(D1393,name!A:B,2,1)</f>
        <v>Weber</v>
      </c>
      <c r="F1393" t="s">
        <v>514</v>
      </c>
      <c r="G1393" t="str">
        <f t="shared" si="354"/>
        <v>a</v>
      </c>
      <c r="H1393" t="str">
        <f>VLOOKUP(D1393,name!A:C,3,1)</f>
        <v>assets/icons/image016.png</v>
      </c>
    </row>
    <row r="1394" spans="1:8" x14ac:dyDescent="0.15">
      <c r="A1394" t="str">
        <f t="shared" si="357"/>
        <v>ドイツ語</v>
      </c>
      <c r="B1394">
        <f t="shared" si="357"/>
        <v>15</v>
      </c>
      <c r="C1394">
        <f t="shared" si="355"/>
        <v>23</v>
      </c>
      <c r="D1394">
        <f t="shared" si="356"/>
        <v>4</v>
      </c>
      <c r="E1394" t="str">
        <f>VLOOKUP(D1394,name!A:B,2,1)</f>
        <v>Weber</v>
      </c>
      <c r="F1394" t="s">
        <v>499</v>
      </c>
      <c r="G1394" t="str">
        <f t="shared" si="354"/>
        <v>a</v>
      </c>
      <c r="H1394" t="str">
        <f>VLOOKUP(D1394,name!A:C,3,1)</f>
        <v>assets/icons/image016.png</v>
      </c>
    </row>
    <row r="1395" spans="1:8" x14ac:dyDescent="0.15">
      <c r="A1395" t="str">
        <f t="shared" si="357"/>
        <v>ドイツ語</v>
      </c>
      <c r="B1395">
        <f t="shared" si="357"/>
        <v>15</v>
      </c>
      <c r="C1395">
        <f t="shared" si="355"/>
        <v>24</v>
      </c>
      <c r="D1395">
        <f t="shared" si="356"/>
        <v>4</v>
      </c>
      <c r="E1395" t="str">
        <f>VLOOKUP(D1395,name!A:B,2,1)</f>
        <v>Weber</v>
      </c>
      <c r="F1395" t="s">
        <v>515</v>
      </c>
      <c r="G1395" t="str">
        <f t="shared" si="354"/>
        <v>a</v>
      </c>
      <c r="H1395" t="str">
        <f>VLOOKUP(D1395,name!A:C,3,1)</f>
        <v>assets/icons/image016.png</v>
      </c>
    </row>
    <row r="1396" spans="1:8" x14ac:dyDescent="0.15">
      <c r="A1396" t="str">
        <f t="shared" si="357"/>
        <v>ドイツ語</v>
      </c>
      <c r="B1396">
        <f t="shared" si="357"/>
        <v>15</v>
      </c>
      <c r="C1396">
        <f t="shared" si="355"/>
        <v>25</v>
      </c>
      <c r="D1396">
        <f t="shared" si="356"/>
        <v>4</v>
      </c>
      <c r="E1396" t="str">
        <f>VLOOKUP(D1396,name!A:B,2,1)</f>
        <v>Weber</v>
      </c>
      <c r="F1396" t="s">
        <v>500</v>
      </c>
      <c r="G1396" t="str">
        <f t="shared" si="354"/>
        <v>a</v>
      </c>
      <c r="H1396" t="str">
        <f>VLOOKUP(D1396,name!A:C,3,1)</f>
        <v>assets/icons/image016.png</v>
      </c>
    </row>
    <row r="1397" spans="1:8" x14ac:dyDescent="0.15">
      <c r="A1397" t="str">
        <f t="shared" si="357"/>
        <v>ドイツ語</v>
      </c>
      <c r="B1397">
        <f t="shared" si="357"/>
        <v>15</v>
      </c>
      <c r="C1397">
        <f t="shared" si="355"/>
        <v>26</v>
      </c>
      <c r="D1397">
        <f t="shared" si="356"/>
        <v>4</v>
      </c>
      <c r="E1397" t="str">
        <f>VLOOKUP(D1397,name!A:B,2,1)</f>
        <v>Weber</v>
      </c>
      <c r="F1397" t="s">
        <v>516</v>
      </c>
      <c r="G1397" t="str">
        <f t="shared" si="354"/>
        <v>a</v>
      </c>
      <c r="H1397" t="str">
        <f>VLOOKUP(D1397,name!A:C,3,1)</f>
        <v>assets/icons/image016.png</v>
      </c>
    </row>
    <row r="1398" spans="1:8" x14ac:dyDescent="0.15">
      <c r="A1398" t="str">
        <f t="shared" si="357"/>
        <v>ドイツ語</v>
      </c>
      <c r="B1398">
        <f t="shared" si="357"/>
        <v>15</v>
      </c>
      <c r="C1398">
        <f t="shared" si="355"/>
        <v>27</v>
      </c>
      <c r="D1398">
        <v>4</v>
      </c>
      <c r="E1398" t="str">
        <f>VLOOKUP(D1398,name!A:B,2,1)</f>
        <v>Weber</v>
      </c>
      <c r="F1398" t="s">
        <v>501</v>
      </c>
      <c r="G1398" t="str">
        <f t="shared" si="354"/>
        <v>a</v>
      </c>
      <c r="H1398" t="str">
        <f>VLOOKUP(D1398,name!A:C,3,1)</f>
        <v>assets/icons/image016.png</v>
      </c>
    </row>
    <row r="1399" spans="1:8" x14ac:dyDescent="0.15">
      <c r="A1399" t="str">
        <f t="shared" si="357"/>
        <v>ドイツ語</v>
      </c>
      <c r="B1399">
        <f t="shared" si="357"/>
        <v>15</v>
      </c>
      <c r="C1399">
        <f t="shared" si="355"/>
        <v>28</v>
      </c>
      <c r="D1399">
        <f t="shared" si="356"/>
        <v>2</v>
      </c>
      <c r="E1399" t="str">
        <f>VLOOKUP(D1399,name!A:B,2,1)</f>
        <v>Tanaka</v>
      </c>
      <c r="F1399" t="s">
        <v>517</v>
      </c>
      <c r="G1399" t="str">
        <f t="shared" si="354"/>
        <v>a</v>
      </c>
      <c r="H1399" t="str">
        <f>VLOOKUP(D1399,name!A:C,3,1)</f>
        <v>assets/icons/image013.png</v>
      </c>
    </row>
    <row r="1400" spans="1:8" x14ac:dyDescent="0.15">
      <c r="A1400" t="str">
        <f t="shared" si="357"/>
        <v>ドイツ語</v>
      </c>
      <c r="B1400">
        <f t="shared" si="357"/>
        <v>15</v>
      </c>
      <c r="C1400">
        <f t="shared" si="355"/>
        <v>29</v>
      </c>
      <c r="D1400">
        <v>2</v>
      </c>
      <c r="E1400" t="str">
        <f>VLOOKUP(D1400,name!A:B,2,1)</f>
        <v>Tanaka</v>
      </c>
      <c r="F1400" t="s">
        <v>502</v>
      </c>
      <c r="G1400" t="str">
        <f t="shared" si="354"/>
        <v>a</v>
      </c>
      <c r="H1400" t="str">
        <f>VLOOKUP(D1400,name!A:C,3,1)</f>
        <v>assets/icons/image013.png</v>
      </c>
    </row>
    <row r="1401" spans="1:8" x14ac:dyDescent="0.15">
      <c r="A1401" t="str">
        <f t="shared" si="357"/>
        <v>ドイツ語</v>
      </c>
      <c r="B1401">
        <f t="shared" si="357"/>
        <v>15</v>
      </c>
      <c r="C1401">
        <f t="shared" si="355"/>
        <v>30</v>
      </c>
      <c r="D1401">
        <f t="shared" si="356"/>
        <v>4</v>
      </c>
      <c r="E1401" t="str">
        <f>VLOOKUP(D1401,name!A:B,2,1)</f>
        <v>Weber</v>
      </c>
      <c r="F1401" t="s">
        <v>518</v>
      </c>
      <c r="G1401" t="str">
        <f t="shared" si="354"/>
        <v>a</v>
      </c>
      <c r="H1401" t="str">
        <f>VLOOKUP(D1401,name!A:C,3,1)</f>
        <v>assets/icons/image016.png</v>
      </c>
    </row>
    <row r="1402" spans="1:8" x14ac:dyDescent="0.15">
      <c r="A1402" t="str">
        <f t="shared" si="357"/>
        <v>ドイツ語</v>
      </c>
      <c r="B1402">
        <f t="shared" si="357"/>
        <v>15</v>
      </c>
      <c r="C1402">
        <f t="shared" si="355"/>
        <v>31</v>
      </c>
      <c r="D1402">
        <f t="shared" si="356"/>
        <v>4</v>
      </c>
      <c r="E1402" t="str">
        <f>VLOOKUP(D1402,name!A:B,2,1)</f>
        <v>Weber</v>
      </c>
      <c r="F1402" t="s">
        <v>503</v>
      </c>
      <c r="G1402" t="str">
        <f t="shared" si="354"/>
        <v>a</v>
      </c>
      <c r="H1402" t="str">
        <f>VLOOKUP(D1402,name!A:C,3,1)</f>
        <v>assets/icons/image016.png</v>
      </c>
    </row>
    <row r="1403" spans="1:8" x14ac:dyDescent="0.15">
      <c r="A1403" t="str">
        <f t="shared" si="357"/>
        <v>ドイツ語</v>
      </c>
      <c r="B1403">
        <f t="shared" si="357"/>
        <v>15</v>
      </c>
      <c r="C1403">
        <f t="shared" si="355"/>
        <v>32</v>
      </c>
      <c r="D1403">
        <f t="shared" si="356"/>
        <v>4</v>
      </c>
      <c r="E1403" t="str">
        <f>VLOOKUP(D1403,name!A:B,2,1)</f>
        <v>Weber</v>
      </c>
      <c r="F1403" t="s">
        <v>519</v>
      </c>
      <c r="G1403" t="str">
        <f t="shared" si="354"/>
        <v>a</v>
      </c>
      <c r="H1403" t="str">
        <f>VLOOKUP(D1403,name!A:C,3,1)</f>
        <v>assets/icons/image016.png</v>
      </c>
    </row>
    <row r="1404" spans="1:8" x14ac:dyDescent="0.15">
      <c r="A1404" t="str">
        <f t="shared" ref="A1404:B1404" si="358">A1403</f>
        <v>ドイツ語</v>
      </c>
      <c r="B1404">
        <f t="shared" si="358"/>
        <v>15</v>
      </c>
      <c r="C1404">
        <f t="shared" si="355"/>
        <v>33</v>
      </c>
      <c r="D1404">
        <v>4</v>
      </c>
      <c r="E1404" t="str">
        <f>VLOOKUP(D1404,name!A:B,2,1)</f>
        <v>Weber</v>
      </c>
      <c r="F1404" t="s">
        <v>504</v>
      </c>
      <c r="G1404" t="str">
        <f t="shared" si="354"/>
        <v>a</v>
      </c>
      <c r="H1404" t="str">
        <f>VLOOKUP(D1404,name!A:C,3,1)</f>
        <v>assets/icons/image016.png</v>
      </c>
    </row>
    <row r="1405" spans="1:8" x14ac:dyDescent="0.15">
      <c r="A1405" t="str">
        <f t="shared" ref="A1405:B1405" si="359">A1404</f>
        <v>ドイツ語</v>
      </c>
      <c r="B1405">
        <f t="shared" si="359"/>
        <v>15</v>
      </c>
      <c r="C1405">
        <f t="shared" si="355"/>
        <v>34</v>
      </c>
      <c r="D1405">
        <v>1</v>
      </c>
      <c r="E1405" t="str">
        <f>VLOOKUP(D1405,name!A:B,2,1)</f>
        <v>Navigator</v>
      </c>
      <c r="F1405" t="str">
        <f>"次の"&amp;A1405&amp;"を真似してね！"</f>
        <v>次のドイツ語を真似してね！</v>
      </c>
      <c r="G1405" t="str">
        <f t="shared" si="354"/>
        <v>a</v>
      </c>
      <c r="H1405" t="str">
        <f>VLOOKUP(D1405,name!A:C,3,1)</f>
        <v>assets/icons/image014.png</v>
      </c>
    </row>
    <row r="1406" spans="1:8" x14ac:dyDescent="0.15">
      <c r="A1406" t="str">
        <f t="shared" ref="A1406:B1406" si="360">A1405</f>
        <v>ドイツ語</v>
      </c>
      <c r="B1406">
        <f t="shared" si="360"/>
        <v>15</v>
      </c>
      <c r="C1406">
        <f t="shared" si="355"/>
        <v>35</v>
      </c>
      <c r="D1406">
        <f>D1375</f>
        <v>2</v>
      </c>
      <c r="E1406" t="str">
        <f>VLOOKUP(D1406,name!A:B,2,1)</f>
        <v>Tanaka</v>
      </c>
      <c r="F1406" t="str">
        <f>F1375</f>
        <v>アンドレア、アドバイスをもらえますか?</v>
      </c>
      <c r="G1406" t="str">
        <f t="shared" si="354"/>
        <v>a</v>
      </c>
      <c r="H1406" t="str">
        <f>VLOOKUP(D1406,name!A:C,3,1)</f>
        <v>assets/icons/image013.png</v>
      </c>
    </row>
    <row r="1407" spans="1:8" x14ac:dyDescent="0.15">
      <c r="A1407" t="str">
        <f t="shared" ref="A1407:B1407" si="361">A1406</f>
        <v>ドイツ語</v>
      </c>
      <c r="B1407">
        <f t="shared" si="361"/>
        <v>15</v>
      </c>
      <c r="C1407">
        <f t="shared" si="355"/>
        <v>36</v>
      </c>
      <c r="D1407">
        <f>D1376</f>
        <v>2</v>
      </c>
      <c r="E1407" t="str">
        <f>VLOOKUP(D1407,name!A:B,2,1)</f>
        <v>Tanaka</v>
      </c>
      <c r="F1407" t="str">
        <f>F1376</f>
        <v>Andrea, kannst du mir einen Tipp geben?</v>
      </c>
      <c r="G1407" t="str">
        <f t="shared" si="354"/>
        <v>a</v>
      </c>
      <c r="H1407" t="str">
        <f>VLOOKUP(D1407,name!A:C,3,1)</f>
        <v>assets/icons/image013.png</v>
      </c>
    </row>
    <row r="1408" spans="1:8" x14ac:dyDescent="0.15">
      <c r="A1408" t="str">
        <f t="shared" ref="A1408:B1408" si="362">A1407</f>
        <v>ドイツ語</v>
      </c>
      <c r="B1408">
        <f t="shared" si="362"/>
        <v>15</v>
      </c>
      <c r="C1408">
        <f t="shared" si="355"/>
        <v>37</v>
      </c>
      <c r="D1408">
        <v>0</v>
      </c>
      <c r="E1408" t="str">
        <f>VLOOKUP(D1408,name!A:B,2,1)</f>
        <v>Player</v>
      </c>
      <c r="F1408" t="str">
        <f>F1376</f>
        <v>Andrea, kannst du mir einen Tipp geben?</v>
      </c>
      <c r="G1408" t="str">
        <f t="shared" si="354"/>
        <v>q</v>
      </c>
      <c r="H1408" t="str">
        <f>VLOOKUP(D1408,name!A:C,3,1)</f>
        <v>assets/icons/image326.png</v>
      </c>
    </row>
    <row r="1409" spans="1:8" x14ac:dyDescent="0.15">
      <c r="A1409" t="str">
        <f t="shared" ref="A1409:B1409" si="363">A1408</f>
        <v>ドイツ語</v>
      </c>
      <c r="B1409">
        <f t="shared" si="363"/>
        <v>15</v>
      </c>
      <c r="C1409">
        <f t="shared" si="355"/>
        <v>38</v>
      </c>
      <c r="D1409">
        <f>D1377</f>
        <v>4</v>
      </c>
      <c r="E1409" t="str">
        <f>VLOOKUP(D1409,name!A:B,2,1)</f>
        <v>Weber</v>
      </c>
      <c r="F1409" t="str">
        <f>F1377</f>
        <v>はい、何ですか?</v>
      </c>
      <c r="G1409" t="str">
        <f t="shared" si="354"/>
        <v>a</v>
      </c>
      <c r="H1409" t="str">
        <f>VLOOKUP(D1409,name!A:C,3,1)</f>
        <v>assets/icons/image016.png</v>
      </c>
    </row>
    <row r="1410" spans="1:8" x14ac:dyDescent="0.15">
      <c r="A1410" t="str">
        <f t="shared" ref="A1410:B1410" si="364">A1409</f>
        <v>ドイツ語</v>
      </c>
      <c r="B1410">
        <f t="shared" si="364"/>
        <v>15</v>
      </c>
      <c r="C1410">
        <f t="shared" si="355"/>
        <v>39</v>
      </c>
      <c r="D1410">
        <f>D1378</f>
        <v>4</v>
      </c>
      <c r="E1410" t="str">
        <f>VLOOKUP(D1410,name!A:B,2,1)</f>
        <v>Weber</v>
      </c>
      <c r="F1410" t="str">
        <f>F1378</f>
        <v>Ja, was ist denn?</v>
      </c>
      <c r="G1410" t="str">
        <f t="shared" si="354"/>
        <v>a</v>
      </c>
      <c r="H1410" t="str">
        <f>VLOOKUP(D1410,name!A:C,3,1)</f>
        <v>assets/icons/image016.png</v>
      </c>
    </row>
    <row r="1411" spans="1:8" x14ac:dyDescent="0.15">
      <c r="A1411" t="str">
        <f t="shared" ref="A1411:B1411" si="365">A1410</f>
        <v>ドイツ語</v>
      </c>
      <c r="B1411">
        <f t="shared" si="365"/>
        <v>15</v>
      </c>
      <c r="C1411">
        <f t="shared" si="355"/>
        <v>40</v>
      </c>
      <c r="D1411">
        <v>0</v>
      </c>
      <c r="E1411" t="str">
        <f>VLOOKUP(D1411,name!A:B,2,1)</f>
        <v>Player</v>
      </c>
      <c r="F1411" t="str">
        <f>F1378</f>
        <v>Ja, was ist denn?</v>
      </c>
      <c r="G1411" t="str">
        <f t="shared" si="354"/>
        <v>q</v>
      </c>
      <c r="H1411" t="str">
        <f>VLOOKUP(D1411,name!A:C,3,1)</f>
        <v>assets/icons/image326.png</v>
      </c>
    </row>
    <row r="1412" spans="1:8" x14ac:dyDescent="0.15">
      <c r="A1412" t="str">
        <f t="shared" ref="A1412:B1412" si="366">A1411</f>
        <v>ドイツ語</v>
      </c>
      <c r="B1412">
        <f t="shared" si="366"/>
        <v>15</v>
      </c>
      <c r="C1412">
        <f t="shared" si="355"/>
        <v>41</v>
      </c>
      <c r="D1412">
        <f>D1379</f>
        <v>2</v>
      </c>
      <c r="E1412" t="str">
        <f>VLOOKUP(D1412,name!A:B,2,1)</f>
        <v>Tanaka</v>
      </c>
      <c r="F1412" t="str">
        <f>F1379</f>
        <v>かつらはどこで買えますか?</v>
      </c>
      <c r="G1412" t="str">
        <f t="shared" si="354"/>
        <v>a</v>
      </c>
      <c r="H1412" t="str">
        <f>VLOOKUP(D1412,name!A:C,3,1)</f>
        <v>assets/icons/image013.png</v>
      </c>
    </row>
    <row r="1413" spans="1:8" x14ac:dyDescent="0.15">
      <c r="A1413" t="str">
        <f t="shared" ref="A1413:B1413" si="367">A1412</f>
        <v>ドイツ語</v>
      </c>
      <c r="B1413">
        <f t="shared" si="367"/>
        <v>15</v>
      </c>
      <c r="C1413">
        <f t="shared" si="355"/>
        <v>42</v>
      </c>
      <c r="D1413">
        <f>D1380</f>
        <v>2</v>
      </c>
      <c r="E1413" t="str">
        <f>VLOOKUP(D1413,name!A:B,2,1)</f>
        <v>Tanaka</v>
      </c>
      <c r="F1413" t="str">
        <f>F1380</f>
        <v>Wo kann man eigentlich Perücken kaufen?</v>
      </c>
      <c r="G1413" t="str">
        <f t="shared" si="354"/>
        <v>a</v>
      </c>
      <c r="H1413" t="str">
        <f>VLOOKUP(D1413,name!A:C,3,1)</f>
        <v>assets/icons/image013.png</v>
      </c>
    </row>
    <row r="1414" spans="1:8" x14ac:dyDescent="0.15">
      <c r="A1414" t="str">
        <f t="shared" ref="A1414:B1414" si="368">A1413</f>
        <v>ドイツ語</v>
      </c>
      <c r="B1414">
        <f t="shared" si="368"/>
        <v>15</v>
      </c>
      <c r="C1414">
        <f t="shared" si="355"/>
        <v>43</v>
      </c>
      <c r="D1414">
        <v>0</v>
      </c>
      <c r="E1414" t="str">
        <f>VLOOKUP(D1414,name!A:B,2,1)</f>
        <v>Player</v>
      </c>
      <c r="F1414" t="str">
        <f>F1380</f>
        <v>Wo kann man eigentlich Perücken kaufen?</v>
      </c>
      <c r="G1414" t="str">
        <f t="shared" si="354"/>
        <v>q</v>
      </c>
      <c r="H1414" t="str">
        <f>VLOOKUP(D1414,name!A:C,3,1)</f>
        <v>assets/icons/image326.png</v>
      </c>
    </row>
    <row r="1415" spans="1:8" x14ac:dyDescent="0.15">
      <c r="A1415" t="str">
        <f t="shared" ref="A1415:B1415" si="369">A1414</f>
        <v>ドイツ語</v>
      </c>
      <c r="B1415">
        <f t="shared" si="369"/>
        <v>15</v>
      </c>
      <c r="C1415">
        <f t="shared" si="355"/>
        <v>44</v>
      </c>
      <c r="D1415">
        <f>D1381</f>
        <v>4</v>
      </c>
      <c r="E1415" t="str">
        <f>VLOOKUP(D1415,name!A:B,2,1)</f>
        <v>Weber</v>
      </c>
      <c r="F1415" t="str">
        <f>F1381</f>
        <v>かつら？</v>
      </c>
      <c r="G1415" t="str">
        <f t="shared" si="354"/>
        <v>a</v>
      </c>
      <c r="H1415" t="str">
        <f>VLOOKUP(D1415,name!A:C,3,1)</f>
        <v>assets/icons/image016.png</v>
      </c>
    </row>
    <row r="1416" spans="1:8" x14ac:dyDescent="0.15">
      <c r="A1416" t="str">
        <f t="shared" ref="A1416:B1416" si="370">A1415</f>
        <v>ドイツ語</v>
      </c>
      <c r="B1416">
        <f t="shared" si="370"/>
        <v>15</v>
      </c>
      <c r="C1416">
        <f t="shared" si="355"/>
        <v>45</v>
      </c>
      <c r="D1416">
        <f>D1382</f>
        <v>4</v>
      </c>
      <c r="E1416" t="str">
        <f>VLOOKUP(D1416,name!A:B,2,1)</f>
        <v>Weber</v>
      </c>
      <c r="F1416" t="str">
        <f>F1382</f>
        <v xml:space="preserve">Perücken? </v>
      </c>
      <c r="G1416" t="str">
        <f t="shared" si="354"/>
        <v>a</v>
      </c>
      <c r="H1416" t="str">
        <f>VLOOKUP(D1416,name!A:C,3,1)</f>
        <v>assets/icons/image016.png</v>
      </c>
    </row>
    <row r="1417" spans="1:8" x14ac:dyDescent="0.15">
      <c r="A1417" t="str">
        <f t="shared" ref="A1417:B1417" si="371">A1416</f>
        <v>ドイツ語</v>
      </c>
      <c r="B1417">
        <f t="shared" si="371"/>
        <v>15</v>
      </c>
      <c r="C1417">
        <f t="shared" si="355"/>
        <v>46</v>
      </c>
      <c r="D1417">
        <v>0</v>
      </c>
      <c r="E1417" t="str">
        <f>VLOOKUP(D1417,name!A:B,2,1)</f>
        <v>Player</v>
      </c>
      <c r="F1417" t="str">
        <f>F1382</f>
        <v xml:space="preserve">Perücken? </v>
      </c>
      <c r="G1417" t="str">
        <f t="shared" si="354"/>
        <v>q</v>
      </c>
      <c r="H1417" t="str">
        <f>VLOOKUP(D1417,name!A:C,3,1)</f>
        <v>assets/icons/image326.png</v>
      </c>
    </row>
    <row r="1418" spans="1:8" x14ac:dyDescent="0.15">
      <c r="A1418" t="str">
        <f t="shared" ref="A1418:B1418" si="372">A1417</f>
        <v>ドイツ語</v>
      </c>
      <c r="B1418">
        <f t="shared" si="372"/>
        <v>15</v>
      </c>
      <c r="C1418">
        <f t="shared" si="355"/>
        <v>47</v>
      </c>
      <c r="D1418">
        <f>D1383</f>
        <v>4</v>
      </c>
      <c r="E1418" t="str">
        <f>VLOOKUP(D1418,name!A:B,2,1)</f>
        <v>Weber</v>
      </c>
      <c r="F1418" t="str">
        <f>F1383</f>
        <v>まだかつらは必要ないでしょう!</v>
      </c>
      <c r="G1418" t="str">
        <f t="shared" si="354"/>
        <v>a</v>
      </c>
      <c r="H1418" t="str">
        <f>VLOOKUP(D1418,name!A:C,3,1)</f>
        <v>assets/icons/image016.png</v>
      </c>
    </row>
    <row r="1419" spans="1:8" x14ac:dyDescent="0.15">
      <c r="A1419" t="str">
        <f t="shared" ref="A1419:B1419" si="373">A1418</f>
        <v>ドイツ語</v>
      </c>
      <c r="B1419">
        <f t="shared" si="373"/>
        <v>15</v>
      </c>
      <c r="C1419">
        <f t="shared" si="355"/>
        <v>48</v>
      </c>
      <c r="D1419">
        <f>D1384</f>
        <v>4</v>
      </c>
      <c r="E1419" t="str">
        <f>VLOOKUP(D1419,name!A:B,2,1)</f>
        <v>Weber</v>
      </c>
      <c r="F1419" t="str">
        <f>F1384</f>
        <v>Du brauchst doch noch keine Perücke!</v>
      </c>
      <c r="G1419" t="str">
        <f t="shared" si="354"/>
        <v>a</v>
      </c>
      <c r="H1419" t="str">
        <f>VLOOKUP(D1419,name!A:C,3,1)</f>
        <v>assets/icons/image016.png</v>
      </c>
    </row>
    <row r="1420" spans="1:8" x14ac:dyDescent="0.15">
      <c r="A1420" t="str">
        <f t="shared" ref="A1420:B1420" si="374">A1419</f>
        <v>ドイツ語</v>
      </c>
      <c r="B1420">
        <f t="shared" si="374"/>
        <v>15</v>
      </c>
      <c r="C1420">
        <f t="shared" si="355"/>
        <v>49</v>
      </c>
      <c r="D1420">
        <v>0</v>
      </c>
      <c r="E1420" t="str">
        <f>VLOOKUP(D1420,name!A:B,2,1)</f>
        <v>Player</v>
      </c>
      <c r="F1420" t="str">
        <f>F1384</f>
        <v>Du brauchst doch noch keine Perücke!</v>
      </c>
      <c r="G1420" t="str">
        <f t="shared" si="354"/>
        <v>q</v>
      </c>
      <c r="H1420" t="str">
        <f>VLOOKUP(D1420,name!A:C,3,1)</f>
        <v>assets/icons/image326.png</v>
      </c>
    </row>
    <row r="1421" spans="1:8" x14ac:dyDescent="0.15">
      <c r="A1421" t="str">
        <f t="shared" ref="A1421:B1421" si="375">A1420</f>
        <v>ドイツ語</v>
      </c>
      <c r="B1421">
        <f t="shared" si="375"/>
        <v>15</v>
      </c>
      <c r="C1421">
        <f t="shared" si="355"/>
        <v>50</v>
      </c>
      <c r="D1421">
        <f>D1385</f>
        <v>2</v>
      </c>
      <c r="E1421" t="str">
        <f>VLOOKUP(D1421,name!A:B,2,1)</f>
        <v>Tanaka</v>
      </c>
      <c r="F1421" t="str">
        <f>F1385</f>
        <v>いえいえ！</v>
      </c>
      <c r="G1421" t="str">
        <f t="shared" si="354"/>
        <v>a</v>
      </c>
      <c r="H1421" t="str">
        <f>VLOOKUP(D1421,name!A:C,3,1)</f>
        <v>assets/icons/image013.png</v>
      </c>
    </row>
    <row r="1422" spans="1:8" x14ac:dyDescent="0.15">
      <c r="A1422" t="str">
        <f t="shared" ref="A1422:B1422" si="376">A1421</f>
        <v>ドイツ語</v>
      </c>
      <c r="B1422">
        <f t="shared" si="376"/>
        <v>15</v>
      </c>
      <c r="C1422">
        <f t="shared" si="355"/>
        <v>51</v>
      </c>
      <c r="D1422">
        <f>D1386</f>
        <v>2</v>
      </c>
      <c r="E1422" t="str">
        <f>VLOOKUP(D1422,name!A:B,2,1)</f>
        <v>Tanaka</v>
      </c>
      <c r="F1422" t="str">
        <f>F1386</f>
        <v xml:space="preserve">Nein, nein! </v>
      </c>
      <c r="G1422" t="str">
        <f t="shared" si="354"/>
        <v>a</v>
      </c>
      <c r="H1422" t="str">
        <f>VLOOKUP(D1422,name!A:C,3,1)</f>
        <v>assets/icons/image013.png</v>
      </c>
    </row>
    <row r="1423" spans="1:8" x14ac:dyDescent="0.15">
      <c r="A1423" t="str">
        <f t="shared" ref="A1423:B1423" si="377">A1422</f>
        <v>ドイツ語</v>
      </c>
      <c r="B1423">
        <f t="shared" si="377"/>
        <v>15</v>
      </c>
      <c r="C1423">
        <f t="shared" si="355"/>
        <v>52</v>
      </c>
      <c r="D1423">
        <v>0</v>
      </c>
      <c r="E1423" t="str">
        <f>VLOOKUP(D1423,name!A:B,2,1)</f>
        <v>Player</v>
      </c>
      <c r="F1423" t="str">
        <f>F1386</f>
        <v xml:space="preserve">Nein, nein! </v>
      </c>
      <c r="G1423" t="str">
        <f t="shared" si="354"/>
        <v>q</v>
      </c>
      <c r="H1423" t="str">
        <f>VLOOKUP(D1423,name!A:C,3,1)</f>
        <v>assets/icons/image326.png</v>
      </c>
    </row>
    <row r="1424" spans="1:8" x14ac:dyDescent="0.15">
      <c r="A1424" t="str">
        <f t="shared" ref="A1424:B1424" si="378">A1423</f>
        <v>ドイツ語</v>
      </c>
      <c r="B1424">
        <f t="shared" si="378"/>
        <v>15</v>
      </c>
      <c r="C1424">
        <f t="shared" si="355"/>
        <v>53</v>
      </c>
      <c r="D1424">
        <f>D1387</f>
        <v>2</v>
      </c>
      <c r="E1424" t="str">
        <f>VLOOKUP(D1424,name!A:B,2,1)</f>
        <v>Tanaka</v>
      </c>
      <c r="F1424" t="str">
        <f>F1387</f>
        <v>バウアーさんが私をカーニバルパーティーに招待しました、そして私に仮装して欲しいと。</v>
      </c>
      <c r="G1424" t="str">
        <f t="shared" si="354"/>
        <v>a</v>
      </c>
      <c r="H1424" t="str">
        <f>VLOOKUP(D1424,name!A:C,3,1)</f>
        <v>assets/icons/image013.png</v>
      </c>
    </row>
    <row r="1425" spans="1:8" x14ac:dyDescent="0.15">
      <c r="A1425" t="str">
        <f t="shared" ref="A1425:B1425" si="379">A1424</f>
        <v>ドイツ語</v>
      </c>
      <c r="B1425">
        <f t="shared" si="379"/>
        <v>15</v>
      </c>
      <c r="C1425">
        <f t="shared" si="355"/>
        <v>54</v>
      </c>
      <c r="D1425">
        <f>D1388</f>
        <v>2</v>
      </c>
      <c r="E1425" t="str">
        <f>VLOOKUP(D1425,name!A:B,2,1)</f>
        <v>Tanaka</v>
      </c>
      <c r="F1425" t="str">
        <f>F1388</f>
        <v>Herr Bauer hat mich zur Faschingsparty eingeladen und ich soll mich da verkleiden.</v>
      </c>
      <c r="G1425" t="str">
        <f t="shared" si="354"/>
        <v>a</v>
      </c>
      <c r="H1425" t="str">
        <f>VLOOKUP(D1425,name!A:C,3,1)</f>
        <v>assets/icons/image013.png</v>
      </c>
    </row>
    <row r="1426" spans="1:8" x14ac:dyDescent="0.15">
      <c r="A1426" t="str">
        <f t="shared" ref="A1426:B1426" si="380">A1425</f>
        <v>ドイツ語</v>
      </c>
      <c r="B1426">
        <f t="shared" si="380"/>
        <v>15</v>
      </c>
      <c r="C1426">
        <f t="shared" si="355"/>
        <v>55</v>
      </c>
      <c r="D1426">
        <v>0</v>
      </c>
      <c r="E1426" t="str">
        <f>VLOOKUP(D1426,name!A:B,2,1)</f>
        <v>Player</v>
      </c>
      <c r="F1426" t="str">
        <f>F1388</f>
        <v>Herr Bauer hat mich zur Faschingsparty eingeladen und ich soll mich da verkleiden.</v>
      </c>
      <c r="G1426" t="str">
        <f t="shared" si="354"/>
        <v>q</v>
      </c>
      <c r="H1426" t="str">
        <f>VLOOKUP(D1426,name!A:C,3,1)</f>
        <v>assets/icons/image326.png</v>
      </c>
    </row>
    <row r="1427" spans="1:8" x14ac:dyDescent="0.15">
      <c r="A1427" t="str">
        <f t="shared" ref="A1427:B1427" si="381">A1426</f>
        <v>ドイツ語</v>
      </c>
      <c r="B1427">
        <f t="shared" si="381"/>
        <v>15</v>
      </c>
      <c r="C1427">
        <f t="shared" si="355"/>
        <v>56</v>
      </c>
      <c r="D1427">
        <f>D1389</f>
        <v>2</v>
      </c>
      <c r="E1427" t="str">
        <f>VLOOKUP(D1427,name!A:B,2,1)</f>
        <v>Tanaka</v>
      </c>
      <c r="F1427" t="str">
        <f>F1389</f>
        <v>侍として。</v>
      </c>
      <c r="G1427" t="str">
        <f t="shared" si="354"/>
        <v>a</v>
      </c>
      <c r="H1427" t="str">
        <f>VLOOKUP(D1427,name!A:C,3,1)</f>
        <v>assets/icons/image013.png</v>
      </c>
    </row>
    <row r="1428" spans="1:8" x14ac:dyDescent="0.15">
      <c r="A1428" t="str">
        <f t="shared" ref="A1428:B1428" si="382">A1427</f>
        <v>ドイツ語</v>
      </c>
      <c r="B1428">
        <f t="shared" si="382"/>
        <v>15</v>
      </c>
      <c r="C1428">
        <f t="shared" si="355"/>
        <v>57</v>
      </c>
      <c r="D1428">
        <f>D1390</f>
        <v>2</v>
      </c>
      <c r="E1428" t="str">
        <f>VLOOKUP(D1428,name!A:B,2,1)</f>
        <v>Tanaka</v>
      </c>
      <c r="F1428" t="str">
        <f>F1390</f>
        <v>Als Samurai.</v>
      </c>
      <c r="G1428" t="str">
        <f t="shared" si="354"/>
        <v>a</v>
      </c>
      <c r="H1428" t="str">
        <f>VLOOKUP(D1428,name!A:C,3,1)</f>
        <v>assets/icons/image013.png</v>
      </c>
    </row>
    <row r="1429" spans="1:8" x14ac:dyDescent="0.15">
      <c r="A1429" t="str">
        <f t="shared" ref="A1429:B1429" si="383">A1428</f>
        <v>ドイツ語</v>
      </c>
      <c r="B1429">
        <f t="shared" si="383"/>
        <v>15</v>
      </c>
      <c r="C1429">
        <f t="shared" si="355"/>
        <v>58</v>
      </c>
      <c r="D1429">
        <v>0</v>
      </c>
      <c r="E1429" t="str">
        <f>VLOOKUP(D1429,name!A:B,2,1)</f>
        <v>Player</v>
      </c>
      <c r="F1429" t="str">
        <f>F1390</f>
        <v>Als Samurai.</v>
      </c>
      <c r="G1429" t="str">
        <f t="shared" si="354"/>
        <v>q</v>
      </c>
      <c r="H1429" t="str">
        <f>VLOOKUP(D1429,name!A:C,3,1)</f>
        <v>assets/icons/image326.png</v>
      </c>
    </row>
    <row r="1430" spans="1:8" x14ac:dyDescent="0.15">
      <c r="A1430" t="str">
        <f t="shared" ref="A1430:B1430" si="384">A1429</f>
        <v>ドイツ語</v>
      </c>
      <c r="B1430">
        <f t="shared" si="384"/>
        <v>15</v>
      </c>
      <c r="C1430">
        <f t="shared" si="355"/>
        <v>59</v>
      </c>
      <c r="D1430">
        <f>D1391</f>
        <v>4</v>
      </c>
      <c r="E1430" t="str">
        <f>VLOOKUP(D1430,name!A:B,2,1)</f>
        <v>Weber</v>
      </c>
      <c r="F1430" t="str">
        <f>F1391</f>
        <v>あなたが侍に扮するの?</v>
      </c>
      <c r="G1430" t="str">
        <f t="shared" si="354"/>
        <v>a</v>
      </c>
      <c r="H1430" t="str">
        <f>VLOOKUP(D1430,name!A:C,3,1)</f>
        <v>assets/icons/image016.png</v>
      </c>
    </row>
    <row r="1431" spans="1:8" x14ac:dyDescent="0.15">
      <c r="A1431" t="str">
        <f t="shared" ref="A1431:B1431" si="385">A1430</f>
        <v>ドイツ語</v>
      </c>
      <c r="B1431">
        <f t="shared" si="385"/>
        <v>15</v>
      </c>
      <c r="C1431">
        <f t="shared" si="355"/>
        <v>60</v>
      </c>
      <c r="D1431">
        <f>D1392</f>
        <v>4</v>
      </c>
      <c r="E1431" t="str">
        <f>VLOOKUP(D1431,name!A:B,2,1)</f>
        <v>Weber</v>
      </c>
      <c r="F1431" t="str">
        <f>F1392</f>
        <v xml:space="preserve">Du verkleidest dich als Samurai? </v>
      </c>
      <c r="G1431" t="str">
        <f t="shared" si="354"/>
        <v>a</v>
      </c>
      <c r="H1431" t="str">
        <f>VLOOKUP(D1431,name!A:C,3,1)</f>
        <v>assets/icons/image016.png</v>
      </c>
    </row>
    <row r="1432" spans="1:8" x14ac:dyDescent="0.15">
      <c r="A1432" t="str">
        <f t="shared" ref="A1432:B1432" si="386">A1431</f>
        <v>ドイツ語</v>
      </c>
      <c r="B1432">
        <f t="shared" si="386"/>
        <v>15</v>
      </c>
      <c r="C1432">
        <f t="shared" si="355"/>
        <v>61</v>
      </c>
      <c r="D1432">
        <v>0</v>
      </c>
      <c r="E1432" t="str">
        <f>VLOOKUP(D1432,name!A:B,2,1)</f>
        <v>Player</v>
      </c>
      <c r="F1432" t="str">
        <f>F1392</f>
        <v xml:space="preserve">Du verkleidest dich als Samurai? </v>
      </c>
      <c r="G1432" t="str">
        <f t="shared" si="354"/>
        <v>q</v>
      </c>
      <c r="H1432" t="str">
        <f>VLOOKUP(D1432,name!A:C,3,1)</f>
        <v>assets/icons/image326.png</v>
      </c>
    </row>
    <row r="1433" spans="1:8" x14ac:dyDescent="0.15">
      <c r="A1433" t="str">
        <f t="shared" ref="A1433:B1433" si="387">A1432</f>
        <v>ドイツ語</v>
      </c>
      <c r="B1433">
        <f t="shared" si="387"/>
        <v>15</v>
      </c>
      <c r="C1433">
        <f t="shared" si="355"/>
        <v>62</v>
      </c>
      <c r="D1433">
        <f>D1393</f>
        <v>4</v>
      </c>
      <c r="E1433" t="str">
        <f>VLOOKUP(D1433,name!A:B,2,1)</f>
        <v>Weber</v>
      </c>
      <c r="F1433" t="str">
        <f>F1393</f>
        <v>それはおもしろい。</v>
      </c>
      <c r="G1433" t="str">
        <f t="shared" si="354"/>
        <v>a</v>
      </c>
      <c r="H1433" t="str">
        <f>VLOOKUP(D1433,name!A:C,3,1)</f>
        <v>assets/icons/image016.png</v>
      </c>
    </row>
    <row r="1434" spans="1:8" x14ac:dyDescent="0.15">
      <c r="A1434" t="str">
        <f t="shared" ref="A1434:B1434" si="388">A1433</f>
        <v>ドイツ語</v>
      </c>
      <c r="B1434">
        <f t="shared" si="388"/>
        <v>15</v>
      </c>
      <c r="C1434">
        <f t="shared" si="355"/>
        <v>63</v>
      </c>
      <c r="D1434">
        <f>D1394</f>
        <v>4</v>
      </c>
      <c r="E1434" t="str">
        <f>VLOOKUP(D1434,name!A:B,2,1)</f>
        <v>Weber</v>
      </c>
      <c r="F1434" t="str">
        <f>F1394</f>
        <v>Das ist ja witzig.</v>
      </c>
      <c r="G1434" t="str">
        <f t="shared" si="354"/>
        <v>a</v>
      </c>
      <c r="H1434" t="str">
        <f>VLOOKUP(D1434,name!A:C,3,1)</f>
        <v>assets/icons/image016.png</v>
      </c>
    </row>
    <row r="1435" spans="1:8" x14ac:dyDescent="0.15">
      <c r="A1435" t="str">
        <f t="shared" ref="A1435:B1435" si="389">A1434</f>
        <v>ドイツ語</v>
      </c>
      <c r="B1435">
        <f t="shared" si="389"/>
        <v>15</v>
      </c>
      <c r="C1435">
        <f t="shared" si="355"/>
        <v>64</v>
      </c>
      <c r="D1435">
        <v>0</v>
      </c>
      <c r="E1435" t="str">
        <f>VLOOKUP(D1435,name!A:B,2,1)</f>
        <v>Player</v>
      </c>
      <c r="F1435" t="str">
        <f>F1394</f>
        <v>Das ist ja witzig.</v>
      </c>
      <c r="G1435" t="str">
        <f t="shared" si="354"/>
        <v>q</v>
      </c>
      <c r="H1435" t="str">
        <f>VLOOKUP(D1435,name!A:C,3,1)</f>
        <v>assets/icons/image326.png</v>
      </c>
    </row>
    <row r="1436" spans="1:8" x14ac:dyDescent="0.15">
      <c r="A1436" t="str">
        <f t="shared" ref="A1436:B1436" si="390">A1435</f>
        <v>ドイツ語</v>
      </c>
      <c r="B1436">
        <f t="shared" si="390"/>
        <v>15</v>
      </c>
      <c r="C1436">
        <f t="shared" si="355"/>
        <v>65</v>
      </c>
      <c r="D1436">
        <f>D1395</f>
        <v>4</v>
      </c>
      <c r="E1436" t="str">
        <f>VLOOKUP(D1436,name!A:B,2,1)</f>
        <v>Weber</v>
      </c>
      <c r="F1436" t="str">
        <f>F1395</f>
        <v>それなら車で旧市街まで行くと良いです。</v>
      </c>
      <c r="G1436" t="str">
        <f t="shared" si="354"/>
        <v>a</v>
      </c>
      <c r="H1436" t="str">
        <f>VLOOKUP(D1436,name!A:C,3,1)</f>
        <v>assets/icons/image016.png</v>
      </c>
    </row>
    <row r="1437" spans="1:8" x14ac:dyDescent="0.15">
      <c r="A1437" t="str">
        <f t="shared" ref="A1437:B1437" si="391">A1436</f>
        <v>ドイツ語</v>
      </c>
      <c r="B1437">
        <f t="shared" si="391"/>
        <v>15</v>
      </c>
      <c r="C1437">
        <f t="shared" si="355"/>
        <v>66</v>
      </c>
      <c r="D1437">
        <f>D1396</f>
        <v>4</v>
      </c>
      <c r="E1437" t="str">
        <f>VLOOKUP(D1437,name!A:B,2,1)</f>
        <v>Weber</v>
      </c>
      <c r="F1437" t="str">
        <f>F1396</f>
        <v>Da kannst du in die Altstadt fahren.</v>
      </c>
      <c r="G1437" t="str">
        <f t="shared" ref="G1437:G1481" si="392">IF(B1437&lt;&gt;B1438,"e",IF(D1437=0,"q","a"))</f>
        <v>a</v>
      </c>
      <c r="H1437" t="str">
        <f>VLOOKUP(D1437,name!A:C,3,1)</f>
        <v>assets/icons/image016.png</v>
      </c>
    </row>
    <row r="1438" spans="1:8" x14ac:dyDescent="0.15">
      <c r="A1438" t="str">
        <f t="shared" ref="A1438:B1438" si="393">A1437</f>
        <v>ドイツ語</v>
      </c>
      <c r="B1438">
        <f t="shared" si="393"/>
        <v>15</v>
      </c>
      <c r="C1438">
        <f t="shared" ref="C1438:C1482" si="394">C1437+1</f>
        <v>67</v>
      </c>
      <c r="D1438">
        <v>0</v>
      </c>
      <c r="E1438" t="str">
        <f>VLOOKUP(D1438,name!A:B,2,1)</f>
        <v>Player</v>
      </c>
      <c r="F1438" t="str">
        <f>F1396</f>
        <v>Da kannst du in die Altstadt fahren.</v>
      </c>
      <c r="G1438" t="str">
        <f t="shared" si="392"/>
        <v>q</v>
      </c>
      <c r="H1438" t="str">
        <f>VLOOKUP(D1438,name!A:C,3,1)</f>
        <v>assets/icons/image326.png</v>
      </c>
    </row>
    <row r="1439" spans="1:8" x14ac:dyDescent="0.15">
      <c r="A1439" t="str">
        <f t="shared" ref="A1439:B1439" si="395">A1438</f>
        <v>ドイツ語</v>
      </c>
      <c r="B1439">
        <f t="shared" si="395"/>
        <v>15</v>
      </c>
      <c r="C1439">
        <f t="shared" si="394"/>
        <v>68</v>
      </c>
      <c r="D1439">
        <f>D1397</f>
        <v>4</v>
      </c>
      <c r="E1439" t="str">
        <f>VLOOKUP(D1439,name!A:B,2,1)</f>
        <v>Weber</v>
      </c>
      <c r="F1439" t="str">
        <f>F1397</f>
        <v>パーティー用品のお店があります。</v>
      </c>
      <c r="G1439" t="str">
        <f t="shared" si="392"/>
        <v>a</v>
      </c>
      <c r="H1439" t="str">
        <f>VLOOKUP(D1439,name!A:C,3,1)</f>
        <v>assets/icons/image016.png</v>
      </c>
    </row>
    <row r="1440" spans="1:8" x14ac:dyDescent="0.15">
      <c r="A1440" t="str">
        <f t="shared" ref="A1440:B1440" si="396">A1439</f>
        <v>ドイツ語</v>
      </c>
      <c r="B1440">
        <f t="shared" si="396"/>
        <v>15</v>
      </c>
      <c r="C1440">
        <f t="shared" si="394"/>
        <v>69</v>
      </c>
      <c r="D1440">
        <f>D1398</f>
        <v>4</v>
      </c>
      <c r="E1440" t="str">
        <f>VLOOKUP(D1440,name!A:B,2,1)</f>
        <v>Weber</v>
      </c>
      <c r="F1440" t="str">
        <f>F1398</f>
        <v>Dort gibt es einen Laden für Partysachen.</v>
      </c>
      <c r="G1440" t="str">
        <f t="shared" si="392"/>
        <v>a</v>
      </c>
      <c r="H1440" t="str">
        <f>VLOOKUP(D1440,name!A:C,3,1)</f>
        <v>assets/icons/image016.png</v>
      </c>
    </row>
    <row r="1441" spans="1:8" x14ac:dyDescent="0.15">
      <c r="A1441" t="str">
        <f t="shared" ref="A1441:B1441" si="397">A1440</f>
        <v>ドイツ語</v>
      </c>
      <c r="B1441">
        <f t="shared" si="397"/>
        <v>15</v>
      </c>
      <c r="C1441">
        <f t="shared" si="394"/>
        <v>70</v>
      </c>
      <c r="D1441">
        <v>0</v>
      </c>
      <c r="E1441" t="str">
        <f>VLOOKUP(D1441,name!A:B,2,1)</f>
        <v>Player</v>
      </c>
      <c r="F1441" t="str">
        <f>F1398</f>
        <v>Dort gibt es einen Laden für Partysachen.</v>
      </c>
      <c r="G1441" t="str">
        <f t="shared" si="392"/>
        <v>q</v>
      </c>
      <c r="H1441" t="str">
        <f>VLOOKUP(D1441,name!A:C,3,1)</f>
        <v>assets/icons/image326.png</v>
      </c>
    </row>
    <row r="1442" spans="1:8" x14ac:dyDescent="0.15">
      <c r="A1442" t="str">
        <f t="shared" ref="A1442:B1442" si="398">A1441</f>
        <v>ドイツ語</v>
      </c>
      <c r="B1442">
        <f t="shared" si="398"/>
        <v>15</v>
      </c>
      <c r="C1442">
        <f t="shared" si="394"/>
        <v>71</v>
      </c>
      <c r="D1442">
        <f>D1399</f>
        <v>2</v>
      </c>
      <c r="E1442" t="str">
        <f>VLOOKUP(D1442,name!A:B,2,1)</f>
        <v>Tanaka</v>
      </c>
      <c r="F1442" t="str">
        <f>F1399</f>
        <v>ああ、ヴィーラント通りにある?</v>
      </c>
      <c r="G1442" t="str">
        <f t="shared" si="392"/>
        <v>a</v>
      </c>
      <c r="H1442" t="str">
        <f>VLOOKUP(D1442,name!A:C,3,1)</f>
        <v>assets/icons/image013.png</v>
      </c>
    </row>
    <row r="1443" spans="1:8" x14ac:dyDescent="0.15">
      <c r="A1443" t="str">
        <f t="shared" ref="A1443:B1443" si="399">A1442</f>
        <v>ドイツ語</v>
      </c>
      <c r="B1443">
        <f t="shared" si="399"/>
        <v>15</v>
      </c>
      <c r="C1443">
        <f t="shared" si="394"/>
        <v>72</v>
      </c>
      <c r="D1443">
        <f>D1400</f>
        <v>2</v>
      </c>
      <c r="E1443" t="str">
        <f>VLOOKUP(D1443,name!A:B,2,1)</f>
        <v>Tanaka</v>
      </c>
      <c r="F1443" t="str">
        <f>F1400</f>
        <v>Ah, ist das in der Wielandstraße?</v>
      </c>
      <c r="G1443" t="str">
        <f t="shared" si="392"/>
        <v>a</v>
      </c>
      <c r="H1443" t="str">
        <f>VLOOKUP(D1443,name!A:C,3,1)</f>
        <v>assets/icons/image013.png</v>
      </c>
    </row>
    <row r="1444" spans="1:8" x14ac:dyDescent="0.15">
      <c r="A1444" t="str">
        <f t="shared" ref="A1444:B1444" si="400">A1443</f>
        <v>ドイツ語</v>
      </c>
      <c r="B1444">
        <f t="shared" si="400"/>
        <v>15</v>
      </c>
      <c r="C1444">
        <f t="shared" si="394"/>
        <v>73</v>
      </c>
      <c r="D1444">
        <v>0</v>
      </c>
      <c r="E1444" t="str">
        <f>VLOOKUP(D1444,name!A:B,2,1)</f>
        <v>Player</v>
      </c>
      <c r="F1444" t="str">
        <f>F1400</f>
        <v>Ah, ist das in der Wielandstraße?</v>
      </c>
      <c r="G1444" t="str">
        <f t="shared" si="392"/>
        <v>q</v>
      </c>
      <c r="H1444" t="str">
        <f>VLOOKUP(D1444,name!A:C,3,1)</f>
        <v>assets/icons/image326.png</v>
      </c>
    </row>
    <row r="1445" spans="1:8" x14ac:dyDescent="0.15">
      <c r="A1445" t="str">
        <f t="shared" ref="A1445:B1445" si="401">A1444</f>
        <v>ドイツ語</v>
      </c>
      <c r="B1445">
        <f t="shared" si="401"/>
        <v>15</v>
      </c>
      <c r="C1445">
        <f t="shared" si="394"/>
        <v>74</v>
      </c>
      <c r="D1445">
        <f>D1401</f>
        <v>4</v>
      </c>
      <c r="E1445" t="str">
        <f>VLOOKUP(D1445,name!A:B,2,1)</f>
        <v>Weber</v>
      </c>
      <c r="F1445" t="str">
        <f>F1401</f>
        <v>その通り。</v>
      </c>
      <c r="G1445" t="str">
        <f t="shared" si="392"/>
        <v>a</v>
      </c>
      <c r="H1445" t="str">
        <f>VLOOKUP(D1445,name!A:C,3,1)</f>
        <v>assets/icons/image016.png</v>
      </c>
    </row>
    <row r="1446" spans="1:8" x14ac:dyDescent="0.15">
      <c r="A1446" t="str">
        <f t="shared" ref="A1446:B1446" si="402">A1445</f>
        <v>ドイツ語</v>
      </c>
      <c r="B1446">
        <f t="shared" si="402"/>
        <v>15</v>
      </c>
      <c r="C1446">
        <f t="shared" si="394"/>
        <v>75</v>
      </c>
      <c r="D1446">
        <f>D1402</f>
        <v>4</v>
      </c>
      <c r="E1446" t="str">
        <f>VLOOKUP(D1446,name!A:B,2,1)</f>
        <v>Weber</v>
      </c>
      <c r="F1446" t="str">
        <f>F1402</f>
        <v xml:space="preserve">Genau. </v>
      </c>
      <c r="G1446" t="str">
        <f t="shared" si="392"/>
        <v>a</v>
      </c>
      <c r="H1446" t="str">
        <f>VLOOKUP(D1446,name!A:C,3,1)</f>
        <v>assets/icons/image016.png</v>
      </c>
    </row>
    <row r="1447" spans="1:8" x14ac:dyDescent="0.15">
      <c r="A1447" t="str">
        <f t="shared" ref="A1447:B1447" si="403">A1446</f>
        <v>ドイツ語</v>
      </c>
      <c r="B1447">
        <f t="shared" si="403"/>
        <v>15</v>
      </c>
      <c r="C1447">
        <f t="shared" si="394"/>
        <v>76</v>
      </c>
      <c r="D1447">
        <v>0</v>
      </c>
      <c r="E1447" t="str">
        <f>VLOOKUP(D1447,name!A:B,2,1)</f>
        <v>Player</v>
      </c>
      <c r="F1447" t="str">
        <f>F1402</f>
        <v xml:space="preserve">Genau. </v>
      </c>
      <c r="G1447" t="str">
        <f t="shared" si="392"/>
        <v>q</v>
      </c>
      <c r="H1447" t="str">
        <f>VLOOKUP(D1447,name!A:C,3,1)</f>
        <v>assets/icons/image326.png</v>
      </c>
    </row>
    <row r="1448" spans="1:8" x14ac:dyDescent="0.15">
      <c r="A1448" t="str">
        <f t="shared" ref="A1448:B1448" si="404">A1447</f>
        <v>ドイツ語</v>
      </c>
      <c r="B1448">
        <f t="shared" si="404"/>
        <v>15</v>
      </c>
      <c r="C1448">
        <f t="shared" si="394"/>
        <v>77</v>
      </c>
      <c r="D1448">
        <f>D1403</f>
        <v>4</v>
      </c>
      <c r="E1448" t="str">
        <f>VLOOKUP(D1448,name!A:B,2,1)</f>
        <v>Weber</v>
      </c>
      <c r="F1448" t="str">
        <f>F1403</f>
        <v>今日一緒に行きましょう!</v>
      </c>
      <c r="G1448" t="str">
        <f t="shared" si="392"/>
        <v>a</v>
      </c>
      <c r="H1448" t="str">
        <f>VLOOKUP(D1448,name!A:C,3,1)</f>
        <v>assets/icons/image016.png</v>
      </c>
    </row>
    <row r="1449" spans="1:8" x14ac:dyDescent="0.15">
      <c r="A1449" t="str">
        <f t="shared" ref="A1449:B1449" si="405">A1448</f>
        <v>ドイツ語</v>
      </c>
      <c r="B1449">
        <f t="shared" si="405"/>
        <v>15</v>
      </c>
      <c r="C1449">
        <f t="shared" si="394"/>
        <v>78</v>
      </c>
      <c r="D1449">
        <f>D1404</f>
        <v>4</v>
      </c>
      <c r="E1449" t="str">
        <f>VLOOKUP(D1449,name!A:B,2,1)</f>
        <v>Weber</v>
      </c>
      <c r="F1449" t="str">
        <f>F1404</f>
        <v>Lass uns heute zusammen dorthin gehen!</v>
      </c>
      <c r="G1449" t="str">
        <f t="shared" si="392"/>
        <v>a</v>
      </c>
      <c r="H1449" t="str">
        <f>VLOOKUP(D1449,name!A:C,3,1)</f>
        <v>assets/icons/image016.png</v>
      </c>
    </row>
    <row r="1450" spans="1:8" x14ac:dyDescent="0.15">
      <c r="A1450" t="str">
        <f t="shared" ref="A1450:B1450" si="406">A1449</f>
        <v>ドイツ語</v>
      </c>
      <c r="B1450">
        <f t="shared" si="406"/>
        <v>15</v>
      </c>
      <c r="C1450">
        <f t="shared" si="394"/>
        <v>79</v>
      </c>
      <c r="D1450">
        <v>0</v>
      </c>
      <c r="E1450" t="str">
        <f>VLOOKUP(D1450,name!A:B,2,1)</f>
        <v>Player</v>
      </c>
      <c r="F1450" t="str">
        <f>F1404</f>
        <v>Lass uns heute zusammen dorthin gehen!</v>
      </c>
      <c r="G1450" t="str">
        <f t="shared" si="392"/>
        <v>q</v>
      </c>
      <c r="H1450" t="str">
        <f>VLOOKUP(D1450,name!A:C,3,1)</f>
        <v>assets/icons/image326.png</v>
      </c>
    </row>
    <row r="1451" spans="1:8" x14ac:dyDescent="0.15">
      <c r="A1451" t="str">
        <f t="shared" ref="A1451:B1451" si="407">A1450</f>
        <v>ドイツ語</v>
      </c>
      <c r="B1451">
        <f t="shared" si="407"/>
        <v>15</v>
      </c>
      <c r="C1451">
        <f t="shared" si="394"/>
        <v>80</v>
      </c>
      <c r="D1451">
        <v>1</v>
      </c>
      <c r="E1451" t="str">
        <f>VLOOKUP(D1451,name!A:B,2,1)</f>
        <v>Navigator</v>
      </c>
      <c r="F1451" t="str">
        <f>"次の日本語を"&amp;A1451&amp;"に訳して答えてね！"</f>
        <v>次の日本語をドイツ語に訳して答えてね！</v>
      </c>
      <c r="G1451" t="str">
        <f t="shared" si="392"/>
        <v>a</v>
      </c>
      <c r="H1451" t="str">
        <f>VLOOKUP(D1451,name!A:C,3,1)</f>
        <v>assets/icons/image014.png</v>
      </c>
    </row>
    <row r="1452" spans="1:8" x14ac:dyDescent="0.15">
      <c r="A1452" t="str">
        <f t="shared" ref="A1452:B1452" si="408">A1451</f>
        <v>ドイツ語</v>
      </c>
      <c r="B1452">
        <f t="shared" si="408"/>
        <v>15</v>
      </c>
      <c r="C1452">
        <f t="shared" si="394"/>
        <v>81</v>
      </c>
      <c r="D1452">
        <f>D1375</f>
        <v>2</v>
      </c>
      <c r="E1452" t="str">
        <f>VLOOKUP(D1452,name!A:B,2,1)</f>
        <v>Tanaka</v>
      </c>
      <c r="F1452" t="str">
        <f t="shared" ref="F1452:F1481" si="409">F1375</f>
        <v>アンドレア、アドバイスをもらえますか?</v>
      </c>
      <c r="G1452" t="str">
        <f t="shared" si="392"/>
        <v>a</v>
      </c>
      <c r="H1452" t="str">
        <f>VLOOKUP(D1452,name!A:C,3,1)</f>
        <v>assets/icons/image013.png</v>
      </c>
    </row>
    <row r="1453" spans="1:8" x14ac:dyDescent="0.15">
      <c r="A1453" t="str">
        <f t="shared" ref="A1453:B1453" si="410">A1452</f>
        <v>ドイツ語</v>
      </c>
      <c r="B1453">
        <f t="shared" si="410"/>
        <v>15</v>
      </c>
      <c r="C1453">
        <f t="shared" si="394"/>
        <v>82</v>
      </c>
      <c r="D1453">
        <v>0</v>
      </c>
      <c r="E1453" t="str">
        <f>VLOOKUP(D1453,name!A:B,2,1)</f>
        <v>Player</v>
      </c>
      <c r="F1453" t="str">
        <f t="shared" si="409"/>
        <v>Andrea, kannst du mir einen Tipp geben?</v>
      </c>
      <c r="G1453" t="str">
        <f t="shared" si="392"/>
        <v>q</v>
      </c>
      <c r="H1453" t="str">
        <f>VLOOKUP(D1453,name!A:C,3,1)</f>
        <v>assets/icons/image326.png</v>
      </c>
    </row>
    <row r="1454" spans="1:8" x14ac:dyDescent="0.15">
      <c r="A1454" t="str">
        <f t="shared" ref="A1454:B1454" si="411">A1453</f>
        <v>ドイツ語</v>
      </c>
      <c r="B1454">
        <f t="shared" si="411"/>
        <v>15</v>
      </c>
      <c r="C1454">
        <f t="shared" si="394"/>
        <v>83</v>
      </c>
      <c r="D1454">
        <f>D1377</f>
        <v>4</v>
      </c>
      <c r="E1454" t="str">
        <f>VLOOKUP(D1454,name!A:B,2,1)</f>
        <v>Weber</v>
      </c>
      <c r="F1454" t="str">
        <f t="shared" si="409"/>
        <v>はい、何ですか?</v>
      </c>
      <c r="G1454" t="str">
        <f t="shared" si="392"/>
        <v>a</v>
      </c>
      <c r="H1454" t="str">
        <f>VLOOKUP(D1454,name!A:C,3,1)</f>
        <v>assets/icons/image016.png</v>
      </c>
    </row>
    <row r="1455" spans="1:8" x14ac:dyDescent="0.15">
      <c r="A1455" t="str">
        <f t="shared" ref="A1455:B1455" si="412">A1454</f>
        <v>ドイツ語</v>
      </c>
      <c r="B1455">
        <f t="shared" si="412"/>
        <v>15</v>
      </c>
      <c r="C1455">
        <f t="shared" si="394"/>
        <v>84</v>
      </c>
      <c r="D1455">
        <v>0</v>
      </c>
      <c r="E1455" t="str">
        <f>VLOOKUP(D1455,name!A:B,2,1)</f>
        <v>Player</v>
      </c>
      <c r="F1455" t="str">
        <f t="shared" si="409"/>
        <v>Ja, was ist denn?</v>
      </c>
      <c r="G1455" t="str">
        <f t="shared" si="392"/>
        <v>q</v>
      </c>
      <c r="H1455" t="str">
        <f>VLOOKUP(D1455,name!A:C,3,1)</f>
        <v>assets/icons/image326.png</v>
      </c>
    </row>
    <row r="1456" spans="1:8" x14ac:dyDescent="0.15">
      <c r="A1456" t="str">
        <f t="shared" ref="A1456:B1456" si="413">A1455</f>
        <v>ドイツ語</v>
      </c>
      <c r="B1456">
        <f t="shared" si="413"/>
        <v>15</v>
      </c>
      <c r="C1456">
        <f t="shared" si="394"/>
        <v>85</v>
      </c>
      <c r="D1456">
        <f>D1379</f>
        <v>2</v>
      </c>
      <c r="E1456" t="str">
        <f>VLOOKUP(D1456,name!A:B,2,1)</f>
        <v>Tanaka</v>
      </c>
      <c r="F1456" t="str">
        <f t="shared" si="409"/>
        <v>かつらはどこで買えますか?</v>
      </c>
      <c r="G1456" t="str">
        <f t="shared" si="392"/>
        <v>a</v>
      </c>
      <c r="H1456" t="str">
        <f>VLOOKUP(D1456,name!A:C,3,1)</f>
        <v>assets/icons/image013.png</v>
      </c>
    </row>
    <row r="1457" spans="1:8" x14ac:dyDescent="0.15">
      <c r="A1457" t="str">
        <f t="shared" ref="A1457:B1457" si="414">A1456</f>
        <v>ドイツ語</v>
      </c>
      <c r="B1457">
        <f t="shared" si="414"/>
        <v>15</v>
      </c>
      <c r="C1457">
        <f t="shared" si="394"/>
        <v>86</v>
      </c>
      <c r="D1457">
        <v>0</v>
      </c>
      <c r="E1457" t="str">
        <f>VLOOKUP(D1457,name!A:B,2,1)</f>
        <v>Player</v>
      </c>
      <c r="F1457" t="str">
        <f t="shared" si="409"/>
        <v>Wo kann man eigentlich Perücken kaufen?</v>
      </c>
      <c r="G1457" t="str">
        <f t="shared" si="392"/>
        <v>q</v>
      </c>
      <c r="H1457" t="str">
        <f>VLOOKUP(D1457,name!A:C,3,1)</f>
        <v>assets/icons/image326.png</v>
      </c>
    </row>
    <row r="1458" spans="1:8" x14ac:dyDescent="0.15">
      <c r="A1458" t="str">
        <f t="shared" ref="A1458:B1458" si="415">A1457</f>
        <v>ドイツ語</v>
      </c>
      <c r="B1458">
        <f t="shared" si="415"/>
        <v>15</v>
      </c>
      <c r="C1458">
        <f t="shared" si="394"/>
        <v>87</v>
      </c>
      <c r="D1458">
        <f>D1381</f>
        <v>4</v>
      </c>
      <c r="E1458" t="str">
        <f>VLOOKUP(D1458,name!A:B,2,1)</f>
        <v>Weber</v>
      </c>
      <c r="F1458" t="str">
        <f t="shared" si="409"/>
        <v>かつら？</v>
      </c>
      <c r="G1458" t="str">
        <f t="shared" si="392"/>
        <v>a</v>
      </c>
      <c r="H1458" t="str">
        <f>VLOOKUP(D1458,name!A:C,3,1)</f>
        <v>assets/icons/image016.png</v>
      </c>
    </row>
    <row r="1459" spans="1:8" x14ac:dyDescent="0.15">
      <c r="A1459" t="str">
        <f t="shared" ref="A1459:B1459" si="416">A1458</f>
        <v>ドイツ語</v>
      </c>
      <c r="B1459">
        <f t="shared" si="416"/>
        <v>15</v>
      </c>
      <c r="C1459">
        <f t="shared" si="394"/>
        <v>88</v>
      </c>
      <c r="D1459">
        <v>0</v>
      </c>
      <c r="E1459" t="str">
        <f>VLOOKUP(D1459,name!A:B,2,1)</f>
        <v>Player</v>
      </c>
      <c r="F1459" t="str">
        <f t="shared" si="409"/>
        <v xml:space="preserve">Perücken? </v>
      </c>
      <c r="G1459" t="str">
        <f t="shared" si="392"/>
        <v>q</v>
      </c>
      <c r="H1459" t="str">
        <f>VLOOKUP(D1459,name!A:C,3,1)</f>
        <v>assets/icons/image326.png</v>
      </c>
    </row>
    <row r="1460" spans="1:8" x14ac:dyDescent="0.15">
      <c r="A1460" t="str">
        <f t="shared" ref="A1460:B1460" si="417">A1459</f>
        <v>ドイツ語</v>
      </c>
      <c r="B1460">
        <f t="shared" si="417"/>
        <v>15</v>
      </c>
      <c r="C1460">
        <f t="shared" si="394"/>
        <v>89</v>
      </c>
      <c r="D1460">
        <f>D1383</f>
        <v>4</v>
      </c>
      <c r="E1460" t="str">
        <f>VLOOKUP(D1460,name!A:B,2,1)</f>
        <v>Weber</v>
      </c>
      <c r="F1460" t="str">
        <f t="shared" si="409"/>
        <v>まだかつらは必要ないでしょう!</v>
      </c>
      <c r="G1460" t="str">
        <f t="shared" si="392"/>
        <v>a</v>
      </c>
      <c r="H1460" t="str">
        <f>VLOOKUP(D1460,name!A:C,3,1)</f>
        <v>assets/icons/image016.png</v>
      </c>
    </row>
    <row r="1461" spans="1:8" x14ac:dyDescent="0.15">
      <c r="A1461" t="str">
        <f t="shared" ref="A1461:B1461" si="418">A1460</f>
        <v>ドイツ語</v>
      </c>
      <c r="B1461">
        <f t="shared" si="418"/>
        <v>15</v>
      </c>
      <c r="C1461">
        <f t="shared" si="394"/>
        <v>90</v>
      </c>
      <c r="D1461">
        <v>0</v>
      </c>
      <c r="E1461" t="str">
        <f>VLOOKUP(D1461,name!A:B,2,1)</f>
        <v>Player</v>
      </c>
      <c r="F1461" t="str">
        <f t="shared" si="409"/>
        <v>Du brauchst doch noch keine Perücke!</v>
      </c>
      <c r="G1461" t="str">
        <f t="shared" si="392"/>
        <v>q</v>
      </c>
      <c r="H1461" t="str">
        <f>VLOOKUP(D1461,name!A:C,3,1)</f>
        <v>assets/icons/image326.png</v>
      </c>
    </row>
    <row r="1462" spans="1:8" x14ac:dyDescent="0.15">
      <c r="A1462" t="str">
        <f t="shared" ref="A1462:B1462" si="419">A1461</f>
        <v>ドイツ語</v>
      </c>
      <c r="B1462">
        <f t="shared" si="419"/>
        <v>15</v>
      </c>
      <c r="C1462">
        <f t="shared" si="394"/>
        <v>91</v>
      </c>
      <c r="D1462">
        <f>D1385</f>
        <v>2</v>
      </c>
      <c r="E1462" t="str">
        <f>VLOOKUP(D1462,name!A:B,2,1)</f>
        <v>Tanaka</v>
      </c>
      <c r="F1462" t="str">
        <f t="shared" si="409"/>
        <v>いえいえ！</v>
      </c>
      <c r="G1462" t="str">
        <f t="shared" si="392"/>
        <v>a</v>
      </c>
      <c r="H1462" t="str">
        <f>VLOOKUP(D1462,name!A:C,3,1)</f>
        <v>assets/icons/image013.png</v>
      </c>
    </row>
    <row r="1463" spans="1:8" x14ac:dyDescent="0.15">
      <c r="A1463" t="str">
        <f t="shared" ref="A1463:B1463" si="420">A1462</f>
        <v>ドイツ語</v>
      </c>
      <c r="B1463">
        <f t="shared" si="420"/>
        <v>15</v>
      </c>
      <c r="C1463">
        <f t="shared" si="394"/>
        <v>92</v>
      </c>
      <c r="D1463">
        <v>0</v>
      </c>
      <c r="E1463" t="str">
        <f>VLOOKUP(D1463,name!A:B,2,1)</f>
        <v>Player</v>
      </c>
      <c r="F1463" t="str">
        <f t="shared" si="409"/>
        <v xml:space="preserve">Nein, nein! </v>
      </c>
      <c r="G1463" t="str">
        <f t="shared" si="392"/>
        <v>q</v>
      </c>
      <c r="H1463" t="str">
        <f>VLOOKUP(D1463,name!A:C,3,1)</f>
        <v>assets/icons/image326.png</v>
      </c>
    </row>
    <row r="1464" spans="1:8" x14ac:dyDescent="0.15">
      <c r="A1464" t="str">
        <f t="shared" ref="A1464:B1464" si="421">A1463</f>
        <v>ドイツ語</v>
      </c>
      <c r="B1464">
        <f t="shared" si="421"/>
        <v>15</v>
      </c>
      <c r="C1464">
        <f t="shared" si="394"/>
        <v>93</v>
      </c>
      <c r="D1464">
        <f>D1387</f>
        <v>2</v>
      </c>
      <c r="E1464" t="str">
        <f>VLOOKUP(D1464,name!A:B,2,1)</f>
        <v>Tanaka</v>
      </c>
      <c r="F1464" t="str">
        <f t="shared" si="409"/>
        <v>バウアーさんが私をカーニバルパーティーに招待しました、そして私に仮装して欲しいと。</v>
      </c>
      <c r="G1464" t="str">
        <f t="shared" si="392"/>
        <v>a</v>
      </c>
      <c r="H1464" t="str">
        <f>VLOOKUP(D1464,name!A:C,3,1)</f>
        <v>assets/icons/image013.png</v>
      </c>
    </row>
    <row r="1465" spans="1:8" x14ac:dyDescent="0.15">
      <c r="A1465" t="str">
        <f t="shared" ref="A1465:B1465" si="422">A1464</f>
        <v>ドイツ語</v>
      </c>
      <c r="B1465">
        <f t="shared" si="422"/>
        <v>15</v>
      </c>
      <c r="C1465">
        <f t="shared" si="394"/>
        <v>94</v>
      </c>
      <c r="D1465">
        <v>0</v>
      </c>
      <c r="E1465" t="str">
        <f>VLOOKUP(D1465,name!A:B,2,1)</f>
        <v>Player</v>
      </c>
      <c r="F1465" t="str">
        <f t="shared" si="409"/>
        <v>Herr Bauer hat mich zur Faschingsparty eingeladen und ich soll mich da verkleiden.</v>
      </c>
      <c r="G1465" t="str">
        <f t="shared" si="392"/>
        <v>q</v>
      </c>
      <c r="H1465" t="str">
        <f>VLOOKUP(D1465,name!A:C,3,1)</f>
        <v>assets/icons/image326.png</v>
      </c>
    </row>
    <row r="1466" spans="1:8" x14ac:dyDescent="0.15">
      <c r="A1466" t="str">
        <f t="shared" ref="A1466:B1466" si="423">A1465</f>
        <v>ドイツ語</v>
      </c>
      <c r="B1466">
        <f t="shared" si="423"/>
        <v>15</v>
      </c>
      <c r="C1466">
        <f t="shared" si="394"/>
        <v>95</v>
      </c>
      <c r="D1466">
        <f>D1389</f>
        <v>2</v>
      </c>
      <c r="E1466" t="str">
        <f>VLOOKUP(D1466,name!A:B,2,1)</f>
        <v>Tanaka</v>
      </c>
      <c r="F1466" t="str">
        <f t="shared" si="409"/>
        <v>侍として。</v>
      </c>
      <c r="G1466" t="str">
        <f t="shared" si="392"/>
        <v>a</v>
      </c>
      <c r="H1466" t="str">
        <f>VLOOKUP(D1466,name!A:C,3,1)</f>
        <v>assets/icons/image013.png</v>
      </c>
    </row>
    <row r="1467" spans="1:8" x14ac:dyDescent="0.15">
      <c r="A1467" t="str">
        <f t="shared" ref="A1467:B1467" si="424">A1466</f>
        <v>ドイツ語</v>
      </c>
      <c r="B1467">
        <f t="shared" si="424"/>
        <v>15</v>
      </c>
      <c r="C1467">
        <f t="shared" si="394"/>
        <v>96</v>
      </c>
      <c r="D1467">
        <v>0</v>
      </c>
      <c r="E1467" t="str">
        <f>VLOOKUP(D1467,name!A:B,2,1)</f>
        <v>Player</v>
      </c>
      <c r="F1467" t="str">
        <f t="shared" si="409"/>
        <v>Als Samurai.</v>
      </c>
      <c r="G1467" t="str">
        <f t="shared" si="392"/>
        <v>q</v>
      </c>
      <c r="H1467" t="str">
        <f>VLOOKUP(D1467,name!A:C,3,1)</f>
        <v>assets/icons/image326.png</v>
      </c>
    </row>
    <row r="1468" spans="1:8" x14ac:dyDescent="0.15">
      <c r="A1468" t="str">
        <f t="shared" ref="A1468:B1468" si="425">A1467</f>
        <v>ドイツ語</v>
      </c>
      <c r="B1468">
        <f t="shared" si="425"/>
        <v>15</v>
      </c>
      <c r="C1468">
        <f t="shared" si="394"/>
        <v>97</v>
      </c>
      <c r="D1468">
        <f>D1391</f>
        <v>4</v>
      </c>
      <c r="E1468" t="str">
        <f>VLOOKUP(D1468,name!A:B,2,1)</f>
        <v>Weber</v>
      </c>
      <c r="F1468" t="str">
        <f t="shared" si="409"/>
        <v>あなたが侍に扮するの?</v>
      </c>
      <c r="G1468" t="str">
        <f t="shared" si="392"/>
        <v>a</v>
      </c>
      <c r="H1468" t="str">
        <f>VLOOKUP(D1468,name!A:C,3,1)</f>
        <v>assets/icons/image016.png</v>
      </c>
    </row>
    <row r="1469" spans="1:8" x14ac:dyDescent="0.15">
      <c r="A1469" t="str">
        <f t="shared" ref="A1469:B1469" si="426">A1468</f>
        <v>ドイツ語</v>
      </c>
      <c r="B1469">
        <f t="shared" si="426"/>
        <v>15</v>
      </c>
      <c r="C1469">
        <f t="shared" si="394"/>
        <v>98</v>
      </c>
      <c r="D1469">
        <v>0</v>
      </c>
      <c r="E1469" t="str">
        <f>VLOOKUP(D1469,name!A:B,2,1)</f>
        <v>Player</v>
      </c>
      <c r="F1469" t="str">
        <f t="shared" si="409"/>
        <v xml:space="preserve">Du verkleidest dich als Samurai? </v>
      </c>
      <c r="G1469" t="str">
        <f t="shared" si="392"/>
        <v>q</v>
      </c>
      <c r="H1469" t="str">
        <f>VLOOKUP(D1469,name!A:C,3,1)</f>
        <v>assets/icons/image326.png</v>
      </c>
    </row>
    <row r="1470" spans="1:8" x14ac:dyDescent="0.15">
      <c r="A1470" t="str">
        <f t="shared" ref="A1470:B1470" si="427">A1469</f>
        <v>ドイツ語</v>
      </c>
      <c r="B1470">
        <f t="shared" si="427"/>
        <v>15</v>
      </c>
      <c r="C1470">
        <f t="shared" si="394"/>
        <v>99</v>
      </c>
      <c r="D1470">
        <f>D1393</f>
        <v>4</v>
      </c>
      <c r="E1470" t="str">
        <f>VLOOKUP(D1470,name!A:B,2,1)</f>
        <v>Weber</v>
      </c>
      <c r="F1470" t="str">
        <f t="shared" si="409"/>
        <v>それはおもしろい。</v>
      </c>
      <c r="G1470" t="str">
        <f t="shared" si="392"/>
        <v>a</v>
      </c>
      <c r="H1470" t="str">
        <f>VLOOKUP(D1470,name!A:C,3,1)</f>
        <v>assets/icons/image016.png</v>
      </c>
    </row>
    <row r="1471" spans="1:8" x14ac:dyDescent="0.15">
      <c r="A1471" t="str">
        <f t="shared" ref="A1471:B1471" si="428">A1470</f>
        <v>ドイツ語</v>
      </c>
      <c r="B1471">
        <f t="shared" si="428"/>
        <v>15</v>
      </c>
      <c r="C1471">
        <f t="shared" si="394"/>
        <v>100</v>
      </c>
      <c r="D1471">
        <v>0</v>
      </c>
      <c r="E1471" t="str">
        <f>VLOOKUP(D1471,name!A:B,2,1)</f>
        <v>Player</v>
      </c>
      <c r="F1471" t="str">
        <f t="shared" si="409"/>
        <v>Das ist ja witzig.</v>
      </c>
      <c r="G1471" t="str">
        <f t="shared" si="392"/>
        <v>q</v>
      </c>
      <c r="H1471" t="str">
        <f>VLOOKUP(D1471,name!A:C,3,1)</f>
        <v>assets/icons/image326.png</v>
      </c>
    </row>
    <row r="1472" spans="1:8" x14ac:dyDescent="0.15">
      <c r="A1472" t="str">
        <f t="shared" ref="A1472:B1472" si="429">A1471</f>
        <v>ドイツ語</v>
      </c>
      <c r="B1472">
        <f t="shared" si="429"/>
        <v>15</v>
      </c>
      <c r="C1472">
        <f t="shared" si="394"/>
        <v>101</v>
      </c>
      <c r="D1472">
        <f>D1395</f>
        <v>4</v>
      </c>
      <c r="E1472" t="str">
        <f>VLOOKUP(D1472,name!A:B,2,1)</f>
        <v>Weber</v>
      </c>
      <c r="F1472" t="str">
        <f t="shared" si="409"/>
        <v>それなら車で旧市街まで行くと良いです。</v>
      </c>
      <c r="G1472" t="str">
        <f t="shared" si="392"/>
        <v>a</v>
      </c>
      <c r="H1472" t="str">
        <f>VLOOKUP(D1472,name!A:C,3,1)</f>
        <v>assets/icons/image016.png</v>
      </c>
    </row>
    <row r="1473" spans="1:12" x14ac:dyDescent="0.15">
      <c r="A1473" t="str">
        <f t="shared" ref="A1473:B1473" si="430">A1472</f>
        <v>ドイツ語</v>
      </c>
      <c r="B1473">
        <f t="shared" si="430"/>
        <v>15</v>
      </c>
      <c r="C1473">
        <f t="shared" si="394"/>
        <v>102</v>
      </c>
      <c r="D1473">
        <v>0</v>
      </c>
      <c r="E1473" t="str">
        <f>VLOOKUP(D1473,name!A:B,2,1)</f>
        <v>Player</v>
      </c>
      <c r="F1473" t="str">
        <f t="shared" si="409"/>
        <v>Da kannst du in die Altstadt fahren.</v>
      </c>
      <c r="G1473" t="str">
        <f t="shared" si="392"/>
        <v>q</v>
      </c>
      <c r="H1473" t="str">
        <f>VLOOKUP(D1473,name!A:C,3,1)</f>
        <v>assets/icons/image326.png</v>
      </c>
    </row>
    <row r="1474" spans="1:12" x14ac:dyDescent="0.15">
      <c r="A1474" t="str">
        <f t="shared" ref="A1474:B1474" si="431">A1473</f>
        <v>ドイツ語</v>
      </c>
      <c r="B1474">
        <f t="shared" si="431"/>
        <v>15</v>
      </c>
      <c r="C1474">
        <f t="shared" si="394"/>
        <v>103</v>
      </c>
      <c r="D1474">
        <f>D1397</f>
        <v>4</v>
      </c>
      <c r="E1474" t="str">
        <f>VLOOKUP(D1474,name!A:B,2,1)</f>
        <v>Weber</v>
      </c>
      <c r="F1474" t="str">
        <f t="shared" si="409"/>
        <v>パーティー用品のお店があります。</v>
      </c>
      <c r="G1474" t="str">
        <f t="shared" si="392"/>
        <v>a</v>
      </c>
      <c r="H1474" t="str">
        <f>VLOOKUP(D1474,name!A:C,3,1)</f>
        <v>assets/icons/image016.png</v>
      </c>
    </row>
    <row r="1475" spans="1:12" x14ac:dyDescent="0.15">
      <c r="A1475" t="str">
        <f t="shared" ref="A1475:B1475" si="432">A1474</f>
        <v>ドイツ語</v>
      </c>
      <c r="B1475">
        <f t="shared" si="432"/>
        <v>15</v>
      </c>
      <c r="C1475">
        <f t="shared" si="394"/>
        <v>104</v>
      </c>
      <c r="D1475">
        <v>0</v>
      </c>
      <c r="E1475" t="str">
        <f>VLOOKUP(D1475,name!A:B,2,1)</f>
        <v>Player</v>
      </c>
      <c r="F1475" t="str">
        <f t="shared" si="409"/>
        <v>Dort gibt es einen Laden für Partysachen.</v>
      </c>
      <c r="G1475" t="str">
        <f t="shared" si="392"/>
        <v>q</v>
      </c>
      <c r="H1475" t="str">
        <f>VLOOKUP(D1475,name!A:C,3,1)</f>
        <v>assets/icons/image326.png</v>
      </c>
    </row>
    <row r="1476" spans="1:12" x14ac:dyDescent="0.15">
      <c r="A1476" t="str">
        <f t="shared" ref="A1476:B1476" si="433">A1475</f>
        <v>ドイツ語</v>
      </c>
      <c r="B1476">
        <f t="shared" si="433"/>
        <v>15</v>
      </c>
      <c r="C1476">
        <f t="shared" si="394"/>
        <v>105</v>
      </c>
      <c r="D1476">
        <f>D1399</f>
        <v>2</v>
      </c>
      <c r="E1476" t="str">
        <f>VLOOKUP(D1476,name!A:B,2,1)</f>
        <v>Tanaka</v>
      </c>
      <c r="F1476" t="str">
        <f t="shared" si="409"/>
        <v>ああ、ヴィーラント通りにある?</v>
      </c>
      <c r="G1476" t="str">
        <f t="shared" si="392"/>
        <v>a</v>
      </c>
      <c r="H1476" t="str">
        <f>VLOOKUP(D1476,name!A:C,3,1)</f>
        <v>assets/icons/image013.png</v>
      </c>
    </row>
    <row r="1477" spans="1:12" x14ac:dyDescent="0.15">
      <c r="A1477" t="str">
        <f t="shared" ref="A1477:B1477" si="434">A1476</f>
        <v>ドイツ語</v>
      </c>
      <c r="B1477">
        <f t="shared" si="434"/>
        <v>15</v>
      </c>
      <c r="C1477">
        <f t="shared" si="394"/>
        <v>106</v>
      </c>
      <c r="D1477">
        <v>0</v>
      </c>
      <c r="E1477" t="str">
        <f>VLOOKUP(D1477,name!A:B,2,1)</f>
        <v>Player</v>
      </c>
      <c r="F1477" t="str">
        <f t="shared" si="409"/>
        <v>Ah, ist das in der Wielandstraße?</v>
      </c>
      <c r="G1477" t="str">
        <f t="shared" si="392"/>
        <v>q</v>
      </c>
      <c r="H1477" t="str">
        <f>VLOOKUP(D1477,name!A:C,3,1)</f>
        <v>assets/icons/image326.png</v>
      </c>
    </row>
    <row r="1478" spans="1:12" x14ac:dyDescent="0.15">
      <c r="A1478" t="str">
        <f t="shared" ref="A1478:B1478" si="435">A1477</f>
        <v>ドイツ語</v>
      </c>
      <c r="B1478">
        <f t="shared" si="435"/>
        <v>15</v>
      </c>
      <c r="C1478">
        <f t="shared" si="394"/>
        <v>107</v>
      </c>
      <c r="D1478">
        <f>D1401</f>
        <v>4</v>
      </c>
      <c r="E1478" t="str">
        <f>VLOOKUP(D1478,name!A:B,2,1)</f>
        <v>Weber</v>
      </c>
      <c r="F1478" t="str">
        <f t="shared" si="409"/>
        <v>その通り。</v>
      </c>
      <c r="G1478" t="str">
        <f t="shared" si="392"/>
        <v>a</v>
      </c>
      <c r="H1478" t="str">
        <f>VLOOKUP(D1478,name!A:C,3,1)</f>
        <v>assets/icons/image016.png</v>
      </c>
    </row>
    <row r="1479" spans="1:12" x14ac:dyDescent="0.15">
      <c r="A1479" t="str">
        <f t="shared" ref="A1479:B1479" si="436">A1478</f>
        <v>ドイツ語</v>
      </c>
      <c r="B1479">
        <f t="shared" si="436"/>
        <v>15</v>
      </c>
      <c r="C1479">
        <f t="shared" si="394"/>
        <v>108</v>
      </c>
      <c r="D1479">
        <v>0</v>
      </c>
      <c r="E1479" t="str">
        <f>VLOOKUP(D1479,name!A:B,2,1)</f>
        <v>Player</v>
      </c>
      <c r="F1479" t="str">
        <f t="shared" si="409"/>
        <v xml:space="preserve">Genau. </v>
      </c>
      <c r="G1479" t="str">
        <f t="shared" si="392"/>
        <v>q</v>
      </c>
      <c r="H1479" t="str">
        <f>VLOOKUP(D1479,name!A:C,3,1)</f>
        <v>assets/icons/image326.png</v>
      </c>
    </row>
    <row r="1480" spans="1:12" x14ac:dyDescent="0.15">
      <c r="A1480" t="str">
        <f t="shared" ref="A1480:B1480" si="437">A1479</f>
        <v>ドイツ語</v>
      </c>
      <c r="B1480">
        <f t="shared" si="437"/>
        <v>15</v>
      </c>
      <c r="C1480">
        <f t="shared" si="394"/>
        <v>109</v>
      </c>
      <c r="D1480">
        <f>D1403</f>
        <v>4</v>
      </c>
      <c r="E1480" t="str">
        <f>VLOOKUP(D1480,name!A:B,2,1)</f>
        <v>Weber</v>
      </c>
      <c r="F1480" t="str">
        <f t="shared" si="409"/>
        <v>今日一緒に行きましょう!</v>
      </c>
      <c r="G1480" t="str">
        <f t="shared" si="392"/>
        <v>a</v>
      </c>
      <c r="H1480" t="str">
        <f>VLOOKUP(D1480,name!A:C,3,1)</f>
        <v>assets/icons/image016.png</v>
      </c>
    </row>
    <row r="1481" spans="1:12" x14ac:dyDescent="0.15">
      <c r="A1481" t="str">
        <f t="shared" ref="A1481:B1481" si="438">A1480</f>
        <v>ドイツ語</v>
      </c>
      <c r="B1481">
        <f t="shared" si="438"/>
        <v>15</v>
      </c>
      <c r="C1481">
        <f t="shared" si="394"/>
        <v>110</v>
      </c>
      <c r="D1481">
        <v>0</v>
      </c>
      <c r="E1481" t="str">
        <f>VLOOKUP(D1481,name!A:B,2,1)</f>
        <v>Player</v>
      </c>
      <c r="F1481" t="str">
        <f t="shared" si="409"/>
        <v>Lass uns heute zusammen dorthin gehen!</v>
      </c>
      <c r="G1481" t="str">
        <f t="shared" si="392"/>
        <v>q</v>
      </c>
      <c r="H1481" t="str">
        <f>VLOOKUP(D1481,name!A:C,3,1)</f>
        <v>assets/icons/image326.png</v>
      </c>
    </row>
    <row r="1482" spans="1:12" x14ac:dyDescent="0.15">
      <c r="A1482" t="str">
        <f t="shared" ref="A1482:B1482" si="439">A1481</f>
        <v>ドイツ語</v>
      </c>
      <c r="B1482">
        <f t="shared" si="439"/>
        <v>15</v>
      </c>
      <c r="C1482">
        <f t="shared" si="394"/>
        <v>111</v>
      </c>
      <c r="D1482">
        <v>1</v>
      </c>
      <c r="E1482" t="str">
        <f>VLOOKUP(D1482,name!A:B,2,1)</f>
        <v>Navigator</v>
      </c>
      <c r="F1482" t="str">
        <f>"とても良くできました。レッスン"&amp;B1482&amp;"はこれで終了です。"</f>
        <v>とても良くできました。レッスン15はこれで終了です。</v>
      </c>
      <c r="G1482" t="str">
        <f>IF(B1482&lt;&gt;B1573,"e",IF(D1482=0,"q","a"))</f>
        <v>e</v>
      </c>
      <c r="H1482" t="str">
        <f>VLOOKUP(D1482,name!A:C,3,1)</f>
        <v>assets/icons/image014.png</v>
      </c>
    </row>
    <row r="1483" spans="1:12" x14ac:dyDescent="0.15">
      <c r="A1483" t="str">
        <f>A1482</f>
        <v>ドイツ語</v>
      </c>
      <c r="B1483">
        <f>B1482+1</f>
        <v>16</v>
      </c>
      <c r="C1483">
        <v>1</v>
      </c>
      <c r="D1483">
        <v>1</v>
      </c>
      <c r="E1483" t="str">
        <f>VLOOKUP(D1483,name!A:B,2,1)</f>
        <v>Navigator</v>
      </c>
      <c r="F1483" s="1" t="s">
        <v>520</v>
      </c>
      <c r="G1483" t="str">
        <f t="shared" ref="G1483" si="440">IF(B1483&lt;&gt;B1484,"e",IF(D1483=0,"q","a"))</f>
        <v>a</v>
      </c>
      <c r="H1483" t="str">
        <f>VLOOKUP(D1483,name!A:C,3,1)</f>
        <v>assets/icons/image014.png</v>
      </c>
    </row>
    <row r="1484" spans="1:12" x14ac:dyDescent="0.15">
      <c r="A1484" t="str">
        <f t="shared" ref="A1484:B1485" si="441">A1483</f>
        <v>ドイツ語</v>
      </c>
      <c r="B1484">
        <f>B1483</f>
        <v>16</v>
      </c>
      <c r="C1484">
        <f>C1483+1</f>
        <v>2</v>
      </c>
      <c r="D1484">
        <v>1</v>
      </c>
      <c r="E1484" t="str">
        <f>VLOOKUP(D1484,name!A:B,2,1)</f>
        <v>Navigator</v>
      </c>
      <c r="F1484" t="str">
        <f>"レッスン"&amp;B1484</f>
        <v>レッスン16</v>
      </c>
      <c r="G1484" t="str">
        <f t="shared" ref="G1484:G1517" si="442">IF(B1484&lt;&gt;B1485,"e",IF(D1484=0,"q","a"))</f>
        <v>a</v>
      </c>
      <c r="H1484" t="str">
        <f>VLOOKUP(D1484,name!A:C,3,1)</f>
        <v>assets/icons/image014.png</v>
      </c>
    </row>
    <row r="1485" spans="1:12" ht="40.5" x14ac:dyDescent="0.15">
      <c r="A1485" t="str">
        <f t="shared" si="441"/>
        <v>ドイツ語</v>
      </c>
      <c r="B1485">
        <f t="shared" si="441"/>
        <v>16</v>
      </c>
      <c r="C1485">
        <f t="shared" ref="C1485:C1523" si="443">C1484+1</f>
        <v>3</v>
      </c>
      <c r="D1485">
        <v>1</v>
      </c>
      <c r="E1485" t="str">
        <f>VLOOKUP(D1485,name!A:B,2,1)</f>
        <v>Navigator</v>
      </c>
      <c r="F1485" s="1" t="str">
        <f>"まずは対話文を流します。その後に、日本語と"&amp;A1485&amp;"を一文ずつ流すので"&amp;A1485&amp;"を真似して下さい。最後に日本語のみを流すので、"&amp;A1485&amp;"で答えてください。"</f>
        <v>まずは対話文を流します。その後に、日本語とドイツ語を一文ずつ流すのでドイツ語を真似して下さい。最後に日本語のみを流すので、ドイツ語で答えてください。</v>
      </c>
      <c r="G1485" t="str">
        <f t="shared" si="442"/>
        <v>a</v>
      </c>
      <c r="H1485" t="str">
        <f>VLOOKUP(D1485,name!A:C,3,1)</f>
        <v>assets/icons/image014.png</v>
      </c>
      <c r="L1485" s="1"/>
    </row>
    <row r="1486" spans="1:12" x14ac:dyDescent="0.15">
      <c r="A1486" t="str">
        <f t="shared" ref="A1486:B1486" si="444">A1485</f>
        <v>ドイツ語</v>
      </c>
      <c r="B1486">
        <f t="shared" si="444"/>
        <v>16</v>
      </c>
      <c r="C1486">
        <f t="shared" si="443"/>
        <v>4</v>
      </c>
      <c r="D1486">
        <f>D1487</f>
        <v>17</v>
      </c>
      <c r="E1486" t="str">
        <f>VLOOKUP(D1486,name!A:B,2,1)</f>
        <v>Herr Bauer</v>
      </c>
      <c r="F1486" t="s">
        <v>537</v>
      </c>
      <c r="G1486" t="str">
        <f t="shared" si="442"/>
        <v>a</v>
      </c>
      <c r="H1486" t="str">
        <f>VLOOKUP(D1486,name!A:C,3,1)</f>
        <v>assets/icons/image026.png</v>
      </c>
    </row>
    <row r="1487" spans="1:12" x14ac:dyDescent="0.15">
      <c r="A1487" t="str">
        <f t="shared" ref="A1487:B1487" si="445">A1486</f>
        <v>ドイツ語</v>
      </c>
      <c r="B1487">
        <f t="shared" si="445"/>
        <v>16</v>
      </c>
      <c r="C1487">
        <f t="shared" si="443"/>
        <v>5</v>
      </c>
      <c r="D1487">
        <v>17</v>
      </c>
      <c r="E1487" t="str">
        <f>VLOOKUP(D1487,name!A:B,2,1)</f>
        <v>Herr Bauer</v>
      </c>
      <c r="F1487" t="s">
        <v>521</v>
      </c>
      <c r="G1487" t="str">
        <f t="shared" si="442"/>
        <v>a</v>
      </c>
      <c r="H1487" t="str">
        <f>VLOOKUP(D1487,name!A:C,3,1)</f>
        <v>assets/icons/image026.png</v>
      </c>
    </row>
    <row r="1488" spans="1:12" x14ac:dyDescent="0.15">
      <c r="A1488" t="str">
        <f t="shared" ref="A1488:B1488" si="446">A1487</f>
        <v>ドイツ語</v>
      </c>
      <c r="B1488">
        <f t="shared" si="446"/>
        <v>16</v>
      </c>
      <c r="C1488">
        <f t="shared" si="443"/>
        <v>6</v>
      </c>
      <c r="D1488">
        <f t="shared" ref="D1488:D1508" si="447">D1489</f>
        <v>17</v>
      </c>
      <c r="E1488" t="str">
        <f>VLOOKUP(D1488,name!A:B,2,1)</f>
        <v>Herr Bauer</v>
      </c>
      <c r="F1488" t="s">
        <v>538</v>
      </c>
      <c r="G1488" t="str">
        <f t="shared" si="442"/>
        <v>a</v>
      </c>
      <c r="H1488" t="str">
        <f>VLOOKUP(D1488,name!A:C,3,1)</f>
        <v>assets/icons/image026.png</v>
      </c>
    </row>
    <row r="1489" spans="1:8" x14ac:dyDescent="0.15">
      <c r="A1489" t="str">
        <f t="shared" ref="A1489:B1489" si="448">A1488</f>
        <v>ドイツ語</v>
      </c>
      <c r="B1489">
        <f t="shared" si="448"/>
        <v>16</v>
      </c>
      <c r="C1489">
        <f t="shared" si="443"/>
        <v>7</v>
      </c>
      <c r="D1489">
        <v>17</v>
      </c>
      <c r="E1489" t="str">
        <f>VLOOKUP(D1489,name!A:B,2,1)</f>
        <v>Herr Bauer</v>
      </c>
      <c r="F1489" t="s">
        <v>523</v>
      </c>
      <c r="G1489" t="str">
        <f t="shared" si="442"/>
        <v>a</v>
      </c>
      <c r="H1489" t="str">
        <f>VLOOKUP(D1489,name!A:C,3,1)</f>
        <v>assets/icons/image026.png</v>
      </c>
    </row>
    <row r="1490" spans="1:8" x14ac:dyDescent="0.15">
      <c r="A1490" t="str">
        <f t="shared" ref="A1490:B1490" si="449">A1489</f>
        <v>ドイツ語</v>
      </c>
      <c r="B1490">
        <f t="shared" si="449"/>
        <v>16</v>
      </c>
      <c r="C1490">
        <f t="shared" si="443"/>
        <v>8</v>
      </c>
      <c r="D1490">
        <f t="shared" si="447"/>
        <v>2</v>
      </c>
      <c r="E1490" t="str">
        <f>VLOOKUP(D1490,name!A:B,2,1)</f>
        <v>Tanaka</v>
      </c>
      <c r="F1490" t="s">
        <v>539</v>
      </c>
      <c r="G1490" t="str">
        <f t="shared" si="442"/>
        <v>a</v>
      </c>
      <c r="H1490" t="str">
        <f>VLOOKUP(D1490,name!A:C,3,1)</f>
        <v>assets/icons/image013.png</v>
      </c>
    </row>
    <row r="1491" spans="1:8" x14ac:dyDescent="0.15">
      <c r="A1491" t="str">
        <f t="shared" ref="A1491:B1491" si="450">A1490</f>
        <v>ドイツ語</v>
      </c>
      <c r="B1491">
        <f t="shared" si="450"/>
        <v>16</v>
      </c>
      <c r="C1491">
        <f t="shared" si="443"/>
        <v>9</v>
      </c>
      <c r="D1491">
        <f t="shared" si="447"/>
        <v>2</v>
      </c>
      <c r="E1491" t="str">
        <f>VLOOKUP(D1491,name!A:B,2,1)</f>
        <v>Tanaka</v>
      </c>
      <c r="F1491" t="s">
        <v>524</v>
      </c>
      <c r="G1491" t="str">
        <f t="shared" si="442"/>
        <v>a</v>
      </c>
      <c r="H1491" t="str">
        <f>VLOOKUP(D1491,name!A:C,3,1)</f>
        <v>assets/icons/image013.png</v>
      </c>
    </row>
    <row r="1492" spans="1:8" x14ac:dyDescent="0.15">
      <c r="A1492" t="str">
        <f t="shared" ref="A1492:B1492" si="451">A1491</f>
        <v>ドイツ語</v>
      </c>
      <c r="B1492">
        <f t="shared" si="451"/>
        <v>16</v>
      </c>
      <c r="C1492">
        <f t="shared" si="443"/>
        <v>10</v>
      </c>
      <c r="D1492">
        <f t="shared" si="447"/>
        <v>2</v>
      </c>
      <c r="E1492" t="str">
        <f>VLOOKUP(D1492,name!A:B,2,1)</f>
        <v>Tanaka</v>
      </c>
      <c r="F1492" t="s">
        <v>540</v>
      </c>
      <c r="G1492" t="str">
        <f t="shared" si="442"/>
        <v>a</v>
      </c>
      <c r="H1492" t="str">
        <f>VLOOKUP(D1492,name!A:C,3,1)</f>
        <v>assets/icons/image013.png</v>
      </c>
    </row>
    <row r="1493" spans="1:8" x14ac:dyDescent="0.15">
      <c r="A1493" t="str">
        <f t="shared" ref="A1493:B1493" si="452">A1492</f>
        <v>ドイツ語</v>
      </c>
      <c r="B1493">
        <f t="shared" si="452"/>
        <v>16</v>
      </c>
      <c r="C1493">
        <f t="shared" si="443"/>
        <v>11</v>
      </c>
      <c r="D1493">
        <v>2</v>
      </c>
      <c r="E1493" t="str">
        <f>VLOOKUP(D1493,name!A:B,2,1)</f>
        <v>Tanaka</v>
      </c>
      <c r="F1493" t="s">
        <v>525</v>
      </c>
      <c r="G1493" t="str">
        <f t="shared" si="442"/>
        <v>a</v>
      </c>
      <c r="H1493" t="str">
        <f>VLOOKUP(D1493,name!A:C,3,1)</f>
        <v>assets/icons/image013.png</v>
      </c>
    </row>
    <row r="1494" spans="1:8" x14ac:dyDescent="0.15">
      <c r="A1494" t="str">
        <f t="shared" ref="A1494:B1494" si="453">A1493</f>
        <v>ドイツ語</v>
      </c>
      <c r="B1494">
        <f t="shared" si="453"/>
        <v>16</v>
      </c>
      <c r="C1494">
        <f t="shared" si="443"/>
        <v>12</v>
      </c>
      <c r="D1494">
        <f t="shared" si="447"/>
        <v>17</v>
      </c>
      <c r="E1494" t="str">
        <f>VLOOKUP(D1494,name!A:B,2,1)</f>
        <v>Herr Bauer</v>
      </c>
      <c r="F1494" t="s">
        <v>541</v>
      </c>
      <c r="G1494" t="str">
        <f t="shared" si="442"/>
        <v>a</v>
      </c>
      <c r="H1494" t="str">
        <f>VLOOKUP(D1494,name!A:C,3,1)</f>
        <v>assets/icons/image026.png</v>
      </c>
    </row>
    <row r="1495" spans="1:8" x14ac:dyDescent="0.15">
      <c r="A1495" t="str">
        <f t="shared" ref="A1495:B1495" si="454">A1494</f>
        <v>ドイツ語</v>
      </c>
      <c r="B1495">
        <f t="shared" si="454"/>
        <v>16</v>
      </c>
      <c r="C1495">
        <f t="shared" si="443"/>
        <v>13</v>
      </c>
      <c r="D1495">
        <v>17</v>
      </c>
      <c r="E1495" t="str">
        <f>VLOOKUP(D1495,name!A:B,2,1)</f>
        <v>Herr Bauer</v>
      </c>
      <c r="F1495" t="s">
        <v>526</v>
      </c>
      <c r="G1495" t="str">
        <f t="shared" si="442"/>
        <v>a</v>
      </c>
      <c r="H1495" t="str">
        <f>VLOOKUP(D1495,name!A:C,3,1)</f>
        <v>assets/icons/image026.png</v>
      </c>
    </row>
    <row r="1496" spans="1:8" x14ac:dyDescent="0.15">
      <c r="A1496" t="str">
        <f t="shared" ref="A1496:B1496" si="455">A1495</f>
        <v>ドイツ語</v>
      </c>
      <c r="B1496">
        <f t="shared" si="455"/>
        <v>16</v>
      </c>
      <c r="C1496">
        <f t="shared" si="443"/>
        <v>14</v>
      </c>
      <c r="D1496">
        <f t="shared" si="447"/>
        <v>18</v>
      </c>
      <c r="E1496" t="str">
        <f>VLOOKUP(D1496,name!A:B,2,1)</f>
        <v>Frau Bauer</v>
      </c>
      <c r="F1496" t="s">
        <v>542</v>
      </c>
      <c r="G1496" t="str">
        <f t="shared" si="442"/>
        <v>a</v>
      </c>
      <c r="H1496" t="str">
        <f>VLOOKUP(D1496,name!A:C,3,1)</f>
        <v>assets/icons/image035.png</v>
      </c>
    </row>
    <row r="1497" spans="1:8" x14ac:dyDescent="0.15">
      <c r="A1497" t="str">
        <f t="shared" ref="A1497:B1497" si="456">A1496</f>
        <v>ドイツ語</v>
      </c>
      <c r="B1497">
        <f t="shared" si="456"/>
        <v>16</v>
      </c>
      <c r="C1497">
        <f t="shared" si="443"/>
        <v>15</v>
      </c>
      <c r="D1497">
        <v>18</v>
      </c>
      <c r="E1497" t="str">
        <f>VLOOKUP(D1497,name!A:B,2,1)</f>
        <v>Frau Bauer</v>
      </c>
      <c r="F1497" t="s">
        <v>527</v>
      </c>
      <c r="G1497" t="str">
        <f t="shared" si="442"/>
        <v>a</v>
      </c>
      <c r="H1497" t="str">
        <f>VLOOKUP(D1497,name!A:C,3,1)</f>
        <v>assets/icons/image035.png</v>
      </c>
    </row>
    <row r="1498" spans="1:8" x14ac:dyDescent="0.15">
      <c r="A1498" t="str">
        <f t="shared" ref="A1498:B1498" si="457">A1497</f>
        <v>ドイツ語</v>
      </c>
      <c r="B1498">
        <f t="shared" si="457"/>
        <v>16</v>
      </c>
      <c r="C1498">
        <f t="shared" si="443"/>
        <v>16</v>
      </c>
      <c r="D1498">
        <f t="shared" si="447"/>
        <v>17</v>
      </c>
      <c r="E1498" t="str">
        <f>VLOOKUP(D1498,name!A:B,2,1)</f>
        <v>Herr Bauer</v>
      </c>
      <c r="F1498" t="s">
        <v>543</v>
      </c>
      <c r="G1498" t="str">
        <f t="shared" si="442"/>
        <v>a</v>
      </c>
      <c r="H1498" t="str">
        <f>VLOOKUP(D1498,name!A:C,3,1)</f>
        <v>assets/icons/image026.png</v>
      </c>
    </row>
    <row r="1499" spans="1:8" x14ac:dyDescent="0.15">
      <c r="A1499" t="str">
        <f t="shared" ref="A1499:B1499" si="458">A1498</f>
        <v>ドイツ語</v>
      </c>
      <c r="B1499">
        <f t="shared" si="458"/>
        <v>16</v>
      </c>
      <c r="C1499">
        <f t="shared" si="443"/>
        <v>17</v>
      </c>
      <c r="D1499">
        <f t="shared" si="447"/>
        <v>17</v>
      </c>
      <c r="E1499" t="str">
        <f>VLOOKUP(D1499,name!A:B,2,1)</f>
        <v>Herr Bauer</v>
      </c>
      <c r="F1499" t="s">
        <v>529</v>
      </c>
      <c r="G1499" t="str">
        <f t="shared" si="442"/>
        <v>a</v>
      </c>
      <c r="H1499" t="str">
        <f>VLOOKUP(D1499,name!A:C,3,1)</f>
        <v>assets/icons/image026.png</v>
      </c>
    </row>
    <row r="1500" spans="1:8" x14ac:dyDescent="0.15">
      <c r="A1500" t="str">
        <f t="shared" ref="A1500:B1500" si="459">A1499</f>
        <v>ドイツ語</v>
      </c>
      <c r="B1500">
        <f t="shared" si="459"/>
        <v>16</v>
      </c>
      <c r="C1500">
        <f t="shared" si="443"/>
        <v>18</v>
      </c>
      <c r="D1500">
        <f t="shared" si="447"/>
        <v>17</v>
      </c>
      <c r="E1500" t="str">
        <f>VLOOKUP(D1500,name!A:B,2,1)</f>
        <v>Herr Bauer</v>
      </c>
      <c r="F1500" t="s">
        <v>544</v>
      </c>
      <c r="G1500" t="str">
        <f t="shared" si="442"/>
        <v>a</v>
      </c>
      <c r="H1500" t="str">
        <f>VLOOKUP(D1500,name!A:C,3,1)</f>
        <v>assets/icons/image026.png</v>
      </c>
    </row>
    <row r="1501" spans="1:8" x14ac:dyDescent="0.15">
      <c r="A1501" t="str">
        <f t="shared" ref="A1501:B1501" si="460">A1500</f>
        <v>ドイツ語</v>
      </c>
      <c r="B1501">
        <f t="shared" si="460"/>
        <v>16</v>
      </c>
      <c r="C1501">
        <f t="shared" si="443"/>
        <v>19</v>
      </c>
      <c r="D1501">
        <v>17</v>
      </c>
      <c r="E1501" t="str">
        <f>VLOOKUP(D1501,name!A:B,2,1)</f>
        <v>Herr Bauer</v>
      </c>
      <c r="F1501" t="s">
        <v>530</v>
      </c>
      <c r="G1501" t="str">
        <f t="shared" si="442"/>
        <v>a</v>
      </c>
      <c r="H1501" t="str">
        <f>VLOOKUP(D1501,name!A:C,3,1)</f>
        <v>assets/icons/image026.png</v>
      </c>
    </row>
    <row r="1502" spans="1:8" x14ac:dyDescent="0.15">
      <c r="A1502" t="str">
        <f t="shared" ref="A1502:B1502" si="461">A1501</f>
        <v>ドイツ語</v>
      </c>
      <c r="B1502">
        <f t="shared" si="461"/>
        <v>16</v>
      </c>
      <c r="C1502">
        <f t="shared" si="443"/>
        <v>20</v>
      </c>
      <c r="D1502">
        <f t="shared" si="447"/>
        <v>2</v>
      </c>
      <c r="E1502" t="str">
        <f>VLOOKUP(D1502,name!A:B,2,1)</f>
        <v>Tanaka</v>
      </c>
      <c r="F1502" t="s">
        <v>545</v>
      </c>
      <c r="G1502" t="str">
        <f t="shared" si="442"/>
        <v>a</v>
      </c>
      <c r="H1502" t="str">
        <f>VLOOKUP(D1502,name!A:C,3,1)</f>
        <v>assets/icons/image013.png</v>
      </c>
    </row>
    <row r="1503" spans="1:8" x14ac:dyDescent="0.15">
      <c r="A1503" t="str">
        <f t="shared" ref="A1503:B1503" si="462">A1502</f>
        <v>ドイツ語</v>
      </c>
      <c r="B1503">
        <f t="shared" si="462"/>
        <v>16</v>
      </c>
      <c r="C1503">
        <f t="shared" si="443"/>
        <v>21</v>
      </c>
      <c r="D1503">
        <f t="shared" si="447"/>
        <v>2</v>
      </c>
      <c r="E1503" t="str">
        <f>VLOOKUP(D1503,name!A:B,2,1)</f>
        <v>Tanaka</v>
      </c>
      <c r="F1503" t="s">
        <v>531</v>
      </c>
      <c r="G1503" t="str">
        <f t="shared" si="442"/>
        <v>a</v>
      </c>
      <c r="H1503" t="str">
        <f>VLOOKUP(D1503,name!A:C,3,1)</f>
        <v>assets/icons/image013.png</v>
      </c>
    </row>
    <row r="1504" spans="1:8" x14ac:dyDescent="0.15">
      <c r="A1504" t="str">
        <f t="shared" ref="A1504:B1504" si="463">A1503</f>
        <v>ドイツ語</v>
      </c>
      <c r="B1504">
        <f t="shared" si="463"/>
        <v>16</v>
      </c>
      <c r="C1504">
        <f t="shared" si="443"/>
        <v>22</v>
      </c>
      <c r="D1504">
        <f t="shared" si="447"/>
        <v>2</v>
      </c>
      <c r="E1504" t="str">
        <f>VLOOKUP(D1504,name!A:B,2,1)</f>
        <v>Tanaka</v>
      </c>
      <c r="F1504" t="s">
        <v>546</v>
      </c>
      <c r="G1504" t="str">
        <f t="shared" si="442"/>
        <v>a</v>
      </c>
      <c r="H1504" t="str">
        <f>VLOOKUP(D1504,name!A:C,3,1)</f>
        <v>assets/icons/image013.png</v>
      </c>
    </row>
    <row r="1505" spans="1:8" x14ac:dyDescent="0.15">
      <c r="A1505" t="str">
        <f t="shared" ref="A1505:B1505" si="464">A1504</f>
        <v>ドイツ語</v>
      </c>
      <c r="B1505">
        <f t="shared" si="464"/>
        <v>16</v>
      </c>
      <c r="C1505">
        <f t="shared" si="443"/>
        <v>23</v>
      </c>
      <c r="D1505">
        <v>2</v>
      </c>
      <c r="E1505" t="str">
        <f>VLOOKUP(D1505,name!A:B,2,1)</f>
        <v>Tanaka</v>
      </c>
      <c r="F1505" t="s">
        <v>532</v>
      </c>
      <c r="G1505" t="str">
        <f t="shared" si="442"/>
        <v>a</v>
      </c>
      <c r="H1505" t="str">
        <f>VLOOKUP(D1505,name!A:C,3,1)</f>
        <v>assets/icons/image013.png</v>
      </c>
    </row>
    <row r="1506" spans="1:8" x14ac:dyDescent="0.15">
      <c r="A1506" t="str">
        <f t="shared" ref="A1506:B1506" si="465">A1505</f>
        <v>ドイツ語</v>
      </c>
      <c r="B1506">
        <f t="shared" si="465"/>
        <v>16</v>
      </c>
      <c r="C1506">
        <f t="shared" si="443"/>
        <v>24</v>
      </c>
      <c r="D1506">
        <f t="shared" si="447"/>
        <v>18</v>
      </c>
      <c r="E1506" t="str">
        <f>VLOOKUP(D1506,name!A:B,2,1)</f>
        <v>Frau Bauer</v>
      </c>
      <c r="F1506" t="s">
        <v>547</v>
      </c>
      <c r="G1506" t="str">
        <f t="shared" si="442"/>
        <v>a</v>
      </c>
      <c r="H1506" t="str">
        <f>VLOOKUP(D1506,name!A:C,3,1)</f>
        <v>assets/icons/image035.png</v>
      </c>
    </row>
    <row r="1507" spans="1:8" x14ac:dyDescent="0.15">
      <c r="A1507" t="str">
        <f t="shared" ref="A1507:B1507" si="466">A1506</f>
        <v>ドイツ語</v>
      </c>
      <c r="B1507">
        <f t="shared" si="466"/>
        <v>16</v>
      </c>
      <c r="C1507">
        <f t="shared" si="443"/>
        <v>25</v>
      </c>
      <c r="D1507">
        <v>18</v>
      </c>
      <c r="E1507" t="str">
        <f>VLOOKUP(D1507,name!A:B,2,1)</f>
        <v>Frau Bauer</v>
      </c>
      <c r="F1507" t="s">
        <v>533</v>
      </c>
      <c r="G1507" t="str">
        <f t="shared" si="442"/>
        <v>a</v>
      </c>
      <c r="H1507" t="str">
        <f>VLOOKUP(D1507,name!A:C,3,1)</f>
        <v>assets/icons/image035.png</v>
      </c>
    </row>
    <row r="1508" spans="1:8" x14ac:dyDescent="0.15">
      <c r="A1508" t="str">
        <f t="shared" ref="A1508:B1508" si="467">A1507</f>
        <v>ドイツ語</v>
      </c>
      <c r="B1508">
        <f t="shared" si="467"/>
        <v>16</v>
      </c>
      <c r="C1508">
        <f t="shared" si="443"/>
        <v>26</v>
      </c>
      <c r="D1508">
        <f t="shared" si="447"/>
        <v>18</v>
      </c>
      <c r="E1508" t="str">
        <f>VLOOKUP(D1508,name!A:B,2,1)</f>
        <v>Frau Bauer</v>
      </c>
      <c r="F1508" t="s">
        <v>548</v>
      </c>
      <c r="G1508" t="str">
        <f t="shared" si="442"/>
        <v>a</v>
      </c>
      <c r="H1508" t="str">
        <f>VLOOKUP(D1508,name!A:C,3,1)</f>
        <v>assets/icons/image035.png</v>
      </c>
    </row>
    <row r="1509" spans="1:8" x14ac:dyDescent="0.15">
      <c r="A1509" t="str">
        <f t="shared" ref="A1509:B1509" si="468">A1508</f>
        <v>ドイツ語</v>
      </c>
      <c r="B1509">
        <f t="shared" si="468"/>
        <v>16</v>
      </c>
      <c r="C1509">
        <f t="shared" si="443"/>
        <v>27</v>
      </c>
      <c r="D1509">
        <v>18</v>
      </c>
      <c r="E1509" t="str">
        <f>VLOOKUP(D1509,name!A:B,2,1)</f>
        <v>Frau Bauer</v>
      </c>
      <c r="F1509" t="s">
        <v>534</v>
      </c>
      <c r="G1509" t="str">
        <f t="shared" si="442"/>
        <v>a</v>
      </c>
      <c r="H1509" t="str">
        <f>VLOOKUP(D1509,name!A:C,3,1)</f>
        <v>assets/icons/image035.png</v>
      </c>
    </row>
    <row r="1510" spans="1:8" x14ac:dyDescent="0.15">
      <c r="A1510" t="str">
        <f t="shared" ref="A1510:B1510" si="469">A1509</f>
        <v>ドイツ語</v>
      </c>
      <c r="B1510">
        <f t="shared" si="469"/>
        <v>16</v>
      </c>
      <c r="C1510">
        <f t="shared" si="443"/>
        <v>28</v>
      </c>
      <c r="D1510">
        <v>1</v>
      </c>
      <c r="E1510" t="str">
        <f>VLOOKUP(D1510,name!A:B,2,1)</f>
        <v>Navigator</v>
      </c>
      <c r="F1510" t="str">
        <f>"次の"&amp;A1510&amp;"を真似してね！"</f>
        <v>次のドイツ語を真似してね！</v>
      </c>
      <c r="G1510" t="str">
        <f t="shared" si="442"/>
        <v>a</v>
      </c>
      <c r="H1510" t="str">
        <f>VLOOKUP(D1510,name!A:C,3,1)</f>
        <v>assets/icons/image014.png</v>
      </c>
    </row>
    <row r="1511" spans="1:8" x14ac:dyDescent="0.15">
      <c r="A1511" t="str">
        <f t="shared" ref="A1511:B1511" si="470">A1510</f>
        <v>ドイツ語</v>
      </c>
      <c r="B1511">
        <f t="shared" si="470"/>
        <v>16</v>
      </c>
      <c r="C1511">
        <f t="shared" si="443"/>
        <v>29</v>
      </c>
      <c r="D1511">
        <f>D1486</f>
        <v>17</v>
      </c>
      <c r="E1511" t="str">
        <f>VLOOKUP(D1511,name!A:B,2,1)</f>
        <v>Herr Bauer</v>
      </c>
      <c r="F1511" t="str">
        <f>F1486</f>
        <v>田中さん、こんにちは!</v>
      </c>
      <c r="G1511" t="str">
        <f t="shared" si="442"/>
        <v>a</v>
      </c>
      <c r="H1511" t="str">
        <f>VLOOKUP(D1511,name!A:C,3,1)</f>
        <v>assets/icons/image026.png</v>
      </c>
    </row>
    <row r="1512" spans="1:8" x14ac:dyDescent="0.15">
      <c r="A1512" t="str">
        <f t="shared" ref="A1512:B1512" si="471">A1511</f>
        <v>ドイツ語</v>
      </c>
      <c r="B1512">
        <f t="shared" si="471"/>
        <v>16</v>
      </c>
      <c r="C1512">
        <f t="shared" si="443"/>
        <v>30</v>
      </c>
      <c r="D1512">
        <f>D1487</f>
        <v>17</v>
      </c>
      <c r="E1512" t="str">
        <f>VLOOKUP(D1512,name!A:B,2,1)</f>
        <v>Herr Bauer</v>
      </c>
      <c r="F1512" t="str">
        <f>F1487</f>
        <v>Hallo, Herr Tanaka!</v>
      </c>
      <c r="G1512" t="str">
        <f t="shared" si="442"/>
        <v>a</v>
      </c>
      <c r="H1512" t="str">
        <f>VLOOKUP(D1512,name!A:C,3,1)</f>
        <v>assets/icons/image026.png</v>
      </c>
    </row>
    <row r="1513" spans="1:8" x14ac:dyDescent="0.15">
      <c r="A1513" t="str">
        <f t="shared" ref="A1513:B1513" si="472">A1512</f>
        <v>ドイツ語</v>
      </c>
      <c r="B1513">
        <f t="shared" si="472"/>
        <v>16</v>
      </c>
      <c r="C1513">
        <f t="shared" si="443"/>
        <v>31</v>
      </c>
      <c r="D1513">
        <v>0</v>
      </c>
      <c r="E1513" t="str">
        <f>VLOOKUP(D1513,name!A:B,2,1)</f>
        <v>Player</v>
      </c>
      <c r="F1513" t="str">
        <f>F1487</f>
        <v>Hallo, Herr Tanaka!</v>
      </c>
      <c r="G1513" t="str">
        <f t="shared" si="442"/>
        <v>q</v>
      </c>
      <c r="H1513" t="str">
        <f>VLOOKUP(D1513,name!A:C,3,1)</f>
        <v>assets/icons/image326.png</v>
      </c>
    </row>
    <row r="1514" spans="1:8" x14ac:dyDescent="0.15">
      <c r="A1514" t="str">
        <f t="shared" ref="A1514:B1514" si="473">A1513</f>
        <v>ドイツ語</v>
      </c>
      <c r="B1514">
        <f t="shared" si="473"/>
        <v>16</v>
      </c>
      <c r="C1514">
        <f t="shared" si="443"/>
        <v>32</v>
      </c>
      <c r="D1514">
        <f>D1488</f>
        <v>17</v>
      </c>
      <c r="E1514" t="str">
        <f>VLOOKUP(D1514,name!A:B,2,1)</f>
        <v>Herr Bauer</v>
      </c>
      <c r="F1514" t="str">
        <f>F1488</f>
        <v>来てくれて、うれしいです!</v>
      </c>
      <c r="G1514" t="str">
        <f t="shared" si="442"/>
        <v>a</v>
      </c>
      <c r="H1514" t="str">
        <f>VLOOKUP(D1514,name!A:C,3,1)</f>
        <v>assets/icons/image026.png</v>
      </c>
    </row>
    <row r="1515" spans="1:8" x14ac:dyDescent="0.15">
      <c r="A1515" t="str">
        <f t="shared" ref="A1515:B1515" si="474">A1514</f>
        <v>ドイツ語</v>
      </c>
      <c r="B1515">
        <f t="shared" si="474"/>
        <v>16</v>
      </c>
      <c r="C1515">
        <f t="shared" si="443"/>
        <v>33</v>
      </c>
      <c r="D1515">
        <f>D1489</f>
        <v>17</v>
      </c>
      <c r="E1515" t="str">
        <f>VLOOKUP(D1515,name!A:B,2,1)</f>
        <v>Herr Bauer</v>
      </c>
      <c r="F1515" t="str">
        <f>F1489</f>
        <v>Schön, dass Sie da sind!</v>
      </c>
      <c r="G1515" t="str">
        <f t="shared" si="442"/>
        <v>a</v>
      </c>
      <c r="H1515" t="str">
        <f>VLOOKUP(D1515,name!A:C,3,1)</f>
        <v>assets/icons/image026.png</v>
      </c>
    </row>
    <row r="1516" spans="1:8" x14ac:dyDescent="0.15">
      <c r="A1516" t="str">
        <f t="shared" ref="A1516:B1516" si="475">A1515</f>
        <v>ドイツ語</v>
      </c>
      <c r="B1516">
        <f t="shared" si="475"/>
        <v>16</v>
      </c>
      <c r="C1516">
        <f t="shared" si="443"/>
        <v>34</v>
      </c>
      <c r="D1516">
        <v>0</v>
      </c>
      <c r="E1516" t="str">
        <f>VLOOKUP(D1516,name!A:B,2,1)</f>
        <v>Player</v>
      </c>
      <c r="F1516" t="str">
        <f>F1489</f>
        <v>Schön, dass Sie da sind!</v>
      </c>
      <c r="G1516" t="str">
        <f t="shared" si="442"/>
        <v>q</v>
      </c>
      <c r="H1516" t="str">
        <f>VLOOKUP(D1516,name!A:C,3,1)</f>
        <v>assets/icons/image326.png</v>
      </c>
    </row>
    <row r="1517" spans="1:8" x14ac:dyDescent="0.15">
      <c r="A1517" t="str">
        <f t="shared" ref="A1517:B1517" si="476">A1516</f>
        <v>ドイツ語</v>
      </c>
      <c r="B1517">
        <f t="shared" si="476"/>
        <v>16</v>
      </c>
      <c r="C1517">
        <f t="shared" si="443"/>
        <v>35</v>
      </c>
      <c r="D1517">
        <f>D1490</f>
        <v>2</v>
      </c>
      <c r="E1517" t="str">
        <f>VLOOKUP(D1517,name!A:B,2,1)</f>
        <v>Tanaka</v>
      </c>
      <c r="F1517" t="str">
        <f>F1490</f>
        <v>どうぞ、お入りください!</v>
      </c>
      <c r="G1517" t="str">
        <f t="shared" si="442"/>
        <v>a</v>
      </c>
      <c r="H1517" t="str">
        <f>VLOOKUP(D1517,name!A:C,3,1)</f>
        <v>assets/icons/image013.png</v>
      </c>
    </row>
    <row r="1518" spans="1:8" x14ac:dyDescent="0.15">
      <c r="A1518" t="str">
        <f t="shared" ref="A1518:B1518" si="477">A1517</f>
        <v>ドイツ語</v>
      </c>
      <c r="B1518">
        <f t="shared" si="477"/>
        <v>16</v>
      </c>
      <c r="C1518">
        <f t="shared" si="443"/>
        <v>36</v>
      </c>
      <c r="D1518">
        <f>D1491</f>
        <v>2</v>
      </c>
      <c r="E1518" t="str">
        <f>VLOOKUP(D1518,name!A:B,2,1)</f>
        <v>Tanaka</v>
      </c>
      <c r="F1518" t="str">
        <f>F1491</f>
        <v>Bitte, kommen Sie doch rein!</v>
      </c>
      <c r="G1518" t="str">
        <f t="shared" ref="G1518:G1538" si="478">IF(B1518&lt;&gt;B1519,"e",IF(D1518=0,"q","a"))</f>
        <v>a</v>
      </c>
      <c r="H1518" t="str">
        <f>VLOOKUP(D1518,name!A:C,3,1)</f>
        <v>assets/icons/image013.png</v>
      </c>
    </row>
    <row r="1519" spans="1:8" x14ac:dyDescent="0.15">
      <c r="A1519" t="str">
        <f t="shared" ref="A1519:B1519" si="479">A1518</f>
        <v>ドイツ語</v>
      </c>
      <c r="B1519">
        <f t="shared" si="479"/>
        <v>16</v>
      </c>
      <c r="C1519">
        <f t="shared" si="443"/>
        <v>37</v>
      </c>
      <c r="D1519">
        <v>0</v>
      </c>
      <c r="E1519" t="str">
        <f>VLOOKUP(D1519,name!A:B,2,1)</f>
        <v>Player</v>
      </c>
      <c r="F1519" t="str">
        <f>F1491</f>
        <v>Bitte, kommen Sie doch rein!</v>
      </c>
      <c r="G1519" t="str">
        <f t="shared" si="478"/>
        <v>q</v>
      </c>
      <c r="H1519" t="str">
        <f>VLOOKUP(D1519,name!A:C,3,1)</f>
        <v>assets/icons/image326.png</v>
      </c>
    </row>
    <row r="1520" spans="1:8" x14ac:dyDescent="0.15">
      <c r="A1520" t="str">
        <f t="shared" ref="A1520:B1520" si="480">A1519</f>
        <v>ドイツ語</v>
      </c>
      <c r="B1520">
        <f t="shared" si="480"/>
        <v>16</v>
      </c>
      <c r="C1520">
        <f t="shared" si="443"/>
        <v>38</v>
      </c>
      <c r="D1520">
        <f>D1492</f>
        <v>2</v>
      </c>
      <c r="E1520" t="str">
        <f>VLOOKUP(D1520,name!A:B,2,1)</f>
        <v>Tanaka</v>
      </c>
      <c r="F1520" t="str">
        <f>F1492</f>
        <v>お招きいただき、誠にありがとうございます。</v>
      </c>
      <c r="G1520" t="str">
        <f t="shared" si="478"/>
        <v>a</v>
      </c>
      <c r="H1520" t="str">
        <f>VLOOKUP(D1520,name!A:C,3,1)</f>
        <v>assets/icons/image013.png</v>
      </c>
    </row>
    <row r="1521" spans="1:8" x14ac:dyDescent="0.15">
      <c r="A1521" t="str">
        <f t="shared" ref="A1521:B1521" si="481">A1520</f>
        <v>ドイツ語</v>
      </c>
      <c r="B1521">
        <f t="shared" si="481"/>
        <v>16</v>
      </c>
      <c r="C1521">
        <f t="shared" si="443"/>
        <v>39</v>
      </c>
      <c r="D1521">
        <f>D1493</f>
        <v>2</v>
      </c>
      <c r="E1521" t="str">
        <f>VLOOKUP(D1521,name!A:B,2,1)</f>
        <v>Tanaka</v>
      </c>
      <c r="F1521" t="str">
        <f>F1493</f>
        <v>Vielen Dank noch mal für die Einladung.</v>
      </c>
      <c r="G1521" t="str">
        <f t="shared" si="478"/>
        <v>a</v>
      </c>
      <c r="H1521" t="str">
        <f>VLOOKUP(D1521,name!A:C,3,1)</f>
        <v>assets/icons/image013.png</v>
      </c>
    </row>
    <row r="1522" spans="1:8" x14ac:dyDescent="0.15">
      <c r="A1522" t="str">
        <f t="shared" ref="A1522:B1522" si="482">A1521</f>
        <v>ドイツ語</v>
      </c>
      <c r="B1522">
        <f t="shared" si="482"/>
        <v>16</v>
      </c>
      <c r="C1522">
        <f t="shared" si="443"/>
        <v>40</v>
      </c>
      <c r="D1522">
        <v>0</v>
      </c>
      <c r="E1522" t="str">
        <f>VLOOKUP(D1522,name!A:B,2,1)</f>
        <v>Player</v>
      </c>
      <c r="F1522" t="str">
        <f>F1493</f>
        <v>Vielen Dank noch mal für die Einladung.</v>
      </c>
      <c r="G1522" t="str">
        <f t="shared" si="478"/>
        <v>q</v>
      </c>
      <c r="H1522" t="str">
        <f>VLOOKUP(D1522,name!A:C,3,1)</f>
        <v>assets/icons/image326.png</v>
      </c>
    </row>
    <row r="1523" spans="1:8" x14ac:dyDescent="0.15">
      <c r="A1523" t="str">
        <f t="shared" ref="A1523:B1523" si="483">A1522</f>
        <v>ドイツ語</v>
      </c>
      <c r="B1523">
        <f t="shared" si="483"/>
        <v>16</v>
      </c>
      <c r="C1523">
        <f t="shared" si="443"/>
        <v>41</v>
      </c>
      <c r="D1523">
        <f>D1494</f>
        <v>17</v>
      </c>
      <c r="E1523" t="str">
        <f>VLOOKUP(D1523,name!A:B,2,1)</f>
        <v>Herr Bauer</v>
      </c>
      <c r="F1523" t="str">
        <f>F1494</f>
        <v>田中さん、妻のヘルガです。</v>
      </c>
      <c r="G1523" t="str">
        <f t="shared" si="478"/>
        <v>a</v>
      </c>
      <c r="H1523" t="str">
        <f>VLOOKUP(D1523,name!A:C,3,1)</f>
        <v>assets/icons/image026.png</v>
      </c>
    </row>
    <row r="1524" spans="1:8" x14ac:dyDescent="0.15">
      <c r="A1524" t="str">
        <f t="shared" ref="A1524:B1539" si="484">A1523</f>
        <v>ドイツ語</v>
      </c>
      <c r="B1524">
        <f t="shared" si="484"/>
        <v>16</v>
      </c>
      <c r="C1524">
        <f t="shared" ref="C1524:C1564" si="485">C1523+1</f>
        <v>42</v>
      </c>
      <c r="D1524">
        <f>D1495</f>
        <v>17</v>
      </c>
      <c r="E1524" t="str">
        <f>VLOOKUP(D1524,name!A:B,2,1)</f>
        <v>Herr Bauer</v>
      </c>
      <c r="F1524" t="str">
        <f>F1495</f>
        <v>Herr Tanaka, das ist meine Frau Helga.</v>
      </c>
      <c r="G1524" t="str">
        <f t="shared" si="478"/>
        <v>a</v>
      </c>
      <c r="H1524" t="str">
        <f>VLOOKUP(D1524,name!A:C,3,1)</f>
        <v>assets/icons/image026.png</v>
      </c>
    </row>
    <row r="1525" spans="1:8" x14ac:dyDescent="0.15">
      <c r="A1525" t="str">
        <f t="shared" si="484"/>
        <v>ドイツ語</v>
      </c>
      <c r="B1525">
        <f t="shared" si="484"/>
        <v>16</v>
      </c>
      <c r="C1525">
        <f t="shared" si="485"/>
        <v>43</v>
      </c>
      <c r="D1525">
        <v>0</v>
      </c>
      <c r="E1525" t="str">
        <f>VLOOKUP(D1525,name!A:B,2,1)</f>
        <v>Player</v>
      </c>
      <c r="F1525" t="str">
        <f>F1495</f>
        <v>Herr Tanaka, das ist meine Frau Helga.</v>
      </c>
      <c r="G1525" t="str">
        <f t="shared" si="478"/>
        <v>q</v>
      </c>
      <c r="H1525" t="str">
        <f>VLOOKUP(D1525,name!A:C,3,1)</f>
        <v>assets/icons/image326.png</v>
      </c>
    </row>
    <row r="1526" spans="1:8" x14ac:dyDescent="0.15">
      <c r="A1526" t="str">
        <f t="shared" si="484"/>
        <v>ドイツ語</v>
      </c>
      <c r="B1526">
        <f t="shared" si="484"/>
        <v>16</v>
      </c>
      <c r="C1526">
        <f t="shared" si="485"/>
        <v>44</v>
      </c>
      <c r="D1526">
        <f>D1496</f>
        <v>18</v>
      </c>
      <c r="E1526" t="str">
        <f>VLOOKUP(D1526,name!A:B,2,1)</f>
        <v>Frau Bauer</v>
      </c>
      <c r="F1526" t="str">
        <f>F1496</f>
        <v>はじめまして。あなたは武士の家の出身ですか?</v>
      </c>
      <c r="G1526" t="str">
        <f t="shared" si="478"/>
        <v>a</v>
      </c>
      <c r="H1526" t="str">
        <f>VLOOKUP(D1526,name!A:C,3,1)</f>
        <v>assets/icons/image035.png</v>
      </c>
    </row>
    <row r="1527" spans="1:8" x14ac:dyDescent="0.15">
      <c r="A1527" t="str">
        <f t="shared" si="484"/>
        <v>ドイツ語</v>
      </c>
      <c r="B1527">
        <f t="shared" si="484"/>
        <v>16</v>
      </c>
      <c r="C1527">
        <f t="shared" si="485"/>
        <v>45</v>
      </c>
      <c r="D1527">
        <f>D1497</f>
        <v>18</v>
      </c>
      <c r="E1527" t="str">
        <f>VLOOKUP(D1527,name!A:B,2,1)</f>
        <v>Frau Bauer</v>
      </c>
      <c r="F1527" t="str">
        <f>F1497</f>
        <v>Freut mich. Stammen Sie aus einer Samurai-Familie?</v>
      </c>
      <c r="G1527" t="str">
        <f t="shared" si="478"/>
        <v>a</v>
      </c>
      <c r="H1527" t="str">
        <f>VLOOKUP(D1527,name!A:C,3,1)</f>
        <v>assets/icons/image035.png</v>
      </c>
    </row>
    <row r="1528" spans="1:8" x14ac:dyDescent="0.15">
      <c r="A1528" t="str">
        <f t="shared" si="484"/>
        <v>ドイツ語</v>
      </c>
      <c r="B1528">
        <f t="shared" si="484"/>
        <v>16</v>
      </c>
      <c r="C1528">
        <f t="shared" si="485"/>
        <v>46</v>
      </c>
      <c r="D1528">
        <v>0</v>
      </c>
      <c r="E1528" t="str">
        <f>VLOOKUP(D1528,name!A:B,2,1)</f>
        <v>Player</v>
      </c>
      <c r="F1528" t="str">
        <f>F1497</f>
        <v>Freut mich. Stammen Sie aus einer Samurai-Familie?</v>
      </c>
      <c r="G1528" t="str">
        <f t="shared" si="478"/>
        <v>q</v>
      </c>
      <c r="H1528" t="str">
        <f>VLOOKUP(D1528,name!A:C,3,1)</f>
        <v>assets/icons/image326.png</v>
      </c>
    </row>
    <row r="1529" spans="1:8" x14ac:dyDescent="0.15">
      <c r="A1529" t="str">
        <f t="shared" si="484"/>
        <v>ドイツ語</v>
      </c>
      <c r="B1529">
        <f t="shared" si="484"/>
        <v>16</v>
      </c>
      <c r="C1529">
        <f t="shared" si="485"/>
        <v>47</v>
      </c>
      <c r="D1529">
        <f>D1498</f>
        <v>17</v>
      </c>
      <c r="E1529" t="str">
        <f>VLOOKUP(D1529,name!A:B,2,1)</f>
        <v>Herr Bauer</v>
      </c>
      <c r="F1529" t="str">
        <f>F1498</f>
        <v>そんな馬鹿な！</v>
      </c>
      <c r="G1529" t="str">
        <f t="shared" si="478"/>
        <v>a</v>
      </c>
      <c r="H1529" t="str">
        <f>VLOOKUP(D1529,name!A:C,3,1)</f>
        <v>assets/icons/image026.png</v>
      </c>
    </row>
    <row r="1530" spans="1:8" x14ac:dyDescent="0.15">
      <c r="A1530" t="str">
        <f t="shared" si="484"/>
        <v>ドイツ語</v>
      </c>
      <c r="B1530">
        <f t="shared" si="484"/>
        <v>16</v>
      </c>
      <c r="C1530">
        <f t="shared" si="485"/>
        <v>48</v>
      </c>
      <c r="D1530">
        <f>D1499</f>
        <v>17</v>
      </c>
      <c r="E1530" t="str">
        <f>VLOOKUP(D1530,name!A:B,2,1)</f>
        <v>Herr Bauer</v>
      </c>
      <c r="F1530" t="str">
        <f>F1499</f>
        <v>Quatsch!</v>
      </c>
      <c r="G1530" t="str">
        <f t="shared" si="478"/>
        <v>a</v>
      </c>
      <c r="H1530" t="str">
        <f>VLOOKUP(D1530,name!A:C,3,1)</f>
        <v>assets/icons/image026.png</v>
      </c>
    </row>
    <row r="1531" spans="1:8" x14ac:dyDescent="0.15">
      <c r="A1531" t="str">
        <f t="shared" si="484"/>
        <v>ドイツ語</v>
      </c>
      <c r="B1531">
        <f t="shared" si="484"/>
        <v>16</v>
      </c>
      <c r="C1531">
        <f t="shared" si="485"/>
        <v>49</v>
      </c>
      <c r="D1531">
        <v>0</v>
      </c>
      <c r="E1531" t="str">
        <f>VLOOKUP(D1531,name!A:B,2,1)</f>
        <v>Player</v>
      </c>
      <c r="F1531" t="str">
        <f>F1499</f>
        <v>Quatsch!</v>
      </c>
      <c r="G1531" t="str">
        <f t="shared" si="478"/>
        <v>q</v>
      </c>
      <c r="H1531" t="str">
        <f>VLOOKUP(D1531,name!A:C,3,1)</f>
        <v>assets/icons/image326.png</v>
      </c>
    </row>
    <row r="1532" spans="1:8" x14ac:dyDescent="0.15">
      <c r="A1532" t="str">
        <f t="shared" si="484"/>
        <v>ドイツ語</v>
      </c>
      <c r="B1532">
        <f t="shared" si="484"/>
        <v>16</v>
      </c>
      <c r="C1532">
        <f t="shared" si="485"/>
        <v>50</v>
      </c>
      <c r="D1532">
        <f>D1500</f>
        <v>17</v>
      </c>
      <c r="E1532" t="str">
        <f>VLOOKUP(D1532,name!A:B,2,1)</f>
        <v>Herr Bauer</v>
      </c>
      <c r="F1532" t="str">
        <f>F1500</f>
        <v>私が彼に侍として来てほしいとお願いしたんだ。</v>
      </c>
      <c r="G1532" t="str">
        <f t="shared" si="478"/>
        <v>a</v>
      </c>
      <c r="H1532" t="str">
        <f>VLOOKUP(D1532,name!A:C,3,1)</f>
        <v>assets/icons/image026.png</v>
      </c>
    </row>
    <row r="1533" spans="1:8" x14ac:dyDescent="0.15">
      <c r="A1533" t="str">
        <f t="shared" si="484"/>
        <v>ドイツ語</v>
      </c>
      <c r="B1533">
        <f t="shared" si="484"/>
        <v>16</v>
      </c>
      <c r="C1533">
        <f t="shared" si="485"/>
        <v>51</v>
      </c>
      <c r="D1533">
        <f>D1501</f>
        <v>17</v>
      </c>
      <c r="E1533" t="str">
        <f>VLOOKUP(D1533,name!A:B,2,1)</f>
        <v>Herr Bauer</v>
      </c>
      <c r="F1533" t="str">
        <f>F1501</f>
        <v>Ich habe ihn gefragt, ob er nicht als Samurai kommen möchte.</v>
      </c>
      <c r="G1533" t="str">
        <f t="shared" si="478"/>
        <v>a</v>
      </c>
      <c r="H1533" t="str">
        <f>VLOOKUP(D1533,name!A:C,3,1)</f>
        <v>assets/icons/image026.png</v>
      </c>
    </row>
    <row r="1534" spans="1:8" x14ac:dyDescent="0.15">
      <c r="A1534" t="str">
        <f t="shared" si="484"/>
        <v>ドイツ語</v>
      </c>
      <c r="B1534">
        <f t="shared" si="484"/>
        <v>16</v>
      </c>
      <c r="C1534">
        <f t="shared" si="485"/>
        <v>52</v>
      </c>
      <c r="D1534">
        <v>0</v>
      </c>
      <c r="E1534" t="str">
        <f>VLOOKUP(D1534,name!A:B,2,1)</f>
        <v>Player</v>
      </c>
      <c r="F1534" t="str">
        <f>F1501</f>
        <v>Ich habe ihn gefragt, ob er nicht als Samurai kommen möchte.</v>
      </c>
      <c r="G1534" t="str">
        <f t="shared" si="478"/>
        <v>q</v>
      </c>
      <c r="H1534" t="str">
        <f>VLOOKUP(D1534,name!A:C,3,1)</f>
        <v>assets/icons/image326.png</v>
      </c>
    </row>
    <row r="1535" spans="1:8" x14ac:dyDescent="0.15">
      <c r="A1535" t="str">
        <f t="shared" si="484"/>
        <v>ドイツ語</v>
      </c>
      <c r="B1535">
        <f t="shared" si="484"/>
        <v>16</v>
      </c>
      <c r="C1535">
        <f t="shared" si="485"/>
        <v>53</v>
      </c>
      <c r="D1535">
        <f>D1502</f>
        <v>2</v>
      </c>
      <c r="E1535" t="str">
        <f>VLOOKUP(D1535,name!A:B,2,1)</f>
        <v>Tanaka</v>
      </c>
      <c r="F1535" t="str">
        <f>F1502</f>
        <v>いや、あなたは正しいです、バウアー夫人。</v>
      </c>
      <c r="G1535" t="str">
        <f t="shared" si="478"/>
        <v>a</v>
      </c>
      <c r="H1535" t="str">
        <f>VLOOKUP(D1535,name!A:C,3,1)</f>
        <v>assets/icons/image013.png</v>
      </c>
    </row>
    <row r="1536" spans="1:8" x14ac:dyDescent="0.15">
      <c r="A1536" t="str">
        <f t="shared" si="484"/>
        <v>ドイツ語</v>
      </c>
      <c r="B1536">
        <f t="shared" si="484"/>
        <v>16</v>
      </c>
      <c r="C1536">
        <f t="shared" si="485"/>
        <v>54</v>
      </c>
      <c r="D1536">
        <f>D1503</f>
        <v>2</v>
      </c>
      <c r="E1536" t="str">
        <f>VLOOKUP(D1536,name!A:B,2,1)</f>
        <v>Tanaka</v>
      </c>
      <c r="F1536" t="str">
        <f>F1503</f>
        <v>Sie haben aber Recht, Frau Bauer.</v>
      </c>
      <c r="G1536" t="str">
        <f t="shared" si="478"/>
        <v>a</v>
      </c>
      <c r="H1536" t="str">
        <f>VLOOKUP(D1536,name!A:C,3,1)</f>
        <v>assets/icons/image013.png</v>
      </c>
    </row>
    <row r="1537" spans="1:8" x14ac:dyDescent="0.15">
      <c r="A1537" t="str">
        <f t="shared" si="484"/>
        <v>ドイツ語</v>
      </c>
      <c r="B1537">
        <f t="shared" si="484"/>
        <v>16</v>
      </c>
      <c r="C1537">
        <f t="shared" si="485"/>
        <v>55</v>
      </c>
      <c r="D1537">
        <v>0</v>
      </c>
      <c r="E1537" t="str">
        <f>VLOOKUP(D1537,name!A:B,2,1)</f>
        <v>Player</v>
      </c>
      <c r="F1537" t="str">
        <f>F1503</f>
        <v>Sie haben aber Recht, Frau Bauer.</v>
      </c>
      <c r="G1537" t="str">
        <f t="shared" si="478"/>
        <v>q</v>
      </c>
      <c r="H1537" t="str">
        <f>VLOOKUP(D1537,name!A:C,3,1)</f>
        <v>assets/icons/image326.png</v>
      </c>
    </row>
    <row r="1538" spans="1:8" x14ac:dyDescent="0.15">
      <c r="A1538" t="str">
        <f t="shared" si="484"/>
        <v>ドイツ語</v>
      </c>
      <c r="B1538">
        <f t="shared" si="484"/>
        <v>16</v>
      </c>
      <c r="C1538">
        <f t="shared" si="485"/>
        <v>56</v>
      </c>
      <c r="D1538">
        <f>D1504</f>
        <v>2</v>
      </c>
      <c r="E1538" t="str">
        <f>VLOOKUP(D1538,name!A:B,2,1)</f>
        <v>Tanaka</v>
      </c>
      <c r="F1538" t="str">
        <f>F1504</f>
        <v>私の曽祖父は武士でした。</v>
      </c>
      <c r="G1538" t="str">
        <f t="shared" si="478"/>
        <v>a</v>
      </c>
      <c r="H1538" t="str">
        <f>VLOOKUP(D1538,name!A:C,3,1)</f>
        <v>assets/icons/image013.png</v>
      </c>
    </row>
    <row r="1539" spans="1:8" x14ac:dyDescent="0.15">
      <c r="A1539" t="str">
        <f t="shared" si="484"/>
        <v>ドイツ語</v>
      </c>
      <c r="B1539">
        <f t="shared" si="484"/>
        <v>16</v>
      </c>
      <c r="C1539">
        <f t="shared" si="485"/>
        <v>57</v>
      </c>
      <c r="D1539">
        <f>D1505</f>
        <v>2</v>
      </c>
      <c r="E1539" t="str">
        <f>VLOOKUP(D1539,name!A:B,2,1)</f>
        <v>Tanaka</v>
      </c>
      <c r="F1539" t="str">
        <f>F1505</f>
        <v>Mein Ururgroßvater war ein Samurai.</v>
      </c>
      <c r="G1539" t="str">
        <f t="shared" ref="G1539:G1560" si="486">IF(B1539&lt;&gt;B1540,"e",IF(D1539=0,"q","a"))</f>
        <v>a</v>
      </c>
      <c r="H1539" t="str">
        <f>VLOOKUP(D1539,name!A:C,3,1)</f>
        <v>assets/icons/image013.png</v>
      </c>
    </row>
    <row r="1540" spans="1:8" x14ac:dyDescent="0.15">
      <c r="A1540" t="str">
        <f t="shared" ref="A1540:B1540" si="487">A1539</f>
        <v>ドイツ語</v>
      </c>
      <c r="B1540">
        <f t="shared" si="487"/>
        <v>16</v>
      </c>
      <c r="C1540">
        <f t="shared" si="485"/>
        <v>58</v>
      </c>
      <c r="D1540">
        <v>0</v>
      </c>
      <c r="E1540" t="str">
        <f>VLOOKUP(D1540,name!A:B,2,1)</f>
        <v>Player</v>
      </c>
      <c r="F1540" t="str">
        <f>F1505</f>
        <v>Mein Ururgroßvater war ein Samurai.</v>
      </c>
      <c r="G1540" t="str">
        <f t="shared" si="486"/>
        <v>q</v>
      </c>
      <c r="H1540" t="str">
        <f>VLOOKUP(D1540,name!A:C,3,1)</f>
        <v>assets/icons/image326.png</v>
      </c>
    </row>
    <row r="1541" spans="1:8" x14ac:dyDescent="0.15">
      <c r="A1541" t="str">
        <f t="shared" ref="A1541:B1541" si="488">A1540</f>
        <v>ドイツ語</v>
      </c>
      <c r="B1541">
        <f t="shared" si="488"/>
        <v>16</v>
      </c>
      <c r="C1541">
        <f t="shared" si="485"/>
        <v>59</v>
      </c>
      <c r="D1541">
        <f>D1506</f>
        <v>18</v>
      </c>
      <c r="E1541" t="str">
        <f>VLOOKUP(D1541,name!A:B,2,1)</f>
        <v>Frau Bauer</v>
      </c>
      <c r="F1541" t="str">
        <f>F1506</f>
        <v>あら、本当に？</v>
      </c>
      <c r="G1541" t="str">
        <f t="shared" si="486"/>
        <v>a</v>
      </c>
      <c r="H1541" t="str">
        <f>VLOOKUP(D1541,name!A:C,3,1)</f>
        <v>assets/icons/image035.png</v>
      </c>
    </row>
    <row r="1542" spans="1:8" x14ac:dyDescent="0.15">
      <c r="A1542" t="str">
        <f t="shared" ref="A1542:B1542" si="489">A1541</f>
        <v>ドイツ語</v>
      </c>
      <c r="B1542">
        <f t="shared" si="489"/>
        <v>16</v>
      </c>
      <c r="C1542">
        <f t="shared" si="485"/>
        <v>60</v>
      </c>
      <c r="D1542">
        <f>D1507</f>
        <v>18</v>
      </c>
      <c r="E1542" t="str">
        <f>VLOOKUP(D1542,name!A:B,2,1)</f>
        <v>Frau Bauer</v>
      </c>
      <c r="F1542" t="str">
        <f>F1507</f>
        <v xml:space="preserve">Ach, wirklich? </v>
      </c>
      <c r="G1542" t="str">
        <f t="shared" si="486"/>
        <v>a</v>
      </c>
      <c r="H1542" t="str">
        <f>VLOOKUP(D1542,name!A:C,3,1)</f>
        <v>assets/icons/image035.png</v>
      </c>
    </row>
    <row r="1543" spans="1:8" x14ac:dyDescent="0.15">
      <c r="A1543" t="str">
        <f t="shared" ref="A1543:B1543" si="490">A1542</f>
        <v>ドイツ語</v>
      </c>
      <c r="B1543">
        <f t="shared" si="490"/>
        <v>16</v>
      </c>
      <c r="C1543">
        <f t="shared" si="485"/>
        <v>61</v>
      </c>
      <c r="D1543">
        <v>0</v>
      </c>
      <c r="E1543" t="str">
        <f>VLOOKUP(D1543,name!A:B,2,1)</f>
        <v>Player</v>
      </c>
      <c r="F1543" t="str">
        <f>F1507</f>
        <v xml:space="preserve">Ach, wirklich? </v>
      </c>
      <c r="G1543" t="str">
        <f t="shared" si="486"/>
        <v>q</v>
      </c>
      <c r="H1543" t="str">
        <f>VLOOKUP(D1543,name!A:C,3,1)</f>
        <v>assets/icons/image326.png</v>
      </c>
    </row>
    <row r="1544" spans="1:8" x14ac:dyDescent="0.15">
      <c r="A1544" t="str">
        <f t="shared" ref="A1544:B1544" si="491">A1543</f>
        <v>ドイツ語</v>
      </c>
      <c r="B1544">
        <f t="shared" si="491"/>
        <v>16</v>
      </c>
      <c r="C1544">
        <f t="shared" si="485"/>
        <v>62</v>
      </c>
      <c r="D1544">
        <f>D1508</f>
        <v>18</v>
      </c>
      <c r="E1544" t="str">
        <f>VLOOKUP(D1544,name!A:B,2,1)</f>
        <v>Frau Bauer</v>
      </c>
      <c r="F1544" t="str">
        <f>F1508</f>
        <v>席に着いて、もう少し教えてください!</v>
      </c>
      <c r="G1544" t="str">
        <f t="shared" si="486"/>
        <v>a</v>
      </c>
      <c r="H1544" t="str">
        <f>VLOOKUP(D1544,name!A:C,3,1)</f>
        <v>assets/icons/image035.png</v>
      </c>
    </row>
    <row r="1545" spans="1:8" x14ac:dyDescent="0.15">
      <c r="A1545" t="str">
        <f t="shared" ref="A1545:B1545" si="492">A1544</f>
        <v>ドイツ語</v>
      </c>
      <c r="B1545">
        <f t="shared" si="492"/>
        <v>16</v>
      </c>
      <c r="C1545">
        <f t="shared" si="485"/>
        <v>63</v>
      </c>
      <c r="D1545">
        <f>D1509</f>
        <v>18</v>
      </c>
      <c r="E1545" t="str">
        <f>VLOOKUP(D1545,name!A:B,2,1)</f>
        <v>Frau Bauer</v>
      </c>
      <c r="F1545" t="str">
        <f>F1509</f>
        <v>Nehmen Sie doch Platz und erzählen Sie noch ein bisschen!</v>
      </c>
      <c r="G1545" t="str">
        <f t="shared" si="486"/>
        <v>a</v>
      </c>
      <c r="H1545" t="str">
        <f>VLOOKUP(D1545,name!A:C,3,1)</f>
        <v>assets/icons/image035.png</v>
      </c>
    </row>
    <row r="1546" spans="1:8" x14ac:dyDescent="0.15">
      <c r="A1546" t="str">
        <f t="shared" ref="A1546:B1546" si="493">A1545</f>
        <v>ドイツ語</v>
      </c>
      <c r="B1546">
        <f t="shared" si="493"/>
        <v>16</v>
      </c>
      <c r="C1546">
        <f t="shared" si="485"/>
        <v>64</v>
      </c>
      <c r="D1546">
        <v>0</v>
      </c>
      <c r="E1546" t="str">
        <f>VLOOKUP(D1546,name!A:B,2,1)</f>
        <v>Player</v>
      </c>
      <c r="F1546" t="str">
        <f>F1509</f>
        <v>Nehmen Sie doch Platz und erzählen Sie noch ein bisschen!</v>
      </c>
      <c r="G1546" t="str">
        <f t="shared" si="486"/>
        <v>q</v>
      </c>
      <c r="H1546" t="str">
        <f>VLOOKUP(D1546,name!A:C,3,1)</f>
        <v>assets/icons/image326.png</v>
      </c>
    </row>
    <row r="1547" spans="1:8" x14ac:dyDescent="0.15">
      <c r="A1547" t="str">
        <f t="shared" ref="A1547:B1547" si="494">A1546</f>
        <v>ドイツ語</v>
      </c>
      <c r="B1547">
        <f t="shared" si="494"/>
        <v>16</v>
      </c>
      <c r="C1547">
        <f t="shared" si="485"/>
        <v>65</v>
      </c>
      <c r="D1547">
        <v>1</v>
      </c>
      <c r="E1547" t="str">
        <f>VLOOKUP(D1547,name!A:B,2,1)</f>
        <v>Navigator</v>
      </c>
      <c r="F1547" t="str">
        <f>"次の日本語を"&amp;A1547&amp;"に訳して答えてね！"</f>
        <v>次の日本語をドイツ語に訳して答えてね！</v>
      </c>
      <c r="G1547" t="str">
        <f t="shared" si="486"/>
        <v>a</v>
      </c>
      <c r="H1547" t="str">
        <f>VLOOKUP(D1547,name!A:C,3,1)</f>
        <v>assets/icons/image014.png</v>
      </c>
    </row>
    <row r="1548" spans="1:8" x14ac:dyDescent="0.15">
      <c r="A1548" t="str">
        <f t="shared" ref="A1548:B1548" si="495">A1547</f>
        <v>ドイツ語</v>
      </c>
      <c r="B1548">
        <f t="shared" si="495"/>
        <v>16</v>
      </c>
      <c r="C1548">
        <f t="shared" si="485"/>
        <v>66</v>
      </c>
      <c r="D1548">
        <f>D1486</f>
        <v>17</v>
      </c>
      <c r="E1548" t="str">
        <f>VLOOKUP(D1548,name!A:B,2,1)</f>
        <v>Herr Bauer</v>
      </c>
      <c r="F1548" t="str">
        <f t="shared" ref="F1548:F1571" si="496">F1486</f>
        <v>田中さん、こんにちは!</v>
      </c>
      <c r="G1548" t="str">
        <f t="shared" si="486"/>
        <v>a</v>
      </c>
      <c r="H1548" t="str">
        <f>VLOOKUP(D1548,name!A:C,3,1)</f>
        <v>assets/icons/image026.png</v>
      </c>
    </row>
    <row r="1549" spans="1:8" x14ac:dyDescent="0.15">
      <c r="A1549" t="str">
        <f t="shared" ref="A1549:B1549" si="497">A1548</f>
        <v>ドイツ語</v>
      </c>
      <c r="B1549">
        <f t="shared" si="497"/>
        <v>16</v>
      </c>
      <c r="C1549">
        <f t="shared" si="485"/>
        <v>67</v>
      </c>
      <c r="D1549">
        <v>0</v>
      </c>
      <c r="E1549" t="str">
        <f>VLOOKUP(D1549,name!A:B,2,1)</f>
        <v>Player</v>
      </c>
      <c r="F1549" t="str">
        <f t="shared" si="496"/>
        <v>Hallo, Herr Tanaka!</v>
      </c>
      <c r="G1549" t="str">
        <f t="shared" si="486"/>
        <v>q</v>
      </c>
      <c r="H1549" t="str">
        <f>VLOOKUP(D1549,name!A:C,3,1)</f>
        <v>assets/icons/image326.png</v>
      </c>
    </row>
    <row r="1550" spans="1:8" x14ac:dyDescent="0.15">
      <c r="A1550" t="str">
        <f t="shared" ref="A1550:B1550" si="498">A1549</f>
        <v>ドイツ語</v>
      </c>
      <c r="B1550">
        <f t="shared" si="498"/>
        <v>16</v>
      </c>
      <c r="C1550">
        <f t="shared" si="485"/>
        <v>68</v>
      </c>
      <c r="D1550">
        <f>D1488</f>
        <v>17</v>
      </c>
      <c r="E1550" t="str">
        <f>VLOOKUP(D1550,name!A:B,2,1)</f>
        <v>Herr Bauer</v>
      </c>
      <c r="F1550" t="str">
        <f t="shared" si="496"/>
        <v>来てくれて、うれしいです!</v>
      </c>
      <c r="G1550" t="str">
        <f t="shared" si="486"/>
        <v>a</v>
      </c>
      <c r="H1550" t="str">
        <f>VLOOKUP(D1550,name!A:C,3,1)</f>
        <v>assets/icons/image026.png</v>
      </c>
    </row>
    <row r="1551" spans="1:8" x14ac:dyDescent="0.15">
      <c r="A1551" t="str">
        <f t="shared" ref="A1551:B1551" si="499">A1550</f>
        <v>ドイツ語</v>
      </c>
      <c r="B1551">
        <f t="shared" si="499"/>
        <v>16</v>
      </c>
      <c r="C1551">
        <f t="shared" si="485"/>
        <v>69</v>
      </c>
      <c r="D1551">
        <v>0</v>
      </c>
      <c r="E1551" t="str">
        <f>VLOOKUP(D1551,name!A:B,2,1)</f>
        <v>Player</v>
      </c>
      <c r="F1551" t="str">
        <f t="shared" si="496"/>
        <v>Schön, dass Sie da sind!</v>
      </c>
      <c r="G1551" t="str">
        <f t="shared" si="486"/>
        <v>q</v>
      </c>
      <c r="H1551" t="str">
        <f>VLOOKUP(D1551,name!A:C,3,1)</f>
        <v>assets/icons/image326.png</v>
      </c>
    </row>
    <row r="1552" spans="1:8" x14ac:dyDescent="0.15">
      <c r="A1552" t="str">
        <f t="shared" ref="A1552:B1552" si="500">A1551</f>
        <v>ドイツ語</v>
      </c>
      <c r="B1552">
        <f t="shared" si="500"/>
        <v>16</v>
      </c>
      <c r="C1552">
        <f t="shared" si="485"/>
        <v>70</v>
      </c>
      <c r="D1552">
        <f>D1490</f>
        <v>2</v>
      </c>
      <c r="E1552" t="str">
        <f>VLOOKUP(D1552,name!A:B,2,1)</f>
        <v>Tanaka</v>
      </c>
      <c r="F1552" t="str">
        <f t="shared" si="496"/>
        <v>どうぞ、お入りください!</v>
      </c>
      <c r="G1552" t="str">
        <f t="shared" si="486"/>
        <v>a</v>
      </c>
      <c r="H1552" t="str">
        <f>VLOOKUP(D1552,name!A:C,3,1)</f>
        <v>assets/icons/image013.png</v>
      </c>
    </row>
    <row r="1553" spans="1:8" x14ac:dyDescent="0.15">
      <c r="A1553" t="str">
        <f t="shared" ref="A1553:B1553" si="501">A1552</f>
        <v>ドイツ語</v>
      </c>
      <c r="B1553">
        <f t="shared" si="501"/>
        <v>16</v>
      </c>
      <c r="C1553">
        <f t="shared" si="485"/>
        <v>71</v>
      </c>
      <c r="D1553">
        <v>0</v>
      </c>
      <c r="E1553" t="str">
        <f>VLOOKUP(D1553,name!A:B,2,1)</f>
        <v>Player</v>
      </c>
      <c r="F1553" t="str">
        <f t="shared" si="496"/>
        <v>Bitte, kommen Sie doch rein!</v>
      </c>
      <c r="G1553" t="str">
        <f t="shared" si="486"/>
        <v>q</v>
      </c>
      <c r="H1553" t="str">
        <f>VLOOKUP(D1553,name!A:C,3,1)</f>
        <v>assets/icons/image326.png</v>
      </c>
    </row>
    <row r="1554" spans="1:8" x14ac:dyDescent="0.15">
      <c r="A1554" t="str">
        <f t="shared" ref="A1554:B1554" si="502">A1553</f>
        <v>ドイツ語</v>
      </c>
      <c r="B1554">
        <f t="shared" si="502"/>
        <v>16</v>
      </c>
      <c r="C1554">
        <f t="shared" si="485"/>
        <v>72</v>
      </c>
      <c r="D1554">
        <f>D1492</f>
        <v>2</v>
      </c>
      <c r="E1554" t="str">
        <f>VLOOKUP(D1554,name!A:B,2,1)</f>
        <v>Tanaka</v>
      </c>
      <c r="F1554" t="str">
        <f t="shared" si="496"/>
        <v>お招きいただき、誠にありがとうございます。</v>
      </c>
      <c r="G1554" t="str">
        <f t="shared" si="486"/>
        <v>a</v>
      </c>
      <c r="H1554" t="str">
        <f>VLOOKUP(D1554,name!A:C,3,1)</f>
        <v>assets/icons/image013.png</v>
      </c>
    </row>
    <row r="1555" spans="1:8" x14ac:dyDescent="0.15">
      <c r="A1555" t="str">
        <f t="shared" ref="A1555:B1555" si="503">A1554</f>
        <v>ドイツ語</v>
      </c>
      <c r="B1555">
        <f t="shared" si="503"/>
        <v>16</v>
      </c>
      <c r="C1555">
        <f t="shared" si="485"/>
        <v>73</v>
      </c>
      <c r="D1555">
        <v>0</v>
      </c>
      <c r="E1555" t="str">
        <f>VLOOKUP(D1555,name!A:B,2,1)</f>
        <v>Player</v>
      </c>
      <c r="F1555" t="str">
        <f t="shared" si="496"/>
        <v>Vielen Dank noch mal für die Einladung.</v>
      </c>
      <c r="G1555" t="str">
        <f t="shared" si="486"/>
        <v>q</v>
      </c>
      <c r="H1555" t="str">
        <f>VLOOKUP(D1555,name!A:C,3,1)</f>
        <v>assets/icons/image326.png</v>
      </c>
    </row>
    <row r="1556" spans="1:8" x14ac:dyDescent="0.15">
      <c r="A1556" t="str">
        <f t="shared" ref="A1556:B1556" si="504">A1555</f>
        <v>ドイツ語</v>
      </c>
      <c r="B1556">
        <f t="shared" si="504"/>
        <v>16</v>
      </c>
      <c r="C1556">
        <f t="shared" si="485"/>
        <v>74</v>
      </c>
      <c r="D1556">
        <f>D1494</f>
        <v>17</v>
      </c>
      <c r="E1556" t="str">
        <f>VLOOKUP(D1556,name!A:B,2,1)</f>
        <v>Herr Bauer</v>
      </c>
      <c r="F1556" t="str">
        <f t="shared" si="496"/>
        <v>田中さん、妻のヘルガです。</v>
      </c>
      <c r="G1556" t="str">
        <f t="shared" si="486"/>
        <v>a</v>
      </c>
      <c r="H1556" t="str">
        <f>VLOOKUP(D1556,name!A:C,3,1)</f>
        <v>assets/icons/image026.png</v>
      </c>
    </row>
    <row r="1557" spans="1:8" x14ac:dyDescent="0.15">
      <c r="A1557" t="str">
        <f t="shared" ref="A1557:B1557" si="505">A1556</f>
        <v>ドイツ語</v>
      </c>
      <c r="B1557">
        <f t="shared" si="505"/>
        <v>16</v>
      </c>
      <c r="C1557">
        <f t="shared" si="485"/>
        <v>75</v>
      </c>
      <c r="D1557">
        <v>0</v>
      </c>
      <c r="E1557" t="str">
        <f>VLOOKUP(D1557,name!A:B,2,1)</f>
        <v>Player</v>
      </c>
      <c r="F1557" t="str">
        <f t="shared" si="496"/>
        <v>Herr Tanaka, das ist meine Frau Helga.</v>
      </c>
      <c r="G1557" t="str">
        <f t="shared" si="486"/>
        <v>q</v>
      </c>
      <c r="H1557" t="str">
        <f>VLOOKUP(D1557,name!A:C,3,1)</f>
        <v>assets/icons/image326.png</v>
      </c>
    </row>
    <row r="1558" spans="1:8" x14ac:dyDescent="0.15">
      <c r="A1558" t="str">
        <f t="shared" ref="A1558:B1558" si="506">A1557</f>
        <v>ドイツ語</v>
      </c>
      <c r="B1558">
        <f t="shared" si="506"/>
        <v>16</v>
      </c>
      <c r="C1558">
        <f t="shared" si="485"/>
        <v>76</v>
      </c>
      <c r="D1558">
        <f>D1496</f>
        <v>18</v>
      </c>
      <c r="E1558" t="str">
        <f>VLOOKUP(D1558,name!A:B,2,1)</f>
        <v>Frau Bauer</v>
      </c>
      <c r="F1558" t="str">
        <f t="shared" si="496"/>
        <v>はじめまして。あなたは武士の家の出身ですか?</v>
      </c>
      <c r="G1558" t="str">
        <f t="shared" si="486"/>
        <v>a</v>
      </c>
      <c r="H1558" t="str">
        <f>VLOOKUP(D1558,name!A:C,3,1)</f>
        <v>assets/icons/image035.png</v>
      </c>
    </row>
    <row r="1559" spans="1:8" x14ac:dyDescent="0.15">
      <c r="A1559" t="str">
        <f t="shared" ref="A1559:B1559" si="507">A1558</f>
        <v>ドイツ語</v>
      </c>
      <c r="B1559">
        <f t="shared" si="507"/>
        <v>16</v>
      </c>
      <c r="C1559">
        <f t="shared" si="485"/>
        <v>77</v>
      </c>
      <c r="D1559">
        <v>0</v>
      </c>
      <c r="E1559" t="str">
        <f>VLOOKUP(D1559,name!A:B,2,1)</f>
        <v>Player</v>
      </c>
      <c r="F1559" t="str">
        <f t="shared" si="496"/>
        <v>Freut mich. Stammen Sie aus einer Samurai-Familie?</v>
      </c>
      <c r="G1559" t="str">
        <f t="shared" si="486"/>
        <v>q</v>
      </c>
      <c r="H1559" t="str">
        <f>VLOOKUP(D1559,name!A:C,3,1)</f>
        <v>assets/icons/image326.png</v>
      </c>
    </row>
    <row r="1560" spans="1:8" x14ac:dyDescent="0.15">
      <c r="A1560" t="str">
        <f t="shared" ref="A1560:B1560" si="508">A1559</f>
        <v>ドイツ語</v>
      </c>
      <c r="B1560">
        <f t="shared" si="508"/>
        <v>16</v>
      </c>
      <c r="C1560">
        <f t="shared" si="485"/>
        <v>78</v>
      </c>
      <c r="D1560">
        <f>D1498</f>
        <v>17</v>
      </c>
      <c r="E1560" t="str">
        <f>VLOOKUP(D1560,name!A:B,2,1)</f>
        <v>Herr Bauer</v>
      </c>
      <c r="F1560" t="str">
        <f t="shared" si="496"/>
        <v>そんな馬鹿な！</v>
      </c>
      <c r="G1560" t="str">
        <f t="shared" si="486"/>
        <v>a</v>
      </c>
      <c r="H1560" t="str">
        <f>VLOOKUP(D1560,name!A:C,3,1)</f>
        <v>assets/icons/image026.png</v>
      </c>
    </row>
    <row r="1561" spans="1:8" x14ac:dyDescent="0.15">
      <c r="A1561" t="str">
        <f t="shared" ref="A1561:B1561" si="509">A1560</f>
        <v>ドイツ語</v>
      </c>
      <c r="B1561">
        <f t="shared" si="509"/>
        <v>16</v>
      </c>
      <c r="C1561">
        <f t="shared" si="485"/>
        <v>79</v>
      </c>
      <c r="D1561">
        <v>0</v>
      </c>
      <c r="E1561" t="str">
        <f>VLOOKUP(D1561,name!A:B,2,1)</f>
        <v>Player</v>
      </c>
      <c r="F1561" t="str">
        <f t="shared" si="496"/>
        <v>Quatsch!</v>
      </c>
      <c r="G1561" t="str">
        <f t="shared" ref="G1561:G1569" si="510">IF(B1561&lt;&gt;B1562,"e",IF(D1561=0,"q","a"))</f>
        <v>q</v>
      </c>
      <c r="H1561" t="str">
        <f>VLOOKUP(D1561,name!A:C,3,1)</f>
        <v>assets/icons/image326.png</v>
      </c>
    </row>
    <row r="1562" spans="1:8" x14ac:dyDescent="0.15">
      <c r="A1562" t="str">
        <f t="shared" ref="A1562:B1562" si="511">A1561</f>
        <v>ドイツ語</v>
      </c>
      <c r="B1562">
        <f t="shared" si="511"/>
        <v>16</v>
      </c>
      <c r="C1562">
        <f t="shared" si="485"/>
        <v>80</v>
      </c>
      <c r="D1562">
        <f>D1500</f>
        <v>17</v>
      </c>
      <c r="E1562" t="str">
        <f>VLOOKUP(D1562,name!A:B,2,1)</f>
        <v>Herr Bauer</v>
      </c>
      <c r="F1562" t="str">
        <f t="shared" si="496"/>
        <v>私が彼に侍として来てほしいとお願いしたんだ。</v>
      </c>
      <c r="G1562" t="str">
        <f t="shared" si="510"/>
        <v>a</v>
      </c>
      <c r="H1562" t="str">
        <f>VLOOKUP(D1562,name!A:C,3,1)</f>
        <v>assets/icons/image026.png</v>
      </c>
    </row>
    <row r="1563" spans="1:8" x14ac:dyDescent="0.15">
      <c r="A1563" t="str">
        <f t="shared" ref="A1563:B1563" si="512">A1562</f>
        <v>ドイツ語</v>
      </c>
      <c r="B1563">
        <f t="shared" si="512"/>
        <v>16</v>
      </c>
      <c r="C1563">
        <f t="shared" si="485"/>
        <v>81</v>
      </c>
      <c r="D1563">
        <v>0</v>
      </c>
      <c r="E1563" t="str">
        <f>VLOOKUP(D1563,name!A:B,2,1)</f>
        <v>Player</v>
      </c>
      <c r="F1563" t="str">
        <f t="shared" si="496"/>
        <v>Ich habe ihn gefragt, ob er nicht als Samurai kommen möchte.</v>
      </c>
      <c r="G1563" t="str">
        <f t="shared" si="510"/>
        <v>q</v>
      </c>
      <c r="H1563" t="str">
        <f>VLOOKUP(D1563,name!A:C,3,1)</f>
        <v>assets/icons/image326.png</v>
      </c>
    </row>
    <row r="1564" spans="1:8" x14ac:dyDescent="0.15">
      <c r="A1564" t="str">
        <f t="shared" ref="A1564:B1564" si="513">A1563</f>
        <v>ドイツ語</v>
      </c>
      <c r="B1564">
        <f t="shared" si="513"/>
        <v>16</v>
      </c>
      <c r="C1564">
        <f t="shared" si="485"/>
        <v>82</v>
      </c>
      <c r="D1564">
        <f>D1502</f>
        <v>2</v>
      </c>
      <c r="E1564" t="str">
        <f>VLOOKUP(D1564,name!A:B,2,1)</f>
        <v>Tanaka</v>
      </c>
      <c r="F1564" t="str">
        <f t="shared" si="496"/>
        <v>いや、あなたは正しいです、バウアー夫人。</v>
      </c>
      <c r="G1564" t="str">
        <f t="shared" si="510"/>
        <v>a</v>
      </c>
      <c r="H1564" t="str">
        <f>VLOOKUP(D1564,name!A:C,3,1)</f>
        <v>assets/icons/image013.png</v>
      </c>
    </row>
    <row r="1565" spans="1:8" x14ac:dyDescent="0.15">
      <c r="A1565" t="str">
        <f t="shared" ref="A1565:B1567" si="514">A1564</f>
        <v>ドイツ語</v>
      </c>
      <c r="B1565">
        <f t="shared" si="514"/>
        <v>16</v>
      </c>
      <c r="C1565">
        <f t="shared" ref="C1565:C1572" si="515">C1564+1</f>
        <v>83</v>
      </c>
      <c r="D1565">
        <v>0</v>
      </c>
      <c r="E1565" t="str">
        <f>VLOOKUP(D1565,name!A:B,2,1)</f>
        <v>Player</v>
      </c>
      <c r="F1565" t="str">
        <f t="shared" si="496"/>
        <v>Sie haben aber Recht, Frau Bauer.</v>
      </c>
      <c r="G1565" t="str">
        <f t="shared" si="510"/>
        <v>q</v>
      </c>
      <c r="H1565" t="str">
        <f>VLOOKUP(D1565,name!A:C,3,1)</f>
        <v>assets/icons/image326.png</v>
      </c>
    </row>
    <row r="1566" spans="1:8" x14ac:dyDescent="0.15">
      <c r="A1566" t="str">
        <f t="shared" si="514"/>
        <v>ドイツ語</v>
      </c>
      <c r="B1566">
        <f t="shared" si="514"/>
        <v>16</v>
      </c>
      <c r="C1566">
        <f t="shared" si="515"/>
        <v>84</v>
      </c>
      <c r="D1566">
        <f>D1504</f>
        <v>2</v>
      </c>
      <c r="E1566" t="str">
        <f>VLOOKUP(D1566,name!A:B,2,1)</f>
        <v>Tanaka</v>
      </c>
      <c r="F1566" t="str">
        <f t="shared" si="496"/>
        <v>私の曽祖父は武士でした。</v>
      </c>
      <c r="G1566" t="str">
        <f t="shared" si="510"/>
        <v>a</v>
      </c>
      <c r="H1566" t="str">
        <f>VLOOKUP(D1566,name!A:C,3,1)</f>
        <v>assets/icons/image013.png</v>
      </c>
    </row>
    <row r="1567" spans="1:8" x14ac:dyDescent="0.15">
      <c r="A1567" t="str">
        <f t="shared" si="514"/>
        <v>ドイツ語</v>
      </c>
      <c r="B1567">
        <f t="shared" si="514"/>
        <v>16</v>
      </c>
      <c r="C1567">
        <f t="shared" si="515"/>
        <v>85</v>
      </c>
      <c r="D1567">
        <v>0</v>
      </c>
      <c r="E1567" t="str">
        <f>VLOOKUP(D1567,name!A:B,2,1)</f>
        <v>Player</v>
      </c>
      <c r="F1567" t="str">
        <f t="shared" si="496"/>
        <v>Mein Ururgroßvater war ein Samurai.</v>
      </c>
      <c r="G1567" t="str">
        <f t="shared" si="510"/>
        <v>q</v>
      </c>
      <c r="H1567" t="str">
        <f>VLOOKUP(D1567,name!A:C,3,1)</f>
        <v>assets/icons/image326.png</v>
      </c>
    </row>
    <row r="1568" spans="1:8" x14ac:dyDescent="0.15">
      <c r="A1568" t="str">
        <f t="shared" ref="A1568:B1570" si="516">A1567</f>
        <v>ドイツ語</v>
      </c>
      <c r="B1568">
        <f t="shared" si="516"/>
        <v>16</v>
      </c>
      <c r="C1568">
        <f t="shared" si="515"/>
        <v>86</v>
      </c>
      <c r="D1568">
        <f>D1506</f>
        <v>18</v>
      </c>
      <c r="E1568" t="str">
        <f>VLOOKUP(D1568,name!A:B,2,1)</f>
        <v>Frau Bauer</v>
      </c>
      <c r="F1568" t="str">
        <f t="shared" si="496"/>
        <v>あら、本当に？</v>
      </c>
      <c r="G1568" t="str">
        <f t="shared" si="510"/>
        <v>a</v>
      </c>
      <c r="H1568" t="str">
        <f>VLOOKUP(D1568,name!A:C,3,1)</f>
        <v>assets/icons/image035.png</v>
      </c>
    </row>
    <row r="1569" spans="1:12" x14ac:dyDescent="0.15">
      <c r="A1569" t="str">
        <f t="shared" si="516"/>
        <v>ドイツ語</v>
      </c>
      <c r="B1569">
        <f t="shared" si="516"/>
        <v>16</v>
      </c>
      <c r="C1569">
        <f t="shared" si="515"/>
        <v>87</v>
      </c>
      <c r="D1569">
        <v>0</v>
      </c>
      <c r="E1569" t="str">
        <f>VLOOKUP(D1569,name!A:B,2,1)</f>
        <v>Player</v>
      </c>
      <c r="F1569" t="str">
        <f t="shared" si="496"/>
        <v xml:space="preserve">Ach, wirklich? </v>
      </c>
      <c r="G1569" t="str">
        <f t="shared" si="510"/>
        <v>q</v>
      </c>
      <c r="H1569" t="str">
        <f>VLOOKUP(D1569,name!A:C,3,1)</f>
        <v>assets/icons/image326.png</v>
      </c>
    </row>
    <row r="1570" spans="1:12" x14ac:dyDescent="0.15">
      <c r="A1570" t="str">
        <f t="shared" si="516"/>
        <v>ドイツ語</v>
      </c>
      <c r="B1570">
        <f t="shared" si="516"/>
        <v>16</v>
      </c>
      <c r="C1570">
        <f t="shared" si="515"/>
        <v>88</v>
      </c>
      <c r="D1570">
        <f>D1508</f>
        <v>18</v>
      </c>
      <c r="E1570" t="str">
        <f>VLOOKUP(D1570,name!A:B,2,1)</f>
        <v>Frau Bauer</v>
      </c>
      <c r="F1570" t="str">
        <f t="shared" si="496"/>
        <v>席に着いて、もう少し教えてください!</v>
      </c>
      <c r="G1570" t="str">
        <f t="shared" ref="G1570:G1572" si="517">IF(B1570&lt;&gt;B1571,"e",IF(D1570=0,"q","a"))</f>
        <v>a</v>
      </c>
      <c r="H1570" t="str">
        <f>VLOOKUP(D1570,name!A:C,3,1)</f>
        <v>assets/icons/image035.png</v>
      </c>
    </row>
    <row r="1571" spans="1:12" x14ac:dyDescent="0.15">
      <c r="A1571" t="str">
        <f t="shared" ref="A1571:B1571" si="518">A1570</f>
        <v>ドイツ語</v>
      </c>
      <c r="B1571">
        <f t="shared" si="518"/>
        <v>16</v>
      </c>
      <c r="C1571">
        <f t="shared" si="515"/>
        <v>89</v>
      </c>
      <c r="D1571">
        <v>0</v>
      </c>
      <c r="E1571" t="str">
        <f>VLOOKUP(D1571,name!A:B,2,1)</f>
        <v>Player</v>
      </c>
      <c r="F1571" t="str">
        <f t="shared" si="496"/>
        <v>Nehmen Sie doch Platz und erzählen Sie noch ein bisschen!</v>
      </c>
      <c r="G1571" t="str">
        <f t="shared" si="517"/>
        <v>q</v>
      </c>
      <c r="H1571" t="str">
        <f>VLOOKUP(D1571,name!A:C,3,1)</f>
        <v>assets/icons/image326.png</v>
      </c>
    </row>
    <row r="1572" spans="1:12" x14ac:dyDescent="0.15">
      <c r="A1572" t="str">
        <f t="shared" ref="A1572:B1572" si="519">A1571</f>
        <v>ドイツ語</v>
      </c>
      <c r="B1572">
        <f t="shared" si="519"/>
        <v>16</v>
      </c>
      <c r="C1572">
        <f t="shared" si="515"/>
        <v>90</v>
      </c>
      <c r="D1572">
        <v>1</v>
      </c>
      <c r="E1572" t="str">
        <f>VLOOKUP(D1572,name!A:B,2,1)</f>
        <v>Navigator</v>
      </c>
      <c r="F1572" t="str">
        <f>"とても良くできました。レッスン"&amp;B1572&amp;"はこれで終了です。"</f>
        <v>とても良くできました。レッスン16はこれで終了です。</v>
      </c>
      <c r="G1572" t="str">
        <f t="shared" si="517"/>
        <v>e</v>
      </c>
      <c r="H1572" t="str">
        <f>VLOOKUP(D1572,name!A:C,3,1)</f>
        <v>assets/icons/image014.png</v>
      </c>
    </row>
    <row r="1573" spans="1:12" ht="15.75" x14ac:dyDescent="0.15">
      <c r="L1573" s="5"/>
    </row>
    <row r="1574" spans="1:12" ht="15.75" x14ac:dyDescent="0.15">
      <c r="L1574" s="5"/>
    </row>
    <row r="1575" spans="1:12" ht="15.75" x14ac:dyDescent="0.15">
      <c r="L1575" s="5"/>
    </row>
    <row r="1576" spans="1:12" ht="15.75" x14ac:dyDescent="0.15">
      <c r="L1576" s="5"/>
    </row>
    <row r="1577" spans="1:12" ht="15.75" x14ac:dyDescent="0.15">
      <c r="L1577" s="5"/>
    </row>
    <row r="1578" spans="1:12" ht="15.75" x14ac:dyDescent="0.15">
      <c r="L1578" s="5"/>
    </row>
    <row r="1579" spans="1:12" ht="15.75" x14ac:dyDescent="0.15">
      <c r="L1579" s="5"/>
    </row>
    <row r="1580" spans="1:12" ht="15.75" x14ac:dyDescent="0.15">
      <c r="L1580" s="5"/>
    </row>
    <row r="1581" spans="1:12" ht="15.75" x14ac:dyDescent="0.15">
      <c r="L1581" s="5"/>
    </row>
    <row r="1582" spans="1:12" ht="15.75" x14ac:dyDescent="0.15">
      <c r="L1582" s="5"/>
    </row>
    <row r="1583" spans="1:12" ht="15.75" x14ac:dyDescent="0.15">
      <c r="L1583" s="5"/>
    </row>
    <row r="1584" spans="1:12" ht="15.75" x14ac:dyDescent="0.15">
      <c r="L1584" s="5"/>
    </row>
    <row r="1585" spans="12:12" ht="15.75" x14ac:dyDescent="0.15">
      <c r="L1585" s="5"/>
    </row>
    <row r="1586" spans="12:12" ht="15.75" x14ac:dyDescent="0.15">
      <c r="L1586" s="5"/>
    </row>
    <row r="1587" spans="12:12" ht="15.75" x14ac:dyDescent="0.15">
      <c r="L1587" s="5"/>
    </row>
    <row r="1588" spans="12:12" ht="15.75" x14ac:dyDescent="0.15">
      <c r="L1588" s="5"/>
    </row>
    <row r="1589" spans="12:12" ht="15.75" x14ac:dyDescent="0.15">
      <c r="L1589" s="5"/>
    </row>
    <row r="1590" spans="12:12" ht="15.75" x14ac:dyDescent="0.15">
      <c r="L1590" s="5"/>
    </row>
    <row r="1591" spans="12:12" ht="15.75" x14ac:dyDescent="0.15">
      <c r="L1591" s="5"/>
    </row>
    <row r="1592" spans="12:12" ht="15.75" x14ac:dyDescent="0.15">
      <c r="L1592" s="5"/>
    </row>
    <row r="1593" spans="12:12" ht="15.75" x14ac:dyDescent="0.15">
      <c r="L1593" s="5"/>
    </row>
    <row r="1594" spans="12:12" ht="15.75" x14ac:dyDescent="0.15">
      <c r="L1594" s="5"/>
    </row>
  </sheetData>
  <autoFilter ref="A1:L1572"/>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569" operator="containsText" id="{354324D1-2780-4CFA-8138-08D349C6EA0B}">
            <xm:f>NOT(ISERROR(SEARCH($G$4,G1)))</xm:f>
            <xm:f>$G$4</xm:f>
            <x14:dxf>
              <font>
                <color auto="1"/>
              </font>
              <fill>
                <patternFill>
                  <bgColor rgb="FFFFC000"/>
                </patternFill>
              </fill>
            </x14:dxf>
          </x14:cfRule>
          <xm:sqref>G1:H1 G27:G28 G30:G31 G50:G62 G109:G1371 G1573:G1048576</xm:sqref>
        </x14:conditionalFormatting>
        <x14:conditionalFormatting xmlns:xm="http://schemas.microsoft.com/office/excel/2006/main">
          <x14:cfRule type="containsText" priority="567" operator="containsText" id="{807D1296-1C7D-453D-B9F9-71514F68095C}">
            <xm:f>NOT(ISERROR(SEARCH($G$4,G2)))</xm:f>
            <xm:f>$G$4</xm:f>
            <x14:dxf>
              <font>
                <color auto="1"/>
              </font>
              <fill>
                <patternFill>
                  <bgColor rgb="FFFFC000"/>
                </patternFill>
              </fill>
            </x14:dxf>
          </x14:cfRule>
          <xm:sqref>G2:G25</xm:sqref>
        </x14:conditionalFormatting>
        <x14:conditionalFormatting xmlns:xm="http://schemas.microsoft.com/office/excel/2006/main">
          <x14:cfRule type="containsText" priority="564" operator="containsText" id="{4DB2C1D5-D689-421B-A49B-B06137D92345}">
            <xm:f>NOT(ISERROR(SEARCH($G$4,G26)))</xm:f>
            <xm:f>$G$4</xm:f>
            <x14:dxf>
              <font>
                <color auto="1"/>
              </font>
              <fill>
                <patternFill>
                  <bgColor rgb="FFFFC000"/>
                </patternFill>
              </fill>
            </x14:dxf>
          </x14:cfRule>
          <xm:sqref>G26</xm:sqref>
        </x14:conditionalFormatting>
        <x14:conditionalFormatting xmlns:xm="http://schemas.microsoft.com/office/excel/2006/main">
          <x14:cfRule type="containsText" priority="563" operator="containsText" id="{CA52CB93-1BEC-4D1B-B2A2-3E5D521CD7F5}">
            <xm:f>NOT(ISERROR(SEARCH($G$4,G29)))</xm:f>
            <xm:f>$G$4</xm:f>
            <x14:dxf>
              <font>
                <color auto="1"/>
              </font>
              <fill>
                <patternFill>
                  <bgColor rgb="FFFFC000"/>
                </patternFill>
              </fill>
            </x14:dxf>
          </x14:cfRule>
          <xm:sqref>G29</xm:sqref>
        </x14:conditionalFormatting>
        <x14:conditionalFormatting xmlns:xm="http://schemas.microsoft.com/office/excel/2006/main">
          <x14:cfRule type="containsText" priority="562" operator="containsText" id="{903DD42B-249B-4565-9539-2CD2B235B309}">
            <xm:f>NOT(ISERROR(SEARCH($G$4,G32)))</xm:f>
            <xm:f>$G$4</xm:f>
            <x14:dxf>
              <font>
                <color auto="1"/>
              </font>
              <fill>
                <patternFill>
                  <bgColor rgb="FFFFC000"/>
                </patternFill>
              </fill>
            </x14:dxf>
          </x14:cfRule>
          <xm:sqref>G32:G49</xm:sqref>
        </x14:conditionalFormatting>
        <x14:conditionalFormatting xmlns:xm="http://schemas.microsoft.com/office/excel/2006/main">
          <x14:cfRule type="containsText" priority="558" operator="containsText" id="{5E701B0F-95E0-48B9-863C-52906A2D7107}">
            <xm:f>NOT(ISERROR(SEARCH($G$4,G63)))</xm:f>
            <xm:f>$G$4</xm:f>
            <x14:dxf>
              <font>
                <color auto="1"/>
              </font>
              <fill>
                <patternFill>
                  <bgColor rgb="FFFFC000"/>
                </patternFill>
              </fill>
            </x14:dxf>
          </x14:cfRule>
          <xm:sqref>G63:G108</xm:sqref>
        </x14:conditionalFormatting>
        <x14:conditionalFormatting xmlns:xm="http://schemas.microsoft.com/office/excel/2006/main">
          <x14:cfRule type="containsText" priority="2" operator="containsText" id="{CC1A606E-318D-4015-A731-3D460F58FC0F}">
            <xm:f>NOT(ISERROR(SEARCH(templete!$G$84,templete!G1373)))</xm:f>
            <xm:f>templete!$G$84</xm:f>
            <x14:dxf>
              <font>
                <color auto="1"/>
              </font>
              <fill>
                <patternFill>
                  <bgColor rgb="FFFFC000"/>
                </patternFill>
              </fill>
            </x14:dxf>
          </x14:cfRule>
          <xm:sqref>G1372:G1517</xm:sqref>
        </x14:conditionalFormatting>
        <x14:conditionalFormatting xmlns:xm="http://schemas.microsoft.com/office/excel/2006/main">
          <x14:cfRule type="containsText" priority="572" operator="containsText" id="{9C0EE4BC-B0DD-4007-A54D-F4CEABBF5DA3}">
            <xm:f>NOT(ISERROR(SEARCH(templete!$G$84,templete!G1575)))</xm:f>
            <xm:f>templete!$G$84</xm:f>
            <x14:dxf>
              <font>
                <color auto="1"/>
              </font>
              <fill>
                <patternFill>
                  <bgColor rgb="FFFFC000"/>
                </patternFill>
              </fill>
            </x14:dxf>
          </x14:cfRule>
          <xm:sqref>G1518:G1560</xm:sqref>
        </x14:conditionalFormatting>
        <x14:conditionalFormatting xmlns:xm="http://schemas.microsoft.com/office/excel/2006/main">
          <x14:cfRule type="containsText" priority="575" operator="containsText" id="{9C0EE4BC-B0DD-4007-A54D-F4CEABBF5DA3}">
            <xm:f>NOT(ISERROR(SEARCH(templete!$G$84,templete!G1702)))</xm:f>
            <xm:f>templete!$G$84</xm:f>
            <x14:dxf>
              <font>
                <color auto="1"/>
              </font>
              <fill>
                <patternFill>
                  <bgColor rgb="FFFFC000"/>
                </patternFill>
              </fill>
            </x14:dxf>
          </x14:cfRule>
          <xm:sqref>G1561:G1572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20"/>
  <sheetViews>
    <sheetView workbookViewId="0">
      <selection activeCell="C21" sqref="C21"/>
    </sheetView>
  </sheetViews>
  <sheetFormatPr defaultRowHeight="13.5" x14ac:dyDescent="0.15"/>
  <sheetData>
    <row r="1" spans="1:3" x14ac:dyDescent="0.15">
      <c r="A1" t="s">
        <v>13</v>
      </c>
      <c r="B1" t="s">
        <v>14</v>
      </c>
      <c r="C1" t="s">
        <v>187</v>
      </c>
    </row>
    <row r="2" spans="1:3" x14ac:dyDescent="0.15">
      <c r="A2">
        <v>0</v>
      </c>
      <c r="B2" t="s">
        <v>115</v>
      </c>
      <c r="C2" t="s">
        <v>93</v>
      </c>
    </row>
    <row r="3" spans="1:3" x14ac:dyDescent="0.15">
      <c r="A3">
        <v>1</v>
      </c>
      <c r="B3" t="s">
        <v>114</v>
      </c>
      <c r="C3" t="s">
        <v>94</v>
      </c>
    </row>
    <row r="4" spans="1:3" x14ac:dyDescent="0.15">
      <c r="A4">
        <v>2</v>
      </c>
      <c r="B4" t="s">
        <v>113</v>
      </c>
      <c r="C4" t="s">
        <v>95</v>
      </c>
    </row>
    <row r="5" spans="1:3" x14ac:dyDescent="0.15">
      <c r="A5">
        <v>3</v>
      </c>
      <c r="B5" t="s">
        <v>16</v>
      </c>
      <c r="C5" t="s">
        <v>96</v>
      </c>
    </row>
    <row r="6" spans="1:3" x14ac:dyDescent="0.15">
      <c r="A6">
        <v>4</v>
      </c>
      <c r="B6" t="s">
        <v>38</v>
      </c>
      <c r="C6" t="s">
        <v>97</v>
      </c>
    </row>
    <row r="7" spans="1:3" x14ac:dyDescent="0.15">
      <c r="A7">
        <v>5</v>
      </c>
      <c r="B7" t="s">
        <v>55</v>
      </c>
      <c r="C7" t="s">
        <v>98</v>
      </c>
    </row>
    <row r="8" spans="1:3" x14ac:dyDescent="0.15">
      <c r="A8">
        <v>6</v>
      </c>
      <c r="B8" t="s">
        <v>59</v>
      </c>
      <c r="C8" t="s">
        <v>99</v>
      </c>
    </row>
    <row r="9" spans="1:3" x14ac:dyDescent="0.15">
      <c r="A9">
        <v>7</v>
      </c>
      <c r="B9" t="s">
        <v>66</v>
      </c>
      <c r="C9" t="s">
        <v>100</v>
      </c>
    </row>
    <row r="10" spans="1:3" x14ac:dyDescent="0.15">
      <c r="A10">
        <v>8</v>
      </c>
      <c r="B10" t="s">
        <v>76</v>
      </c>
      <c r="C10" t="s">
        <v>101</v>
      </c>
    </row>
    <row r="11" spans="1:3" x14ac:dyDescent="0.15">
      <c r="A11">
        <v>9</v>
      </c>
      <c r="B11" t="s">
        <v>123</v>
      </c>
      <c r="C11" t="s">
        <v>124</v>
      </c>
    </row>
    <row r="12" spans="1:3" x14ac:dyDescent="0.15">
      <c r="A12">
        <v>10</v>
      </c>
      <c r="B12" t="s">
        <v>131</v>
      </c>
      <c r="C12" t="s">
        <v>132</v>
      </c>
    </row>
    <row r="13" spans="1:3" x14ac:dyDescent="0.15">
      <c r="A13">
        <v>11</v>
      </c>
      <c r="B13" t="s">
        <v>171</v>
      </c>
      <c r="C13" t="s">
        <v>172</v>
      </c>
    </row>
    <row r="14" spans="1:3" x14ac:dyDescent="0.15">
      <c r="A14">
        <v>12</v>
      </c>
      <c r="B14" t="s">
        <v>173</v>
      </c>
      <c r="C14" t="s">
        <v>174</v>
      </c>
    </row>
    <row r="15" spans="1:3" x14ac:dyDescent="0.15">
      <c r="A15">
        <v>13</v>
      </c>
      <c r="B15" t="s">
        <v>220</v>
      </c>
      <c r="C15" t="s">
        <v>221</v>
      </c>
    </row>
    <row r="16" spans="1:3" x14ac:dyDescent="0.15">
      <c r="A16">
        <v>14</v>
      </c>
      <c r="B16" t="s">
        <v>241</v>
      </c>
      <c r="C16" t="s">
        <v>242</v>
      </c>
    </row>
    <row r="17" spans="1:3" x14ac:dyDescent="0.15">
      <c r="A17">
        <v>15</v>
      </c>
      <c r="B17" t="s">
        <v>365</v>
      </c>
      <c r="C17" t="s">
        <v>366</v>
      </c>
    </row>
    <row r="18" spans="1:3" x14ac:dyDescent="0.15">
      <c r="A18">
        <v>16</v>
      </c>
      <c r="B18" t="s">
        <v>455</v>
      </c>
      <c r="C18" t="s">
        <v>456</v>
      </c>
    </row>
    <row r="19" spans="1:3" x14ac:dyDescent="0.15">
      <c r="A19">
        <v>17</v>
      </c>
      <c r="B19" t="s">
        <v>522</v>
      </c>
      <c r="C19" t="s">
        <v>535</v>
      </c>
    </row>
    <row r="20" spans="1:3" x14ac:dyDescent="0.15">
      <c r="A20">
        <v>18</v>
      </c>
      <c r="B20" t="s">
        <v>528</v>
      </c>
      <c r="C20" t="s">
        <v>536</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48</v>
      </c>
      <c r="B2" t="s">
        <v>49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H287"/>
  <sheetViews>
    <sheetView topLeftCell="A207" zoomScale="33" zoomScaleNormal="33" workbookViewId="0">
      <selection activeCell="A2" sqref="A2:XFD287"/>
    </sheetView>
  </sheetViews>
  <sheetFormatPr defaultRowHeight="13.5" x14ac:dyDescent="0.15"/>
  <cols>
    <col min="6" max="6" width="41.75" customWidth="1"/>
  </cols>
  <sheetData>
    <row r="2" spans="1:8" x14ac:dyDescent="0.15">
      <c r="A2">
        <f>A1</f>
        <v>0</v>
      </c>
      <c r="B2">
        <f>B1+1</f>
        <v>1</v>
      </c>
      <c r="C2">
        <v>1</v>
      </c>
      <c r="D2">
        <v>1</v>
      </c>
      <c r="E2" t="str">
        <f>VLOOKUP(D2,name!A:B,2,1)</f>
        <v>Navigator</v>
      </c>
      <c r="F2" t="s">
        <v>51</v>
      </c>
      <c r="G2" t="str">
        <f t="shared" ref="G2" si="0">IF(B2&lt;&gt;B3,"e",IF(D2=0,"q","a"))</f>
        <v>a</v>
      </c>
      <c r="H2" t="str">
        <f>VLOOKUP(D2,name!A:C,3,1)</f>
        <v>assets/icons/image014.png</v>
      </c>
    </row>
    <row r="3" spans="1:8" x14ac:dyDescent="0.15">
      <c r="A3">
        <f t="shared" ref="A3:A101" si="1">A2</f>
        <v>0</v>
      </c>
      <c r="B3">
        <f>B2</f>
        <v>1</v>
      </c>
      <c r="C3">
        <f>C2+1</f>
        <v>2</v>
      </c>
      <c r="D3">
        <v>1</v>
      </c>
      <c r="E3" t="str">
        <f>VLOOKUP(D3,name!A:B,2,1)</f>
        <v>Navigator</v>
      </c>
      <c r="F3" t="str">
        <f>"レッスン"&amp;B3</f>
        <v>レッスン1</v>
      </c>
      <c r="G3" t="str">
        <f t="shared" ref="G3:G287" si="2">IF(B3&lt;&gt;B4,"e",IF(D3=0,"q","a"))</f>
        <v>a</v>
      </c>
      <c r="H3" t="str">
        <f>VLOOKUP(D3,name!A:C,3,1)</f>
        <v>assets/icons/image014.png</v>
      </c>
    </row>
    <row r="4" spans="1:8" ht="40.5" x14ac:dyDescent="0.15">
      <c r="A4">
        <f t="shared" si="1"/>
        <v>0</v>
      </c>
      <c r="B4">
        <f t="shared" ref="B4:B106" si="3">B3</f>
        <v>1</v>
      </c>
      <c r="C4">
        <f t="shared" ref="C4:C106" si="4">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まずは対話文を流します。その後に、日本語と0を一文ずつ流すので0を真似して下さい。最後に日本語のみを流すので、0で答えてください。</v>
      </c>
      <c r="G4" t="str">
        <f>IF(B4&lt;&gt;B84,"e",IF(D4=0,"q","a"))</f>
        <v>a</v>
      </c>
      <c r="H4" t="str">
        <f>VLOOKUP(D4,name!A:C,3,1)</f>
        <v>assets/icons/image014.png</v>
      </c>
    </row>
    <row r="5" spans="1:8" x14ac:dyDescent="0.15">
      <c r="A5">
        <f t="shared" si="1"/>
        <v>0</v>
      </c>
      <c r="B5">
        <f t="shared" si="3"/>
        <v>1</v>
      </c>
      <c r="C5">
        <f t="shared" si="4"/>
        <v>4</v>
      </c>
      <c r="D5">
        <f>D6</f>
        <v>0</v>
      </c>
      <c r="E5" t="str">
        <f>VLOOKUP(D5,name!A:B,2,1)</f>
        <v>Player</v>
      </c>
      <c r="F5">
        <f>F6</f>
        <v>0</v>
      </c>
      <c r="G5" t="str">
        <f t="shared" ref="G5:G68" si="5">IF(B5&lt;&gt;B6,"e",IF(D5=0,"q","a"))</f>
        <v>q</v>
      </c>
      <c r="H5" t="str">
        <f>VLOOKUP(D5,name!A:C,3,1)</f>
        <v>assets/icons/image326.png</v>
      </c>
    </row>
    <row r="6" spans="1:8" x14ac:dyDescent="0.15">
      <c r="A6">
        <f t="shared" si="1"/>
        <v>0</v>
      </c>
      <c r="B6">
        <f t="shared" si="3"/>
        <v>1</v>
      </c>
      <c r="C6">
        <f t="shared" si="4"/>
        <v>5</v>
      </c>
      <c r="D6">
        <f t="shared" ref="D6:F69" si="6">D7</f>
        <v>0</v>
      </c>
      <c r="E6" t="str">
        <f>VLOOKUP(D6,name!A:B,2,1)</f>
        <v>Player</v>
      </c>
      <c r="F6">
        <f t="shared" si="6"/>
        <v>0</v>
      </c>
      <c r="G6" t="str">
        <f t="shared" si="5"/>
        <v>q</v>
      </c>
      <c r="H6" t="str">
        <f>VLOOKUP(D6,name!A:C,3,1)</f>
        <v>assets/icons/image326.png</v>
      </c>
    </row>
    <row r="7" spans="1:8" x14ac:dyDescent="0.15">
      <c r="A7">
        <f t="shared" si="1"/>
        <v>0</v>
      </c>
      <c r="B7">
        <f t="shared" si="3"/>
        <v>1</v>
      </c>
      <c r="C7">
        <f t="shared" si="4"/>
        <v>6</v>
      </c>
      <c r="D7">
        <f t="shared" si="6"/>
        <v>0</v>
      </c>
      <c r="E7" t="str">
        <f>VLOOKUP(D7,name!A:B,2,1)</f>
        <v>Player</v>
      </c>
      <c r="F7">
        <f t="shared" si="6"/>
        <v>0</v>
      </c>
      <c r="G7" t="str">
        <f t="shared" si="5"/>
        <v>q</v>
      </c>
      <c r="H7" t="str">
        <f>VLOOKUP(D7,name!A:C,3,1)</f>
        <v>assets/icons/image326.png</v>
      </c>
    </row>
    <row r="8" spans="1:8" x14ac:dyDescent="0.15">
      <c r="A8">
        <f t="shared" si="1"/>
        <v>0</v>
      </c>
      <c r="B8">
        <f t="shared" si="3"/>
        <v>1</v>
      </c>
      <c r="C8">
        <f t="shared" si="4"/>
        <v>7</v>
      </c>
      <c r="D8">
        <f t="shared" si="6"/>
        <v>0</v>
      </c>
      <c r="E8" t="str">
        <f>VLOOKUP(D8,name!A:B,2,1)</f>
        <v>Player</v>
      </c>
      <c r="F8">
        <f t="shared" si="6"/>
        <v>0</v>
      </c>
      <c r="G8" t="str">
        <f t="shared" si="5"/>
        <v>q</v>
      </c>
      <c r="H8" t="str">
        <f>VLOOKUP(D8,name!A:C,3,1)</f>
        <v>assets/icons/image326.png</v>
      </c>
    </row>
    <row r="9" spans="1:8" x14ac:dyDescent="0.15">
      <c r="A9">
        <f t="shared" si="1"/>
        <v>0</v>
      </c>
      <c r="B9">
        <f t="shared" si="3"/>
        <v>1</v>
      </c>
      <c r="C9">
        <f t="shared" si="4"/>
        <v>8</v>
      </c>
      <c r="D9">
        <f t="shared" si="6"/>
        <v>0</v>
      </c>
      <c r="E9" t="str">
        <f>VLOOKUP(D9,name!A:B,2,1)</f>
        <v>Player</v>
      </c>
      <c r="F9">
        <f t="shared" si="6"/>
        <v>0</v>
      </c>
      <c r="G9" t="str">
        <f t="shared" si="5"/>
        <v>q</v>
      </c>
      <c r="H9" t="str">
        <f>VLOOKUP(D9,name!A:C,3,1)</f>
        <v>assets/icons/image326.png</v>
      </c>
    </row>
    <row r="10" spans="1:8" x14ac:dyDescent="0.15">
      <c r="A10">
        <f t="shared" si="1"/>
        <v>0</v>
      </c>
      <c r="B10">
        <f t="shared" si="3"/>
        <v>1</v>
      </c>
      <c r="C10">
        <f t="shared" si="4"/>
        <v>9</v>
      </c>
      <c r="D10">
        <f t="shared" si="6"/>
        <v>0</v>
      </c>
      <c r="E10" t="str">
        <f>VLOOKUP(D10,name!A:B,2,1)</f>
        <v>Player</v>
      </c>
      <c r="F10">
        <f t="shared" si="6"/>
        <v>0</v>
      </c>
      <c r="G10" t="str">
        <f t="shared" si="5"/>
        <v>q</v>
      </c>
      <c r="H10" t="str">
        <f>VLOOKUP(D10,name!A:C,3,1)</f>
        <v>assets/icons/image326.png</v>
      </c>
    </row>
    <row r="11" spans="1:8" x14ac:dyDescent="0.15">
      <c r="A11">
        <f t="shared" si="1"/>
        <v>0</v>
      </c>
      <c r="B11">
        <f t="shared" si="3"/>
        <v>1</v>
      </c>
      <c r="C11">
        <f t="shared" si="4"/>
        <v>10</v>
      </c>
      <c r="D11">
        <f t="shared" si="6"/>
        <v>0</v>
      </c>
      <c r="E11" t="str">
        <f>VLOOKUP(D11,name!A:B,2,1)</f>
        <v>Player</v>
      </c>
      <c r="F11">
        <f t="shared" si="6"/>
        <v>0</v>
      </c>
      <c r="G11" t="str">
        <f t="shared" si="5"/>
        <v>q</v>
      </c>
      <c r="H11" t="str">
        <f>VLOOKUP(D11,name!A:C,3,1)</f>
        <v>assets/icons/image326.png</v>
      </c>
    </row>
    <row r="12" spans="1:8" x14ac:dyDescent="0.15">
      <c r="A12">
        <f t="shared" si="1"/>
        <v>0</v>
      </c>
      <c r="B12">
        <f t="shared" si="3"/>
        <v>1</v>
      </c>
      <c r="C12">
        <f t="shared" si="4"/>
        <v>11</v>
      </c>
      <c r="D12">
        <f t="shared" si="6"/>
        <v>0</v>
      </c>
      <c r="E12" t="str">
        <f>VLOOKUP(D12,name!A:B,2,1)</f>
        <v>Player</v>
      </c>
      <c r="F12">
        <f t="shared" si="6"/>
        <v>0</v>
      </c>
      <c r="G12" t="str">
        <f t="shared" si="5"/>
        <v>q</v>
      </c>
      <c r="H12" t="str">
        <f>VLOOKUP(D12,name!A:C,3,1)</f>
        <v>assets/icons/image326.png</v>
      </c>
    </row>
    <row r="13" spans="1:8" x14ac:dyDescent="0.15">
      <c r="A13">
        <f t="shared" si="1"/>
        <v>0</v>
      </c>
      <c r="B13">
        <f t="shared" si="3"/>
        <v>1</v>
      </c>
      <c r="C13">
        <f t="shared" si="4"/>
        <v>12</v>
      </c>
      <c r="D13">
        <f t="shared" si="6"/>
        <v>0</v>
      </c>
      <c r="E13" t="str">
        <f>VLOOKUP(D13,name!A:B,2,1)</f>
        <v>Player</v>
      </c>
      <c r="F13">
        <f t="shared" si="6"/>
        <v>0</v>
      </c>
      <c r="G13" t="str">
        <f t="shared" si="5"/>
        <v>q</v>
      </c>
      <c r="H13" t="str">
        <f>VLOOKUP(D13,name!A:C,3,1)</f>
        <v>assets/icons/image326.png</v>
      </c>
    </row>
    <row r="14" spans="1:8" x14ac:dyDescent="0.15">
      <c r="A14">
        <f t="shared" si="1"/>
        <v>0</v>
      </c>
      <c r="B14">
        <f t="shared" si="3"/>
        <v>1</v>
      </c>
      <c r="C14">
        <f t="shared" si="4"/>
        <v>13</v>
      </c>
      <c r="D14">
        <f t="shared" si="6"/>
        <v>0</v>
      </c>
      <c r="E14" t="str">
        <f>VLOOKUP(D14,name!A:B,2,1)</f>
        <v>Player</v>
      </c>
      <c r="F14">
        <f t="shared" si="6"/>
        <v>0</v>
      </c>
      <c r="G14" t="str">
        <f t="shared" si="5"/>
        <v>q</v>
      </c>
      <c r="H14" t="str">
        <f>VLOOKUP(D14,name!A:C,3,1)</f>
        <v>assets/icons/image326.png</v>
      </c>
    </row>
    <row r="15" spans="1:8" x14ac:dyDescent="0.15">
      <c r="A15">
        <f t="shared" si="1"/>
        <v>0</v>
      </c>
      <c r="B15">
        <f t="shared" si="3"/>
        <v>1</v>
      </c>
      <c r="C15">
        <f t="shared" si="4"/>
        <v>14</v>
      </c>
      <c r="D15">
        <f t="shared" si="6"/>
        <v>0</v>
      </c>
      <c r="E15" t="str">
        <f>VLOOKUP(D15,name!A:B,2,1)</f>
        <v>Player</v>
      </c>
      <c r="F15">
        <f t="shared" si="6"/>
        <v>0</v>
      </c>
      <c r="G15" t="str">
        <f t="shared" si="5"/>
        <v>q</v>
      </c>
      <c r="H15" t="str">
        <f>VLOOKUP(D15,name!A:C,3,1)</f>
        <v>assets/icons/image326.png</v>
      </c>
    </row>
    <row r="16" spans="1:8" x14ac:dyDescent="0.15">
      <c r="A16">
        <f t="shared" si="1"/>
        <v>0</v>
      </c>
      <c r="B16">
        <f t="shared" si="3"/>
        <v>1</v>
      </c>
      <c r="C16">
        <f t="shared" si="4"/>
        <v>15</v>
      </c>
      <c r="D16">
        <f t="shared" si="6"/>
        <v>0</v>
      </c>
      <c r="E16" t="str">
        <f>VLOOKUP(D16,name!A:B,2,1)</f>
        <v>Player</v>
      </c>
      <c r="F16">
        <f t="shared" si="6"/>
        <v>0</v>
      </c>
      <c r="G16" t="str">
        <f t="shared" si="5"/>
        <v>q</v>
      </c>
      <c r="H16" t="str">
        <f>VLOOKUP(D16,name!A:C,3,1)</f>
        <v>assets/icons/image326.png</v>
      </c>
    </row>
    <row r="17" spans="1:8" x14ac:dyDescent="0.15">
      <c r="A17">
        <f t="shared" si="1"/>
        <v>0</v>
      </c>
      <c r="B17">
        <f t="shared" si="3"/>
        <v>1</v>
      </c>
      <c r="C17">
        <f t="shared" si="4"/>
        <v>16</v>
      </c>
      <c r="D17">
        <f t="shared" si="6"/>
        <v>0</v>
      </c>
      <c r="E17" t="str">
        <f>VLOOKUP(D17,name!A:B,2,1)</f>
        <v>Player</v>
      </c>
      <c r="F17">
        <f t="shared" si="6"/>
        <v>0</v>
      </c>
      <c r="G17" t="str">
        <f t="shared" si="5"/>
        <v>q</v>
      </c>
      <c r="H17" t="str">
        <f>VLOOKUP(D17,name!A:C,3,1)</f>
        <v>assets/icons/image326.png</v>
      </c>
    </row>
    <row r="18" spans="1:8" x14ac:dyDescent="0.15">
      <c r="A18">
        <f t="shared" si="1"/>
        <v>0</v>
      </c>
      <c r="B18">
        <f t="shared" si="3"/>
        <v>1</v>
      </c>
      <c r="C18">
        <f t="shared" si="4"/>
        <v>17</v>
      </c>
      <c r="D18">
        <f t="shared" si="6"/>
        <v>0</v>
      </c>
      <c r="E18" t="str">
        <f>VLOOKUP(D18,name!A:B,2,1)</f>
        <v>Player</v>
      </c>
      <c r="F18">
        <f t="shared" si="6"/>
        <v>0</v>
      </c>
      <c r="G18" t="str">
        <f t="shared" si="5"/>
        <v>q</v>
      </c>
      <c r="H18" t="str">
        <f>VLOOKUP(D18,name!A:C,3,1)</f>
        <v>assets/icons/image326.png</v>
      </c>
    </row>
    <row r="19" spans="1:8" x14ac:dyDescent="0.15">
      <c r="A19">
        <f t="shared" si="1"/>
        <v>0</v>
      </c>
      <c r="B19">
        <f t="shared" si="3"/>
        <v>1</v>
      </c>
      <c r="C19">
        <f t="shared" si="4"/>
        <v>18</v>
      </c>
      <c r="D19">
        <f t="shared" si="6"/>
        <v>0</v>
      </c>
      <c r="E19" t="str">
        <f>VLOOKUP(D19,name!A:B,2,1)</f>
        <v>Player</v>
      </c>
      <c r="F19">
        <f t="shared" si="6"/>
        <v>0</v>
      </c>
      <c r="G19" t="str">
        <f t="shared" si="5"/>
        <v>q</v>
      </c>
      <c r="H19" t="str">
        <f>VLOOKUP(D19,name!A:C,3,1)</f>
        <v>assets/icons/image326.png</v>
      </c>
    </row>
    <row r="20" spans="1:8" x14ac:dyDescent="0.15">
      <c r="A20">
        <f t="shared" si="1"/>
        <v>0</v>
      </c>
      <c r="B20">
        <f t="shared" si="3"/>
        <v>1</v>
      </c>
      <c r="C20">
        <f t="shared" si="4"/>
        <v>19</v>
      </c>
      <c r="D20">
        <f t="shared" si="6"/>
        <v>0</v>
      </c>
      <c r="E20" t="str">
        <f>VLOOKUP(D20,name!A:B,2,1)</f>
        <v>Player</v>
      </c>
      <c r="F20">
        <f t="shared" si="6"/>
        <v>0</v>
      </c>
      <c r="G20" t="str">
        <f t="shared" si="5"/>
        <v>q</v>
      </c>
      <c r="H20" t="str">
        <f>VLOOKUP(D20,name!A:C,3,1)</f>
        <v>assets/icons/image326.png</v>
      </c>
    </row>
    <row r="21" spans="1:8" x14ac:dyDescent="0.15">
      <c r="A21">
        <f t="shared" si="1"/>
        <v>0</v>
      </c>
      <c r="B21">
        <f t="shared" si="3"/>
        <v>1</v>
      </c>
      <c r="C21">
        <f t="shared" si="4"/>
        <v>20</v>
      </c>
      <c r="D21">
        <f t="shared" si="6"/>
        <v>0</v>
      </c>
      <c r="E21" t="str">
        <f>VLOOKUP(D21,name!A:B,2,1)</f>
        <v>Player</v>
      </c>
      <c r="F21">
        <f t="shared" si="6"/>
        <v>0</v>
      </c>
      <c r="G21" t="str">
        <f t="shared" si="5"/>
        <v>q</v>
      </c>
      <c r="H21" t="str">
        <f>VLOOKUP(D21,name!A:C,3,1)</f>
        <v>assets/icons/image326.png</v>
      </c>
    </row>
    <row r="22" spans="1:8" x14ac:dyDescent="0.15">
      <c r="A22">
        <f t="shared" si="1"/>
        <v>0</v>
      </c>
      <c r="B22">
        <f t="shared" si="3"/>
        <v>1</v>
      </c>
      <c r="C22">
        <f t="shared" si="4"/>
        <v>21</v>
      </c>
      <c r="D22">
        <f t="shared" si="6"/>
        <v>0</v>
      </c>
      <c r="E22" t="str">
        <f>VLOOKUP(D22,name!A:B,2,1)</f>
        <v>Player</v>
      </c>
      <c r="F22">
        <f t="shared" si="6"/>
        <v>0</v>
      </c>
      <c r="G22" t="str">
        <f t="shared" si="5"/>
        <v>q</v>
      </c>
      <c r="H22" t="str">
        <f>VLOOKUP(D22,name!A:C,3,1)</f>
        <v>assets/icons/image326.png</v>
      </c>
    </row>
    <row r="23" spans="1:8" x14ac:dyDescent="0.15">
      <c r="A23">
        <f t="shared" si="1"/>
        <v>0</v>
      </c>
      <c r="B23">
        <f t="shared" si="3"/>
        <v>1</v>
      </c>
      <c r="C23">
        <f t="shared" si="4"/>
        <v>22</v>
      </c>
      <c r="D23">
        <f t="shared" si="6"/>
        <v>0</v>
      </c>
      <c r="E23" t="str">
        <f>VLOOKUP(D23,name!A:B,2,1)</f>
        <v>Player</v>
      </c>
      <c r="F23">
        <f t="shared" si="6"/>
        <v>0</v>
      </c>
      <c r="G23" t="str">
        <f t="shared" si="5"/>
        <v>q</v>
      </c>
      <c r="H23" t="str">
        <f>VLOOKUP(D23,name!A:C,3,1)</f>
        <v>assets/icons/image326.png</v>
      </c>
    </row>
    <row r="24" spans="1:8" x14ac:dyDescent="0.15">
      <c r="A24">
        <f t="shared" si="1"/>
        <v>0</v>
      </c>
      <c r="B24">
        <f t="shared" si="3"/>
        <v>1</v>
      </c>
      <c r="C24">
        <f t="shared" si="4"/>
        <v>23</v>
      </c>
      <c r="D24">
        <f t="shared" si="6"/>
        <v>0</v>
      </c>
      <c r="E24" t="str">
        <f>VLOOKUP(D24,name!A:B,2,1)</f>
        <v>Player</v>
      </c>
      <c r="F24">
        <f t="shared" si="6"/>
        <v>0</v>
      </c>
      <c r="G24" t="str">
        <f t="shared" si="5"/>
        <v>q</v>
      </c>
      <c r="H24" t="str">
        <f>VLOOKUP(D24,name!A:C,3,1)</f>
        <v>assets/icons/image326.png</v>
      </c>
    </row>
    <row r="25" spans="1:8" x14ac:dyDescent="0.15">
      <c r="A25">
        <f t="shared" si="1"/>
        <v>0</v>
      </c>
      <c r="B25">
        <f t="shared" si="3"/>
        <v>1</v>
      </c>
      <c r="C25">
        <f t="shared" si="4"/>
        <v>24</v>
      </c>
      <c r="D25">
        <f t="shared" si="6"/>
        <v>0</v>
      </c>
      <c r="E25" t="str">
        <f>VLOOKUP(D25,name!A:B,2,1)</f>
        <v>Player</v>
      </c>
      <c r="F25">
        <f t="shared" si="6"/>
        <v>0</v>
      </c>
      <c r="G25" t="str">
        <f t="shared" si="5"/>
        <v>q</v>
      </c>
      <c r="H25" t="str">
        <f>VLOOKUP(D25,name!A:C,3,1)</f>
        <v>assets/icons/image326.png</v>
      </c>
    </row>
    <row r="26" spans="1:8" x14ac:dyDescent="0.15">
      <c r="A26">
        <f t="shared" si="1"/>
        <v>0</v>
      </c>
      <c r="B26">
        <f t="shared" si="3"/>
        <v>1</v>
      </c>
      <c r="C26">
        <f t="shared" si="4"/>
        <v>25</v>
      </c>
      <c r="D26">
        <f t="shared" si="6"/>
        <v>0</v>
      </c>
      <c r="E26" t="str">
        <f>VLOOKUP(D26,name!A:B,2,1)</f>
        <v>Player</v>
      </c>
      <c r="F26">
        <f t="shared" si="6"/>
        <v>0</v>
      </c>
      <c r="G26" t="str">
        <f t="shared" si="5"/>
        <v>q</v>
      </c>
      <c r="H26" t="str">
        <f>VLOOKUP(D26,name!A:C,3,1)</f>
        <v>assets/icons/image326.png</v>
      </c>
    </row>
    <row r="27" spans="1:8" x14ac:dyDescent="0.15">
      <c r="A27">
        <f t="shared" si="1"/>
        <v>0</v>
      </c>
      <c r="B27">
        <f t="shared" si="3"/>
        <v>1</v>
      </c>
      <c r="C27">
        <f t="shared" si="4"/>
        <v>26</v>
      </c>
      <c r="D27">
        <f t="shared" si="6"/>
        <v>0</v>
      </c>
      <c r="E27" t="str">
        <f>VLOOKUP(D27,name!A:B,2,1)</f>
        <v>Player</v>
      </c>
      <c r="F27">
        <f t="shared" si="6"/>
        <v>0</v>
      </c>
      <c r="G27" t="str">
        <f t="shared" si="5"/>
        <v>q</v>
      </c>
      <c r="H27" t="str">
        <f>VLOOKUP(D27,name!A:C,3,1)</f>
        <v>assets/icons/image326.png</v>
      </c>
    </row>
    <row r="28" spans="1:8" x14ac:dyDescent="0.15">
      <c r="A28">
        <f t="shared" si="1"/>
        <v>0</v>
      </c>
      <c r="B28">
        <f t="shared" si="3"/>
        <v>1</v>
      </c>
      <c r="C28">
        <f t="shared" si="4"/>
        <v>27</v>
      </c>
      <c r="D28">
        <f t="shared" si="6"/>
        <v>0</v>
      </c>
      <c r="E28" t="str">
        <f>VLOOKUP(D28,name!A:B,2,1)</f>
        <v>Player</v>
      </c>
      <c r="F28">
        <f t="shared" si="6"/>
        <v>0</v>
      </c>
      <c r="G28" t="str">
        <f t="shared" si="5"/>
        <v>q</v>
      </c>
      <c r="H28" t="str">
        <f>VLOOKUP(D28,name!A:C,3,1)</f>
        <v>assets/icons/image326.png</v>
      </c>
    </row>
    <row r="29" spans="1:8" x14ac:dyDescent="0.15">
      <c r="A29">
        <f t="shared" si="1"/>
        <v>0</v>
      </c>
      <c r="B29">
        <f t="shared" si="3"/>
        <v>1</v>
      </c>
      <c r="C29">
        <f t="shared" si="4"/>
        <v>28</v>
      </c>
      <c r="D29">
        <f t="shared" si="6"/>
        <v>0</v>
      </c>
      <c r="E29" t="str">
        <f>VLOOKUP(D29,name!A:B,2,1)</f>
        <v>Player</v>
      </c>
      <c r="F29">
        <f t="shared" si="6"/>
        <v>0</v>
      </c>
      <c r="G29" t="str">
        <f t="shared" si="5"/>
        <v>q</v>
      </c>
      <c r="H29" t="str">
        <f>VLOOKUP(D29,name!A:C,3,1)</f>
        <v>assets/icons/image326.png</v>
      </c>
    </row>
    <row r="30" spans="1:8" x14ac:dyDescent="0.15">
      <c r="A30">
        <f t="shared" si="1"/>
        <v>0</v>
      </c>
      <c r="B30">
        <f t="shared" si="3"/>
        <v>1</v>
      </c>
      <c r="C30">
        <f t="shared" si="4"/>
        <v>29</v>
      </c>
      <c r="D30">
        <f t="shared" si="6"/>
        <v>0</v>
      </c>
      <c r="E30" t="str">
        <f>VLOOKUP(D30,name!A:B,2,1)</f>
        <v>Player</v>
      </c>
      <c r="F30">
        <f t="shared" si="6"/>
        <v>0</v>
      </c>
      <c r="G30" t="str">
        <f t="shared" si="5"/>
        <v>q</v>
      </c>
      <c r="H30" t="str">
        <f>VLOOKUP(D30,name!A:C,3,1)</f>
        <v>assets/icons/image326.png</v>
      </c>
    </row>
    <row r="31" spans="1:8" x14ac:dyDescent="0.15">
      <c r="A31">
        <f t="shared" si="1"/>
        <v>0</v>
      </c>
      <c r="B31">
        <f t="shared" si="3"/>
        <v>1</v>
      </c>
      <c r="C31">
        <f t="shared" si="4"/>
        <v>30</v>
      </c>
      <c r="D31">
        <f t="shared" si="6"/>
        <v>0</v>
      </c>
      <c r="E31" t="str">
        <f>VLOOKUP(D31,name!A:B,2,1)</f>
        <v>Player</v>
      </c>
      <c r="F31">
        <f t="shared" si="6"/>
        <v>0</v>
      </c>
      <c r="G31" t="str">
        <f t="shared" si="5"/>
        <v>q</v>
      </c>
      <c r="H31" t="str">
        <f>VLOOKUP(D31,name!A:C,3,1)</f>
        <v>assets/icons/image326.png</v>
      </c>
    </row>
    <row r="32" spans="1:8" x14ac:dyDescent="0.15">
      <c r="A32">
        <f t="shared" si="1"/>
        <v>0</v>
      </c>
      <c r="B32">
        <f t="shared" si="3"/>
        <v>1</v>
      </c>
      <c r="C32">
        <f t="shared" si="4"/>
        <v>31</v>
      </c>
      <c r="D32">
        <f t="shared" si="6"/>
        <v>0</v>
      </c>
      <c r="E32" t="str">
        <f>VLOOKUP(D32,name!A:B,2,1)</f>
        <v>Player</v>
      </c>
      <c r="F32">
        <f t="shared" si="6"/>
        <v>0</v>
      </c>
      <c r="G32" t="str">
        <f t="shared" si="5"/>
        <v>q</v>
      </c>
      <c r="H32" t="str">
        <f>VLOOKUP(D32,name!A:C,3,1)</f>
        <v>assets/icons/image326.png</v>
      </c>
    </row>
    <row r="33" spans="1:8" x14ac:dyDescent="0.15">
      <c r="A33">
        <f t="shared" si="1"/>
        <v>0</v>
      </c>
      <c r="B33">
        <f t="shared" si="3"/>
        <v>1</v>
      </c>
      <c r="C33">
        <f t="shared" si="4"/>
        <v>32</v>
      </c>
      <c r="D33">
        <f t="shared" si="6"/>
        <v>0</v>
      </c>
      <c r="E33" t="str">
        <f>VLOOKUP(D33,name!A:B,2,1)</f>
        <v>Player</v>
      </c>
      <c r="F33">
        <f t="shared" si="6"/>
        <v>0</v>
      </c>
      <c r="G33" t="str">
        <f t="shared" si="5"/>
        <v>q</v>
      </c>
      <c r="H33" t="str">
        <f>VLOOKUP(D33,name!A:C,3,1)</f>
        <v>assets/icons/image326.png</v>
      </c>
    </row>
    <row r="34" spans="1:8" x14ac:dyDescent="0.15">
      <c r="A34">
        <f t="shared" si="1"/>
        <v>0</v>
      </c>
      <c r="B34">
        <f t="shared" si="3"/>
        <v>1</v>
      </c>
      <c r="C34">
        <f t="shared" si="4"/>
        <v>33</v>
      </c>
      <c r="D34">
        <f t="shared" si="6"/>
        <v>0</v>
      </c>
      <c r="E34" t="str">
        <f>VLOOKUP(D34,name!A:B,2,1)</f>
        <v>Player</v>
      </c>
      <c r="F34">
        <f t="shared" si="6"/>
        <v>0</v>
      </c>
      <c r="G34" t="str">
        <f t="shared" si="5"/>
        <v>q</v>
      </c>
      <c r="H34" t="str">
        <f>VLOOKUP(D34,name!A:C,3,1)</f>
        <v>assets/icons/image326.png</v>
      </c>
    </row>
    <row r="35" spans="1:8" x14ac:dyDescent="0.15">
      <c r="A35">
        <f t="shared" si="1"/>
        <v>0</v>
      </c>
      <c r="B35">
        <f t="shared" si="3"/>
        <v>1</v>
      </c>
      <c r="C35">
        <f t="shared" si="4"/>
        <v>34</v>
      </c>
      <c r="D35">
        <f t="shared" si="6"/>
        <v>0</v>
      </c>
      <c r="E35" t="str">
        <f>VLOOKUP(D35,name!A:B,2,1)</f>
        <v>Player</v>
      </c>
      <c r="F35">
        <f t="shared" si="6"/>
        <v>0</v>
      </c>
      <c r="G35" t="str">
        <f t="shared" si="5"/>
        <v>q</v>
      </c>
      <c r="H35" t="str">
        <f>VLOOKUP(D35,name!A:C,3,1)</f>
        <v>assets/icons/image326.png</v>
      </c>
    </row>
    <row r="36" spans="1:8" x14ac:dyDescent="0.15">
      <c r="A36">
        <f t="shared" si="1"/>
        <v>0</v>
      </c>
      <c r="B36">
        <f t="shared" si="3"/>
        <v>1</v>
      </c>
      <c r="C36">
        <f t="shared" si="4"/>
        <v>35</v>
      </c>
      <c r="D36">
        <f t="shared" si="6"/>
        <v>0</v>
      </c>
      <c r="E36" t="str">
        <f>VLOOKUP(D36,name!A:B,2,1)</f>
        <v>Player</v>
      </c>
      <c r="F36">
        <f t="shared" si="6"/>
        <v>0</v>
      </c>
      <c r="G36" t="str">
        <f t="shared" si="5"/>
        <v>q</v>
      </c>
      <c r="H36" t="str">
        <f>VLOOKUP(D36,name!A:C,3,1)</f>
        <v>assets/icons/image326.png</v>
      </c>
    </row>
    <row r="37" spans="1:8" x14ac:dyDescent="0.15">
      <c r="A37">
        <f t="shared" si="1"/>
        <v>0</v>
      </c>
      <c r="B37">
        <f t="shared" si="3"/>
        <v>1</v>
      </c>
      <c r="C37">
        <f t="shared" si="4"/>
        <v>36</v>
      </c>
      <c r="D37">
        <f t="shared" si="6"/>
        <v>0</v>
      </c>
      <c r="E37" t="str">
        <f>VLOOKUP(D37,name!A:B,2,1)</f>
        <v>Player</v>
      </c>
      <c r="F37">
        <f t="shared" si="6"/>
        <v>0</v>
      </c>
      <c r="G37" t="str">
        <f t="shared" si="5"/>
        <v>q</v>
      </c>
      <c r="H37" t="str">
        <f>VLOOKUP(D37,name!A:C,3,1)</f>
        <v>assets/icons/image326.png</v>
      </c>
    </row>
    <row r="38" spans="1:8" x14ac:dyDescent="0.15">
      <c r="A38">
        <f t="shared" si="1"/>
        <v>0</v>
      </c>
      <c r="B38">
        <f t="shared" si="3"/>
        <v>1</v>
      </c>
      <c r="C38">
        <f t="shared" si="4"/>
        <v>37</v>
      </c>
      <c r="D38">
        <f t="shared" si="6"/>
        <v>0</v>
      </c>
      <c r="E38" t="str">
        <f>VLOOKUP(D38,name!A:B,2,1)</f>
        <v>Player</v>
      </c>
      <c r="F38">
        <f t="shared" si="6"/>
        <v>0</v>
      </c>
      <c r="G38" t="str">
        <f t="shared" si="5"/>
        <v>q</v>
      </c>
      <c r="H38" t="str">
        <f>VLOOKUP(D38,name!A:C,3,1)</f>
        <v>assets/icons/image326.png</v>
      </c>
    </row>
    <row r="39" spans="1:8" x14ac:dyDescent="0.15">
      <c r="A39">
        <f t="shared" si="1"/>
        <v>0</v>
      </c>
      <c r="B39">
        <f t="shared" si="3"/>
        <v>1</v>
      </c>
      <c r="C39">
        <f t="shared" si="4"/>
        <v>38</v>
      </c>
      <c r="D39">
        <f t="shared" si="6"/>
        <v>0</v>
      </c>
      <c r="E39" t="str">
        <f>VLOOKUP(D39,name!A:B,2,1)</f>
        <v>Player</v>
      </c>
      <c r="F39">
        <f t="shared" si="6"/>
        <v>0</v>
      </c>
      <c r="G39" t="str">
        <f t="shared" si="5"/>
        <v>q</v>
      </c>
      <c r="H39" t="str">
        <f>VLOOKUP(D39,name!A:C,3,1)</f>
        <v>assets/icons/image326.png</v>
      </c>
    </row>
    <row r="40" spans="1:8" x14ac:dyDescent="0.15">
      <c r="A40">
        <f t="shared" si="1"/>
        <v>0</v>
      </c>
      <c r="B40">
        <f t="shared" si="3"/>
        <v>1</v>
      </c>
      <c r="C40">
        <f t="shared" si="4"/>
        <v>39</v>
      </c>
      <c r="D40">
        <f t="shared" si="6"/>
        <v>0</v>
      </c>
      <c r="E40" t="str">
        <f>VLOOKUP(D40,name!A:B,2,1)</f>
        <v>Player</v>
      </c>
      <c r="F40">
        <f t="shared" si="6"/>
        <v>0</v>
      </c>
      <c r="G40" t="str">
        <f t="shared" si="5"/>
        <v>q</v>
      </c>
      <c r="H40" t="str">
        <f>VLOOKUP(D40,name!A:C,3,1)</f>
        <v>assets/icons/image326.png</v>
      </c>
    </row>
    <row r="41" spans="1:8" x14ac:dyDescent="0.15">
      <c r="A41">
        <f t="shared" si="1"/>
        <v>0</v>
      </c>
      <c r="B41">
        <f t="shared" si="3"/>
        <v>1</v>
      </c>
      <c r="C41">
        <f t="shared" si="4"/>
        <v>40</v>
      </c>
      <c r="D41">
        <f t="shared" si="6"/>
        <v>0</v>
      </c>
      <c r="E41" t="str">
        <f>VLOOKUP(D41,name!A:B,2,1)</f>
        <v>Player</v>
      </c>
      <c r="F41">
        <f t="shared" si="6"/>
        <v>0</v>
      </c>
      <c r="G41" t="str">
        <f t="shared" si="5"/>
        <v>q</v>
      </c>
      <c r="H41" t="str">
        <f>VLOOKUP(D41,name!A:C,3,1)</f>
        <v>assets/icons/image326.png</v>
      </c>
    </row>
    <row r="42" spans="1:8" x14ac:dyDescent="0.15">
      <c r="A42">
        <f t="shared" si="1"/>
        <v>0</v>
      </c>
      <c r="B42">
        <f t="shared" si="3"/>
        <v>1</v>
      </c>
      <c r="C42">
        <f t="shared" si="4"/>
        <v>41</v>
      </c>
      <c r="D42">
        <f t="shared" si="6"/>
        <v>0</v>
      </c>
      <c r="E42" t="str">
        <f>VLOOKUP(D42,name!A:B,2,1)</f>
        <v>Player</v>
      </c>
      <c r="F42">
        <f t="shared" si="6"/>
        <v>0</v>
      </c>
      <c r="G42" t="str">
        <f t="shared" si="5"/>
        <v>q</v>
      </c>
      <c r="H42" t="str">
        <f>VLOOKUP(D42,name!A:C,3,1)</f>
        <v>assets/icons/image326.png</v>
      </c>
    </row>
    <row r="43" spans="1:8" x14ac:dyDescent="0.15">
      <c r="A43">
        <f t="shared" si="1"/>
        <v>0</v>
      </c>
      <c r="B43">
        <f t="shared" si="3"/>
        <v>1</v>
      </c>
      <c r="C43">
        <f t="shared" si="4"/>
        <v>42</v>
      </c>
      <c r="D43">
        <f t="shared" si="6"/>
        <v>0</v>
      </c>
      <c r="E43" t="str">
        <f>VLOOKUP(D43,name!A:B,2,1)</f>
        <v>Player</v>
      </c>
      <c r="F43">
        <f t="shared" si="6"/>
        <v>0</v>
      </c>
      <c r="G43" t="str">
        <f t="shared" si="5"/>
        <v>q</v>
      </c>
      <c r="H43" t="str">
        <f>VLOOKUP(D43,name!A:C,3,1)</f>
        <v>assets/icons/image326.png</v>
      </c>
    </row>
    <row r="44" spans="1:8" x14ac:dyDescent="0.15">
      <c r="A44">
        <f t="shared" si="1"/>
        <v>0</v>
      </c>
      <c r="B44">
        <f t="shared" si="3"/>
        <v>1</v>
      </c>
      <c r="C44">
        <f t="shared" si="4"/>
        <v>43</v>
      </c>
      <c r="D44">
        <f t="shared" si="6"/>
        <v>0</v>
      </c>
      <c r="E44" t="str">
        <f>VLOOKUP(D44,name!A:B,2,1)</f>
        <v>Player</v>
      </c>
      <c r="F44">
        <f t="shared" si="6"/>
        <v>0</v>
      </c>
      <c r="G44" t="str">
        <f t="shared" si="5"/>
        <v>q</v>
      </c>
      <c r="H44" t="str">
        <f>VLOOKUP(D44,name!A:C,3,1)</f>
        <v>assets/icons/image326.png</v>
      </c>
    </row>
    <row r="45" spans="1:8" x14ac:dyDescent="0.15">
      <c r="A45">
        <f t="shared" si="1"/>
        <v>0</v>
      </c>
      <c r="B45">
        <f t="shared" si="3"/>
        <v>1</v>
      </c>
      <c r="C45">
        <f t="shared" si="4"/>
        <v>44</v>
      </c>
      <c r="D45">
        <f>D46</f>
        <v>0</v>
      </c>
      <c r="E45" t="str">
        <f>VLOOKUP(D45,name!A:B,2,1)</f>
        <v>Player</v>
      </c>
      <c r="F45">
        <f>F46</f>
        <v>0</v>
      </c>
      <c r="G45" t="str">
        <f t="shared" si="5"/>
        <v>q</v>
      </c>
      <c r="H45" t="str">
        <f>VLOOKUP(D45,name!A:C,3,1)</f>
        <v>assets/icons/image326.png</v>
      </c>
    </row>
    <row r="46" spans="1:8" x14ac:dyDescent="0.15">
      <c r="A46">
        <f t="shared" si="1"/>
        <v>0</v>
      </c>
      <c r="B46">
        <f t="shared" si="3"/>
        <v>1</v>
      </c>
      <c r="C46">
        <f t="shared" si="4"/>
        <v>45</v>
      </c>
      <c r="D46">
        <f t="shared" si="6"/>
        <v>0</v>
      </c>
      <c r="E46" t="str">
        <f>VLOOKUP(D46,name!A:B,2,1)</f>
        <v>Player</v>
      </c>
      <c r="F46">
        <f t="shared" si="6"/>
        <v>0</v>
      </c>
      <c r="G46" t="str">
        <f t="shared" si="5"/>
        <v>q</v>
      </c>
      <c r="H46" t="str">
        <f>VLOOKUP(D46,name!A:C,3,1)</f>
        <v>assets/icons/image326.png</v>
      </c>
    </row>
    <row r="47" spans="1:8" x14ac:dyDescent="0.15">
      <c r="A47">
        <f t="shared" si="1"/>
        <v>0</v>
      </c>
      <c r="B47">
        <f t="shared" si="3"/>
        <v>1</v>
      </c>
      <c r="C47">
        <f t="shared" si="4"/>
        <v>46</v>
      </c>
      <c r="D47">
        <f t="shared" si="6"/>
        <v>0</v>
      </c>
      <c r="E47" t="str">
        <f>VLOOKUP(D47,name!A:B,2,1)</f>
        <v>Player</v>
      </c>
      <c r="F47">
        <f t="shared" si="6"/>
        <v>0</v>
      </c>
      <c r="G47" t="str">
        <f t="shared" si="5"/>
        <v>q</v>
      </c>
      <c r="H47" t="str">
        <f>VLOOKUP(D47,name!A:C,3,1)</f>
        <v>assets/icons/image326.png</v>
      </c>
    </row>
    <row r="48" spans="1:8" x14ac:dyDescent="0.15">
      <c r="A48">
        <f t="shared" si="1"/>
        <v>0</v>
      </c>
      <c r="B48">
        <f t="shared" si="3"/>
        <v>1</v>
      </c>
      <c r="C48">
        <f t="shared" si="4"/>
        <v>47</v>
      </c>
      <c r="D48">
        <f t="shared" si="6"/>
        <v>0</v>
      </c>
      <c r="E48" t="str">
        <f>VLOOKUP(D48,name!A:B,2,1)</f>
        <v>Player</v>
      </c>
      <c r="F48">
        <f t="shared" si="6"/>
        <v>0</v>
      </c>
      <c r="G48" t="str">
        <f t="shared" si="5"/>
        <v>q</v>
      </c>
      <c r="H48" t="str">
        <f>VLOOKUP(D48,name!A:C,3,1)</f>
        <v>assets/icons/image326.png</v>
      </c>
    </row>
    <row r="49" spans="1:8" x14ac:dyDescent="0.15">
      <c r="A49">
        <f t="shared" si="1"/>
        <v>0</v>
      </c>
      <c r="B49">
        <f t="shared" si="3"/>
        <v>1</v>
      </c>
      <c r="C49">
        <f t="shared" si="4"/>
        <v>48</v>
      </c>
      <c r="D49">
        <f t="shared" si="6"/>
        <v>0</v>
      </c>
      <c r="E49" t="str">
        <f>VLOOKUP(D49,name!A:B,2,1)</f>
        <v>Player</v>
      </c>
      <c r="F49">
        <f t="shared" si="6"/>
        <v>0</v>
      </c>
      <c r="G49" t="str">
        <f t="shared" si="5"/>
        <v>q</v>
      </c>
      <c r="H49" t="str">
        <f>VLOOKUP(D49,name!A:C,3,1)</f>
        <v>assets/icons/image326.png</v>
      </c>
    </row>
    <row r="50" spans="1:8" x14ac:dyDescent="0.15">
      <c r="A50">
        <f t="shared" si="1"/>
        <v>0</v>
      </c>
      <c r="B50">
        <f t="shared" si="3"/>
        <v>1</v>
      </c>
      <c r="C50">
        <f t="shared" si="4"/>
        <v>49</v>
      </c>
      <c r="D50">
        <f t="shared" si="6"/>
        <v>0</v>
      </c>
      <c r="E50" t="str">
        <f>VLOOKUP(D50,name!A:B,2,1)</f>
        <v>Player</v>
      </c>
      <c r="F50">
        <f t="shared" si="6"/>
        <v>0</v>
      </c>
      <c r="G50" t="str">
        <f t="shared" si="5"/>
        <v>q</v>
      </c>
      <c r="H50" t="str">
        <f>VLOOKUP(D50,name!A:C,3,1)</f>
        <v>assets/icons/image326.png</v>
      </c>
    </row>
    <row r="51" spans="1:8" x14ac:dyDescent="0.15">
      <c r="A51">
        <f t="shared" si="1"/>
        <v>0</v>
      </c>
      <c r="B51">
        <f t="shared" si="3"/>
        <v>1</v>
      </c>
      <c r="C51">
        <f t="shared" si="4"/>
        <v>50</v>
      </c>
      <c r="D51">
        <f t="shared" si="6"/>
        <v>0</v>
      </c>
      <c r="E51" t="str">
        <f>VLOOKUP(D51,name!A:B,2,1)</f>
        <v>Player</v>
      </c>
      <c r="F51">
        <f t="shared" si="6"/>
        <v>0</v>
      </c>
      <c r="G51" t="str">
        <f t="shared" si="5"/>
        <v>q</v>
      </c>
      <c r="H51" t="str">
        <f>VLOOKUP(D51,name!A:C,3,1)</f>
        <v>assets/icons/image326.png</v>
      </c>
    </row>
    <row r="52" spans="1:8" x14ac:dyDescent="0.15">
      <c r="A52">
        <f t="shared" si="1"/>
        <v>0</v>
      </c>
      <c r="B52">
        <f t="shared" si="3"/>
        <v>1</v>
      </c>
      <c r="C52">
        <f t="shared" si="4"/>
        <v>51</v>
      </c>
      <c r="D52">
        <f t="shared" si="6"/>
        <v>0</v>
      </c>
      <c r="E52" t="str">
        <f>VLOOKUP(D52,name!A:B,2,1)</f>
        <v>Player</v>
      </c>
      <c r="F52">
        <f t="shared" si="6"/>
        <v>0</v>
      </c>
      <c r="G52" t="str">
        <f t="shared" si="5"/>
        <v>q</v>
      </c>
      <c r="H52" t="str">
        <f>VLOOKUP(D52,name!A:C,3,1)</f>
        <v>assets/icons/image326.png</v>
      </c>
    </row>
    <row r="53" spans="1:8" x14ac:dyDescent="0.15">
      <c r="A53">
        <f t="shared" si="1"/>
        <v>0</v>
      </c>
      <c r="B53">
        <f t="shared" si="3"/>
        <v>1</v>
      </c>
      <c r="C53">
        <f t="shared" si="4"/>
        <v>52</v>
      </c>
      <c r="D53">
        <f t="shared" si="6"/>
        <v>0</v>
      </c>
      <c r="E53" t="str">
        <f>VLOOKUP(D53,name!A:B,2,1)</f>
        <v>Player</v>
      </c>
      <c r="F53">
        <f t="shared" si="6"/>
        <v>0</v>
      </c>
      <c r="G53" t="str">
        <f t="shared" si="5"/>
        <v>q</v>
      </c>
      <c r="H53" t="str">
        <f>VLOOKUP(D53,name!A:C,3,1)</f>
        <v>assets/icons/image326.png</v>
      </c>
    </row>
    <row r="54" spans="1:8" x14ac:dyDescent="0.15">
      <c r="A54">
        <f t="shared" si="1"/>
        <v>0</v>
      </c>
      <c r="B54">
        <f t="shared" si="3"/>
        <v>1</v>
      </c>
      <c r="C54">
        <f t="shared" si="4"/>
        <v>53</v>
      </c>
      <c r="D54">
        <f t="shared" si="6"/>
        <v>0</v>
      </c>
      <c r="E54" t="str">
        <f>VLOOKUP(D54,name!A:B,2,1)</f>
        <v>Player</v>
      </c>
      <c r="F54">
        <f t="shared" si="6"/>
        <v>0</v>
      </c>
      <c r="G54" t="str">
        <f t="shared" si="5"/>
        <v>q</v>
      </c>
      <c r="H54" t="str">
        <f>VLOOKUP(D54,name!A:C,3,1)</f>
        <v>assets/icons/image326.png</v>
      </c>
    </row>
    <row r="55" spans="1:8" x14ac:dyDescent="0.15">
      <c r="A55">
        <f t="shared" si="1"/>
        <v>0</v>
      </c>
      <c r="B55">
        <f t="shared" si="3"/>
        <v>1</v>
      </c>
      <c r="C55">
        <f t="shared" si="4"/>
        <v>54</v>
      </c>
      <c r="D55">
        <f t="shared" si="6"/>
        <v>0</v>
      </c>
      <c r="E55" t="str">
        <f>VLOOKUP(D55,name!A:B,2,1)</f>
        <v>Player</v>
      </c>
      <c r="F55">
        <f t="shared" si="6"/>
        <v>0</v>
      </c>
      <c r="G55" t="str">
        <f t="shared" si="5"/>
        <v>q</v>
      </c>
      <c r="H55" t="str">
        <f>VLOOKUP(D55,name!A:C,3,1)</f>
        <v>assets/icons/image326.png</v>
      </c>
    </row>
    <row r="56" spans="1:8" x14ac:dyDescent="0.15">
      <c r="A56">
        <f t="shared" si="1"/>
        <v>0</v>
      </c>
      <c r="B56">
        <f t="shared" si="3"/>
        <v>1</v>
      </c>
      <c r="C56">
        <f t="shared" si="4"/>
        <v>55</v>
      </c>
      <c r="D56">
        <f t="shared" si="6"/>
        <v>0</v>
      </c>
      <c r="E56" t="str">
        <f>VLOOKUP(D56,name!A:B,2,1)</f>
        <v>Player</v>
      </c>
      <c r="F56">
        <f t="shared" si="6"/>
        <v>0</v>
      </c>
      <c r="G56" t="str">
        <f t="shared" si="5"/>
        <v>q</v>
      </c>
      <c r="H56" t="str">
        <f>VLOOKUP(D56,name!A:C,3,1)</f>
        <v>assets/icons/image326.png</v>
      </c>
    </row>
    <row r="57" spans="1:8" x14ac:dyDescent="0.15">
      <c r="A57">
        <f t="shared" si="1"/>
        <v>0</v>
      </c>
      <c r="B57">
        <f t="shared" si="3"/>
        <v>1</v>
      </c>
      <c r="C57">
        <f t="shared" si="4"/>
        <v>56</v>
      </c>
      <c r="D57">
        <f t="shared" si="6"/>
        <v>0</v>
      </c>
      <c r="E57" t="str">
        <f>VLOOKUP(D57,name!A:B,2,1)</f>
        <v>Player</v>
      </c>
      <c r="F57">
        <f t="shared" si="6"/>
        <v>0</v>
      </c>
      <c r="G57" t="str">
        <f t="shared" si="5"/>
        <v>q</v>
      </c>
      <c r="H57" t="str">
        <f>VLOOKUP(D57,name!A:C,3,1)</f>
        <v>assets/icons/image326.png</v>
      </c>
    </row>
    <row r="58" spans="1:8" x14ac:dyDescent="0.15">
      <c r="A58">
        <f t="shared" si="1"/>
        <v>0</v>
      </c>
      <c r="B58">
        <f t="shared" si="3"/>
        <v>1</v>
      </c>
      <c r="C58">
        <f t="shared" si="4"/>
        <v>57</v>
      </c>
      <c r="D58">
        <f t="shared" si="6"/>
        <v>0</v>
      </c>
      <c r="E58" t="str">
        <f>VLOOKUP(D58,name!A:B,2,1)</f>
        <v>Player</v>
      </c>
      <c r="F58">
        <f t="shared" si="6"/>
        <v>0</v>
      </c>
      <c r="G58" t="str">
        <f t="shared" si="5"/>
        <v>q</v>
      </c>
      <c r="H58" t="str">
        <f>VLOOKUP(D58,name!A:C,3,1)</f>
        <v>assets/icons/image326.png</v>
      </c>
    </row>
    <row r="59" spans="1:8" x14ac:dyDescent="0.15">
      <c r="A59">
        <f t="shared" si="1"/>
        <v>0</v>
      </c>
      <c r="B59">
        <f t="shared" si="3"/>
        <v>1</v>
      </c>
      <c r="C59">
        <f t="shared" si="4"/>
        <v>58</v>
      </c>
      <c r="D59">
        <f t="shared" si="6"/>
        <v>0</v>
      </c>
      <c r="E59" t="str">
        <f>VLOOKUP(D59,name!A:B,2,1)</f>
        <v>Player</v>
      </c>
      <c r="F59">
        <f t="shared" si="6"/>
        <v>0</v>
      </c>
      <c r="G59" t="str">
        <f t="shared" si="5"/>
        <v>q</v>
      </c>
      <c r="H59" t="str">
        <f>VLOOKUP(D59,name!A:C,3,1)</f>
        <v>assets/icons/image326.png</v>
      </c>
    </row>
    <row r="60" spans="1:8" x14ac:dyDescent="0.15">
      <c r="A60">
        <f t="shared" si="1"/>
        <v>0</v>
      </c>
      <c r="B60">
        <f t="shared" si="3"/>
        <v>1</v>
      </c>
      <c r="C60">
        <f t="shared" si="4"/>
        <v>59</v>
      </c>
      <c r="D60">
        <f t="shared" si="6"/>
        <v>0</v>
      </c>
      <c r="E60" t="str">
        <f>VLOOKUP(D60,name!A:B,2,1)</f>
        <v>Player</v>
      </c>
      <c r="F60">
        <f t="shared" si="6"/>
        <v>0</v>
      </c>
      <c r="G60" t="str">
        <f t="shared" si="5"/>
        <v>q</v>
      </c>
      <c r="H60" t="str">
        <f>VLOOKUP(D60,name!A:C,3,1)</f>
        <v>assets/icons/image326.png</v>
      </c>
    </row>
    <row r="61" spans="1:8" x14ac:dyDescent="0.15">
      <c r="A61">
        <f t="shared" si="1"/>
        <v>0</v>
      </c>
      <c r="B61">
        <f t="shared" si="3"/>
        <v>1</v>
      </c>
      <c r="C61">
        <f t="shared" si="4"/>
        <v>60</v>
      </c>
      <c r="D61">
        <f t="shared" si="6"/>
        <v>0</v>
      </c>
      <c r="E61" t="str">
        <f>VLOOKUP(D61,name!A:B,2,1)</f>
        <v>Player</v>
      </c>
      <c r="F61">
        <f t="shared" si="6"/>
        <v>0</v>
      </c>
      <c r="G61" t="str">
        <f t="shared" si="5"/>
        <v>q</v>
      </c>
      <c r="H61" t="str">
        <f>VLOOKUP(D61,name!A:C,3,1)</f>
        <v>assets/icons/image326.png</v>
      </c>
    </row>
    <row r="62" spans="1:8" x14ac:dyDescent="0.15">
      <c r="A62">
        <f t="shared" si="1"/>
        <v>0</v>
      </c>
      <c r="B62">
        <f t="shared" si="3"/>
        <v>1</v>
      </c>
      <c r="C62">
        <f t="shared" si="4"/>
        <v>61</v>
      </c>
      <c r="D62">
        <f t="shared" si="6"/>
        <v>0</v>
      </c>
      <c r="E62" t="str">
        <f>VLOOKUP(D62,name!A:B,2,1)</f>
        <v>Player</v>
      </c>
      <c r="F62">
        <f t="shared" si="6"/>
        <v>0</v>
      </c>
      <c r="G62" t="str">
        <f t="shared" si="5"/>
        <v>q</v>
      </c>
      <c r="H62" t="str">
        <f>VLOOKUP(D62,name!A:C,3,1)</f>
        <v>assets/icons/image326.png</v>
      </c>
    </row>
    <row r="63" spans="1:8" x14ac:dyDescent="0.15">
      <c r="A63">
        <f t="shared" si="1"/>
        <v>0</v>
      </c>
      <c r="B63">
        <f t="shared" si="3"/>
        <v>1</v>
      </c>
      <c r="C63">
        <f t="shared" si="4"/>
        <v>62</v>
      </c>
      <c r="D63">
        <f t="shared" si="6"/>
        <v>0</v>
      </c>
      <c r="E63" t="str">
        <f>VLOOKUP(D63,name!A:B,2,1)</f>
        <v>Player</v>
      </c>
      <c r="F63">
        <f t="shared" si="6"/>
        <v>0</v>
      </c>
      <c r="G63" t="str">
        <f t="shared" si="5"/>
        <v>q</v>
      </c>
      <c r="H63" t="str">
        <f>VLOOKUP(D63,name!A:C,3,1)</f>
        <v>assets/icons/image326.png</v>
      </c>
    </row>
    <row r="64" spans="1:8" x14ac:dyDescent="0.15">
      <c r="A64">
        <f t="shared" si="1"/>
        <v>0</v>
      </c>
      <c r="B64">
        <f t="shared" si="3"/>
        <v>1</v>
      </c>
      <c r="C64">
        <f t="shared" si="4"/>
        <v>63</v>
      </c>
      <c r="D64">
        <f t="shared" si="6"/>
        <v>0</v>
      </c>
      <c r="E64" t="str">
        <f>VLOOKUP(D64,name!A:B,2,1)</f>
        <v>Player</v>
      </c>
      <c r="F64">
        <f t="shared" si="6"/>
        <v>0</v>
      </c>
      <c r="G64" t="str">
        <f t="shared" si="5"/>
        <v>q</v>
      </c>
      <c r="H64" t="str">
        <f>VLOOKUP(D64,name!A:C,3,1)</f>
        <v>assets/icons/image326.png</v>
      </c>
    </row>
    <row r="65" spans="1:8" x14ac:dyDescent="0.15">
      <c r="A65">
        <f t="shared" si="1"/>
        <v>0</v>
      </c>
      <c r="B65">
        <f t="shared" si="3"/>
        <v>1</v>
      </c>
      <c r="C65">
        <f t="shared" si="4"/>
        <v>64</v>
      </c>
      <c r="D65">
        <f t="shared" si="6"/>
        <v>0</v>
      </c>
      <c r="E65" t="str">
        <f>VLOOKUP(D65,name!A:B,2,1)</f>
        <v>Player</v>
      </c>
      <c r="F65">
        <f t="shared" si="6"/>
        <v>0</v>
      </c>
      <c r="G65" t="str">
        <f t="shared" si="5"/>
        <v>q</v>
      </c>
      <c r="H65" t="str">
        <f>VLOOKUP(D65,name!A:C,3,1)</f>
        <v>assets/icons/image326.png</v>
      </c>
    </row>
    <row r="66" spans="1:8" x14ac:dyDescent="0.15">
      <c r="A66">
        <f t="shared" si="1"/>
        <v>0</v>
      </c>
      <c r="B66">
        <f t="shared" si="3"/>
        <v>1</v>
      </c>
      <c r="C66">
        <f t="shared" si="4"/>
        <v>65</v>
      </c>
      <c r="D66">
        <f t="shared" si="6"/>
        <v>0</v>
      </c>
      <c r="E66" t="str">
        <f>VLOOKUP(D66,name!A:B,2,1)</f>
        <v>Player</v>
      </c>
      <c r="F66">
        <f t="shared" si="6"/>
        <v>0</v>
      </c>
      <c r="G66" t="str">
        <f t="shared" si="5"/>
        <v>q</v>
      </c>
      <c r="H66" t="str">
        <f>VLOOKUP(D66,name!A:C,3,1)</f>
        <v>assets/icons/image326.png</v>
      </c>
    </row>
    <row r="67" spans="1:8" x14ac:dyDescent="0.15">
      <c r="A67">
        <f t="shared" si="1"/>
        <v>0</v>
      </c>
      <c r="B67">
        <f t="shared" si="3"/>
        <v>1</v>
      </c>
      <c r="C67">
        <f t="shared" si="4"/>
        <v>66</v>
      </c>
      <c r="D67">
        <f t="shared" si="6"/>
        <v>0</v>
      </c>
      <c r="E67" t="str">
        <f>VLOOKUP(D67,name!A:B,2,1)</f>
        <v>Player</v>
      </c>
      <c r="F67">
        <f t="shared" si="6"/>
        <v>0</v>
      </c>
      <c r="G67" t="str">
        <f t="shared" si="5"/>
        <v>q</v>
      </c>
      <c r="H67" t="str">
        <f>VLOOKUP(D67,name!A:C,3,1)</f>
        <v>assets/icons/image326.png</v>
      </c>
    </row>
    <row r="68" spans="1:8" x14ac:dyDescent="0.15">
      <c r="A68">
        <f t="shared" si="1"/>
        <v>0</v>
      </c>
      <c r="B68">
        <f t="shared" si="3"/>
        <v>1</v>
      </c>
      <c r="C68">
        <f t="shared" si="4"/>
        <v>67</v>
      </c>
      <c r="D68">
        <f t="shared" si="6"/>
        <v>0</v>
      </c>
      <c r="E68" t="str">
        <f>VLOOKUP(D68,name!A:B,2,1)</f>
        <v>Player</v>
      </c>
      <c r="F68">
        <f t="shared" si="6"/>
        <v>0</v>
      </c>
      <c r="G68" t="str">
        <f t="shared" si="5"/>
        <v>q</v>
      </c>
      <c r="H68" t="str">
        <f>VLOOKUP(D68,name!A:C,3,1)</f>
        <v>assets/icons/image326.png</v>
      </c>
    </row>
    <row r="69" spans="1:8" x14ac:dyDescent="0.15">
      <c r="A69">
        <f t="shared" si="1"/>
        <v>0</v>
      </c>
      <c r="B69">
        <f t="shared" si="3"/>
        <v>1</v>
      </c>
      <c r="C69">
        <f t="shared" si="4"/>
        <v>68</v>
      </c>
      <c r="D69">
        <f t="shared" si="6"/>
        <v>0</v>
      </c>
      <c r="E69" t="str">
        <f>VLOOKUP(D69,name!A:B,2,1)</f>
        <v>Player</v>
      </c>
      <c r="F69">
        <f t="shared" si="6"/>
        <v>0</v>
      </c>
      <c r="G69" t="str">
        <f t="shared" ref="G69:G132" si="7">IF(B69&lt;&gt;B70,"e",IF(D69=0,"q","a"))</f>
        <v>q</v>
      </c>
      <c r="H69" t="str">
        <f>VLOOKUP(D69,name!A:C,3,1)</f>
        <v>assets/icons/image326.png</v>
      </c>
    </row>
    <row r="70" spans="1:8" x14ac:dyDescent="0.15">
      <c r="A70">
        <f t="shared" si="1"/>
        <v>0</v>
      </c>
      <c r="B70">
        <f t="shared" si="3"/>
        <v>1</v>
      </c>
      <c r="C70">
        <f t="shared" si="4"/>
        <v>69</v>
      </c>
      <c r="D70">
        <f t="shared" ref="D70:F83" si="8">D71</f>
        <v>0</v>
      </c>
      <c r="E70" t="str">
        <f>VLOOKUP(D70,name!A:B,2,1)</f>
        <v>Player</v>
      </c>
      <c r="F70">
        <f t="shared" si="8"/>
        <v>0</v>
      </c>
      <c r="G70" t="str">
        <f t="shared" si="7"/>
        <v>q</v>
      </c>
      <c r="H70" t="str">
        <f>VLOOKUP(D70,name!A:C,3,1)</f>
        <v>assets/icons/image326.png</v>
      </c>
    </row>
    <row r="71" spans="1:8" x14ac:dyDescent="0.15">
      <c r="A71">
        <f t="shared" si="1"/>
        <v>0</v>
      </c>
      <c r="B71">
        <f t="shared" si="3"/>
        <v>1</v>
      </c>
      <c r="C71">
        <f t="shared" si="4"/>
        <v>70</v>
      </c>
      <c r="D71">
        <f t="shared" si="8"/>
        <v>0</v>
      </c>
      <c r="E71" t="str">
        <f>VLOOKUP(D71,name!A:B,2,1)</f>
        <v>Player</v>
      </c>
      <c r="F71">
        <f t="shared" si="8"/>
        <v>0</v>
      </c>
      <c r="G71" t="str">
        <f t="shared" si="7"/>
        <v>q</v>
      </c>
      <c r="H71" t="str">
        <f>VLOOKUP(D71,name!A:C,3,1)</f>
        <v>assets/icons/image326.png</v>
      </c>
    </row>
    <row r="72" spans="1:8" x14ac:dyDescent="0.15">
      <c r="A72">
        <f t="shared" si="1"/>
        <v>0</v>
      </c>
      <c r="B72">
        <f t="shared" si="3"/>
        <v>1</v>
      </c>
      <c r="C72">
        <f t="shared" si="4"/>
        <v>71</v>
      </c>
      <c r="D72">
        <f t="shared" si="8"/>
        <v>0</v>
      </c>
      <c r="E72" t="str">
        <f>VLOOKUP(D72,name!A:B,2,1)</f>
        <v>Player</v>
      </c>
      <c r="F72">
        <f t="shared" si="8"/>
        <v>0</v>
      </c>
      <c r="G72" t="str">
        <f t="shared" si="7"/>
        <v>q</v>
      </c>
      <c r="H72" t="str">
        <f>VLOOKUP(D72,name!A:C,3,1)</f>
        <v>assets/icons/image326.png</v>
      </c>
    </row>
    <row r="73" spans="1:8" x14ac:dyDescent="0.15">
      <c r="A73">
        <f t="shared" si="1"/>
        <v>0</v>
      </c>
      <c r="B73">
        <f t="shared" si="3"/>
        <v>1</v>
      </c>
      <c r="C73">
        <f t="shared" si="4"/>
        <v>72</v>
      </c>
      <c r="D73">
        <f t="shared" si="8"/>
        <v>0</v>
      </c>
      <c r="E73" t="str">
        <f>VLOOKUP(D73,name!A:B,2,1)</f>
        <v>Player</v>
      </c>
      <c r="F73">
        <f t="shared" si="8"/>
        <v>0</v>
      </c>
      <c r="G73" t="str">
        <f t="shared" si="7"/>
        <v>q</v>
      </c>
      <c r="H73" t="str">
        <f>VLOOKUP(D73,name!A:C,3,1)</f>
        <v>assets/icons/image326.png</v>
      </c>
    </row>
    <row r="74" spans="1:8" x14ac:dyDescent="0.15">
      <c r="A74">
        <f t="shared" si="1"/>
        <v>0</v>
      </c>
      <c r="B74">
        <f t="shared" si="3"/>
        <v>1</v>
      </c>
      <c r="C74">
        <f t="shared" si="4"/>
        <v>73</v>
      </c>
      <c r="D74">
        <f t="shared" si="8"/>
        <v>0</v>
      </c>
      <c r="E74" t="str">
        <f>VLOOKUP(D74,name!A:B,2,1)</f>
        <v>Player</v>
      </c>
      <c r="F74">
        <f t="shared" si="8"/>
        <v>0</v>
      </c>
      <c r="G74" t="str">
        <f t="shared" si="7"/>
        <v>q</v>
      </c>
      <c r="H74" t="str">
        <f>VLOOKUP(D74,name!A:C,3,1)</f>
        <v>assets/icons/image326.png</v>
      </c>
    </row>
    <row r="75" spans="1:8" x14ac:dyDescent="0.15">
      <c r="A75">
        <f t="shared" si="1"/>
        <v>0</v>
      </c>
      <c r="B75">
        <f t="shared" si="3"/>
        <v>1</v>
      </c>
      <c r="C75">
        <f t="shared" si="4"/>
        <v>74</v>
      </c>
      <c r="D75">
        <f t="shared" si="8"/>
        <v>0</v>
      </c>
      <c r="E75" t="str">
        <f>VLOOKUP(D75,name!A:B,2,1)</f>
        <v>Player</v>
      </c>
      <c r="F75">
        <f t="shared" si="8"/>
        <v>0</v>
      </c>
      <c r="G75" t="str">
        <f t="shared" si="7"/>
        <v>q</v>
      </c>
      <c r="H75" t="str">
        <f>VLOOKUP(D75,name!A:C,3,1)</f>
        <v>assets/icons/image326.png</v>
      </c>
    </row>
    <row r="76" spans="1:8" x14ac:dyDescent="0.15">
      <c r="A76">
        <f t="shared" si="1"/>
        <v>0</v>
      </c>
      <c r="B76">
        <f t="shared" si="3"/>
        <v>1</v>
      </c>
      <c r="C76">
        <f t="shared" si="4"/>
        <v>75</v>
      </c>
      <c r="D76">
        <f t="shared" si="8"/>
        <v>0</v>
      </c>
      <c r="E76" t="str">
        <f>VLOOKUP(D76,name!A:B,2,1)</f>
        <v>Player</v>
      </c>
      <c r="F76">
        <f t="shared" si="8"/>
        <v>0</v>
      </c>
      <c r="G76" t="str">
        <f t="shared" si="7"/>
        <v>q</v>
      </c>
      <c r="H76" t="str">
        <f>VLOOKUP(D76,name!A:C,3,1)</f>
        <v>assets/icons/image326.png</v>
      </c>
    </row>
    <row r="77" spans="1:8" x14ac:dyDescent="0.15">
      <c r="A77">
        <f t="shared" si="1"/>
        <v>0</v>
      </c>
      <c r="B77">
        <f t="shared" si="3"/>
        <v>1</v>
      </c>
      <c r="C77">
        <f t="shared" si="4"/>
        <v>76</v>
      </c>
      <c r="D77">
        <f t="shared" si="8"/>
        <v>0</v>
      </c>
      <c r="E77" t="str">
        <f>VLOOKUP(D77,name!A:B,2,1)</f>
        <v>Player</v>
      </c>
      <c r="F77">
        <f t="shared" si="8"/>
        <v>0</v>
      </c>
      <c r="G77" t="str">
        <f t="shared" si="7"/>
        <v>q</v>
      </c>
      <c r="H77" t="str">
        <f>VLOOKUP(D77,name!A:C,3,1)</f>
        <v>assets/icons/image326.png</v>
      </c>
    </row>
    <row r="78" spans="1:8" x14ac:dyDescent="0.15">
      <c r="A78">
        <f t="shared" si="1"/>
        <v>0</v>
      </c>
      <c r="B78">
        <f t="shared" si="3"/>
        <v>1</v>
      </c>
      <c r="C78">
        <f t="shared" si="4"/>
        <v>77</v>
      </c>
      <c r="D78">
        <f t="shared" si="8"/>
        <v>0</v>
      </c>
      <c r="E78" t="str">
        <f>VLOOKUP(D78,name!A:B,2,1)</f>
        <v>Player</v>
      </c>
      <c r="F78">
        <f t="shared" si="8"/>
        <v>0</v>
      </c>
      <c r="G78" t="str">
        <f t="shared" si="7"/>
        <v>q</v>
      </c>
      <c r="H78" t="str">
        <f>VLOOKUP(D78,name!A:C,3,1)</f>
        <v>assets/icons/image326.png</v>
      </c>
    </row>
    <row r="79" spans="1:8" x14ac:dyDescent="0.15">
      <c r="A79">
        <f t="shared" si="1"/>
        <v>0</v>
      </c>
      <c r="B79">
        <f t="shared" si="3"/>
        <v>1</v>
      </c>
      <c r="C79">
        <f t="shared" si="4"/>
        <v>78</v>
      </c>
      <c r="D79">
        <f t="shared" si="8"/>
        <v>0</v>
      </c>
      <c r="E79" t="str">
        <f>VLOOKUP(D79,name!A:B,2,1)</f>
        <v>Player</v>
      </c>
      <c r="F79">
        <f t="shared" si="8"/>
        <v>0</v>
      </c>
      <c r="G79" t="str">
        <f t="shared" si="7"/>
        <v>q</v>
      </c>
      <c r="H79" t="str">
        <f>VLOOKUP(D79,name!A:C,3,1)</f>
        <v>assets/icons/image326.png</v>
      </c>
    </row>
    <row r="80" spans="1:8" x14ac:dyDescent="0.15">
      <c r="A80">
        <f t="shared" si="1"/>
        <v>0</v>
      </c>
      <c r="B80">
        <f t="shared" si="3"/>
        <v>1</v>
      </c>
      <c r="C80">
        <f t="shared" si="4"/>
        <v>79</v>
      </c>
      <c r="D80">
        <f t="shared" si="8"/>
        <v>0</v>
      </c>
      <c r="E80" t="str">
        <f>VLOOKUP(D80,name!A:B,2,1)</f>
        <v>Player</v>
      </c>
      <c r="F80">
        <f t="shared" si="8"/>
        <v>0</v>
      </c>
      <c r="G80" t="str">
        <f t="shared" si="7"/>
        <v>q</v>
      </c>
      <c r="H80" t="str">
        <f>VLOOKUP(D80,name!A:C,3,1)</f>
        <v>assets/icons/image326.png</v>
      </c>
    </row>
    <row r="81" spans="1:8" x14ac:dyDescent="0.15">
      <c r="A81">
        <f t="shared" si="1"/>
        <v>0</v>
      </c>
      <c r="B81">
        <f t="shared" si="3"/>
        <v>1</v>
      </c>
      <c r="C81">
        <f t="shared" si="4"/>
        <v>80</v>
      </c>
      <c r="D81">
        <f t="shared" si="8"/>
        <v>0</v>
      </c>
      <c r="E81" t="str">
        <f>VLOOKUP(D81,name!A:B,2,1)</f>
        <v>Player</v>
      </c>
      <c r="F81">
        <f t="shared" si="8"/>
        <v>0</v>
      </c>
      <c r="G81" t="str">
        <f t="shared" si="7"/>
        <v>q</v>
      </c>
      <c r="H81" t="str">
        <f>VLOOKUP(D81,name!A:C,3,1)</f>
        <v>assets/icons/image326.png</v>
      </c>
    </row>
    <row r="82" spans="1:8" x14ac:dyDescent="0.15">
      <c r="A82">
        <f t="shared" si="1"/>
        <v>0</v>
      </c>
      <c r="B82">
        <f t="shared" si="3"/>
        <v>1</v>
      </c>
      <c r="C82">
        <f t="shared" si="4"/>
        <v>81</v>
      </c>
      <c r="D82">
        <f t="shared" si="8"/>
        <v>0</v>
      </c>
      <c r="E82" t="str">
        <f>VLOOKUP(D82,name!A:B,2,1)</f>
        <v>Player</v>
      </c>
      <c r="F82">
        <f t="shared" si="8"/>
        <v>0</v>
      </c>
      <c r="G82" t="str">
        <f t="shared" si="7"/>
        <v>q</v>
      </c>
      <c r="H82" t="str">
        <f>VLOOKUP(D82,name!A:C,3,1)</f>
        <v>assets/icons/image326.png</v>
      </c>
    </row>
    <row r="83" spans="1:8" x14ac:dyDescent="0.15">
      <c r="A83">
        <f t="shared" si="1"/>
        <v>0</v>
      </c>
      <c r="B83">
        <f t="shared" si="3"/>
        <v>1</v>
      </c>
      <c r="C83">
        <f t="shared" si="4"/>
        <v>82</v>
      </c>
      <c r="D83">
        <f t="shared" si="8"/>
        <v>0</v>
      </c>
      <c r="E83" t="str">
        <f>VLOOKUP(D83,name!A:B,2,1)</f>
        <v>Player</v>
      </c>
      <c r="F83">
        <f t="shared" si="8"/>
        <v>0</v>
      </c>
      <c r="G83" t="str">
        <f t="shared" si="7"/>
        <v>q</v>
      </c>
      <c r="H83" t="str">
        <f>VLOOKUP(D83,name!A:C,3,1)</f>
        <v>assets/icons/image326.png</v>
      </c>
    </row>
    <row r="84" spans="1:8" x14ac:dyDescent="0.15">
      <c r="A84">
        <f t="shared" si="1"/>
        <v>0</v>
      </c>
      <c r="B84">
        <f t="shared" si="3"/>
        <v>1</v>
      </c>
      <c r="C84">
        <f t="shared" si="4"/>
        <v>83</v>
      </c>
      <c r="E84" t="str">
        <f>VLOOKUP(D84,name!A:B,2,1)</f>
        <v>Player</v>
      </c>
      <c r="G84" t="str">
        <f t="shared" si="7"/>
        <v>q</v>
      </c>
      <c r="H84" t="str">
        <f>VLOOKUP(D84,name!A:C,3,1)</f>
        <v>assets/icons/image326.png</v>
      </c>
    </row>
    <row r="85" spans="1:8" x14ac:dyDescent="0.15">
      <c r="A85">
        <f t="shared" si="1"/>
        <v>0</v>
      </c>
      <c r="B85">
        <f t="shared" si="3"/>
        <v>1</v>
      </c>
      <c r="C85">
        <f t="shared" si="4"/>
        <v>84</v>
      </c>
      <c r="D85">
        <v>1</v>
      </c>
      <c r="E85" t="str">
        <f>VLOOKUP(D85,name!A:B,2,1)</f>
        <v>Navigator</v>
      </c>
      <c r="F85" t="str">
        <f>"次の"&amp;A85&amp;"を真似してね！"</f>
        <v>次の0を真似してね！</v>
      </c>
      <c r="G85" t="str">
        <f t="shared" si="7"/>
        <v>a</v>
      </c>
      <c r="H85" t="str">
        <f>VLOOKUP(D85,name!A:C,3,1)</f>
        <v>assets/icons/image014.png</v>
      </c>
    </row>
    <row r="86" spans="1:8" x14ac:dyDescent="0.15">
      <c r="A86">
        <f t="shared" si="1"/>
        <v>0</v>
      </c>
      <c r="B86">
        <f t="shared" si="3"/>
        <v>1</v>
      </c>
      <c r="C86">
        <f t="shared" si="4"/>
        <v>85</v>
      </c>
      <c r="D86">
        <f>D5</f>
        <v>0</v>
      </c>
      <c r="E86" t="str">
        <f>VLOOKUP(D86,name!A:B,2,1)</f>
        <v>Player</v>
      </c>
      <c r="F86">
        <f>F5</f>
        <v>0</v>
      </c>
      <c r="G86" t="str">
        <f t="shared" si="7"/>
        <v>q</v>
      </c>
      <c r="H86" t="str">
        <f>VLOOKUP(D86,name!A:C,3,1)</f>
        <v>assets/icons/image326.png</v>
      </c>
    </row>
    <row r="87" spans="1:8" x14ac:dyDescent="0.15">
      <c r="A87">
        <f t="shared" si="1"/>
        <v>0</v>
      </c>
      <c r="B87">
        <f t="shared" si="3"/>
        <v>1</v>
      </c>
      <c r="C87">
        <f t="shared" si="4"/>
        <v>86</v>
      </c>
      <c r="D87">
        <f>D6</f>
        <v>0</v>
      </c>
      <c r="E87" t="str">
        <f>VLOOKUP(D87,name!A:B,2,1)</f>
        <v>Player</v>
      </c>
      <c r="F87">
        <f>F6</f>
        <v>0</v>
      </c>
      <c r="G87" t="str">
        <f t="shared" si="7"/>
        <v>q</v>
      </c>
      <c r="H87" t="str">
        <f>VLOOKUP(D87,name!A:C,3,1)</f>
        <v>assets/icons/image326.png</v>
      </c>
    </row>
    <row r="88" spans="1:8" x14ac:dyDescent="0.15">
      <c r="A88">
        <f t="shared" si="1"/>
        <v>0</v>
      </c>
      <c r="B88">
        <f t="shared" si="3"/>
        <v>1</v>
      </c>
      <c r="C88">
        <f t="shared" si="4"/>
        <v>87</v>
      </c>
      <c r="D88">
        <v>0</v>
      </c>
      <c r="E88" t="str">
        <f>VLOOKUP(D88,name!A:B,2,1)</f>
        <v>Player</v>
      </c>
      <c r="F88">
        <f>F6</f>
        <v>0</v>
      </c>
      <c r="G88" t="str">
        <f t="shared" si="7"/>
        <v>q</v>
      </c>
      <c r="H88" t="str">
        <f>VLOOKUP(D88,name!A:C,3,1)</f>
        <v>assets/icons/image326.png</v>
      </c>
    </row>
    <row r="89" spans="1:8" x14ac:dyDescent="0.15">
      <c r="A89">
        <f t="shared" si="1"/>
        <v>0</v>
      </c>
      <c r="B89">
        <f t="shared" si="3"/>
        <v>1</v>
      </c>
      <c r="C89">
        <f t="shared" si="4"/>
        <v>88</v>
      </c>
      <c r="D89">
        <f>D7</f>
        <v>0</v>
      </c>
      <c r="E89" t="str">
        <f>VLOOKUP(D89,name!A:B,2,1)</f>
        <v>Player</v>
      </c>
      <c r="F89">
        <f>F7</f>
        <v>0</v>
      </c>
      <c r="G89" t="str">
        <f t="shared" si="7"/>
        <v>q</v>
      </c>
      <c r="H89" t="str">
        <f>VLOOKUP(D89,name!A:C,3,1)</f>
        <v>assets/icons/image326.png</v>
      </c>
    </row>
    <row r="90" spans="1:8" x14ac:dyDescent="0.15">
      <c r="A90">
        <f t="shared" si="1"/>
        <v>0</v>
      </c>
      <c r="B90">
        <f t="shared" si="3"/>
        <v>1</v>
      </c>
      <c r="C90">
        <f t="shared" si="4"/>
        <v>89</v>
      </c>
      <c r="D90">
        <f t="shared" ref="D90:F90" si="9">D8</f>
        <v>0</v>
      </c>
      <c r="E90" t="str">
        <f>VLOOKUP(D90,name!A:B,2,1)</f>
        <v>Player</v>
      </c>
      <c r="F90">
        <f t="shared" si="9"/>
        <v>0</v>
      </c>
      <c r="G90" t="str">
        <f t="shared" si="7"/>
        <v>q</v>
      </c>
      <c r="H90" t="str">
        <f>VLOOKUP(D90,name!A:C,3,1)</f>
        <v>assets/icons/image326.png</v>
      </c>
    </row>
    <row r="91" spans="1:8" x14ac:dyDescent="0.15">
      <c r="A91">
        <f t="shared" si="1"/>
        <v>0</v>
      </c>
      <c r="B91">
        <f t="shared" si="3"/>
        <v>1</v>
      </c>
      <c r="C91">
        <f t="shared" si="4"/>
        <v>90</v>
      </c>
      <c r="D91">
        <v>0</v>
      </c>
      <c r="E91" t="str">
        <f>VLOOKUP(D91,name!A:B,2,1)</f>
        <v>Player</v>
      </c>
      <c r="F91">
        <f>F8</f>
        <v>0</v>
      </c>
      <c r="G91" t="str">
        <f t="shared" si="7"/>
        <v>q</v>
      </c>
      <c r="H91" t="str">
        <f>VLOOKUP(D91,name!A:C,3,1)</f>
        <v>assets/icons/image326.png</v>
      </c>
    </row>
    <row r="92" spans="1:8" x14ac:dyDescent="0.15">
      <c r="A92">
        <f t="shared" si="1"/>
        <v>0</v>
      </c>
      <c r="B92">
        <f t="shared" si="3"/>
        <v>1</v>
      </c>
      <c r="C92">
        <f t="shared" si="4"/>
        <v>91</v>
      </c>
      <c r="D92">
        <f>D9</f>
        <v>0</v>
      </c>
      <c r="E92" t="str">
        <f>VLOOKUP(D92,name!A:B,2,1)</f>
        <v>Player</v>
      </c>
      <c r="F92">
        <f>F9</f>
        <v>0</v>
      </c>
      <c r="G92" t="str">
        <f t="shared" si="7"/>
        <v>q</v>
      </c>
      <c r="H92" t="str">
        <f>VLOOKUP(D92,name!A:C,3,1)</f>
        <v>assets/icons/image326.png</v>
      </c>
    </row>
    <row r="93" spans="1:8" x14ac:dyDescent="0.15">
      <c r="A93">
        <f t="shared" si="1"/>
        <v>0</v>
      </c>
      <c r="B93">
        <f t="shared" si="3"/>
        <v>1</v>
      </c>
      <c r="C93">
        <f t="shared" si="4"/>
        <v>92</v>
      </c>
      <c r="D93">
        <f>D10</f>
        <v>0</v>
      </c>
      <c r="E93" t="str">
        <f>VLOOKUP(D93,name!A:B,2,1)</f>
        <v>Player</v>
      </c>
      <c r="F93">
        <f>F10</f>
        <v>0</v>
      </c>
      <c r="G93" t="str">
        <f t="shared" si="7"/>
        <v>q</v>
      </c>
      <c r="H93" t="str">
        <f>VLOOKUP(D93,name!A:C,3,1)</f>
        <v>assets/icons/image326.png</v>
      </c>
    </row>
    <row r="94" spans="1:8" x14ac:dyDescent="0.15">
      <c r="A94">
        <f t="shared" si="1"/>
        <v>0</v>
      </c>
      <c r="B94">
        <f t="shared" si="3"/>
        <v>1</v>
      </c>
      <c r="C94">
        <f t="shared" si="4"/>
        <v>93</v>
      </c>
      <c r="D94">
        <v>0</v>
      </c>
      <c r="E94" t="str">
        <f>VLOOKUP(D94,name!A:B,2,1)</f>
        <v>Player</v>
      </c>
      <c r="F94">
        <f>F10</f>
        <v>0</v>
      </c>
      <c r="G94" t="str">
        <f t="shared" si="7"/>
        <v>q</v>
      </c>
      <c r="H94" t="str">
        <f>VLOOKUP(D94,name!A:C,3,1)</f>
        <v>assets/icons/image326.png</v>
      </c>
    </row>
    <row r="95" spans="1:8" x14ac:dyDescent="0.15">
      <c r="A95">
        <f t="shared" si="1"/>
        <v>0</v>
      </c>
      <c r="B95">
        <f t="shared" si="3"/>
        <v>1</v>
      </c>
      <c r="C95">
        <f t="shared" si="4"/>
        <v>94</v>
      </c>
      <c r="D95">
        <f>D11</f>
        <v>0</v>
      </c>
      <c r="E95" t="str">
        <f>VLOOKUP(D95,name!A:B,2,1)</f>
        <v>Player</v>
      </c>
      <c r="F95">
        <f>F11</f>
        <v>0</v>
      </c>
      <c r="G95" t="str">
        <f t="shared" si="7"/>
        <v>q</v>
      </c>
      <c r="H95" t="str">
        <f>VLOOKUP(D95,name!A:C,3,1)</f>
        <v>assets/icons/image326.png</v>
      </c>
    </row>
    <row r="96" spans="1:8" x14ac:dyDescent="0.15">
      <c r="A96">
        <f t="shared" si="1"/>
        <v>0</v>
      </c>
      <c r="B96">
        <f t="shared" si="3"/>
        <v>1</v>
      </c>
      <c r="C96">
        <f t="shared" si="4"/>
        <v>95</v>
      </c>
      <c r="D96">
        <f>D12</f>
        <v>0</v>
      </c>
      <c r="E96" t="str">
        <f>VLOOKUP(D96,name!A:B,2,1)</f>
        <v>Player</v>
      </c>
      <c r="F96">
        <f>F12</f>
        <v>0</v>
      </c>
      <c r="G96" t="str">
        <f t="shared" si="7"/>
        <v>q</v>
      </c>
      <c r="H96" t="str">
        <f>VLOOKUP(D96,name!A:C,3,1)</f>
        <v>assets/icons/image326.png</v>
      </c>
    </row>
    <row r="97" spans="1:8" x14ac:dyDescent="0.15">
      <c r="A97">
        <f t="shared" si="1"/>
        <v>0</v>
      </c>
      <c r="B97">
        <f t="shared" si="3"/>
        <v>1</v>
      </c>
      <c r="C97">
        <f t="shared" si="4"/>
        <v>96</v>
      </c>
      <c r="D97">
        <v>0</v>
      </c>
      <c r="E97" t="str">
        <f>VLOOKUP(D97,name!A:B,2,1)</f>
        <v>Player</v>
      </c>
      <c r="F97">
        <f>F12</f>
        <v>0</v>
      </c>
      <c r="G97" t="str">
        <f t="shared" si="7"/>
        <v>q</v>
      </c>
      <c r="H97" t="str">
        <f>VLOOKUP(D97,name!A:C,3,1)</f>
        <v>assets/icons/image326.png</v>
      </c>
    </row>
    <row r="98" spans="1:8" x14ac:dyDescent="0.15">
      <c r="A98">
        <f t="shared" si="1"/>
        <v>0</v>
      </c>
      <c r="B98">
        <f t="shared" si="3"/>
        <v>1</v>
      </c>
      <c r="C98">
        <f t="shared" si="4"/>
        <v>97</v>
      </c>
      <c r="D98">
        <f>D13</f>
        <v>0</v>
      </c>
      <c r="E98" t="str">
        <f>VLOOKUP(D98,name!A:B,2,1)</f>
        <v>Player</v>
      </c>
      <c r="F98">
        <f>F13</f>
        <v>0</v>
      </c>
      <c r="G98" t="str">
        <f t="shared" si="7"/>
        <v>q</v>
      </c>
      <c r="H98" t="str">
        <f>VLOOKUP(D98,name!A:C,3,1)</f>
        <v>assets/icons/image326.png</v>
      </c>
    </row>
    <row r="99" spans="1:8" x14ac:dyDescent="0.15">
      <c r="A99">
        <f t="shared" si="1"/>
        <v>0</v>
      </c>
      <c r="B99">
        <f t="shared" si="3"/>
        <v>1</v>
      </c>
      <c r="C99">
        <f t="shared" si="4"/>
        <v>98</v>
      </c>
      <c r="D99">
        <f>D14</f>
        <v>0</v>
      </c>
      <c r="E99" t="str">
        <f>VLOOKUP(D99,name!A:B,2,1)</f>
        <v>Player</v>
      </c>
      <c r="F99">
        <f>F14</f>
        <v>0</v>
      </c>
      <c r="G99" t="str">
        <f t="shared" si="7"/>
        <v>q</v>
      </c>
      <c r="H99" t="str">
        <f>VLOOKUP(D99,name!A:C,3,1)</f>
        <v>assets/icons/image326.png</v>
      </c>
    </row>
    <row r="100" spans="1:8" x14ac:dyDescent="0.15">
      <c r="A100">
        <f t="shared" si="1"/>
        <v>0</v>
      </c>
      <c r="B100">
        <f t="shared" si="3"/>
        <v>1</v>
      </c>
      <c r="C100">
        <f t="shared" si="4"/>
        <v>99</v>
      </c>
      <c r="D100">
        <v>0</v>
      </c>
      <c r="E100" t="str">
        <f>VLOOKUP(D100,name!A:B,2,1)</f>
        <v>Player</v>
      </c>
      <c r="F100">
        <f>F14</f>
        <v>0</v>
      </c>
      <c r="G100" t="str">
        <f t="shared" si="7"/>
        <v>q</v>
      </c>
      <c r="H100" t="str">
        <f>VLOOKUP(D100,name!A:C,3,1)</f>
        <v>assets/icons/image326.png</v>
      </c>
    </row>
    <row r="101" spans="1:8" x14ac:dyDescent="0.15">
      <c r="A101">
        <f t="shared" si="1"/>
        <v>0</v>
      </c>
      <c r="B101">
        <f t="shared" si="3"/>
        <v>1</v>
      </c>
      <c r="C101">
        <f t="shared" si="4"/>
        <v>100</v>
      </c>
      <c r="D101">
        <f>D15</f>
        <v>0</v>
      </c>
      <c r="E101" t="str">
        <f>VLOOKUP(D101,name!A:B,2,1)</f>
        <v>Player</v>
      </c>
      <c r="F101">
        <f>F15</f>
        <v>0</v>
      </c>
      <c r="G101" t="str">
        <f t="shared" si="7"/>
        <v>q</v>
      </c>
      <c r="H101" t="str">
        <f>VLOOKUP(D101,name!A:C,3,1)</f>
        <v>assets/icons/image326.png</v>
      </c>
    </row>
    <row r="102" spans="1:8" x14ac:dyDescent="0.15">
      <c r="A102">
        <f t="shared" ref="A102:B117" si="10">A101</f>
        <v>0</v>
      </c>
      <c r="B102">
        <f t="shared" si="3"/>
        <v>1</v>
      </c>
      <c r="C102">
        <f t="shared" si="4"/>
        <v>101</v>
      </c>
      <c r="D102">
        <f>D16</f>
        <v>0</v>
      </c>
      <c r="E102" t="str">
        <f>VLOOKUP(D102,name!A:B,2,1)</f>
        <v>Player</v>
      </c>
      <c r="F102">
        <f>F16</f>
        <v>0</v>
      </c>
      <c r="G102" t="str">
        <f t="shared" si="7"/>
        <v>q</v>
      </c>
      <c r="H102" t="str">
        <f>VLOOKUP(D102,name!A:C,3,1)</f>
        <v>assets/icons/image326.png</v>
      </c>
    </row>
    <row r="103" spans="1:8" x14ac:dyDescent="0.15">
      <c r="A103">
        <f t="shared" si="10"/>
        <v>0</v>
      </c>
      <c r="B103">
        <f t="shared" si="3"/>
        <v>1</v>
      </c>
      <c r="C103">
        <f t="shared" si="4"/>
        <v>102</v>
      </c>
      <c r="D103">
        <v>0</v>
      </c>
      <c r="E103" t="str">
        <f>VLOOKUP(D103,name!A:B,2,1)</f>
        <v>Player</v>
      </c>
      <c r="F103">
        <f>F16</f>
        <v>0</v>
      </c>
      <c r="G103" t="str">
        <f t="shared" si="7"/>
        <v>q</v>
      </c>
      <c r="H103" t="str">
        <f>VLOOKUP(D103,name!A:C,3,1)</f>
        <v>assets/icons/image326.png</v>
      </c>
    </row>
    <row r="104" spans="1:8" x14ac:dyDescent="0.15">
      <c r="A104">
        <f t="shared" si="10"/>
        <v>0</v>
      </c>
      <c r="B104">
        <f t="shared" si="3"/>
        <v>1</v>
      </c>
      <c r="C104">
        <f t="shared" si="4"/>
        <v>103</v>
      </c>
      <c r="D104">
        <f>D17</f>
        <v>0</v>
      </c>
      <c r="E104" t="str">
        <f>VLOOKUP(D104,name!A:B,2,1)</f>
        <v>Player</v>
      </c>
      <c r="F104">
        <f>F17</f>
        <v>0</v>
      </c>
      <c r="G104" t="str">
        <f t="shared" si="7"/>
        <v>q</v>
      </c>
      <c r="H104" t="str">
        <f>VLOOKUP(D104,name!A:C,3,1)</f>
        <v>assets/icons/image326.png</v>
      </c>
    </row>
    <row r="105" spans="1:8" x14ac:dyDescent="0.15">
      <c r="A105">
        <f t="shared" si="10"/>
        <v>0</v>
      </c>
      <c r="B105">
        <f t="shared" si="3"/>
        <v>1</v>
      </c>
      <c r="C105">
        <f t="shared" si="4"/>
        <v>104</v>
      </c>
      <c r="D105">
        <f>D18</f>
        <v>0</v>
      </c>
      <c r="E105" t="str">
        <f>VLOOKUP(D105,name!A:B,2,1)</f>
        <v>Player</v>
      </c>
      <c r="F105">
        <f>F18</f>
        <v>0</v>
      </c>
      <c r="G105" t="str">
        <f t="shared" si="7"/>
        <v>q</v>
      </c>
      <c r="H105" t="str">
        <f>VLOOKUP(D105,name!A:C,3,1)</f>
        <v>assets/icons/image326.png</v>
      </c>
    </row>
    <row r="106" spans="1:8" x14ac:dyDescent="0.15">
      <c r="A106">
        <f t="shared" si="10"/>
        <v>0</v>
      </c>
      <c r="B106">
        <f t="shared" si="3"/>
        <v>1</v>
      </c>
      <c r="C106">
        <f t="shared" si="4"/>
        <v>105</v>
      </c>
      <c r="D106">
        <v>0</v>
      </c>
      <c r="E106" t="str">
        <f>VLOOKUP(D106,name!A:B,2,1)</f>
        <v>Player</v>
      </c>
      <c r="F106">
        <f>F18</f>
        <v>0</v>
      </c>
      <c r="G106" t="str">
        <f t="shared" si="7"/>
        <v>q</v>
      </c>
      <c r="H106" t="str">
        <f>VLOOKUP(D106,name!A:C,3,1)</f>
        <v>assets/icons/image326.png</v>
      </c>
    </row>
    <row r="107" spans="1:8" x14ac:dyDescent="0.15">
      <c r="A107">
        <f t="shared" si="10"/>
        <v>0</v>
      </c>
      <c r="B107">
        <f t="shared" si="10"/>
        <v>1</v>
      </c>
      <c r="C107">
        <f t="shared" ref="C107:C170" si="11">C106+1</f>
        <v>106</v>
      </c>
      <c r="D107">
        <f>D19</f>
        <v>0</v>
      </c>
      <c r="E107" t="str">
        <f>VLOOKUP(D107,name!A:B,2,1)</f>
        <v>Player</v>
      </c>
      <c r="F107">
        <f>F19</f>
        <v>0</v>
      </c>
      <c r="G107" t="str">
        <f t="shared" si="7"/>
        <v>q</v>
      </c>
      <c r="H107" t="str">
        <f>VLOOKUP(D107,name!A:C,3,1)</f>
        <v>assets/icons/image326.png</v>
      </c>
    </row>
    <row r="108" spans="1:8" x14ac:dyDescent="0.15">
      <c r="A108">
        <f t="shared" si="10"/>
        <v>0</v>
      </c>
      <c r="B108">
        <f t="shared" si="10"/>
        <v>1</v>
      </c>
      <c r="C108">
        <f t="shared" si="11"/>
        <v>107</v>
      </c>
      <c r="D108">
        <f>D20</f>
        <v>0</v>
      </c>
      <c r="E108" t="str">
        <f>VLOOKUP(D108,name!A:B,2,1)</f>
        <v>Player</v>
      </c>
      <c r="F108">
        <f>F20</f>
        <v>0</v>
      </c>
      <c r="G108" t="str">
        <f t="shared" si="7"/>
        <v>q</v>
      </c>
      <c r="H108" t="str">
        <f>VLOOKUP(D108,name!A:C,3,1)</f>
        <v>assets/icons/image326.png</v>
      </c>
    </row>
    <row r="109" spans="1:8" x14ac:dyDescent="0.15">
      <c r="A109">
        <f t="shared" si="10"/>
        <v>0</v>
      </c>
      <c r="B109">
        <f t="shared" si="10"/>
        <v>1</v>
      </c>
      <c r="C109">
        <f t="shared" si="11"/>
        <v>108</v>
      </c>
      <c r="D109">
        <v>0</v>
      </c>
      <c r="E109" t="str">
        <f>VLOOKUP(D109,name!A:B,2,1)</f>
        <v>Player</v>
      </c>
      <c r="F109">
        <f>F20</f>
        <v>0</v>
      </c>
      <c r="G109" t="str">
        <f t="shared" si="7"/>
        <v>q</v>
      </c>
      <c r="H109" t="str">
        <f>VLOOKUP(D109,name!A:C,3,1)</f>
        <v>assets/icons/image326.png</v>
      </c>
    </row>
    <row r="110" spans="1:8" x14ac:dyDescent="0.15">
      <c r="A110">
        <f t="shared" si="10"/>
        <v>0</v>
      </c>
      <c r="B110">
        <f t="shared" si="10"/>
        <v>1</v>
      </c>
      <c r="C110">
        <f t="shared" si="11"/>
        <v>109</v>
      </c>
      <c r="D110">
        <f>D21</f>
        <v>0</v>
      </c>
      <c r="E110" t="str">
        <f>VLOOKUP(D110,name!A:B,2,1)</f>
        <v>Player</v>
      </c>
      <c r="F110">
        <f>F21</f>
        <v>0</v>
      </c>
      <c r="G110" t="str">
        <f t="shared" si="7"/>
        <v>q</v>
      </c>
      <c r="H110" t="str">
        <f>VLOOKUP(D110,name!A:C,3,1)</f>
        <v>assets/icons/image326.png</v>
      </c>
    </row>
    <row r="111" spans="1:8" x14ac:dyDescent="0.15">
      <c r="A111">
        <f t="shared" si="10"/>
        <v>0</v>
      </c>
      <c r="B111">
        <f t="shared" si="10"/>
        <v>1</v>
      </c>
      <c r="C111">
        <f t="shared" si="11"/>
        <v>110</v>
      </c>
      <c r="D111">
        <f>D22</f>
        <v>0</v>
      </c>
      <c r="E111" t="str">
        <f>VLOOKUP(D111,name!A:B,2,1)</f>
        <v>Player</v>
      </c>
      <c r="F111">
        <f>F22</f>
        <v>0</v>
      </c>
      <c r="G111" t="str">
        <f t="shared" si="7"/>
        <v>q</v>
      </c>
      <c r="H111" t="str">
        <f>VLOOKUP(D111,name!A:C,3,1)</f>
        <v>assets/icons/image326.png</v>
      </c>
    </row>
    <row r="112" spans="1:8" x14ac:dyDescent="0.15">
      <c r="A112">
        <f t="shared" si="10"/>
        <v>0</v>
      </c>
      <c r="B112">
        <f t="shared" si="10"/>
        <v>1</v>
      </c>
      <c r="C112">
        <f t="shared" si="11"/>
        <v>111</v>
      </c>
      <c r="D112">
        <v>0</v>
      </c>
      <c r="E112" t="str">
        <f>VLOOKUP(D112,name!A:B,2,1)</f>
        <v>Player</v>
      </c>
      <c r="F112">
        <f>F22</f>
        <v>0</v>
      </c>
      <c r="G112" t="str">
        <f t="shared" si="7"/>
        <v>q</v>
      </c>
      <c r="H112" t="str">
        <f>VLOOKUP(D112,name!A:C,3,1)</f>
        <v>assets/icons/image326.png</v>
      </c>
    </row>
    <row r="113" spans="1:8" x14ac:dyDescent="0.15">
      <c r="A113">
        <f t="shared" si="10"/>
        <v>0</v>
      </c>
      <c r="B113">
        <f t="shared" si="10"/>
        <v>1</v>
      </c>
      <c r="C113">
        <f t="shared" si="11"/>
        <v>112</v>
      </c>
      <c r="D113">
        <f>D23</f>
        <v>0</v>
      </c>
      <c r="E113" t="str">
        <f>VLOOKUP(D113,name!A:B,2,1)</f>
        <v>Player</v>
      </c>
      <c r="F113">
        <f>F23</f>
        <v>0</v>
      </c>
      <c r="G113" t="str">
        <f t="shared" si="7"/>
        <v>q</v>
      </c>
      <c r="H113" t="str">
        <f>VLOOKUP(D113,name!A:C,3,1)</f>
        <v>assets/icons/image326.png</v>
      </c>
    </row>
    <row r="114" spans="1:8" x14ac:dyDescent="0.15">
      <c r="A114">
        <f t="shared" si="10"/>
        <v>0</v>
      </c>
      <c r="B114">
        <f t="shared" si="10"/>
        <v>1</v>
      </c>
      <c r="C114">
        <f t="shared" si="11"/>
        <v>113</v>
      </c>
      <c r="D114">
        <f>D24</f>
        <v>0</v>
      </c>
      <c r="E114" t="str">
        <f>VLOOKUP(D114,name!A:B,2,1)</f>
        <v>Player</v>
      </c>
      <c r="F114">
        <f>F24</f>
        <v>0</v>
      </c>
      <c r="G114" t="str">
        <f t="shared" si="7"/>
        <v>q</v>
      </c>
      <c r="H114" t="str">
        <f>VLOOKUP(D114,name!A:C,3,1)</f>
        <v>assets/icons/image326.png</v>
      </c>
    </row>
    <row r="115" spans="1:8" x14ac:dyDescent="0.15">
      <c r="A115">
        <f t="shared" si="10"/>
        <v>0</v>
      </c>
      <c r="B115">
        <f t="shared" si="10"/>
        <v>1</v>
      </c>
      <c r="C115">
        <f t="shared" si="11"/>
        <v>114</v>
      </c>
      <c r="D115">
        <v>0</v>
      </c>
      <c r="E115" t="str">
        <f>VLOOKUP(D115,name!A:B,2,1)</f>
        <v>Player</v>
      </c>
      <c r="F115">
        <f>F24</f>
        <v>0</v>
      </c>
      <c r="G115" t="str">
        <f t="shared" si="7"/>
        <v>q</v>
      </c>
      <c r="H115" t="str">
        <f>VLOOKUP(D115,name!A:C,3,1)</f>
        <v>assets/icons/image326.png</v>
      </c>
    </row>
    <row r="116" spans="1:8" x14ac:dyDescent="0.15">
      <c r="A116">
        <f t="shared" si="10"/>
        <v>0</v>
      </c>
      <c r="B116">
        <f t="shared" si="10"/>
        <v>1</v>
      </c>
      <c r="C116">
        <f t="shared" si="11"/>
        <v>115</v>
      </c>
      <c r="D116">
        <f>D25</f>
        <v>0</v>
      </c>
      <c r="E116" t="str">
        <f>VLOOKUP(D116,name!A:B,2,1)</f>
        <v>Player</v>
      </c>
      <c r="F116">
        <f>F25</f>
        <v>0</v>
      </c>
      <c r="G116" t="str">
        <f t="shared" si="7"/>
        <v>q</v>
      </c>
      <c r="H116" t="str">
        <f>VLOOKUP(D116,name!A:C,3,1)</f>
        <v>assets/icons/image326.png</v>
      </c>
    </row>
    <row r="117" spans="1:8" x14ac:dyDescent="0.15">
      <c r="A117">
        <f t="shared" si="10"/>
        <v>0</v>
      </c>
      <c r="B117">
        <f t="shared" si="10"/>
        <v>1</v>
      </c>
      <c r="C117">
        <f t="shared" si="11"/>
        <v>116</v>
      </c>
      <c r="D117">
        <f>D26</f>
        <v>0</v>
      </c>
      <c r="E117" t="str">
        <f>VLOOKUP(D117,name!A:B,2,1)</f>
        <v>Player</v>
      </c>
      <c r="F117">
        <f>F26</f>
        <v>0</v>
      </c>
      <c r="G117" t="str">
        <f t="shared" si="7"/>
        <v>q</v>
      </c>
      <c r="H117" t="str">
        <f>VLOOKUP(D117,name!A:C,3,1)</f>
        <v>assets/icons/image326.png</v>
      </c>
    </row>
    <row r="118" spans="1:8" x14ac:dyDescent="0.15">
      <c r="A118">
        <f t="shared" ref="A118:B133" si="12">A117</f>
        <v>0</v>
      </c>
      <c r="B118">
        <f t="shared" si="12"/>
        <v>1</v>
      </c>
      <c r="C118">
        <f t="shared" si="11"/>
        <v>117</v>
      </c>
      <c r="D118">
        <v>0</v>
      </c>
      <c r="E118" t="str">
        <f>VLOOKUP(D118,name!A:B,2,1)</f>
        <v>Player</v>
      </c>
      <c r="F118">
        <f>F26</f>
        <v>0</v>
      </c>
      <c r="G118" t="str">
        <f t="shared" si="7"/>
        <v>q</v>
      </c>
      <c r="H118" t="str">
        <f>VLOOKUP(D118,name!A:C,3,1)</f>
        <v>assets/icons/image326.png</v>
      </c>
    </row>
    <row r="119" spans="1:8" x14ac:dyDescent="0.15">
      <c r="A119">
        <f t="shared" si="12"/>
        <v>0</v>
      </c>
      <c r="B119">
        <f t="shared" si="12"/>
        <v>1</v>
      </c>
      <c r="C119">
        <f t="shared" si="11"/>
        <v>118</v>
      </c>
      <c r="D119">
        <f>D27</f>
        <v>0</v>
      </c>
      <c r="E119" t="str">
        <f>VLOOKUP(D119,name!A:B,2,1)</f>
        <v>Player</v>
      </c>
      <c r="F119">
        <f>F27</f>
        <v>0</v>
      </c>
      <c r="G119" t="str">
        <f t="shared" si="7"/>
        <v>q</v>
      </c>
      <c r="H119" t="str">
        <f>VLOOKUP(D119,name!A:C,3,1)</f>
        <v>assets/icons/image326.png</v>
      </c>
    </row>
    <row r="120" spans="1:8" x14ac:dyDescent="0.15">
      <c r="A120">
        <f t="shared" si="12"/>
        <v>0</v>
      </c>
      <c r="B120">
        <f t="shared" si="12"/>
        <v>1</v>
      </c>
      <c r="C120">
        <f t="shared" si="11"/>
        <v>119</v>
      </c>
      <c r="D120">
        <f>D28</f>
        <v>0</v>
      </c>
      <c r="E120" t="str">
        <f>VLOOKUP(D120,name!A:B,2,1)</f>
        <v>Player</v>
      </c>
      <c r="F120">
        <f>F28</f>
        <v>0</v>
      </c>
      <c r="G120" t="str">
        <f t="shared" si="7"/>
        <v>q</v>
      </c>
      <c r="H120" t="str">
        <f>VLOOKUP(D120,name!A:C,3,1)</f>
        <v>assets/icons/image326.png</v>
      </c>
    </row>
    <row r="121" spans="1:8" x14ac:dyDescent="0.15">
      <c r="A121">
        <f t="shared" si="12"/>
        <v>0</v>
      </c>
      <c r="B121">
        <f t="shared" si="12"/>
        <v>1</v>
      </c>
      <c r="C121">
        <f t="shared" si="11"/>
        <v>120</v>
      </c>
      <c r="D121">
        <v>0</v>
      </c>
      <c r="E121" t="str">
        <f>VLOOKUP(D121,name!A:B,2,1)</f>
        <v>Player</v>
      </c>
      <c r="F121">
        <f>F28</f>
        <v>0</v>
      </c>
      <c r="G121" t="str">
        <f t="shared" si="7"/>
        <v>q</v>
      </c>
      <c r="H121" t="str">
        <f>VLOOKUP(D121,name!A:C,3,1)</f>
        <v>assets/icons/image326.png</v>
      </c>
    </row>
    <row r="122" spans="1:8" x14ac:dyDescent="0.15">
      <c r="A122">
        <f t="shared" si="12"/>
        <v>0</v>
      </c>
      <c r="B122">
        <f t="shared" si="12"/>
        <v>1</v>
      </c>
      <c r="C122">
        <f t="shared" si="11"/>
        <v>121</v>
      </c>
      <c r="D122">
        <f>D29</f>
        <v>0</v>
      </c>
      <c r="E122" t="str">
        <f>VLOOKUP(D122,name!A:B,2,1)</f>
        <v>Player</v>
      </c>
      <c r="F122">
        <f>F29</f>
        <v>0</v>
      </c>
      <c r="G122" t="str">
        <f t="shared" si="7"/>
        <v>q</v>
      </c>
      <c r="H122" t="str">
        <f>VLOOKUP(D122,name!A:C,3,1)</f>
        <v>assets/icons/image326.png</v>
      </c>
    </row>
    <row r="123" spans="1:8" x14ac:dyDescent="0.15">
      <c r="A123">
        <f t="shared" si="12"/>
        <v>0</v>
      </c>
      <c r="B123">
        <f t="shared" si="12"/>
        <v>1</v>
      </c>
      <c r="C123">
        <f t="shared" si="11"/>
        <v>122</v>
      </c>
      <c r="D123">
        <f>D30</f>
        <v>0</v>
      </c>
      <c r="E123" t="str">
        <f>VLOOKUP(D123,name!A:B,2,1)</f>
        <v>Player</v>
      </c>
      <c r="F123">
        <f>F30</f>
        <v>0</v>
      </c>
      <c r="G123" t="str">
        <f t="shared" si="7"/>
        <v>q</v>
      </c>
      <c r="H123" t="str">
        <f>VLOOKUP(D123,name!A:C,3,1)</f>
        <v>assets/icons/image326.png</v>
      </c>
    </row>
    <row r="124" spans="1:8" x14ac:dyDescent="0.15">
      <c r="A124">
        <f t="shared" si="12"/>
        <v>0</v>
      </c>
      <c r="B124">
        <f t="shared" si="12"/>
        <v>1</v>
      </c>
      <c r="C124">
        <f t="shared" si="11"/>
        <v>123</v>
      </c>
      <c r="D124">
        <v>0</v>
      </c>
      <c r="E124" t="str">
        <f>VLOOKUP(D124,name!A:B,2,1)</f>
        <v>Player</v>
      </c>
      <c r="F124">
        <f>F30</f>
        <v>0</v>
      </c>
      <c r="G124" t="str">
        <f t="shared" si="7"/>
        <v>q</v>
      </c>
      <c r="H124" t="str">
        <f>VLOOKUP(D124,name!A:C,3,1)</f>
        <v>assets/icons/image326.png</v>
      </c>
    </row>
    <row r="125" spans="1:8" x14ac:dyDescent="0.15">
      <c r="A125">
        <f t="shared" si="12"/>
        <v>0</v>
      </c>
      <c r="B125">
        <f t="shared" si="12"/>
        <v>1</v>
      </c>
      <c r="C125">
        <f t="shared" si="11"/>
        <v>124</v>
      </c>
      <c r="D125">
        <f>D31</f>
        <v>0</v>
      </c>
      <c r="E125" t="str">
        <f>VLOOKUP(D125,name!A:B,2,1)</f>
        <v>Player</v>
      </c>
      <c r="F125">
        <f>F31</f>
        <v>0</v>
      </c>
      <c r="G125" t="str">
        <f t="shared" si="7"/>
        <v>q</v>
      </c>
      <c r="H125" t="str">
        <f>VLOOKUP(D125,name!A:C,3,1)</f>
        <v>assets/icons/image326.png</v>
      </c>
    </row>
    <row r="126" spans="1:8" x14ac:dyDescent="0.15">
      <c r="A126">
        <f t="shared" si="12"/>
        <v>0</v>
      </c>
      <c r="B126">
        <f t="shared" si="12"/>
        <v>1</v>
      </c>
      <c r="C126">
        <f t="shared" si="11"/>
        <v>125</v>
      </c>
      <c r="D126">
        <f>D32</f>
        <v>0</v>
      </c>
      <c r="E126" t="str">
        <f>VLOOKUP(D126,name!A:B,2,1)</f>
        <v>Player</v>
      </c>
      <c r="F126">
        <f>F32</f>
        <v>0</v>
      </c>
      <c r="G126" t="str">
        <f t="shared" si="7"/>
        <v>q</v>
      </c>
      <c r="H126" t="str">
        <f>VLOOKUP(D126,name!A:C,3,1)</f>
        <v>assets/icons/image326.png</v>
      </c>
    </row>
    <row r="127" spans="1:8" x14ac:dyDescent="0.15">
      <c r="A127">
        <f t="shared" si="12"/>
        <v>0</v>
      </c>
      <c r="B127">
        <f t="shared" si="12"/>
        <v>1</v>
      </c>
      <c r="C127">
        <f t="shared" si="11"/>
        <v>126</v>
      </c>
      <c r="D127">
        <v>0</v>
      </c>
      <c r="E127" t="str">
        <f>VLOOKUP(D127,name!A:B,2,1)</f>
        <v>Player</v>
      </c>
      <c r="F127">
        <f>F32</f>
        <v>0</v>
      </c>
      <c r="G127" t="str">
        <f t="shared" si="7"/>
        <v>q</v>
      </c>
      <c r="H127" t="str">
        <f>VLOOKUP(D127,name!A:C,3,1)</f>
        <v>assets/icons/image326.png</v>
      </c>
    </row>
    <row r="128" spans="1:8" x14ac:dyDescent="0.15">
      <c r="A128">
        <f t="shared" si="12"/>
        <v>0</v>
      </c>
      <c r="B128">
        <f t="shared" si="12"/>
        <v>1</v>
      </c>
      <c r="C128">
        <f t="shared" si="11"/>
        <v>127</v>
      </c>
      <c r="D128">
        <f>D33</f>
        <v>0</v>
      </c>
      <c r="E128" t="str">
        <f>VLOOKUP(D128,name!A:B,2,1)</f>
        <v>Player</v>
      </c>
      <c r="F128">
        <f>F33</f>
        <v>0</v>
      </c>
      <c r="G128" t="str">
        <f t="shared" si="7"/>
        <v>q</v>
      </c>
      <c r="H128" t="str">
        <f>VLOOKUP(D128,name!A:C,3,1)</f>
        <v>assets/icons/image326.png</v>
      </c>
    </row>
    <row r="129" spans="1:8" x14ac:dyDescent="0.15">
      <c r="A129">
        <f t="shared" si="12"/>
        <v>0</v>
      </c>
      <c r="B129">
        <f t="shared" si="12"/>
        <v>1</v>
      </c>
      <c r="C129">
        <f t="shared" si="11"/>
        <v>128</v>
      </c>
      <c r="D129">
        <f>D34</f>
        <v>0</v>
      </c>
      <c r="E129" t="str">
        <f>VLOOKUP(D129,name!A:B,2,1)</f>
        <v>Player</v>
      </c>
      <c r="F129">
        <f>F34</f>
        <v>0</v>
      </c>
      <c r="G129" t="str">
        <f t="shared" si="7"/>
        <v>q</v>
      </c>
      <c r="H129" t="str">
        <f>VLOOKUP(D129,name!A:C,3,1)</f>
        <v>assets/icons/image326.png</v>
      </c>
    </row>
    <row r="130" spans="1:8" x14ac:dyDescent="0.15">
      <c r="A130">
        <f t="shared" si="12"/>
        <v>0</v>
      </c>
      <c r="B130">
        <f t="shared" si="12"/>
        <v>1</v>
      </c>
      <c r="C130">
        <f t="shared" si="11"/>
        <v>129</v>
      </c>
      <c r="D130">
        <v>0</v>
      </c>
      <c r="E130" t="str">
        <f>VLOOKUP(D130,name!A:B,2,1)</f>
        <v>Player</v>
      </c>
      <c r="F130">
        <f>F34</f>
        <v>0</v>
      </c>
      <c r="G130" t="str">
        <f t="shared" si="7"/>
        <v>q</v>
      </c>
      <c r="H130" t="str">
        <f>VLOOKUP(D130,name!A:C,3,1)</f>
        <v>assets/icons/image326.png</v>
      </c>
    </row>
    <row r="131" spans="1:8" x14ac:dyDescent="0.15">
      <c r="A131">
        <f t="shared" si="12"/>
        <v>0</v>
      </c>
      <c r="B131">
        <f t="shared" si="12"/>
        <v>1</v>
      </c>
      <c r="C131">
        <f t="shared" si="11"/>
        <v>130</v>
      </c>
      <c r="D131">
        <f>D35</f>
        <v>0</v>
      </c>
      <c r="E131" t="str">
        <f>VLOOKUP(D131,name!A:B,2,1)</f>
        <v>Player</v>
      </c>
      <c r="F131">
        <f>F35</f>
        <v>0</v>
      </c>
      <c r="G131" t="str">
        <f t="shared" si="7"/>
        <v>q</v>
      </c>
      <c r="H131" t="str">
        <f>VLOOKUP(D131,name!A:C,3,1)</f>
        <v>assets/icons/image326.png</v>
      </c>
    </row>
    <row r="132" spans="1:8" x14ac:dyDescent="0.15">
      <c r="A132">
        <f t="shared" si="12"/>
        <v>0</v>
      </c>
      <c r="B132">
        <f t="shared" si="12"/>
        <v>1</v>
      </c>
      <c r="C132">
        <f t="shared" si="11"/>
        <v>131</v>
      </c>
      <c r="D132">
        <f>D36</f>
        <v>0</v>
      </c>
      <c r="E132" t="str">
        <f>VLOOKUP(D132,name!A:B,2,1)</f>
        <v>Player</v>
      </c>
      <c r="F132">
        <f>F36</f>
        <v>0</v>
      </c>
      <c r="G132" t="str">
        <f t="shared" si="7"/>
        <v>q</v>
      </c>
      <c r="H132" t="str">
        <f>VLOOKUP(D132,name!A:C,3,1)</f>
        <v>assets/icons/image326.png</v>
      </c>
    </row>
    <row r="133" spans="1:8" x14ac:dyDescent="0.15">
      <c r="A133">
        <f t="shared" si="12"/>
        <v>0</v>
      </c>
      <c r="B133">
        <f t="shared" si="12"/>
        <v>1</v>
      </c>
      <c r="C133">
        <f t="shared" si="11"/>
        <v>132</v>
      </c>
      <c r="D133">
        <v>0</v>
      </c>
      <c r="E133" t="str">
        <f>VLOOKUP(D133,name!A:B,2,1)</f>
        <v>Player</v>
      </c>
      <c r="F133">
        <f>F36</f>
        <v>0</v>
      </c>
      <c r="G133" t="str">
        <f t="shared" ref="G133:G196" si="13">IF(B133&lt;&gt;B134,"e",IF(D133=0,"q","a"))</f>
        <v>q</v>
      </c>
      <c r="H133" t="str">
        <f>VLOOKUP(D133,name!A:C,3,1)</f>
        <v>assets/icons/image326.png</v>
      </c>
    </row>
    <row r="134" spans="1:8" x14ac:dyDescent="0.15">
      <c r="A134">
        <f t="shared" ref="A134:B149" si="14">A133</f>
        <v>0</v>
      </c>
      <c r="B134">
        <f t="shared" si="14"/>
        <v>1</v>
      </c>
      <c r="C134">
        <f t="shared" si="11"/>
        <v>133</v>
      </c>
      <c r="D134">
        <f>D37</f>
        <v>0</v>
      </c>
      <c r="E134" t="str">
        <f>VLOOKUP(D134,name!A:B,2,1)</f>
        <v>Player</v>
      </c>
      <c r="F134">
        <f>F37</f>
        <v>0</v>
      </c>
      <c r="G134" t="str">
        <f t="shared" si="13"/>
        <v>q</v>
      </c>
      <c r="H134" t="str">
        <f>VLOOKUP(D134,name!A:C,3,1)</f>
        <v>assets/icons/image326.png</v>
      </c>
    </row>
    <row r="135" spans="1:8" x14ac:dyDescent="0.15">
      <c r="A135">
        <f t="shared" si="14"/>
        <v>0</v>
      </c>
      <c r="B135">
        <f t="shared" si="14"/>
        <v>1</v>
      </c>
      <c r="C135">
        <f t="shared" si="11"/>
        <v>134</v>
      </c>
      <c r="D135">
        <f>D38</f>
        <v>0</v>
      </c>
      <c r="E135" t="str">
        <f>VLOOKUP(D135,name!A:B,2,1)</f>
        <v>Player</v>
      </c>
      <c r="F135">
        <f>F38</f>
        <v>0</v>
      </c>
      <c r="G135" t="str">
        <f t="shared" si="13"/>
        <v>q</v>
      </c>
      <c r="H135" t="str">
        <f>VLOOKUP(D135,name!A:C,3,1)</f>
        <v>assets/icons/image326.png</v>
      </c>
    </row>
    <row r="136" spans="1:8" x14ac:dyDescent="0.15">
      <c r="A136">
        <f t="shared" si="14"/>
        <v>0</v>
      </c>
      <c r="B136">
        <f t="shared" si="14"/>
        <v>1</v>
      </c>
      <c r="C136">
        <f t="shared" si="11"/>
        <v>135</v>
      </c>
      <c r="D136">
        <v>0</v>
      </c>
      <c r="E136" t="str">
        <f>VLOOKUP(D136,name!A:B,2,1)</f>
        <v>Player</v>
      </c>
      <c r="F136">
        <f>F38</f>
        <v>0</v>
      </c>
      <c r="G136" t="str">
        <f t="shared" si="13"/>
        <v>q</v>
      </c>
      <c r="H136" t="str">
        <f>VLOOKUP(D136,name!A:C,3,1)</f>
        <v>assets/icons/image326.png</v>
      </c>
    </row>
    <row r="137" spans="1:8" x14ac:dyDescent="0.15">
      <c r="A137">
        <f t="shared" si="14"/>
        <v>0</v>
      </c>
      <c r="B137">
        <f t="shared" si="14"/>
        <v>1</v>
      </c>
      <c r="C137">
        <f t="shared" si="11"/>
        <v>136</v>
      </c>
      <c r="D137">
        <f>D39</f>
        <v>0</v>
      </c>
      <c r="E137" t="str">
        <f>VLOOKUP(D137,name!A:B,2,1)</f>
        <v>Player</v>
      </c>
      <c r="F137">
        <f>F39</f>
        <v>0</v>
      </c>
      <c r="G137" t="str">
        <f t="shared" si="13"/>
        <v>q</v>
      </c>
      <c r="H137" t="str">
        <f>VLOOKUP(D137,name!A:C,3,1)</f>
        <v>assets/icons/image326.png</v>
      </c>
    </row>
    <row r="138" spans="1:8" x14ac:dyDescent="0.15">
      <c r="A138">
        <f t="shared" si="14"/>
        <v>0</v>
      </c>
      <c r="B138">
        <f t="shared" si="14"/>
        <v>1</v>
      </c>
      <c r="C138">
        <f t="shared" si="11"/>
        <v>137</v>
      </c>
      <c r="D138">
        <f>D40</f>
        <v>0</v>
      </c>
      <c r="E138" t="str">
        <f>VLOOKUP(D138,name!A:B,2,1)</f>
        <v>Player</v>
      </c>
      <c r="F138">
        <f>F40</f>
        <v>0</v>
      </c>
      <c r="G138" t="str">
        <f t="shared" si="13"/>
        <v>q</v>
      </c>
      <c r="H138" t="str">
        <f>VLOOKUP(D138,name!A:C,3,1)</f>
        <v>assets/icons/image326.png</v>
      </c>
    </row>
    <row r="139" spans="1:8" x14ac:dyDescent="0.15">
      <c r="A139">
        <f t="shared" si="14"/>
        <v>0</v>
      </c>
      <c r="B139">
        <f t="shared" si="14"/>
        <v>1</v>
      </c>
      <c r="C139">
        <f t="shared" si="11"/>
        <v>138</v>
      </c>
      <c r="D139">
        <v>0</v>
      </c>
      <c r="E139" t="str">
        <f>VLOOKUP(D139,name!A:B,2,1)</f>
        <v>Player</v>
      </c>
      <c r="F139">
        <f>F40</f>
        <v>0</v>
      </c>
      <c r="G139" t="str">
        <f t="shared" si="13"/>
        <v>q</v>
      </c>
      <c r="H139" t="str">
        <f>VLOOKUP(D139,name!A:C,3,1)</f>
        <v>assets/icons/image326.png</v>
      </c>
    </row>
    <row r="140" spans="1:8" x14ac:dyDescent="0.15">
      <c r="A140">
        <f t="shared" si="14"/>
        <v>0</v>
      </c>
      <c r="B140">
        <f t="shared" si="14"/>
        <v>1</v>
      </c>
      <c r="C140">
        <f t="shared" si="11"/>
        <v>139</v>
      </c>
      <c r="D140">
        <f>D41</f>
        <v>0</v>
      </c>
      <c r="E140" t="str">
        <f>VLOOKUP(D140,name!A:B,2,1)</f>
        <v>Player</v>
      </c>
      <c r="F140">
        <f>F41</f>
        <v>0</v>
      </c>
      <c r="G140" t="str">
        <f t="shared" si="13"/>
        <v>q</v>
      </c>
      <c r="H140" t="str">
        <f>VLOOKUP(D140,name!A:C,3,1)</f>
        <v>assets/icons/image326.png</v>
      </c>
    </row>
    <row r="141" spans="1:8" x14ac:dyDescent="0.15">
      <c r="A141">
        <f t="shared" si="14"/>
        <v>0</v>
      </c>
      <c r="B141">
        <f t="shared" si="14"/>
        <v>1</v>
      </c>
      <c r="C141">
        <f t="shared" si="11"/>
        <v>140</v>
      </c>
      <c r="D141">
        <f>D42</f>
        <v>0</v>
      </c>
      <c r="E141" t="str">
        <f>VLOOKUP(D141,name!A:B,2,1)</f>
        <v>Player</v>
      </c>
      <c r="F141">
        <f>F42</f>
        <v>0</v>
      </c>
      <c r="G141" t="str">
        <f t="shared" si="13"/>
        <v>q</v>
      </c>
      <c r="H141" t="str">
        <f>VLOOKUP(D141,name!A:C,3,1)</f>
        <v>assets/icons/image326.png</v>
      </c>
    </row>
    <row r="142" spans="1:8" x14ac:dyDescent="0.15">
      <c r="A142">
        <f t="shared" si="14"/>
        <v>0</v>
      </c>
      <c r="B142">
        <f t="shared" si="14"/>
        <v>1</v>
      </c>
      <c r="C142">
        <f t="shared" si="11"/>
        <v>141</v>
      </c>
      <c r="D142">
        <v>0</v>
      </c>
      <c r="E142" t="str">
        <f>VLOOKUP(D142,name!A:B,2,1)</f>
        <v>Player</v>
      </c>
      <c r="F142">
        <f>F42</f>
        <v>0</v>
      </c>
      <c r="G142" t="str">
        <f t="shared" si="13"/>
        <v>q</v>
      </c>
      <c r="H142" t="str">
        <f>VLOOKUP(D142,name!A:C,3,1)</f>
        <v>assets/icons/image326.png</v>
      </c>
    </row>
    <row r="143" spans="1:8" x14ac:dyDescent="0.15">
      <c r="A143">
        <f t="shared" si="14"/>
        <v>0</v>
      </c>
      <c r="B143">
        <f t="shared" si="14"/>
        <v>1</v>
      </c>
      <c r="C143">
        <f t="shared" si="11"/>
        <v>142</v>
      </c>
      <c r="D143">
        <f>D43</f>
        <v>0</v>
      </c>
      <c r="E143" t="str">
        <f>VLOOKUP(D143,name!A:B,2,1)</f>
        <v>Player</v>
      </c>
      <c r="F143">
        <f>F43</f>
        <v>0</v>
      </c>
      <c r="G143" t="str">
        <f t="shared" si="13"/>
        <v>q</v>
      </c>
      <c r="H143" t="str">
        <f>VLOOKUP(D143,name!A:C,3,1)</f>
        <v>assets/icons/image326.png</v>
      </c>
    </row>
    <row r="144" spans="1:8" x14ac:dyDescent="0.15">
      <c r="A144">
        <f t="shared" si="14"/>
        <v>0</v>
      </c>
      <c r="B144">
        <f t="shared" si="14"/>
        <v>1</v>
      </c>
      <c r="C144">
        <f t="shared" si="11"/>
        <v>143</v>
      </c>
      <c r="D144">
        <f>D44</f>
        <v>0</v>
      </c>
      <c r="E144" t="str">
        <f>VLOOKUP(D144,name!A:B,2,1)</f>
        <v>Player</v>
      </c>
      <c r="F144">
        <f>F44</f>
        <v>0</v>
      </c>
      <c r="G144" t="str">
        <f t="shared" si="13"/>
        <v>q</v>
      </c>
      <c r="H144" t="str">
        <f>VLOOKUP(D144,name!A:C,3,1)</f>
        <v>assets/icons/image326.png</v>
      </c>
    </row>
    <row r="145" spans="1:8" x14ac:dyDescent="0.15">
      <c r="A145">
        <f t="shared" si="14"/>
        <v>0</v>
      </c>
      <c r="B145">
        <f t="shared" si="14"/>
        <v>1</v>
      </c>
      <c r="C145">
        <f t="shared" si="11"/>
        <v>144</v>
      </c>
      <c r="D145">
        <v>0</v>
      </c>
      <c r="E145" t="str">
        <f>VLOOKUP(D145,name!A:B,2,1)</f>
        <v>Player</v>
      </c>
      <c r="F145">
        <f>F44</f>
        <v>0</v>
      </c>
      <c r="G145" t="str">
        <f t="shared" si="13"/>
        <v>q</v>
      </c>
      <c r="H145" t="str">
        <f>VLOOKUP(D145,name!A:C,3,1)</f>
        <v>assets/icons/image326.png</v>
      </c>
    </row>
    <row r="146" spans="1:8" x14ac:dyDescent="0.15">
      <c r="A146">
        <f t="shared" si="14"/>
        <v>0</v>
      </c>
      <c r="B146">
        <f t="shared" si="14"/>
        <v>1</v>
      </c>
      <c r="C146">
        <f t="shared" si="11"/>
        <v>145</v>
      </c>
      <c r="D146">
        <f>D45</f>
        <v>0</v>
      </c>
      <c r="E146" t="str">
        <f>VLOOKUP(D146,name!A:B,2,1)</f>
        <v>Player</v>
      </c>
      <c r="F146">
        <f>F45</f>
        <v>0</v>
      </c>
      <c r="G146" t="str">
        <f t="shared" si="13"/>
        <v>q</v>
      </c>
      <c r="H146" t="str">
        <f>VLOOKUP(D146,name!A:C,3,1)</f>
        <v>assets/icons/image326.png</v>
      </c>
    </row>
    <row r="147" spans="1:8" x14ac:dyDescent="0.15">
      <c r="A147">
        <f t="shared" si="14"/>
        <v>0</v>
      </c>
      <c r="B147">
        <f t="shared" si="14"/>
        <v>1</v>
      </c>
      <c r="C147">
        <f t="shared" si="11"/>
        <v>146</v>
      </c>
      <c r="D147">
        <f>D46</f>
        <v>0</v>
      </c>
      <c r="E147" t="str">
        <f>VLOOKUP(D147,name!A:B,2,1)</f>
        <v>Player</v>
      </c>
      <c r="F147">
        <f>F46</f>
        <v>0</v>
      </c>
      <c r="G147" t="str">
        <f t="shared" si="13"/>
        <v>q</v>
      </c>
      <c r="H147" t="str">
        <f>VLOOKUP(D147,name!A:C,3,1)</f>
        <v>assets/icons/image326.png</v>
      </c>
    </row>
    <row r="148" spans="1:8" x14ac:dyDescent="0.15">
      <c r="A148">
        <f t="shared" si="14"/>
        <v>0</v>
      </c>
      <c r="B148">
        <f t="shared" si="14"/>
        <v>1</v>
      </c>
      <c r="C148">
        <f t="shared" si="11"/>
        <v>147</v>
      </c>
      <c r="D148">
        <v>0</v>
      </c>
      <c r="E148" t="str">
        <f>VLOOKUP(D148,name!A:B,2,1)</f>
        <v>Player</v>
      </c>
      <c r="F148">
        <f>F46</f>
        <v>0</v>
      </c>
      <c r="G148" t="str">
        <f t="shared" si="13"/>
        <v>q</v>
      </c>
      <c r="H148" t="str">
        <f>VLOOKUP(D148,name!A:C,3,1)</f>
        <v>assets/icons/image326.png</v>
      </c>
    </row>
    <row r="149" spans="1:8" x14ac:dyDescent="0.15">
      <c r="A149">
        <f t="shared" si="14"/>
        <v>0</v>
      </c>
      <c r="B149">
        <f t="shared" si="14"/>
        <v>1</v>
      </c>
      <c r="C149">
        <f t="shared" si="11"/>
        <v>148</v>
      </c>
      <c r="D149">
        <f>D47</f>
        <v>0</v>
      </c>
      <c r="E149" t="str">
        <f>VLOOKUP(D149,name!A:B,2,1)</f>
        <v>Player</v>
      </c>
      <c r="F149">
        <f>F47</f>
        <v>0</v>
      </c>
      <c r="G149" t="str">
        <f t="shared" si="13"/>
        <v>q</v>
      </c>
      <c r="H149" t="str">
        <f>VLOOKUP(D149,name!A:C,3,1)</f>
        <v>assets/icons/image326.png</v>
      </c>
    </row>
    <row r="150" spans="1:8" x14ac:dyDescent="0.15">
      <c r="A150">
        <f t="shared" ref="A150:B165" si="15">A149</f>
        <v>0</v>
      </c>
      <c r="B150">
        <f t="shared" si="15"/>
        <v>1</v>
      </c>
      <c r="C150">
        <f t="shared" si="11"/>
        <v>149</v>
      </c>
      <c r="D150">
        <f>D48</f>
        <v>0</v>
      </c>
      <c r="E150" t="str">
        <f>VLOOKUP(D150,name!A:B,2,1)</f>
        <v>Player</v>
      </c>
      <c r="F150">
        <f>F48</f>
        <v>0</v>
      </c>
      <c r="G150" t="str">
        <f t="shared" si="13"/>
        <v>q</v>
      </c>
      <c r="H150" t="str">
        <f>VLOOKUP(D150,name!A:C,3,1)</f>
        <v>assets/icons/image326.png</v>
      </c>
    </row>
    <row r="151" spans="1:8" x14ac:dyDescent="0.15">
      <c r="A151">
        <f t="shared" si="15"/>
        <v>0</v>
      </c>
      <c r="B151">
        <f t="shared" si="15"/>
        <v>1</v>
      </c>
      <c r="C151">
        <f t="shared" si="11"/>
        <v>150</v>
      </c>
      <c r="D151">
        <v>0</v>
      </c>
      <c r="E151" t="str">
        <f>VLOOKUP(D151,name!A:B,2,1)</f>
        <v>Player</v>
      </c>
      <c r="F151">
        <f>F48</f>
        <v>0</v>
      </c>
      <c r="G151" t="str">
        <f t="shared" si="13"/>
        <v>q</v>
      </c>
      <c r="H151" t="str">
        <f>VLOOKUP(D151,name!A:C,3,1)</f>
        <v>assets/icons/image326.png</v>
      </c>
    </row>
    <row r="152" spans="1:8" x14ac:dyDescent="0.15">
      <c r="A152">
        <f t="shared" si="15"/>
        <v>0</v>
      </c>
      <c r="B152">
        <f t="shared" si="15"/>
        <v>1</v>
      </c>
      <c r="C152">
        <f t="shared" si="11"/>
        <v>151</v>
      </c>
      <c r="D152">
        <f>D49</f>
        <v>0</v>
      </c>
      <c r="E152" t="str">
        <f>VLOOKUP(D152,name!A:B,2,1)</f>
        <v>Player</v>
      </c>
      <c r="F152">
        <f>F49</f>
        <v>0</v>
      </c>
      <c r="G152" t="str">
        <f t="shared" si="13"/>
        <v>q</v>
      </c>
      <c r="H152" t="str">
        <f>VLOOKUP(D152,name!A:C,3,1)</f>
        <v>assets/icons/image326.png</v>
      </c>
    </row>
    <row r="153" spans="1:8" x14ac:dyDescent="0.15">
      <c r="A153">
        <f t="shared" si="15"/>
        <v>0</v>
      </c>
      <c r="B153">
        <f t="shared" si="15"/>
        <v>1</v>
      </c>
      <c r="C153">
        <f t="shared" si="11"/>
        <v>152</v>
      </c>
      <c r="D153">
        <f>D50</f>
        <v>0</v>
      </c>
      <c r="E153" t="str">
        <f>VLOOKUP(D153,name!A:B,2,1)</f>
        <v>Player</v>
      </c>
      <c r="F153">
        <f>F50</f>
        <v>0</v>
      </c>
      <c r="G153" t="str">
        <f t="shared" si="13"/>
        <v>q</v>
      </c>
      <c r="H153" t="str">
        <f>VLOOKUP(D153,name!A:C,3,1)</f>
        <v>assets/icons/image326.png</v>
      </c>
    </row>
    <row r="154" spans="1:8" x14ac:dyDescent="0.15">
      <c r="A154">
        <f t="shared" si="15"/>
        <v>0</v>
      </c>
      <c r="B154">
        <f t="shared" si="15"/>
        <v>1</v>
      </c>
      <c r="C154">
        <f t="shared" si="11"/>
        <v>153</v>
      </c>
      <c r="D154">
        <v>0</v>
      </c>
      <c r="E154" t="str">
        <f>VLOOKUP(D154,name!A:B,2,1)</f>
        <v>Player</v>
      </c>
      <c r="F154">
        <f>F50</f>
        <v>0</v>
      </c>
      <c r="G154" t="str">
        <f t="shared" si="13"/>
        <v>q</v>
      </c>
      <c r="H154" t="str">
        <f>VLOOKUP(D154,name!A:C,3,1)</f>
        <v>assets/icons/image326.png</v>
      </c>
    </row>
    <row r="155" spans="1:8" x14ac:dyDescent="0.15">
      <c r="A155">
        <f t="shared" si="15"/>
        <v>0</v>
      </c>
      <c r="B155">
        <f t="shared" si="15"/>
        <v>1</v>
      </c>
      <c r="C155">
        <f t="shared" si="11"/>
        <v>154</v>
      </c>
      <c r="D155">
        <f>D51</f>
        <v>0</v>
      </c>
      <c r="E155" t="str">
        <f>VLOOKUP(D155,name!A:B,2,1)</f>
        <v>Player</v>
      </c>
      <c r="F155">
        <f>F51</f>
        <v>0</v>
      </c>
      <c r="G155" t="str">
        <f t="shared" si="13"/>
        <v>q</v>
      </c>
      <c r="H155" t="str">
        <f>VLOOKUP(D155,name!A:C,3,1)</f>
        <v>assets/icons/image326.png</v>
      </c>
    </row>
    <row r="156" spans="1:8" x14ac:dyDescent="0.15">
      <c r="A156">
        <f t="shared" si="15"/>
        <v>0</v>
      </c>
      <c r="B156">
        <f t="shared" si="15"/>
        <v>1</v>
      </c>
      <c r="C156">
        <f t="shared" si="11"/>
        <v>155</v>
      </c>
      <c r="D156">
        <f>D52</f>
        <v>0</v>
      </c>
      <c r="E156" t="str">
        <f>VLOOKUP(D156,name!A:B,2,1)</f>
        <v>Player</v>
      </c>
      <c r="F156">
        <f>F52</f>
        <v>0</v>
      </c>
      <c r="G156" t="str">
        <f t="shared" si="13"/>
        <v>q</v>
      </c>
      <c r="H156" t="str">
        <f>VLOOKUP(D156,name!A:C,3,1)</f>
        <v>assets/icons/image326.png</v>
      </c>
    </row>
    <row r="157" spans="1:8" x14ac:dyDescent="0.15">
      <c r="A157">
        <f t="shared" si="15"/>
        <v>0</v>
      </c>
      <c r="B157">
        <f t="shared" si="15"/>
        <v>1</v>
      </c>
      <c r="C157">
        <f t="shared" si="11"/>
        <v>156</v>
      </c>
      <c r="D157">
        <v>0</v>
      </c>
      <c r="E157" t="str">
        <f>VLOOKUP(D157,name!A:B,2,1)</f>
        <v>Player</v>
      </c>
      <c r="F157">
        <f>F52</f>
        <v>0</v>
      </c>
      <c r="G157" t="str">
        <f t="shared" si="13"/>
        <v>q</v>
      </c>
      <c r="H157" t="str">
        <f>VLOOKUP(D157,name!A:C,3,1)</f>
        <v>assets/icons/image326.png</v>
      </c>
    </row>
    <row r="158" spans="1:8" x14ac:dyDescent="0.15">
      <c r="A158">
        <f t="shared" si="15"/>
        <v>0</v>
      </c>
      <c r="B158">
        <f t="shared" si="15"/>
        <v>1</v>
      </c>
      <c r="C158">
        <f t="shared" si="11"/>
        <v>157</v>
      </c>
      <c r="D158">
        <f>D53</f>
        <v>0</v>
      </c>
      <c r="E158" t="str">
        <f>VLOOKUP(D158,name!A:B,2,1)</f>
        <v>Player</v>
      </c>
      <c r="F158">
        <f>F53</f>
        <v>0</v>
      </c>
      <c r="G158" t="str">
        <f t="shared" si="13"/>
        <v>q</v>
      </c>
      <c r="H158" t="str">
        <f>VLOOKUP(D158,name!A:C,3,1)</f>
        <v>assets/icons/image326.png</v>
      </c>
    </row>
    <row r="159" spans="1:8" x14ac:dyDescent="0.15">
      <c r="A159">
        <f t="shared" si="15"/>
        <v>0</v>
      </c>
      <c r="B159">
        <f t="shared" si="15"/>
        <v>1</v>
      </c>
      <c r="C159">
        <f t="shared" si="11"/>
        <v>158</v>
      </c>
      <c r="D159">
        <f>D54</f>
        <v>0</v>
      </c>
      <c r="E159" t="str">
        <f>VLOOKUP(D159,name!A:B,2,1)</f>
        <v>Player</v>
      </c>
      <c r="F159">
        <f>F54</f>
        <v>0</v>
      </c>
      <c r="G159" t="str">
        <f t="shared" si="13"/>
        <v>q</v>
      </c>
      <c r="H159" t="str">
        <f>VLOOKUP(D159,name!A:C,3,1)</f>
        <v>assets/icons/image326.png</v>
      </c>
    </row>
    <row r="160" spans="1:8" x14ac:dyDescent="0.15">
      <c r="A160">
        <f t="shared" si="15"/>
        <v>0</v>
      </c>
      <c r="B160">
        <f t="shared" si="15"/>
        <v>1</v>
      </c>
      <c r="C160">
        <f t="shared" si="11"/>
        <v>159</v>
      </c>
      <c r="D160">
        <v>0</v>
      </c>
      <c r="E160" t="str">
        <f>VLOOKUP(D160,name!A:B,2,1)</f>
        <v>Player</v>
      </c>
      <c r="F160">
        <f>F54</f>
        <v>0</v>
      </c>
      <c r="G160" t="str">
        <f t="shared" si="13"/>
        <v>q</v>
      </c>
      <c r="H160" t="str">
        <f>VLOOKUP(D160,name!A:C,3,1)</f>
        <v>assets/icons/image326.png</v>
      </c>
    </row>
    <row r="161" spans="1:8" x14ac:dyDescent="0.15">
      <c r="A161">
        <f t="shared" si="15"/>
        <v>0</v>
      </c>
      <c r="B161">
        <f t="shared" si="15"/>
        <v>1</v>
      </c>
      <c r="C161">
        <f t="shared" si="11"/>
        <v>160</v>
      </c>
      <c r="D161">
        <f>D55</f>
        <v>0</v>
      </c>
      <c r="E161" t="str">
        <f>VLOOKUP(D161,name!A:B,2,1)</f>
        <v>Player</v>
      </c>
      <c r="F161">
        <f>F55</f>
        <v>0</v>
      </c>
      <c r="G161" t="str">
        <f t="shared" si="13"/>
        <v>q</v>
      </c>
      <c r="H161" t="str">
        <f>VLOOKUP(D161,name!A:C,3,1)</f>
        <v>assets/icons/image326.png</v>
      </c>
    </row>
    <row r="162" spans="1:8" x14ac:dyDescent="0.15">
      <c r="A162">
        <f t="shared" si="15"/>
        <v>0</v>
      </c>
      <c r="B162">
        <f t="shared" si="15"/>
        <v>1</v>
      </c>
      <c r="C162">
        <f t="shared" si="11"/>
        <v>161</v>
      </c>
      <c r="D162">
        <f>D56</f>
        <v>0</v>
      </c>
      <c r="E162" t="str">
        <f>VLOOKUP(D162,name!A:B,2,1)</f>
        <v>Player</v>
      </c>
      <c r="F162">
        <f>F56</f>
        <v>0</v>
      </c>
      <c r="G162" t="str">
        <f t="shared" si="13"/>
        <v>q</v>
      </c>
      <c r="H162" t="str">
        <f>VLOOKUP(D162,name!A:C,3,1)</f>
        <v>assets/icons/image326.png</v>
      </c>
    </row>
    <row r="163" spans="1:8" x14ac:dyDescent="0.15">
      <c r="A163">
        <f t="shared" si="15"/>
        <v>0</v>
      </c>
      <c r="B163">
        <f t="shared" si="15"/>
        <v>1</v>
      </c>
      <c r="C163">
        <f t="shared" si="11"/>
        <v>162</v>
      </c>
      <c r="D163">
        <v>0</v>
      </c>
      <c r="E163" t="str">
        <f>VLOOKUP(D163,name!A:B,2,1)</f>
        <v>Player</v>
      </c>
      <c r="F163">
        <f>F56</f>
        <v>0</v>
      </c>
      <c r="G163" t="str">
        <f t="shared" si="13"/>
        <v>q</v>
      </c>
      <c r="H163" t="str">
        <f>VLOOKUP(D163,name!A:C,3,1)</f>
        <v>assets/icons/image326.png</v>
      </c>
    </row>
    <row r="164" spans="1:8" x14ac:dyDescent="0.15">
      <c r="A164">
        <f t="shared" si="15"/>
        <v>0</v>
      </c>
      <c r="B164">
        <f t="shared" si="15"/>
        <v>1</v>
      </c>
      <c r="C164">
        <f t="shared" si="11"/>
        <v>163</v>
      </c>
      <c r="D164">
        <f>D57</f>
        <v>0</v>
      </c>
      <c r="E164" t="str">
        <f>VLOOKUP(D164,name!A:B,2,1)</f>
        <v>Player</v>
      </c>
      <c r="F164">
        <f>F57</f>
        <v>0</v>
      </c>
      <c r="G164" t="str">
        <f t="shared" si="13"/>
        <v>q</v>
      </c>
      <c r="H164" t="str">
        <f>VLOOKUP(D164,name!A:C,3,1)</f>
        <v>assets/icons/image326.png</v>
      </c>
    </row>
    <row r="165" spans="1:8" x14ac:dyDescent="0.15">
      <c r="A165">
        <f t="shared" si="15"/>
        <v>0</v>
      </c>
      <c r="B165">
        <f t="shared" si="15"/>
        <v>1</v>
      </c>
      <c r="C165">
        <f t="shared" si="11"/>
        <v>164</v>
      </c>
      <c r="D165">
        <f>D58</f>
        <v>0</v>
      </c>
      <c r="E165" t="str">
        <f>VLOOKUP(D165,name!A:B,2,1)</f>
        <v>Player</v>
      </c>
      <c r="F165">
        <f>F58</f>
        <v>0</v>
      </c>
      <c r="G165" t="str">
        <f t="shared" si="13"/>
        <v>q</v>
      </c>
      <c r="H165" t="str">
        <f>VLOOKUP(D165,name!A:C,3,1)</f>
        <v>assets/icons/image326.png</v>
      </c>
    </row>
    <row r="166" spans="1:8" x14ac:dyDescent="0.15">
      <c r="A166">
        <f t="shared" ref="A166:B181" si="16">A165</f>
        <v>0</v>
      </c>
      <c r="B166">
        <f t="shared" si="16"/>
        <v>1</v>
      </c>
      <c r="C166">
        <f t="shared" si="11"/>
        <v>165</v>
      </c>
      <c r="D166">
        <v>0</v>
      </c>
      <c r="E166" t="str">
        <f>VLOOKUP(D166,name!A:B,2,1)</f>
        <v>Player</v>
      </c>
      <c r="F166">
        <f>F58</f>
        <v>0</v>
      </c>
      <c r="G166" t="str">
        <f t="shared" si="13"/>
        <v>q</v>
      </c>
      <c r="H166" t="str">
        <f>VLOOKUP(D166,name!A:C,3,1)</f>
        <v>assets/icons/image326.png</v>
      </c>
    </row>
    <row r="167" spans="1:8" x14ac:dyDescent="0.15">
      <c r="A167">
        <f t="shared" si="16"/>
        <v>0</v>
      </c>
      <c r="B167">
        <f t="shared" si="16"/>
        <v>1</v>
      </c>
      <c r="C167">
        <f t="shared" si="11"/>
        <v>166</v>
      </c>
      <c r="D167">
        <f>D59</f>
        <v>0</v>
      </c>
      <c r="E167" t="str">
        <f>VLOOKUP(D167,name!A:B,2,1)</f>
        <v>Player</v>
      </c>
      <c r="F167">
        <f>F59</f>
        <v>0</v>
      </c>
      <c r="G167" t="str">
        <f t="shared" si="13"/>
        <v>q</v>
      </c>
      <c r="H167" t="str">
        <f>VLOOKUP(D167,name!A:C,3,1)</f>
        <v>assets/icons/image326.png</v>
      </c>
    </row>
    <row r="168" spans="1:8" x14ac:dyDescent="0.15">
      <c r="A168">
        <f t="shared" si="16"/>
        <v>0</v>
      </c>
      <c r="B168">
        <f t="shared" si="16"/>
        <v>1</v>
      </c>
      <c r="C168">
        <f t="shared" si="11"/>
        <v>167</v>
      </c>
      <c r="D168">
        <f>D60</f>
        <v>0</v>
      </c>
      <c r="E168" t="str">
        <f>VLOOKUP(D168,name!A:B,2,1)</f>
        <v>Player</v>
      </c>
      <c r="F168">
        <f>F60</f>
        <v>0</v>
      </c>
      <c r="G168" t="str">
        <f t="shared" si="13"/>
        <v>q</v>
      </c>
      <c r="H168" t="str">
        <f>VLOOKUP(D168,name!A:C,3,1)</f>
        <v>assets/icons/image326.png</v>
      </c>
    </row>
    <row r="169" spans="1:8" x14ac:dyDescent="0.15">
      <c r="A169">
        <f t="shared" si="16"/>
        <v>0</v>
      </c>
      <c r="B169">
        <f t="shared" si="16"/>
        <v>1</v>
      </c>
      <c r="C169">
        <f t="shared" si="11"/>
        <v>168</v>
      </c>
      <c r="D169">
        <v>0</v>
      </c>
      <c r="E169" t="str">
        <f>VLOOKUP(D169,name!A:B,2,1)</f>
        <v>Player</v>
      </c>
      <c r="F169">
        <f>F60</f>
        <v>0</v>
      </c>
      <c r="G169" t="str">
        <f t="shared" si="13"/>
        <v>q</v>
      </c>
      <c r="H169" t="str">
        <f>VLOOKUP(D169,name!A:C,3,1)</f>
        <v>assets/icons/image326.png</v>
      </c>
    </row>
    <row r="170" spans="1:8" x14ac:dyDescent="0.15">
      <c r="A170">
        <f t="shared" si="16"/>
        <v>0</v>
      </c>
      <c r="B170">
        <f t="shared" si="16"/>
        <v>1</v>
      </c>
      <c r="C170">
        <f t="shared" si="11"/>
        <v>169</v>
      </c>
      <c r="D170">
        <f>D61</f>
        <v>0</v>
      </c>
      <c r="E170" t="str">
        <f>VLOOKUP(D170,name!A:B,2,1)</f>
        <v>Player</v>
      </c>
      <c r="F170">
        <f>F61</f>
        <v>0</v>
      </c>
      <c r="G170" t="str">
        <f t="shared" si="13"/>
        <v>q</v>
      </c>
      <c r="H170" t="str">
        <f>VLOOKUP(D170,name!A:C,3,1)</f>
        <v>assets/icons/image326.png</v>
      </c>
    </row>
    <row r="171" spans="1:8" x14ac:dyDescent="0.15">
      <c r="A171">
        <f t="shared" si="16"/>
        <v>0</v>
      </c>
      <c r="B171">
        <f t="shared" si="16"/>
        <v>1</v>
      </c>
      <c r="C171">
        <f t="shared" ref="C171:C234" si="17">C170+1</f>
        <v>170</v>
      </c>
      <c r="D171">
        <f>D62</f>
        <v>0</v>
      </c>
      <c r="E171" t="str">
        <f>VLOOKUP(D171,name!A:B,2,1)</f>
        <v>Player</v>
      </c>
      <c r="F171">
        <f>F62</f>
        <v>0</v>
      </c>
      <c r="G171" t="str">
        <f t="shared" si="13"/>
        <v>q</v>
      </c>
      <c r="H171" t="str">
        <f>VLOOKUP(D171,name!A:C,3,1)</f>
        <v>assets/icons/image326.png</v>
      </c>
    </row>
    <row r="172" spans="1:8" x14ac:dyDescent="0.15">
      <c r="A172">
        <f t="shared" si="16"/>
        <v>0</v>
      </c>
      <c r="B172">
        <f t="shared" si="16"/>
        <v>1</v>
      </c>
      <c r="C172">
        <f t="shared" si="17"/>
        <v>171</v>
      </c>
      <c r="D172">
        <v>0</v>
      </c>
      <c r="E172" t="str">
        <f>VLOOKUP(D172,name!A:B,2,1)</f>
        <v>Player</v>
      </c>
      <c r="F172">
        <f>F62</f>
        <v>0</v>
      </c>
      <c r="G172" t="str">
        <f t="shared" si="13"/>
        <v>q</v>
      </c>
      <c r="H172" t="str">
        <f>VLOOKUP(D172,name!A:C,3,1)</f>
        <v>assets/icons/image326.png</v>
      </c>
    </row>
    <row r="173" spans="1:8" x14ac:dyDescent="0.15">
      <c r="A173">
        <f t="shared" si="16"/>
        <v>0</v>
      </c>
      <c r="B173">
        <f t="shared" si="16"/>
        <v>1</v>
      </c>
      <c r="C173">
        <f t="shared" si="17"/>
        <v>172</v>
      </c>
      <c r="D173">
        <f>D63</f>
        <v>0</v>
      </c>
      <c r="E173" t="str">
        <f>VLOOKUP(D173,name!A:B,2,1)</f>
        <v>Player</v>
      </c>
      <c r="F173">
        <f>F63</f>
        <v>0</v>
      </c>
      <c r="G173" t="str">
        <f t="shared" si="13"/>
        <v>q</v>
      </c>
      <c r="H173" t="str">
        <f>VLOOKUP(D173,name!A:C,3,1)</f>
        <v>assets/icons/image326.png</v>
      </c>
    </row>
    <row r="174" spans="1:8" x14ac:dyDescent="0.15">
      <c r="A174">
        <f t="shared" si="16"/>
        <v>0</v>
      </c>
      <c r="B174">
        <f t="shared" si="16"/>
        <v>1</v>
      </c>
      <c r="C174">
        <f t="shared" si="17"/>
        <v>173</v>
      </c>
      <c r="D174">
        <f>D64</f>
        <v>0</v>
      </c>
      <c r="E174" t="str">
        <f>VLOOKUP(D174,name!A:B,2,1)</f>
        <v>Player</v>
      </c>
      <c r="F174">
        <f>F64</f>
        <v>0</v>
      </c>
      <c r="G174" t="str">
        <f t="shared" si="13"/>
        <v>q</v>
      </c>
      <c r="H174" t="str">
        <f>VLOOKUP(D174,name!A:C,3,1)</f>
        <v>assets/icons/image326.png</v>
      </c>
    </row>
    <row r="175" spans="1:8" x14ac:dyDescent="0.15">
      <c r="A175">
        <f t="shared" si="16"/>
        <v>0</v>
      </c>
      <c r="B175">
        <f t="shared" si="16"/>
        <v>1</v>
      </c>
      <c r="C175">
        <f t="shared" si="17"/>
        <v>174</v>
      </c>
      <c r="D175">
        <v>0</v>
      </c>
      <c r="E175" t="str">
        <f>VLOOKUP(D175,name!A:B,2,1)</f>
        <v>Player</v>
      </c>
      <c r="F175">
        <f>F64</f>
        <v>0</v>
      </c>
      <c r="G175" t="str">
        <f t="shared" si="13"/>
        <v>q</v>
      </c>
      <c r="H175" t="str">
        <f>VLOOKUP(D175,name!A:C,3,1)</f>
        <v>assets/icons/image326.png</v>
      </c>
    </row>
    <row r="176" spans="1:8" x14ac:dyDescent="0.15">
      <c r="A176">
        <f t="shared" si="16"/>
        <v>0</v>
      </c>
      <c r="B176">
        <f t="shared" si="16"/>
        <v>1</v>
      </c>
      <c r="C176">
        <f t="shared" si="17"/>
        <v>175</v>
      </c>
      <c r="D176">
        <f>D65</f>
        <v>0</v>
      </c>
      <c r="E176" t="str">
        <f>VLOOKUP(D176,name!A:B,2,1)</f>
        <v>Player</v>
      </c>
      <c r="F176">
        <f>F65</f>
        <v>0</v>
      </c>
      <c r="G176" t="str">
        <f t="shared" si="13"/>
        <v>q</v>
      </c>
      <c r="H176" t="str">
        <f>VLOOKUP(D176,name!A:C,3,1)</f>
        <v>assets/icons/image326.png</v>
      </c>
    </row>
    <row r="177" spans="1:8" x14ac:dyDescent="0.15">
      <c r="A177">
        <f t="shared" si="16"/>
        <v>0</v>
      </c>
      <c r="B177">
        <f t="shared" si="16"/>
        <v>1</v>
      </c>
      <c r="C177">
        <f t="shared" si="17"/>
        <v>176</v>
      </c>
      <c r="D177">
        <f>D66</f>
        <v>0</v>
      </c>
      <c r="E177" t="str">
        <f>VLOOKUP(D177,name!A:B,2,1)</f>
        <v>Player</v>
      </c>
      <c r="F177">
        <f>F66</f>
        <v>0</v>
      </c>
      <c r="G177" t="str">
        <f t="shared" si="13"/>
        <v>q</v>
      </c>
      <c r="H177" t="str">
        <f>VLOOKUP(D177,name!A:C,3,1)</f>
        <v>assets/icons/image326.png</v>
      </c>
    </row>
    <row r="178" spans="1:8" x14ac:dyDescent="0.15">
      <c r="A178">
        <f t="shared" si="16"/>
        <v>0</v>
      </c>
      <c r="B178">
        <f t="shared" si="16"/>
        <v>1</v>
      </c>
      <c r="C178">
        <f t="shared" si="17"/>
        <v>177</v>
      </c>
      <c r="D178">
        <v>0</v>
      </c>
      <c r="E178" t="str">
        <f>VLOOKUP(D178,name!A:B,2,1)</f>
        <v>Player</v>
      </c>
      <c r="F178">
        <f>F66</f>
        <v>0</v>
      </c>
      <c r="G178" t="str">
        <f t="shared" si="13"/>
        <v>q</v>
      </c>
      <c r="H178" t="str">
        <f>VLOOKUP(D178,name!A:C,3,1)</f>
        <v>assets/icons/image326.png</v>
      </c>
    </row>
    <row r="179" spans="1:8" x14ac:dyDescent="0.15">
      <c r="A179">
        <f t="shared" si="16"/>
        <v>0</v>
      </c>
      <c r="B179">
        <f t="shared" si="16"/>
        <v>1</v>
      </c>
      <c r="C179">
        <f t="shared" si="17"/>
        <v>178</v>
      </c>
      <c r="D179">
        <f>D67</f>
        <v>0</v>
      </c>
      <c r="E179" t="str">
        <f>VLOOKUP(D179,name!A:B,2,1)</f>
        <v>Player</v>
      </c>
      <c r="F179">
        <f>F67</f>
        <v>0</v>
      </c>
      <c r="G179" t="str">
        <f t="shared" si="13"/>
        <v>q</v>
      </c>
      <c r="H179" t="str">
        <f>VLOOKUP(D179,name!A:C,3,1)</f>
        <v>assets/icons/image326.png</v>
      </c>
    </row>
    <row r="180" spans="1:8" x14ac:dyDescent="0.15">
      <c r="A180">
        <f t="shared" si="16"/>
        <v>0</v>
      </c>
      <c r="B180">
        <f t="shared" si="16"/>
        <v>1</v>
      </c>
      <c r="C180">
        <f t="shared" si="17"/>
        <v>179</v>
      </c>
      <c r="D180">
        <f>D68</f>
        <v>0</v>
      </c>
      <c r="E180" t="str">
        <f>VLOOKUP(D180,name!A:B,2,1)</f>
        <v>Player</v>
      </c>
      <c r="F180">
        <f>F68</f>
        <v>0</v>
      </c>
      <c r="G180" t="str">
        <f t="shared" si="13"/>
        <v>q</v>
      </c>
      <c r="H180" t="str">
        <f>VLOOKUP(D180,name!A:C,3,1)</f>
        <v>assets/icons/image326.png</v>
      </c>
    </row>
    <row r="181" spans="1:8" x14ac:dyDescent="0.15">
      <c r="A181">
        <f t="shared" si="16"/>
        <v>0</v>
      </c>
      <c r="B181">
        <f t="shared" si="16"/>
        <v>1</v>
      </c>
      <c r="C181">
        <f t="shared" si="17"/>
        <v>180</v>
      </c>
      <c r="D181">
        <v>0</v>
      </c>
      <c r="E181" t="str">
        <f>VLOOKUP(D181,name!A:B,2,1)</f>
        <v>Player</v>
      </c>
      <c r="F181">
        <f>F68</f>
        <v>0</v>
      </c>
      <c r="G181" t="str">
        <f t="shared" si="13"/>
        <v>q</v>
      </c>
      <c r="H181" t="str">
        <f>VLOOKUP(D181,name!A:C,3,1)</f>
        <v>assets/icons/image326.png</v>
      </c>
    </row>
    <row r="182" spans="1:8" x14ac:dyDescent="0.15">
      <c r="A182">
        <f t="shared" ref="A182:B197" si="18">A181</f>
        <v>0</v>
      </c>
      <c r="B182">
        <f t="shared" si="18"/>
        <v>1</v>
      </c>
      <c r="C182">
        <f t="shared" si="17"/>
        <v>181</v>
      </c>
      <c r="D182">
        <f>D69</f>
        <v>0</v>
      </c>
      <c r="E182" t="str">
        <f>VLOOKUP(D182,name!A:B,2,1)</f>
        <v>Player</v>
      </c>
      <c r="F182">
        <f>F69</f>
        <v>0</v>
      </c>
      <c r="G182" t="str">
        <f t="shared" si="13"/>
        <v>q</v>
      </c>
      <c r="H182" t="str">
        <f>VLOOKUP(D182,name!A:C,3,1)</f>
        <v>assets/icons/image326.png</v>
      </c>
    </row>
    <row r="183" spans="1:8" x14ac:dyDescent="0.15">
      <c r="A183">
        <f t="shared" si="18"/>
        <v>0</v>
      </c>
      <c r="B183">
        <f t="shared" si="18"/>
        <v>1</v>
      </c>
      <c r="C183">
        <f t="shared" si="17"/>
        <v>182</v>
      </c>
      <c r="D183">
        <f>D70</f>
        <v>0</v>
      </c>
      <c r="E183" t="str">
        <f>VLOOKUP(D183,name!A:B,2,1)</f>
        <v>Player</v>
      </c>
      <c r="F183">
        <f>F70</f>
        <v>0</v>
      </c>
      <c r="G183" t="str">
        <f t="shared" si="13"/>
        <v>q</v>
      </c>
      <c r="H183" t="str">
        <f>VLOOKUP(D183,name!A:C,3,1)</f>
        <v>assets/icons/image326.png</v>
      </c>
    </row>
    <row r="184" spans="1:8" x14ac:dyDescent="0.15">
      <c r="A184">
        <f t="shared" si="18"/>
        <v>0</v>
      </c>
      <c r="B184">
        <f t="shared" si="18"/>
        <v>1</v>
      </c>
      <c r="C184">
        <f t="shared" si="17"/>
        <v>183</v>
      </c>
      <c r="D184">
        <v>0</v>
      </c>
      <c r="E184" t="str">
        <f>VLOOKUP(D184,name!A:B,2,1)</f>
        <v>Player</v>
      </c>
      <c r="F184">
        <f>F70</f>
        <v>0</v>
      </c>
      <c r="G184" t="str">
        <f t="shared" si="13"/>
        <v>q</v>
      </c>
      <c r="H184" t="str">
        <f>VLOOKUP(D184,name!A:C,3,1)</f>
        <v>assets/icons/image326.png</v>
      </c>
    </row>
    <row r="185" spans="1:8" x14ac:dyDescent="0.15">
      <c r="A185">
        <f t="shared" si="18"/>
        <v>0</v>
      </c>
      <c r="B185">
        <f t="shared" si="18"/>
        <v>1</v>
      </c>
      <c r="C185">
        <f t="shared" si="17"/>
        <v>184</v>
      </c>
      <c r="D185">
        <f>D71</f>
        <v>0</v>
      </c>
      <c r="E185" t="str">
        <f>VLOOKUP(D185,name!A:B,2,1)</f>
        <v>Player</v>
      </c>
      <c r="F185">
        <f>F71</f>
        <v>0</v>
      </c>
      <c r="G185" t="str">
        <f t="shared" si="13"/>
        <v>q</v>
      </c>
      <c r="H185" t="str">
        <f>VLOOKUP(D185,name!A:C,3,1)</f>
        <v>assets/icons/image326.png</v>
      </c>
    </row>
    <row r="186" spans="1:8" x14ac:dyDescent="0.15">
      <c r="A186">
        <f t="shared" si="18"/>
        <v>0</v>
      </c>
      <c r="B186">
        <f t="shared" si="18"/>
        <v>1</v>
      </c>
      <c r="C186">
        <f t="shared" si="17"/>
        <v>185</v>
      </c>
      <c r="D186">
        <f>D72</f>
        <v>0</v>
      </c>
      <c r="E186" t="str">
        <f>VLOOKUP(D186,name!A:B,2,1)</f>
        <v>Player</v>
      </c>
      <c r="F186">
        <f>F72</f>
        <v>0</v>
      </c>
      <c r="G186" t="str">
        <f t="shared" si="13"/>
        <v>q</v>
      </c>
      <c r="H186" t="str">
        <f>VLOOKUP(D186,name!A:C,3,1)</f>
        <v>assets/icons/image326.png</v>
      </c>
    </row>
    <row r="187" spans="1:8" x14ac:dyDescent="0.15">
      <c r="A187">
        <f t="shared" si="18"/>
        <v>0</v>
      </c>
      <c r="B187">
        <f t="shared" si="18"/>
        <v>1</v>
      </c>
      <c r="C187">
        <f t="shared" si="17"/>
        <v>186</v>
      </c>
      <c r="D187">
        <v>0</v>
      </c>
      <c r="E187" t="str">
        <f>VLOOKUP(D187,name!A:B,2,1)</f>
        <v>Player</v>
      </c>
      <c r="F187">
        <f>F72</f>
        <v>0</v>
      </c>
      <c r="G187" t="str">
        <f t="shared" si="13"/>
        <v>q</v>
      </c>
      <c r="H187" t="str">
        <f>VLOOKUP(D187,name!A:C,3,1)</f>
        <v>assets/icons/image326.png</v>
      </c>
    </row>
    <row r="188" spans="1:8" x14ac:dyDescent="0.15">
      <c r="A188">
        <f t="shared" si="18"/>
        <v>0</v>
      </c>
      <c r="B188">
        <f t="shared" si="18"/>
        <v>1</v>
      </c>
      <c r="C188">
        <f t="shared" si="17"/>
        <v>187</v>
      </c>
      <c r="D188">
        <f>D73</f>
        <v>0</v>
      </c>
      <c r="E188" t="str">
        <f>VLOOKUP(D188,name!A:B,2,1)</f>
        <v>Player</v>
      </c>
      <c r="F188">
        <f>F73</f>
        <v>0</v>
      </c>
      <c r="G188" t="str">
        <f t="shared" si="13"/>
        <v>q</v>
      </c>
      <c r="H188" t="str">
        <f>VLOOKUP(D188,name!A:C,3,1)</f>
        <v>assets/icons/image326.png</v>
      </c>
    </row>
    <row r="189" spans="1:8" x14ac:dyDescent="0.15">
      <c r="A189">
        <f t="shared" si="18"/>
        <v>0</v>
      </c>
      <c r="B189">
        <f t="shared" si="18"/>
        <v>1</v>
      </c>
      <c r="C189">
        <f t="shared" si="17"/>
        <v>188</v>
      </c>
      <c r="D189">
        <f>D74</f>
        <v>0</v>
      </c>
      <c r="E189" t="str">
        <f>VLOOKUP(D189,name!A:B,2,1)</f>
        <v>Player</v>
      </c>
      <c r="F189">
        <f>F74</f>
        <v>0</v>
      </c>
      <c r="G189" t="str">
        <f t="shared" si="13"/>
        <v>q</v>
      </c>
      <c r="H189" t="str">
        <f>VLOOKUP(D189,name!A:C,3,1)</f>
        <v>assets/icons/image326.png</v>
      </c>
    </row>
    <row r="190" spans="1:8" x14ac:dyDescent="0.15">
      <c r="A190">
        <f t="shared" si="18"/>
        <v>0</v>
      </c>
      <c r="B190">
        <f t="shared" si="18"/>
        <v>1</v>
      </c>
      <c r="C190">
        <f t="shared" si="17"/>
        <v>189</v>
      </c>
      <c r="D190">
        <v>0</v>
      </c>
      <c r="E190" t="str">
        <f>VLOOKUP(D190,name!A:B,2,1)</f>
        <v>Player</v>
      </c>
      <c r="F190">
        <f>F74</f>
        <v>0</v>
      </c>
      <c r="G190" t="str">
        <f t="shared" si="13"/>
        <v>q</v>
      </c>
      <c r="H190" t="str">
        <f>VLOOKUP(D190,name!A:C,3,1)</f>
        <v>assets/icons/image326.png</v>
      </c>
    </row>
    <row r="191" spans="1:8" x14ac:dyDescent="0.15">
      <c r="A191">
        <f t="shared" si="18"/>
        <v>0</v>
      </c>
      <c r="B191">
        <f t="shared" si="18"/>
        <v>1</v>
      </c>
      <c r="C191">
        <f t="shared" si="17"/>
        <v>190</v>
      </c>
      <c r="D191">
        <f>D75</f>
        <v>0</v>
      </c>
      <c r="E191" t="str">
        <f>VLOOKUP(D191,name!A:B,2,1)</f>
        <v>Player</v>
      </c>
      <c r="F191">
        <f>F75</f>
        <v>0</v>
      </c>
      <c r="G191" t="str">
        <f t="shared" si="13"/>
        <v>q</v>
      </c>
      <c r="H191" t="str">
        <f>VLOOKUP(D191,name!A:C,3,1)</f>
        <v>assets/icons/image326.png</v>
      </c>
    </row>
    <row r="192" spans="1:8" x14ac:dyDescent="0.15">
      <c r="A192">
        <f t="shared" si="18"/>
        <v>0</v>
      </c>
      <c r="B192">
        <f t="shared" si="18"/>
        <v>1</v>
      </c>
      <c r="C192">
        <f t="shared" si="17"/>
        <v>191</v>
      </c>
      <c r="D192">
        <f>D76</f>
        <v>0</v>
      </c>
      <c r="E192" t="str">
        <f>VLOOKUP(D192,name!A:B,2,1)</f>
        <v>Player</v>
      </c>
      <c r="F192">
        <f>F76</f>
        <v>0</v>
      </c>
      <c r="G192" t="str">
        <f t="shared" si="13"/>
        <v>q</v>
      </c>
      <c r="H192" t="str">
        <f>VLOOKUP(D192,name!A:C,3,1)</f>
        <v>assets/icons/image326.png</v>
      </c>
    </row>
    <row r="193" spans="1:8" x14ac:dyDescent="0.15">
      <c r="A193">
        <f t="shared" si="18"/>
        <v>0</v>
      </c>
      <c r="B193">
        <f t="shared" si="18"/>
        <v>1</v>
      </c>
      <c r="C193">
        <f t="shared" si="17"/>
        <v>192</v>
      </c>
      <c r="D193">
        <v>0</v>
      </c>
      <c r="E193" t="str">
        <f>VLOOKUP(D193,name!A:B,2,1)</f>
        <v>Player</v>
      </c>
      <c r="F193">
        <f>F76</f>
        <v>0</v>
      </c>
      <c r="G193" t="str">
        <f t="shared" si="13"/>
        <v>q</v>
      </c>
      <c r="H193" t="str">
        <f>VLOOKUP(D193,name!A:C,3,1)</f>
        <v>assets/icons/image326.png</v>
      </c>
    </row>
    <row r="194" spans="1:8" x14ac:dyDescent="0.15">
      <c r="A194">
        <f t="shared" si="18"/>
        <v>0</v>
      </c>
      <c r="B194">
        <f t="shared" si="18"/>
        <v>1</v>
      </c>
      <c r="C194">
        <f t="shared" si="17"/>
        <v>193</v>
      </c>
      <c r="D194">
        <f>D77</f>
        <v>0</v>
      </c>
      <c r="E194" t="str">
        <f>VLOOKUP(D194,name!A:B,2,1)</f>
        <v>Player</v>
      </c>
      <c r="F194">
        <f>F77</f>
        <v>0</v>
      </c>
      <c r="G194" t="str">
        <f t="shared" si="13"/>
        <v>q</v>
      </c>
      <c r="H194" t="str">
        <f>VLOOKUP(D194,name!A:C,3,1)</f>
        <v>assets/icons/image326.png</v>
      </c>
    </row>
    <row r="195" spans="1:8" x14ac:dyDescent="0.15">
      <c r="A195">
        <f t="shared" si="18"/>
        <v>0</v>
      </c>
      <c r="B195">
        <f t="shared" si="18"/>
        <v>1</v>
      </c>
      <c r="C195">
        <f t="shared" si="17"/>
        <v>194</v>
      </c>
      <c r="D195">
        <f>D78</f>
        <v>0</v>
      </c>
      <c r="E195" t="str">
        <f>VLOOKUP(D195,name!A:B,2,1)</f>
        <v>Player</v>
      </c>
      <c r="F195">
        <f>F78</f>
        <v>0</v>
      </c>
      <c r="G195" t="str">
        <f t="shared" si="13"/>
        <v>q</v>
      </c>
      <c r="H195" t="str">
        <f>VLOOKUP(D195,name!A:C,3,1)</f>
        <v>assets/icons/image326.png</v>
      </c>
    </row>
    <row r="196" spans="1:8" x14ac:dyDescent="0.15">
      <c r="A196">
        <f t="shared" si="18"/>
        <v>0</v>
      </c>
      <c r="B196">
        <f t="shared" si="18"/>
        <v>1</v>
      </c>
      <c r="C196">
        <f t="shared" si="17"/>
        <v>195</v>
      </c>
      <c r="D196">
        <v>0</v>
      </c>
      <c r="E196" t="str">
        <f>VLOOKUP(D196,name!A:B,2,1)</f>
        <v>Player</v>
      </c>
      <c r="F196">
        <f>F78</f>
        <v>0</v>
      </c>
      <c r="G196" t="str">
        <f t="shared" si="13"/>
        <v>q</v>
      </c>
      <c r="H196" t="str">
        <f>VLOOKUP(D196,name!A:C,3,1)</f>
        <v>assets/icons/image326.png</v>
      </c>
    </row>
    <row r="197" spans="1:8" x14ac:dyDescent="0.15">
      <c r="A197">
        <f t="shared" si="18"/>
        <v>0</v>
      </c>
      <c r="B197">
        <f t="shared" si="18"/>
        <v>1</v>
      </c>
      <c r="C197">
        <f t="shared" si="17"/>
        <v>196</v>
      </c>
      <c r="D197">
        <f>D79</f>
        <v>0</v>
      </c>
      <c r="E197" t="str">
        <f>VLOOKUP(D197,name!A:B,2,1)</f>
        <v>Player</v>
      </c>
      <c r="F197">
        <f>F79</f>
        <v>0</v>
      </c>
      <c r="G197" t="str">
        <f t="shared" ref="G197:G250" si="19">IF(B197&lt;&gt;B198,"e",IF(D197=0,"q","a"))</f>
        <v>q</v>
      </c>
      <c r="H197" t="str">
        <f>VLOOKUP(D197,name!A:C,3,1)</f>
        <v>assets/icons/image326.png</v>
      </c>
    </row>
    <row r="198" spans="1:8" x14ac:dyDescent="0.15">
      <c r="A198">
        <f t="shared" ref="A198:B205" si="20">A197</f>
        <v>0</v>
      </c>
      <c r="B198">
        <f t="shared" si="20"/>
        <v>1</v>
      </c>
      <c r="C198">
        <f t="shared" si="17"/>
        <v>197</v>
      </c>
      <c r="D198">
        <f>D80</f>
        <v>0</v>
      </c>
      <c r="E198" t="str">
        <f>VLOOKUP(D198,name!A:B,2,1)</f>
        <v>Player</v>
      </c>
      <c r="F198">
        <f>F80</f>
        <v>0</v>
      </c>
      <c r="G198" t="str">
        <f t="shared" si="19"/>
        <v>q</v>
      </c>
      <c r="H198" t="str">
        <f>VLOOKUP(D198,name!A:C,3,1)</f>
        <v>assets/icons/image326.png</v>
      </c>
    </row>
    <row r="199" spans="1:8" x14ac:dyDescent="0.15">
      <c r="A199">
        <f t="shared" si="20"/>
        <v>0</v>
      </c>
      <c r="B199">
        <f t="shared" si="20"/>
        <v>1</v>
      </c>
      <c r="C199">
        <f t="shared" si="17"/>
        <v>198</v>
      </c>
      <c r="D199">
        <v>0</v>
      </c>
      <c r="E199" t="str">
        <f>VLOOKUP(D199,name!A:B,2,1)</f>
        <v>Player</v>
      </c>
      <c r="F199">
        <f>F80</f>
        <v>0</v>
      </c>
      <c r="G199" t="str">
        <f t="shared" si="19"/>
        <v>q</v>
      </c>
      <c r="H199" t="str">
        <f>VLOOKUP(D199,name!A:C,3,1)</f>
        <v>assets/icons/image326.png</v>
      </c>
    </row>
    <row r="200" spans="1:8" x14ac:dyDescent="0.15">
      <c r="A200">
        <f t="shared" si="20"/>
        <v>0</v>
      </c>
      <c r="B200">
        <f t="shared" si="20"/>
        <v>1</v>
      </c>
      <c r="C200">
        <f t="shared" si="17"/>
        <v>199</v>
      </c>
      <c r="D200">
        <f>D81</f>
        <v>0</v>
      </c>
      <c r="E200" t="str">
        <f>VLOOKUP(D200,name!A:B,2,1)</f>
        <v>Player</v>
      </c>
      <c r="F200">
        <f>F81</f>
        <v>0</v>
      </c>
      <c r="G200" t="str">
        <f t="shared" si="19"/>
        <v>q</v>
      </c>
      <c r="H200" t="str">
        <f>VLOOKUP(D200,name!A:C,3,1)</f>
        <v>assets/icons/image326.png</v>
      </c>
    </row>
    <row r="201" spans="1:8" x14ac:dyDescent="0.15">
      <c r="A201">
        <f t="shared" si="20"/>
        <v>0</v>
      </c>
      <c r="B201">
        <f t="shared" si="20"/>
        <v>1</v>
      </c>
      <c r="C201">
        <f t="shared" si="17"/>
        <v>200</v>
      </c>
      <c r="D201">
        <f>D82</f>
        <v>0</v>
      </c>
      <c r="E201" t="str">
        <f>VLOOKUP(D201,name!A:B,2,1)</f>
        <v>Player</v>
      </c>
      <c r="F201">
        <f>F82</f>
        <v>0</v>
      </c>
      <c r="G201" t="str">
        <f t="shared" si="19"/>
        <v>q</v>
      </c>
      <c r="H201" t="str">
        <f>VLOOKUP(D201,name!A:C,3,1)</f>
        <v>assets/icons/image326.png</v>
      </c>
    </row>
    <row r="202" spans="1:8" x14ac:dyDescent="0.15">
      <c r="A202">
        <f t="shared" si="20"/>
        <v>0</v>
      </c>
      <c r="B202">
        <f t="shared" si="20"/>
        <v>1</v>
      </c>
      <c r="C202">
        <f t="shared" si="17"/>
        <v>201</v>
      </c>
      <c r="D202">
        <v>0</v>
      </c>
      <c r="E202" t="str">
        <f>VLOOKUP(D202,name!A:B,2,1)</f>
        <v>Player</v>
      </c>
      <c r="F202">
        <f>F82</f>
        <v>0</v>
      </c>
      <c r="G202" t="str">
        <f t="shared" si="19"/>
        <v>q</v>
      </c>
      <c r="H202" t="str">
        <f>VLOOKUP(D202,name!A:C,3,1)</f>
        <v>assets/icons/image326.png</v>
      </c>
    </row>
    <row r="203" spans="1:8" x14ac:dyDescent="0.15">
      <c r="A203">
        <f t="shared" si="20"/>
        <v>0</v>
      </c>
      <c r="B203">
        <f t="shared" si="20"/>
        <v>1</v>
      </c>
      <c r="C203">
        <f t="shared" si="17"/>
        <v>202</v>
      </c>
      <c r="D203">
        <f>D83</f>
        <v>0</v>
      </c>
      <c r="E203" t="str">
        <f>VLOOKUP(D203,name!A:B,2,1)</f>
        <v>Player</v>
      </c>
      <c r="F203">
        <f>F83</f>
        <v>0</v>
      </c>
      <c r="G203" t="str">
        <f t="shared" si="19"/>
        <v>q</v>
      </c>
      <c r="H203" t="str">
        <f>VLOOKUP(D203,name!A:C,3,1)</f>
        <v>assets/icons/image326.png</v>
      </c>
    </row>
    <row r="204" spans="1:8" x14ac:dyDescent="0.15">
      <c r="A204">
        <f t="shared" si="20"/>
        <v>0</v>
      </c>
      <c r="B204">
        <f t="shared" si="20"/>
        <v>1</v>
      </c>
      <c r="C204">
        <f t="shared" si="17"/>
        <v>203</v>
      </c>
      <c r="D204">
        <f>D84</f>
        <v>0</v>
      </c>
      <c r="E204" t="str">
        <f>VLOOKUP(D204,name!A:B,2,1)</f>
        <v>Player</v>
      </c>
      <c r="F204">
        <f>F84</f>
        <v>0</v>
      </c>
      <c r="G204" t="str">
        <f t="shared" si="19"/>
        <v>q</v>
      </c>
      <c r="H204" t="str">
        <f>VLOOKUP(D204,name!A:C,3,1)</f>
        <v>assets/icons/image326.png</v>
      </c>
    </row>
    <row r="205" spans="1:8" x14ac:dyDescent="0.15">
      <c r="A205">
        <f t="shared" si="20"/>
        <v>0</v>
      </c>
      <c r="B205">
        <f t="shared" si="20"/>
        <v>1</v>
      </c>
      <c r="C205">
        <f t="shared" si="17"/>
        <v>204</v>
      </c>
      <c r="D205">
        <v>0</v>
      </c>
      <c r="E205" t="str">
        <f>VLOOKUP(D205,name!A:B,2,1)</f>
        <v>Player</v>
      </c>
      <c r="F205">
        <f>F84</f>
        <v>0</v>
      </c>
      <c r="G205" t="str">
        <f t="shared" ref="G205:G206" si="21">IF(B205&lt;&gt;B206,"e",IF(D205=0,"q","a"))</f>
        <v>q</v>
      </c>
      <c r="H205" t="str">
        <f>VLOOKUP(D205,name!A:C,3,1)</f>
        <v>assets/icons/image326.png</v>
      </c>
    </row>
    <row r="206" spans="1:8" x14ac:dyDescent="0.15">
      <c r="A206">
        <f t="shared" ref="A206:B206" si="22">A205</f>
        <v>0</v>
      </c>
      <c r="B206">
        <f t="shared" si="22"/>
        <v>1</v>
      </c>
      <c r="C206">
        <f t="shared" si="17"/>
        <v>205</v>
      </c>
      <c r="D206">
        <v>1</v>
      </c>
      <c r="E206" t="str">
        <f>VLOOKUP(D206,name!A:B,2,1)</f>
        <v>Navigator</v>
      </c>
      <c r="F206" t="str">
        <f>"次の日本語を"&amp;A206&amp;"に訳して答えてね！"</f>
        <v>次の日本語を0に訳して答えてね！</v>
      </c>
      <c r="G206" t="str">
        <f t="shared" si="21"/>
        <v>a</v>
      </c>
      <c r="H206" t="str">
        <f>VLOOKUP(D206,name!A:C,3,1)</f>
        <v>assets/icons/image014.png</v>
      </c>
    </row>
    <row r="207" spans="1:8" x14ac:dyDescent="0.15">
      <c r="A207">
        <f t="shared" ref="A207:B207" si="23">A206</f>
        <v>0</v>
      </c>
      <c r="B207">
        <f t="shared" si="23"/>
        <v>1</v>
      </c>
      <c r="C207">
        <f t="shared" si="17"/>
        <v>206</v>
      </c>
      <c r="D207">
        <f>D5</f>
        <v>0</v>
      </c>
      <c r="E207" t="str">
        <f>VLOOKUP(D207,name!A:B,2,1)</f>
        <v>Player</v>
      </c>
      <c r="F207">
        <f>F5</f>
        <v>0</v>
      </c>
      <c r="G207" t="str">
        <f t="shared" si="19"/>
        <v>q</v>
      </c>
      <c r="H207" t="str">
        <f>VLOOKUP(D207,name!A:C,3,1)</f>
        <v>assets/icons/image326.png</v>
      </c>
    </row>
    <row r="208" spans="1:8" x14ac:dyDescent="0.15">
      <c r="A208">
        <f t="shared" ref="A208:B208" si="24">A207</f>
        <v>0</v>
      </c>
      <c r="B208">
        <f t="shared" si="24"/>
        <v>1</v>
      </c>
      <c r="C208">
        <f t="shared" si="17"/>
        <v>207</v>
      </c>
      <c r="D208">
        <v>0</v>
      </c>
      <c r="E208" t="str">
        <f>VLOOKUP(D208,name!A:B,2,1)</f>
        <v>Player</v>
      </c>
      <c r="F208">
        <f>F6</f>
        <v>0</v>
      </c>
      <c r="G208" t="str">
        <f t="shared" si="19"/>
        <v>q</v>
      </c>
      <c r="H208" t="str">
        <f>VLOOKUP(D208,name!A:C,3,1)</f>
        <v>assets/icons/image326.png</v>
      </c>
    </row>
    <row r="209" spans="1:8" x14ac:dyDescent="0.15">
      <c r="A209">
        <f t="shared" ref="A209:B209" si="25">A208</f>
        <v>0</v>
      </c>
      <c r="B209">
        <f t="shared" si="25"/>
        <v>1</v>
      </c>
      <c r="C209">
        <f t="shared" si="17"/>
        <v>208</v>
      </c>
      <c r="D209">
        <f t="shared" ref="D209:D271" si="26">D7</f>
        <v>0</v>
      </c>
      <c r="E209" t="str">
        <f>VLOOKUP(D209,name!A:B,2,1)</f>
        <v>Player</v>
      </c>
      <c r="F209">
        <f t="shared" ref="F209:F272" si="27">F7</f>
        <v>0</v>
      </c>
      <c r="G209" t="str">
        <f t="shared" si="19"/>
        <v>q</v>
      </c>
      <c r="H209" t="str">
        <f>VLOOKUP(D209,name!A:C,3,1)</f>
        <v>assets/icons/image326.png</v>
      </c>
    </row>
    <row r="210" spans="1:8" x14ac:dyDescent="0.15">
      <c r="A210">
        <f t="shared" ref="A210:B210" si="28">A209</f>
        <v>0</v>
      </c>
      <c r="B210">
        <f t="shared" si="28"/>
        <v>1</v>
      </c>
      <c r="C210">
        <f t="shared" si="17"/>
        <v>209</v>
      </c>
      <c r="D210">
        <v>0</v>
      </c>
      <c r="E210" t="str">
        <f>VLOOKUP(D210,name!A:B,2,1)</f>
        <v>Player</v>
      </c>
      <c r="F210">
        <f t="shared" si="27"/>
        <v>0</v>
      </c>
      <c r="G210" t="str">
        <f t="shared" si="19"/>
        <v>q</v>
      </c>
      <c r="H210" t="str">
        <f>VLOOKUP(D210,name!A:C,3,1)</f>
        <v>assets/icons/image326.png</v>
      </c>
    </row>
    <row r="211" spans="1:8" x14ac:dyDescent="0.15">
      <c r="A211">
        <f t="shared" ref="A211:B211" si="29">A210</f>
        <v>0</v>
      </c>
      <c r="B211">
        <f t="shared" si="29"/>
        <v>1</v>
      </c>
      <c r="C211">
        <f t="shared" si="17"/>
        <v>210</v>
      </c>
      <c r="D211">
        <f t="shared" si="26"/>
        <v>0</v>
      </c>
      <c r="E211" t="str">
        <f>VLOOKUP(D211,name!A:B,2,1)</f>
        <v>Player</v>
      </c>
      <c r="F211">
        <f t="shared" si="27"/>
        <v>0</v>
      </c>
      <c r="G211" t="str">
        <f t="shared" si="19"/>
        <v>q</v>
      </c>
      <c r="H211" t="str">
        <f>VLOOKUP(D211,name!A:C,3,1)</f>
        <v>assets/icons/image326.png</v>
      </c>
    </row>
    <row r="212" spans="1:8" x14ac:dyDescent="0.15">
      <c r="A212">
        <f t="shared" ref="A212:B212" si="30">A211</f>
        <v>0</v>
      </c>
      <c r="B212">
        <f t="shared" si="30"/>
        <v>1</v>
      </c>
      <c r="C212">
        <f t="shared" si="17"/>
        <v>211</v>
      </c>
      <c r="D212">
        <v>0</v>
      </c>
      <c r="E212" t="str">
        <f>VLOOKUP(D212,name!A:B,2,1)</f>
        <v>Player</v>
      </c>
      <c r="F212">
        <f t="shared" si="27"/>
        <v>0</v>
      </c>
      <c r="G212" t="str">
        <f t="shared" si="19"/>
        <v>q</v>
      </c>
      <c r="H212" t="str">
        <f>VLOOKUP(D212,name!A:C,3,1)</f>
        <v>assets/icons/image326.png</v>
      </c>
    </row>
    <row r="213" spans="1:8" x14ac:dyDescent="0.15">
      <c r="A213">
        <f t="shared" ref="A213:B213" si="31">A212</f>
        <v>0</v>
      </c>
      <c r="B213">
        <f t="shared" si="31"/>
        <v>1</v>
      </c>
      <c r="C213">
        <f t="shared" si="17"/>
        <v>212</v>
      </c>
      <c r="D213">
        <f t="shared" si="26"/>
        <v>0</v>
      </c>
      <c r="E213" t="str">
        <f>VLOOKUP(D213,name!A:B,2,1)</f>
        <v>Player</v>
      </c>
      <c r="F213">
        <f t="shared" si="27"/>
        <v>0</v>
      </c>
      <c r="G213" t="str">
        <f t="shared" si="19"/>
        <v>q</v>
      </c>
      <c r="H213" t="str">
        <f>VLOOKUP(D213,name!A:C,3,1)</f>
        <v>assets/icons/image326.png</v>
      </c>
    </row>
    <row r="214" spans="1:8" x14ac:dyDescent="0.15">
      <c r="A214">
        <f t="shared" ref="A214:B214" si="32">A213</f>
        <v>0</v>
      </c>
      <c r="B214">
        <f t="shared" si="32"/>
        <v>1</v>
      </c>
      <c r="C214">
        <f t="shared" si="17"/>
        <v>213</v>
      </c>
      <c r="D214">
        <v>0</v>
      </c>
      <c r="E214" t="str">
        <f>VLOOKUP(D214,name!A:B,2,1)</f>
        <v>Player</v>
      </c>
      <c r="F214">
        <f t="shared" si="27"/>
        <v>0</v>
      </c>
      <c r="G214" t="str">
        <f t="shared" si="19"/>
        <v>q</v>
      </c>
      <c r="H214" t="str">
        <f>VLOOKUP(D214,name!A:C,3,1)</f>
        <v>assets/icons/image326.png</v>
      </c>
    </row>
    <row r="215" spans="1:8" x14ac:dyDescent="0.15">
      <c r="A215">
        <f t="shared" ref="A215:B215" si="33">A214</f>
        <v>0</v>
      </c>
      <c r="B215">
        <f t="shared" si="33"/>
        <v>1</v>
      </c>
      <c r="C215">
        <f t="shared" si="17"/>
        <v>214</v>
      </c>
      <c r="D215">
        <f t="shared" si="26"/>
        <v>0</v>
      </c>
      <c r="E215" t="str">
        <f>VLOOKUP(D215,name!A:B,2,1)</f>
        <v>Player</v>
      </c>
      <c r="F215">
        <f t="shared" si="27"/>
        <v>0</v>
      </c>
      <c r="G215" t="str">
        <f t="shared" si="19"/>
        <v>q</v>
      </c>
      <c r="H215" t="str">
        <f>VLOOKUP(D215,name!A:C,3,1)</f>
        <v>assets/icons/image326.png</v>
      </c>
    </row>
    <row r="216" spans="1:8" x14ac:dyDescent="0.15">
      <c r="A216">
        <f t="shared" ref="A216:B216" si="34">A215</f>
        <v>0</v>
      </c>
      <c r="B216">
        <f t="shared" si="34"/>
        <v>1</v>
      </c>
      <c r="C216">
        <f t="shared" si="17"/>
        <v>215</v>
      </c>
      <c r="D216">
        <v>0</v>
      </c>
      <c r="E216" t="str">
        <f>VLOOKUP(D216,name!A:B,2,1)</f>
        <v>Player</v>
      </c>
      <c r="F216">
        <f t="shared" si="27"/>
        <v>0</v>
      </c>
      <c r="G216" t="str">
        <f t="shared" si="19"/>
        <v>q</v>
      </c>
      <c r="H216" t="str">
        <f>VLOOKUP(D216,name!A:C,3,1)</f>
        <v>assets/icons/image326.png</v>
      </c>
    </row>
    <row r="217" spans="1:8" x14ac:dyDescent="0.15">
      <c r="A217">
        <f t="shared" ref="A217:B217" si="35">A216</f>
        <v>0</v>
      </c>
      <c r="B217">
        <f t="shared" si="35"/>
        <v>1</v>
      </c>
      <c r="C217">
        <f t="shared" si="17"/>
        <v>216</v>
      </c>
      <c r="D217">
        <f t="shared" si="26"/>
        <v>0</v>
      </c>
      <c r="E217" t="str">
        <f>VLOOKUP(D217,name!A:B,2,1)</f>
        <v>Player</v>
      </c>
      <c r="F217">
        <f t="shared" si="27"/>
        <v>0</v>
      </c>
      <c r="G217" t="str">
        <f t="shared" si="19"/>
        <v>q</v>
      </c>
      <c r="H217" t="str">
        <f>VLOOKUP(D217,name!A:C,3,1)</f>
        <v>assets/icons/image326.png</v>
      </c>
    </row>
    <row r="218" spans="1:8" x14ac:dyDescent="0.15">
      <c r="A218">
        <f t="shared" ref="A218:B218" si="36">A217</f>
        <v>0</v>
      </c>
      <c r="B218">
        <f t="shared" si="36"/>
        <v>1</v>
      </c>
      <c r="C218">
        <f t="shared" si="17"/>
        <v>217</v>
      </c>
      <c r="D218">
        <v>0</v>
      </c>
      <c r="E218" t="str">
        <f>VLOOKUP(D218,name!A:B,2,1)</f>
        <v>Player</v>
      </c>
      <c r="F218">
        <f t="shared" si="27"/>
        <v>0</v>
      </c>
      <c r="G218" t="str">
        <f t="shared" si="19"/>
        <v>q</v>
      </c>
      <c r="H218" t="str">
        <f>VLOOKUP(D218,name!A:C,3,1)</f>
        <v>assets/icons/image326.png</v>
      </c>
    </row>
    <row r="219" spans="1:8" x14ac:dyDescent="0.15">
      <c r="A219">
        <f t="shared" ref="A219:B219" si="37">A218</f>
        <v>0</v>
      </c>
      <c r="B219">
        <f t="shared" si="37"/>
        <v>1</v>
      </c>
      <c r="C219">
        <f t="shared" si="17"/>
        <v>218</v>
      </c>
      <c r="D219">
        <f t="shared" si="26"/>
        <v>0</v>
      </c>
      <c r="E219" t="str">
        <f>VLOOKUP(D219,name!A:B,2,1)</f>
        <v>Player</v>
      </c>
      <c r="F219">
        <f t="shared" si="27"/>
        <v>0</v>
      </c>
      <c r="G219" t="str">
        <f t="shared" si="19"/>
        <v>q</v>
      </c>
      <c r="H219" t="str">
        <f>VLOOKUP(D219,name!A:C,3,1)</f>
        <v>assets/icons/image326.png</v>
      </c>
    </row>
    <row r="220" spans="1:8" x14ac:dyDescent="0.15">
      <c r="A220">
        <f t="shared" ref="A220:B220" si="38">A219</f>
        <v>0</v>
      </c>
      <c r="B220">
        <f t="shared" si="38"/>
        <v>1</v>
      </c>
      <c r="C220">
        <f t="shared" si="17"/>
        <v>219</v>
      </c>
      <c r="D220">
        <v>0</v>
      </c>
      <c r="E220" t="str">
        <f>VLOOKUP(D220,name!A:B,2,1)</f>
        <v>Player</v>
      </c>
      <c r="F220">
        <f t="shared" si="27"/>
        <v>0</v>
      </c>
      <c r="G220" t="str">
        <f t="shared" si="19"/>
        <v>q</v>
      </c>
      <c r="H220" t="str">
        <f>VLOOKUP(D220,name!A:C,3,1)</f>
        <v>assets/icons/image326.png</v>
      </c>
    </row>
    <row r="221" spans="1:8" x14ac:dyDescent="0.15">
      <c r="A221">
        <f t="shared" ref="A221:B221" si="39">A220</f>
        <v>0</v>
      </c>
      <c r="B221">
        <f t="shared" si="39"/>
        <v>1</v>
      </c>
      <c r="C221">
        <f t="shared" si="17"/>
        <v>220</v>
      </c>
      <c r="D221">
        <f t="shared" si="26"/>
        <v>0</v>
      </c>
      <c r="E221" t="str">
        <f>VLOOKUP(D221,name!A:B,2,1)</f>
        <v>Player</v>
      </c>
      <c r="F221">
        <f t="shared" si="27"/>
        <v>0</v>
      </c>
      <c r="G221" t="str">
        <f t="shared" si="19"/>
        <v>q</v>
      </c>
      <c r="H221" t="str">
        <f>VLOOKUP(D221,name!A:C,3,1)</f>
        <v>assets/icons/image326.png</v>
      </c>
    </row>
    <row r="222" spans="1:8" x14ac:dyDescent="0.15">
      <c r="A222">
        <f t="shared" ref="A222:B222" si="40">A221</f>
        <v>0</v>
      </c>
      <c r="B222">
        <f t="shared" si="40"/>
        <v>1</v>
      </c>
      <c r="C222">
        <f t="shared" si="17"/>
        <v>221</v>
      </c>
      <c r="D222">
        <v>0</v>
      </c>
      <c r="E222" t="str">
        <f>VLOOKUP(D222,name!A:B,2,1)</f>
        <v>Player</v>
      </c>
      <c r="F222">
        <f t="shared" si="27"/>
        <v>0</v>
      </c>
      <c r="G222" t="str">
        <f t="shared" si="19"/>
        <v>q</v>
      </c>
      <c r="H222" t="str">
        <f>VLOOKUP(D222,name!A:C,3,1)</f>
        <v>assets/icons/image326.png</v>
      </c>
    </row>
    <row r="223" spans="1:8" x14ac:dyDescent="0.15">
      <c r="A223">
        <f t="shared" ref="A223:B223" si="41">A222</f>
        <v>0</v>
      </c>
      <c r="B223">
        <f t="shared" si="41"/>
        <v>1</v>
      </c>
      <c r="C223">
        <f t="shared" si="17"/>
        <v>222</v>
      </c>
      <c r="D223">
        <f t="shared" si="26"/>
        <v>0</v>
      </c>
      <c r="E223" t="str">
        <f>VLOOKUP(D223,name!A:B,2,1)</f>
        <v>Player</v>
      </c>
      <c r="F223">
        <f t="shared" si="27"/>
        <v>0</v>
      </c>
      <c r="G223" t="str">
        <f t="shared" si="19"/>
        <v>q</v>
      </c>
      <c r="H223" t="str">
        <f>VLOOKUP(D223,name!A:C,3,1)</f>
        <v>assets/icons/image326.png</v>
      </c>
    </row>
    <row r="224" spans="1:8" x14ac:dyDescent="0.15">
      <c r="A224">
        <f t="shared" ref="A224:B224" si="42">A223</f>
        <v>0</v>
      </c>
      <c r="B224">
        <f t="shared" si="42"/>
        <v>1</v>
      </c>
      <c r="C224">
        <f t="shared" si="17"/>
        <v>223</v>
      </c>
      <c r="D224">
        <v>0</v>
      </c>
      <c r="E224" t="str">
        <f>VLOOKUP(D224,name!A:B,2,1)</f>
        <v>Player</v>
      </c>
      <c r="F224">
        <f t="shared" si="27"/>
        <v>0</v>
      </c>
      <c r="G224" t="str">
        <f t="shared" si="19"/>
        <v>q</v>
      </c>
      <c r="H224" t="str">
        <f>VLOOKUP(D224,name!A:C,3,1)</f>
        <v>assets/icons/image326.png</v>
      </c>
    </row>
    <row r="225" spans="1:8" x14ac:dyDescent="0.15">
      <c r="A225">
        <f t="shared" ref="A225:B225" si="43">A224</f>
        <v>0</v>
      </c>
      <c r="B225">
        <f t="shared" si="43"/>
        <v>1</v>
      </c>
      <c r="C225">
        <f t="shared" si="17"/>
        <v>224</v>
      </c>
      <c r="D225">
        <f t="shared" si="26"/>
        <v>0</v>
      </c>
      <c r="E225" t="str">
        <f>VLOOKUP(D225,name!A:B,2,1)</f>
        <v>Player</v>
      </c>
      <c r="F225">
        <f t="shared" si="27"/>
        <v>0</v>
      </c>
      <c r="G225" t="str">
        <f t="shared" si="19"/>
        <v>q</v>
      </c>
      <c r="H225" t="str">
        <f>VLOOKUP(D225,name!A:C,3,1)</f>
        <v>assets/icons/image326.png</v>
      </c>
    </row>
    <row r="226" spans="1:8" x14ac:dyDescent="0.15">
      <c r="A226">
        <f t="shared" ref="A226:B226" si="44">A225</f>
        <v>0</v>
      </c>
      <c r="B226">
        <f t="shared" si="44"/>
        <v>1</v>
      </c>
      <c r="C226">
        <f t="shared" si="17"/>
        <v>225</v>
      </c>
      <c r="D226">
        <v>0</v>
      </c>
      <c r="E226" t="str">
        <f>VLOOKUP(D226,name!A:B,2,1)</f>
        <v>Player</v>
      </c>
      <c r="F226">
        <f t="shared" si="27"/>
        <v>0</v>
      </c>
      <c r="G226" t="str">
        <f t="shared" si="19"/>
        <v>q</v>
      </c>
      <c r="H226" t="str">
        <f>VLOOKUP(D226,name!A:C,3,1)</f>
        <v>assets/icons/image326.png</v>
      </c>
    </row>
    <row r="227" spans="1:8" x14ac:dyDescent="0.15">
      <c r="A227">
        <f t="shared" ref="A227:B227" si="45">A226</f>
        <v>0</v>
      </c>
      <c r="B227">
        <f t="shared" si="45"/>
        <v>1</v>
      </c>
      <c r="C227">
        <f t="shared" si="17"/>
        <v>226</v>
      </c>
      <c r="D227">
        <f t="shared" si="26"/>
        <v>0</v>
      </c>
      <c r="E227" t="str">
        <f>VLOOKUP(D227,name!A:B,2,1)</f>
        <v>Player</v>
      </c>
      <c r="F227">
        <f t="shared" si="27"/>
        <v>0</v>
      </c>
      <c r="G227" t="str">
        <f t="shared" si="19"/>
        <v>q</v>
      </c>
      <c r="H227" t="str">
        <f>VLOOKUP(D227,name!A:C,3,1)</f>
        <v>assets/icons/image326.png</v>
      </c>
    </row>
    <row r="228" spans="1:8" x14ac:dyDescent="0.15">
      <c r="A228">
        <f t="shared" ref="A228:B228" si="46">A227</f>
        <v>0</v>
      </c>
      <c r="B228">
        <f t="shared" si="46"/>
        <v>1</v>
      </c>
      <c r="C228">
        <f t="shared" si="17"/>
        <v>227</v>
      </c>
      <c r="D228">
        <v>0</v>
      </c>
      <c r="E228" t="str">
        <f>VLOOKUP(D228,name!A:B,2,1)</f>
        <v>Player</v>
      </c>
      <c r="F228">
        <f t="shared" si="27"/>
        <v>0</v>
      </c>
      <c r="G228" t="str">
        <f t="shared" si="19"/>
        <v>q</v>
      </c>
      <c r="H228" t="str">
        <f>VLOOKUP(D228,name!A:C,3,1)</f>
        <v>assets/icons/image326.png</v>
      </c>
    </row>
    <row r="229" spans="1:8" x14ac:dyDescent="0.15">
      <c r="A229">
        <f t="shared" ref="A229:B229" si="47">A228</f>
        <v>0</v>
      </c>
      <c r="B229">
        <f t="shared" si="47"/>
        <v>1</v>
      </c>
      <c r="C229">
        <f t="shared" si="17"/>
        <v>228</v>
      </c>
      <c r="D229">
        <f t="shared" si="26"/>
        <v>0</v>
      </c>
      <c r="E229" t="str">
        <f>VLOOKUP(D229,name!A:B,2,1)</f>
        <v>Player</v>
      </c>
      <c r="F229">
        <f t="shared" si="27"/>
        <v>0</v>
      </c>
      <c r="G229" t="str">
        <f t="shared" si="19"/>
        <v>q</v>
      </c>
      <c r="H229" t="str">
        <f>VLOOKUP(D229,name!A:C,3,1)</f>
        <v>assets/icons/image326.png</v>
      </c>
    </row>
    <row r="230" spans="1:8" x14ac:dyDescent="0.15">
      <c r="A230">
        <f t="shared" ref="A230:B230" si="48">A229</f>
        <v>0</v>
      </c>
      <c r="B230">
        <f t="shared" si="48"/>
        <v>1</v>
      </c>
      <c r="C230">
        <f t="shared" si="17"/>
        <v>229</v>
      </c>
      <c r="D230">
        <v>0</v>
      </c>
      <c r="E230" t="str">
        <f>VLOOKUP(D230,name!A:B,2,1)</f>
        <v>Player</v>
      </c>
      <c r="F230">
        <f t="shared" si="27"/>
        <v>0</v>
      </c>
      <c r="G230" t="str">
        <f t="shared" si="19"/>
        <v>q</v>
      </c>
      <c r="H230" t="str">
        <f>VLOOKUP(D230,name!A:C,3,1)</f>
        <v>assets/icons/image326.png</v>
      </c>
    </row>
    <row r="231" spans="1:8" x14ac:dyDescent="0.15">
      <c r="A231">
        <f t="shared" ref="A231:B231" si="49">A230</f>
        <v>0</v>
      </c>
      <c r="B231">
        <f t="shared" si="49"/>
        <v>1</v>
      </c>
      <c r="C231">
        <f t="shared" si="17"/>
        <v>230</v>
      </c>
      <c r="D231">
        <f t="shared" si="26"/>
        <v>0</v>
      </c>
      <c r="E231" t="str">
        <f>VLOOKUP(D231,name!A:B,2,1)</f>
        <v>Player</v>
      </c>
      <c r="F231">
        <f t="shared" si="27"/>
        <v>0</v>
      </c>
      <c r="G231" t="str">
        <f t="shared" si="19"/>
        <v>q</v>
      </c>
      <c r="H231" t="str">
        <f>VLOOKUP(D231,name!A:C,3,1)</f>
        <v>assets/icons/image326.png</v>
      </c>
    </row>
    <row r="232" spans="1:8" x14ac:dyDescent="0.15">
      <c r="A232">
        <f t="shared" ref="A232:B232" si="50">A231</f>
        <v>0</v>
      </c>
      <c r="B232">
        <f t="shared" si="50"/>
        <v>1</v>
      </c>
      <c r="C232">
        <f t="shared" si="17"/>
        <v>231</v>
      </c>
      <c r="D232">
        <v>0</v>
      </c>
      <c r="E232" t="str">
        <f>VLOOKUP(D232,name!A:B,2,1)</f>
        <v>Player</v>
      </c>
      <c r="F232">
        <f t="shared" si="27"/>
        <v>0</v>
      </c>
      <c r="G232" t="str">
        <f t="shared" si="19"/>
        <v>q</v>
      </c>
      <c r="H232" t="str">
        <f>VLOOKUP(D232,name!A:C,3,1)</f>
        <v>assets/icons/image326.png</v>
      </c>
    </row>
    <row r="233" spans="1:8" x14ac:dyDescent="0.15">
      <c r="A233">
        <f t="shared" ref="A233:B233" si="51">A232</f>
        <v>0</v>
      </c>
      <c r="B233">
        <f t="shared" si="51"/>
        <v>1</v>
      </c>
      <c r="C233">
        <f t="shared" si="17"/>
        <v>232</v>
      </c>
      <c r="D233">
        <f t="shared" si="26"/>
        <v>0</v>
      </c>
      <c r="E233" t="str">
        <f>VLOOKUP(D233,name!A:B,2,1)</f>
        <v>Player</v>
      </c>
      <c r="F233">
        <f t="shared" si="27"/>
        <v>0</v>
      </c>
      <c r="G233" t="str">
        <f t="shared" si="19"/>
        <v>q</v>
      </c>
      <c r="H233" t="str">
        <f>VLOOKUP(D233,name!A:C,3,1)</f>
        <v>assets/icons/image326.png</v>
      </c>
    </row>
    <row r="234" spans="1:8" x14ac:dyDescent="0.15">
      <c r="A234">
        <f t="shared" ref="A234:B234" si="52">A233</f>
        <v>0</v>
      </c>
      <c r="B234">
        <f t="shared" si="52"/>
        <v>1</v>
      </c>
      <c r="C234">
        <f t="shared" si="17"/>
        <v>233</v>
      </c>
      <c r="D234">
        <v>0</v>
      </c>
      <c r="E234" t="str">
        <f>VLOOKUP(D234,name!A:B,2,1)</f>
        <v>Player</v>
      </c>
      <c r="F234">
        <f t="shared" si="27"/>
        <v>0</v>
      </c>
      <c r="G234" t="str">
        <f t="shared" si="19"/>
        <v>q</v>
      </c>
      <c r="H234" t="str">
        <f>VLOOKUP(D234,name!A:C,3,1)</f>
        <v>assets/icons/image326.png</v>
      </c>
    </row>
    <row r="235" spans="1:8" x14ac:dyDescent="0.15">
      <c r="A235">
        <f t="shared" ref="A235:B235" si="53">A234</f>
        <v>0</v>
      </c>
      <c r="B235">
        <f t="shared" si="53"/>
        <v>1</v>
      </c>
      <c r="C235">
        <f t="shared" ref="C235:C287" si="54">C234+1</f>
        <v>234</v>
      </c>
      <c r="D235">
        <f t="shared" si="26"/>
        <v>0</v>
      </c>
      <c r="E235" t="str">
        <f>VLOOKUP(D235,name!A:B,2,1)</f>
        <v>Player</v>
      </c>
      <c r="F235">
        <f t="shared" si="27"/>
        <v>0</v>
      </c>
      <c r="G235" t="str">
        <f t="shared" si="19"/>
        <v>q</v>
      </c>
      <c r="H235" t="str">
        <f>VLOOKUP(D235,name!A:C,3,1)</f>
        <v>assets/icons/image326.png</v>
      </c>
    </row>
    <row r="236" spans="1:8" x14ac:dyDescent="0.15">
      <c r="A236">
        <f t="shared" ref="A236:B236" si="55">A235</f>
        <v>0</v>
      </c>
      <c r="B236">
        <f t="shared" si="55"/>
        <v>1</v>
      </c>
      <c r="C236">
        <f t="shared" si="54"/>
        <v>235</v>
      </c>
      <c r="D236">
        <v>0</v>
      </c>
      <c r="E236" t="str">
        <f>VLOOKUP(D236,name!A:B,2,1)</f>
        <v>Player</v>
      </c>
      <c r="F236">
        <f t="shared" si="27"/>
        <v>0</v>
      </c>
      <c r="G236" t="str">
        <f t="shared" si="19"/>
        <v>q</v>
      </c>
      <c r="H236" t="str">
        <f>VLOOKUP(D236,name!A:C,3,1)</f>
        <v>assets/icons/image326.png</v>
      </c>
    </row>
    <row r="237" spans="1:8" x14ac:dyDescent="0.15">
      <c r="A237">
        <f t="shared" ref="A237:B237" si="56">A236</f>
        <v>0</v>
      </c>
      <c r="B237">
        <f t="shared" si="56"/>
        <v>1</v>
      </c>
      <c r="C237">
        <f t="shared" si="54"/>
        <v>236</v>
      </c>
      <c r="D237">
        <f t="shared" si="26"/>
        <v>0</v>
      </c>
      <c r="E237" t="str">
        <f>VLOOKUP(D237,name!A:B,2,1)</f>
        <v>Player</v>
      </c>
      <c r="F237">
        <f t="shared" si="27"/>
        <v>0</v>
      </c>
      <c r="G237" t="str">
        <f t="shared" si="19"/>
        <v>q</v>
      </c>
      <c r="H237" t="str">
        <f>VLOOKUP(D237,name!A:C,3,1)</f>
        <v>assets/icons/image326.png</v>
      </c>
    </row>
    <row r="238" spans="1:8" x14ac:dyDescent="0.15">
      <c r="A238">
        <f t="shared" ref="A238:B238" si="57">A237</f>
        <v>0</v>
      </c>
      <c r="B238">
        <f t="shared" si="57"/>
        <v>1</v>
      </c>
      <c r="C238">
        <f t="shared" si="54"/>
        <v>237</v>
      </c>
      <c r="D238">
        <v>0</v>
      </c>
      <c r="E238" t="str">
        <f>VLOOKUP(D238,name!A:B,2,1)</f>
        <v>Player</v>
      </c>
      <c r="F238">
        <f t="shared" si="27"/>
        <v>0</v>
      </c>
      <c r="G238" t="str">
        <f t="shared" si="19"/>
        <v>q</v>
      </c>
      <c r="H238" t="str">
        <f>VLOOKUP(D238,name!A:C,3,1)</f>
        <v>assets/icons/image326.png</v>
      </c>
    </row>
    <row r="239" spans="1:8" x14ac:dyDescent="0.15">
      <c r="A239">
        <f t="shared" ref="A239:B239" si="58">A238</f>
        <v>0</v>
      </c>
      <c r="B239">
        <f t="shared" si="58"/>
        <v>1</v>
      </c>
      <c r="C239">
        <f t="shared" si="54"/>
        <v>238</v>
      </c>
      <c r="D239">
        <f t="shared" si="26"/>
        <v>0</v>
      </c>
      <c r="E239" t="str">
        <f>VLOOKUP(D239,name!A:B,2,1)</f>
        <v>Player</v>
      </c>
      <c r="F239">
        <f t="shared" si="27"/>
        <v>0</v>
      </c>
      <c r="G239" t="str">
        <f t="shared" si="19"/>
        <v>q</v>
      </c>
      <c r="H239" t="str">
        <f>VLOOKUP(D239,name!A:C,3,1)</f>
        <v>assets/icons/image326.png</v>
      </c>
    </row>
    <row r="240" spans="1:8" x14ac:dyDescent="0.15">
      <c r="A240">
        <f t="shared" ref="A240:B240" si="59">A239</f>
        <v>0</v>
      </c>
      <c r="B240">
        <f t="shared" si="59"/>
        <v>1</v>
      </c>
      <c r="C240">
        <f t="shared" si="54"/>
        <v>239</v>
      </c>
      <c r="D240">
        <v>0</v>
      </c>
      <c r="E240" t="str">
        <f>VLOOKUP(D240,name!A:B,2,1)</f>
        <v>Player</v>
      </c>
      <c r="F240">
        <f t="shared" si="27"/>
        <v>0</v>
      </c>
      <c r="G240" t="str">
        <f t="shared" si="19"/>
        <v>q</v>
      </c>
      <c r="H240" t="str">
        <f>VLOOKUP(D240,name!A:C,3,1)</f>
        <v>assets/icons/image326.png</v>
      </c>
    </row>
    <row r="241" spans="1:8" x14ac:dyDescent="0.15">
      <c r="A241">
        <f t="shared" ref="A241:B241" si="60">A240</f>
        <v>0</v>
      </c>
      <c r="B241">
        <f t="shared" si="60"/>
        <v>1</v>
      </c>
      <c r="C241">
        <f t="shared" si="54"/>
        <v>240</v>
      </c>
      <c r="D241">
        <f t="shared" si="26"/>
        <v>0</v>
      </c>
      <c r="E241" t="str">
        <f>VLOOKUP(D241,name!A:B,2,1)</f>
        <v>Player</v>
      </c>
      <c r="F241">
        <f t="shared" si="27"/>
        <v>0</v>
      </c>
      <c r="G241" t="str">
        <f t="shared" si="19"/>
        <v>q</v>
      </c>
      <c r="H241" t="str">
        <f>VLOOKUP(D241,name!A:C,3,1)</f>
        <v>assets/icons/image326.png</v>
      </c>
    </row>
    <row r="242" spans="1:8" x14ac:dyDescent="0.15">
      <c r="A242">
        <f t="shared" ref="A242:B242" si="61">A241</f>
        <v>0</v>
      </c>
      <c r="B242">
        <f t="shared" si="61"/>
        <v>1</v>
      </c>
      <c r="C242">
        <f t="shared" si="54"/>
        <v>241</v>
      </c>
      <c r="D242">
        <v>0</v>
      </c>
      <c r="E242" t="str">
        <f>VLOOKUP(D242,name!A:B,2,1)</f>
        <v>Player</v>
      </c>
      <c r="F242">
        <f t="shared" si="27"/>
        <v>0</v>
      </c>
      <c r="G242" t="str">
        <f t="shared" si="19"/>
        <v>q</v>
      </c>
      <c r="H242" t="str">
        <f>VLOOKUP(D242,name!A:C,3,1)</f>
        <v>assets/icons/image326.png</v>
      </c>
    </row>
    <row r="243" spans="1:8" x14ac:dyDescent="0.15">
      <c r="A243">
        <f t="shared" ref="A243:B243" si="62">A242</f>
        <v>0</v>
      </c>
      <c r="B243">
        <f t="shared" si="62"/>
        <v>1</v>
      </c>
      <c r="C243">
        <f t="shared" si="54"/>
        <v>242</v>
      </c>
      <c r="D243">
        <f t="shared" si="26"/>
        <v>0</v>
      </c>
      <c r="E243" t="str">
        <f>VLOOKUP(D243,name!A:B,2,1)</f>
        <v>Player</v>
      </c>
      <c r="F243">
        <f t="shared" si="27"/>
        <v>0</v>
      </c>
      <c r="G243" t="str">
        <f t="shared" si="19"/>
        <v>q</v>
      </c>
      <c r="H243" t="str">
        <f>VLOOKUP(D243,name!A:C,3,1)</f>
        <v>assets/icons/image326.png</v>
      </c>
    </row>
    <row r="244" spans="1:8" x14ac:dyDescent="0.15">
      <c r="A244">
        <f t="shared" ref="A244:B244" si="63">A243</f>
        <v>0</v>
      </c>
      <c r="B244">
        <f t="shared" si="63"/>
        <v>1</v>
      </c>
      <c r="C244">
        <f t="shared" si="54"/>
        <v>243</v>
      </c>
      <c r="D244">
        <v>0</v>
      </c>
      <c r="E244" t="str">
        <f>VLOOKUP(D244,name!A:B,2,1)</f>
        <v>Player</v>
      </c>
      <c r="F244">
        <f t="shared" si="27"/>
        <v>0</v>
      </c>
      <c r="G244" t="str">
        <f t="shared" si="19"/>
        <v>q</v>
      </c>
      <c r="H244" t="str">
        <f>VLOOKUP(D244,name!A:C,3,1)</f>
        <v>assets/icons/image326.png</v>
      </c>
    </row>
    <row r="245" spans="1:8" x14ac:dyDescent="0.15">
      <c r="A245">
        <f t="shared" ref="A245:B245" si="64">A244</f>
        <v>0</v>
      </c>
      <c r="B245">
        <f t="shared" si="64"/>
        <v>1</v>
      </c>
      <c r="C245">
        <f t="shared" si="54"/>
        <v>244</v>
      </c>
      <c r="D245">
        <f t="shared" si="26"/>
        <v>0</v>
      </c>
      <c r="E245" t="str">
        <f>VLOOKUP(D245,name!A:B,2,1)</f>
        <v>Player</v>
      </c>
      <c r="F245">
        <f t="shared" si="27"/>
        <v>0</v>
      </c>
      <c r="G245" t="str">
        <f t="shared" si="19"/>
        <v>q</v>
      </c>
      <c r="H245" t="str">
        <f>VLOOKUP(D245,name!A:C,3,1)</f>
        <v>assets/icons/image326.png</v>
      </c>
    </row>
    <row r="246" spans="1:8" x14ac:dyDescent="0.15">
      <c r="A246">
        <f t="shared" ref="A246:B246" si="65">A245</f>
        <v>0</v>
      </c>
      <c r="B246">
        <f t="shared" si="65"/>
        <v>1</v>
      </c>
      <c r="C246">
        <f t="shared" si="54"/>
        <v>245</v>
      </c>
      <c r="D246">
        <v>0</v>
      </c>
      <c r="E246" t="str">
        <f>VLOOKUP(D246,name!A:B,2,1)</f>
        <v>Player</v>
      </c>
      <c r="F246">
        <f t="shared" si="27"/>
        <v>0</v>
      </c>
      <c r="G246" t="str">
        <f t="shared" si="19"/>
        <v>q</v>
      </c>
      <c r="H246" t="str">
        <f>VLOOKUP(D246,name!A:C,3,1)</f>
        <v>assets/icons/image326.png</v>
      </c>
    </row>
    <row r="247" spans="1:8" x14ac:dyDescent="0.15">
      <c r="A247">
        <f t="shared" ref="A247:B247" si="66">A246</f>
        <v>0</v>
      </c>
      <c r="B247">
        <f t="shared" si="66"/>
        <v>1</v>
      </c>
      <c r="C247">
        <f t="shared" si="54"/>
        <v>246</v>
      </c>
      <c r="D247">
        <f t="shared" si="26"/>
        <v>0</v>
      </c>
      <c r="E247" t="str">
        <f>VLOOKUP(D247,name!A:B,2,1)</f>
        <v>Player</v>
      </c>
      <c r="F247">
        <f t="shared" si="27"/>
        <v>0</v>
      </c>
      <c r="G247" t="str">
        <f t="shared" si="19"/>
        <v>q</v>
      </c>
      <c r="H247" t="str">
        <f>VLOOKUP(D247,name!A:C,3,1)</f>
        <v>assets/icons/image326.png</v>
      </c>
    </row>
    <row r="248" spans="1:8" x14ac:dyDescent="0.15">
      <c r="A248">
        <f t="shared" ref="A248:B248" si="67">A247</f>
        <v>0</v>
      </c>
      <c r="B248">
        <f t="shared" si="67"/>
        <v>1</v>
      </c>
      <c r="C248">
        <f t="shared" si="54"/>
        <v>247</v>
      </c>
      <c r="D248">
        <v>0</v>
      </c>
      <c r="E248" t="str">
        <f>VLOOKUP(D248,name!A:B,2,1)</f>
        <v>Player</v>
      </c>
      <c r="F248">
        <f t="shared" si="27"/>
        <v>0</v>
      </c>
      <c r="G248" t="str">
        <f t="shared" si="19"/>
        <v>q</v>
      </c>
      <c r="H248" t="str">
        <f>VLOOKUP(D248,name!A:C,3,1)</f>
        <v>assets/icons/image326.png</v>
      </c>
    </row>
    <row r="249" spans="1:8" x14ac:dyDescent="0.15">
      <c r="A249">
        <f t="shared" ref="A249:B249" si="68">A248</f>
        <v>0</v>
      </c>
      <c r="B249">
        <f t="shared" si="68"/>
        <v>1</v>
      </c>
      <c r="C249">
        <f t="shared" si="54"/>
        <v>248</v>
      </c>
      <c r="D249">
        <f t="shared" si="26"/>
        <v>0</v>
      </c>
      <c r="E249" t="str">
        <f>VLOOKUP(D249,name!A:B,2,1)</f>
        <v>Player</v>
      </c>
      <c r="F249">
        <f t="shared" si="27"/>
        <v>0</v>
      </c>
      <c r="G249" t="str">
        <f t="shared" si="19"/>
        <v>q</v>
      </c>
      <c r="H249" t="str">
        <f>VLOOKUP(D249,name!A:C,3,1)</f>
        <v>assets/icons/image326.png</v>
      </c>
    </row>
    <row r="250" spans="1:8" x14ac:dyDescent="0.15">
      <c r="A250">
        <f t="shared" ref="A250:B250" si="69">A249</f>
        <v>0</v>
      </c>
      <c r="B250">
        <f t="shared" si="69"/>
        <v>1</v>
      </c>
      <c r="C250">
        <f t="shared" si="54"/>
        <v>249</v>
      </c>
      <c r="D250">
        <v>0</v>
      </c>
      <c r="E250" t="str">
        <f>VLOOKUP(D250,name!A:B,2,1)</f>
        <v>Player</v>
      </c>
      <c r="F250">
        <f t="shared" si="27"/>
        <v>0</v>
      </c>
      <c r="G250" t="str">
        <f t="shared" si="19"/>
        <v>q</v>
      </c>
      <c r="H250" t="str">
        <f>VLOOKUP(D250,name!A:C,3,1)</f>
        <v>assets/icons/image326.png</v>
      </c>
    </row>
    <row r="251" spans="1:8" x14ac:dyDescent="0.15">
      <c r="A251">
        <f t="shared" ref="A251:B251" si="70">A250</f>
        <v>0</v>
      </c>
      <c r="B251">
        <f t="shared" si="70"/>
        <v>1</v>
      </c>
      <c r="C251">
        <f t="shared" si="54"/>
        <v>250</v>
      </c>
      <c r="D251">
        <f t="shared" si="26"/>
        <v>0</v>
      </c>
      <c r="E251" t="str">
        <f>VLOOKUP(D251,name!A:B,2,1)</f>
        <v>Player</v>
      </c>
      <c r="F251">
        <f t="shared" si="27"/>
        <v>0</v>
      </c>
      <c r="G251" t="str">
        <f t="shared" ref="G251:G286" si="71">IF(B251&lt;&gt;B252,"e",IF(D251=0,"q","a"))</f>
        <v>q</v>
      </c>
      <c r="H251" t="str">
        <f>VLOOKUP(D251,name!A:C,3,1)</f>
        <v>assets/icons/image326.png</v>
      </c>
    </row>
    <row r="252" spans="1:8" x14ac:dyDescent="0.15">
      <c r="A252">
        <f t="shared" ref="A252:B252" si="72">A251</f>
        <v>0</v>
      </c>
      <c r="B252">
        <f t="shared" si="72"/>
        <v>1</v>
      </c>
      <c r="C252">
        <f t="shared" si="54"/>
        <v>251</v>
      </c>
      <c r="D252">
        <v>0</v>
      </c>
      <c r="E252" t="str">
        <f>VLOOKUP(D252,name!A:B,2,1)</f>
        <v>Player</v>
      </c>
      <c r="F252">
        <f t="shared" si="27"/>
        <v>0</v>
      </c>
      <c r="G252" t="str">
        <f t="shared" si="71"/>
        <v>q</v>
      </c>
      <c r="H252" t="str">
        <f>VLOOKUP(D252,name!A:C,3,1)</f>
        <v>assets/icons/image326.png</v>
      </c>
    </row>
    <row r="253" spans="1:8" x14ac:dyDescent="0.15">
      <c r="A253">
        <f t="shared" ref="A253:B253" si="73">A252</f>
        <v>0</v>
      </c>
      <c r="B253">
        <f t="shared" si="73"/>
        <v>1</v>
      </c>
      <c r="C253">
        <f t="shared" si="54"/>
        <v>252</v>
      </c>
      <c r="D253">
        <f t="shared" si="26"/>
        <v>0</v>
      </c>
      <c r="E253" t="str">
        <f>VLOOKUP(D253,name!A:B,2,1)</f>
        <v>Player</v>
      </c>
      <c r="F253">
        <f t="shared" si="27"/>
        <v>0</v>
      </c>
      <c r="G253" t="str">
        <f t="shared" si="71"/>
        <v>q</v>
      </c>
      <c r="H253" t="str">
        <f>VLOOKUP(D253,name!A:C,3,1)</f>
        <v>assets/icons/image326.png</v>
      </c>
    </row>
    <row r="254" spans="1:8" x14ac:dyDescent="0.15">
      <c r="A254">
        <f t="shared" ref="A254:B254" si="74">A253</f>
        <v>0</v>
      </c>
      <c r="B254">
        <f t="shared" si="74"/>
        <v>1</v>
      </c>
      <c r="C254">
        <f t="shared" si="54"/>
        <v>253</v>
      </c>
      <c r="D254">
        <v>0</v>
      </c>
      <c r="E254" t="str">
        <f>VLOOKUP(D254,name!A:B,2,1)</f>
        <v>Player</v>
      </c>
      <c r="F254">
        <f t="shared" si="27"/>
        <v>0</v>
      </c>
      <c r="G254" t="str">
        <f t="shared" si="71"/>
        <v>q</v>
      </c>
      <c r="H254" t="str">
        <f>VLOOKUP(D254,name!A:C,3,1)</f>
        <v>assets/icons/image326.png</v>
      </c>
    </row>
    <row r="255" spans="1:8" x14ac:dyDescent="0.15">
      <c r="A255">
        <f t="shared" ref="A255:B255" si="75">A254</f>
        <v>0</v>
      </c>
      <c r="B255">
        <f t="shared" si="75"/>
        <v>1</v>
      </c>
      <c r="C255">
        <f t="shared" si="54"/>
        <v>254</v>
      </c>
      <c r="D255">
        <f t="shared" si="26"/>
        <v>0</v>
      </c>
      <c r="E255" t="str">
        <f>VLOOKUP(D255,name!A:B,2,1)</f>
        <v>Player</v>
      </c>
      <c r="F255">
        <f t="shared" si="27"/>
        <v>0</v>
      </c>
      <c r="G255" t="str">
        <f t="shared" si="71"/>
        <v>q</v>
      </c>
      <c r="H255" t="str">
        <f>VLOOKUP(D255,name!A:C,3,1)</f>
        <v>assets/icons/image326.png</v>
      </c>
    </row>
    <row r="256" spans="1:8" x14ac:dyDescent="0.15">
      <c r="A256">
        <f t="shared" ref="A256:B256" si="76">A255</f>
        <v>0</v>
      </c>
      <c r="B256">
        <f t="shared" si="76"/>
        <v>1</v>
      </c>
      <c r="C256">
        <f t="shared" si="54"/>
        <v>255</v>
      </c>
      <c r="D256">
        <v>0</v>
      </c>
      <c r="E256" t="str">
        <f>VLOOKUP(D256,name!A:B,2,1)</f>
        <v>Player</v>
      </c>
      <c r="F256">
        <f t="shared" si="27"/>
        <v>0</v>
      </c>
      <c r="G256" t="str">
        <f t="shared" si="71"/>
        <v>q</v>
      </c>
      <c r="H256" t="str">
        <f>VLOOKUP(D256,name!A:C,3,1)</f>
        <v>assets/icons/image326.png</v>
      </c>
    </row>
    <row r="257" spans="1:8" x14ac:dyDescent="0.15">
      <c r="A257">
        <f t="shared" ref="A257:B257" si="77">A256</f>
        <v>0</v>
      </c>
      <c r="B257">
        <f t="shared" si="77"/>
        <v>1</v>
      </c>
      <c r="C257">
        <f t="shared" si="54"/>
        <v>256</v>
      </c>
      <c r="D257">
        <f t="shared" si="26"/>
        <v>0</v>
      </c>
      <c r="E257" t="str">
        <f>VLOOKUP(D257,name!A:B,2,1)</f>
        <v>Player</v>
      </c>
      <c r="F257">
        <f t="shared" si="27"/>
        <v>0</v>
      </c>
      <c r="G257" t="str">
        <f t="shared" si="71"/>
        <v>q</v>
      </c>
      <c r="H257" t="str">
        <f>VLOOKUP(D257,name!A:C,3,1)</f>
        <v>assets/icons/image326.png</v>
      </c>
    </row>
    <row r="258" spans="1:8" x14ac:dyDescent="0.15">
      <c r="A258">
        <f t="shared" ref="A258:B258" si="78">A257</f>
        <v>0</v>
      </c>
      <c r="B258">
        <f t="shared" si="78"/>
        <v>1</v>
      </c>
      <c r="C258">
        <f t="shared" si="54"/>
        <v>257</v>
      </c>
      <c r="D258">
        <v>0</v>
      </c>
      <c r="E258" t="str">
        <f>VLOOKUP(D258,name!A:B,2,1)</f>
        <v>Player</v>
      </c>
      <c r="F258">
        <f t="shared" si="27"/>
        <v>0</v>
      </c>
      <c r="G258" t="str">
        <f t="shared" si="71"/>
        <v>q</v>
      </c>
      <c r="H258" t="str">
        <f>VLOOKUP(D258,name!A:C,3,1)</f>
        <v>assets/icons/image326.png</v>
      </c>
    </row>
    <row r="259" spans="1:8" x14ac:dyDescent="0.15">
      <c r="A259">
        <f t="shared" ref="A259:B259" si="79">A258</f>
        <v>0</v>
      </c>
      <c r="B259">
        <f t="shared" si="79"/>
        <v>1</v>
      </c>
      <c r="C259">
        <f t="shared" si="54"/>
        <v>258</v>
      </c>
      <c r="D259">
        <f t="shared" si="26"/>
        <v>0</v>
      </c>
      <c r="E259" t="str">
        <f>VLOOKUP(D259,name!A:B,2,1)</f>
        <v>Player</v>
      </c>
      <c r="F259">
        <f t="shared" si="27"/>
        <v>0</v>
      </c>
      <c r="G259" t="str">
        <f t="shared" si="71"/>
        <v>q</v>
      </c>
      <c r="H259" t="str">
        <f>VLOOKUP(D259,name!A:C,3,1)</f>
        <v>assets/icons/image326.png</v>
      </c>
    </row>
    <row r="260" spans="1:8" x14ac:dyDescent="0.15">
      <c r="A260">
        <f t="shared" ref="A260:B260" si="80">A259</f>
        <v>0</v>
      </c>
      <c r="B260">
        <f t="shared" si="80"/>
        <v>1</v>
      </c>
      <c r="C260">
        <f t="shared" si="54"/>
        <v>259</v>
      </c>
      <c r="D260">
        <v>0</v>
      </c>
      <c r="E260" t="str">
        <f>VLOOKUP(D260,name!A:B,2,1)</f>
        <v>Player</v>
      </c>
      <c r="F260">
        <f t="shared" si="27"/>
        <v>0</v>
      </c>
      <c r="G260" t="str">
        <f t="shared" si="71"/>
        <v>q</v>
      </c>
      <c r="H260" t="str">
        <f>VLOOKUP(D260,name!A:C,3,1)</f>
        <v>assets/icons/image326.png</v>
      </c>
    </row>
    <row r="261" spans="1:8" x14ac:dyDescent="0.15">
      <c r="A261">
        <f t="shared" ref="A261:B261" si="81">A260</f>
        <v>0</v>
      </c>
      <c r="B261">
        <f t="shared" si="81"/>
        <v>1</v>
      </c>
      <c r="C261">
        <f t="shared" si="54"/>
        <v>260</v>
      </c>
      <c r="D261">
        <f t="shared" si="26"/>
        <v>0</v>
      </c>
      <c r="E261" t="str">
        <f>VLOOKUP(D261,name!A:B,2,1)</f>
        <v>Player</v>
      </c>
      <c r="F261">
        <f t="shared" si="27"/>
        <v>0</v>
      </c>
      <c r="G261" t="str">
        <f t="shared" si="71"/>
        <v>q</v>
      </c>
      <c r="H261" t="str">
        <f>VLOOKUP(D261,name!A:C,3,1)</f>
        <v>assets/icons/image326.png</v>
      </c>
    </row>
    <row r="262" spans="1:8" x14ac:dyDescent="0.15">
      <c r="A262">
        <f t="shared" ref="A262:B262" si="82">A261</f>
        <v>0</v>
      </c>
      <c r="B262">
        <f t="shared" si="82"/>
        <v>1</v>
      </c>
      <c r="C262">
        <f t="shared" si="54"/>
        <v>261</v>
      </c>
      <c r="D262">
        <v>0</v>
      </c>
      <c r="E262" t="str">
        <f>VLOOKUP(D262,name!A:B,2,1)</f>
        <v>Player</v>
      </c>
      <c r="F262">
        <f t="shared" si="27"/>
        <v>0</v>
      </c>
      <c r="G262" t="str">
        <f t="shared" si="71"/>
        <v>q</v>
      </c>
      <c r="H262" t="str">
        <f>VLOOKUP(D262,name!A:C,3,1)</f>
        <v>assets/icons/image326.png</v>
      </c>
    </row>
    <row r="263" spans="1:8" x14ac:dyDescent="0.15">
      <c r="A263">
        <f t="shared" ref="A263:B263" si="83">A262</f>
        <v>0</v>
      </c>
      <c r="B263">
        <f t="shared" si="83"/>
        <v>1</v>
      </c>
      <c r="C263">
        <f t="shared" si="54"/>
        <v>262</v>
      </c>
      <c r="D263">
        <f t="shared" si="26"/>
        <v>0</v>
      </c>
      <c r="E263" t="str">
        <f>VLOOKUP(D263,name!A:B,2,1)</f>
        <v>Player</v>
      </c>
      <c r="F263">
        <f t="shared" si="27"/>
        <v>0</v>
      </c>
      <c r="G263" t="str">
        <f t="shared" si="71"/>
        <v>q</v>
      </c>
      <c r="H263" t="str">
        <f>VLOOKUP(D263,name!A:C,3,1)</f>
        <v>assets/icons/image326.png</v>
      </c>
    </row>
    <row r="264" spans="1:8" x14ac:dyDescent="0.15">
      <c r="A264">
        <f t="shared" ref="A264:B264" si="84">A263</f>
        <v>0</v>
      </c>
      <c r="B264">
        <f t="shared" si="84"/>
        <v>1</v>
      </c>
      <c r="C264">
        <f t="shared" si="54"/>
        <v>263</v>
      </c>
      <c r="D264">
        <v>0</v>
      </c>
      <c r="E264" t="str">
        <f>VLOOKUP(D264,name!A:B,2,1)</f>
        <v>Player</v>
      </c>
      <c r="F264">
        <f t="shared" si="27"/>
        <v>0</v>
      </c>
      <c r="G264" t="str">
        <f t="shared" si="71"/>
        <v>q</v>
      </c>
      <c r="H264" t="str">
        <f>VLOOKUP(D264,name!A:C,3,1)</f>
        <v>assets/icons/image326.png</v>
      </c>
    </row>
    <row r="265" spans="1:8" x14ac:dyDescent="0.15">
      <c r="A265">
        <f t="shared" ref="A265:B265" si="85">A264</f>
        <v>0</v>
      </c>
      <c r="B265">
        <f t="shared" si="85"/>
        <v>1</v>
      </c>
      <c r="C265">
        <f t="shared" si="54"/>
        <v>264</v>
      </c>
      <c r="D265">
        <f t="shared" si="26"/>
        <v>0</v>
      </c>
      <c r="E265" t="str">
        <f>VLOOKUP(D265,name!A:B,2,1)</f>
        <v>Player</v>
      </c>
      <c r="F265">
        <f t="shared" si="27"/>
        <v>0</v>
      </c>
      <c r="G265" t="str">
        <f t="shared" si="71"/>
        <v>q</v>
      </c>
      <c r="H265" t="str">
        <f>VLOOKUP(D265,name!A:C,3,1)</f>
        <v>assets/icons/image326.png</v>
      </c>
    </row>
    <row r="266" spans="1:8" x14ac:dyDescent="0.15">
      <c r="A266">
        <f t="shared" ref="A266:B266" si="86">A265</f>
        <v>0</v>
      </c>
      <c r="B266">
        <f t="shared" si="86"/>
        <v>1</v>
      </c>
      <c r="C266">
        <f t="shared" si="54"/>
        <v>265</v>
      </c>
      <c r="D266">
        <v>0</v>
      </c>
      <c r="E266" t="str">
        <f>VLOOKUP(D266,name!A:B,2,1)</f>
        <v>Player</v>
      </c>
      <c r="F266">
        <f t="shared" si="27"/>
        <v>0</v>
      </c>
      <c r="G266" t="str">
        <f t="shared" si="71"/>
        <v>q</v>
      </c>
      <c r="H266" t="str">
        <f>VLOOKUP(D266,name!A:C,3,1)</f>
        <v>assets/icons/image326.png</v>
      </c>
    </row>
    <row r="267" spans="1:8" x14ac:dyDescent="0.15">
      <c r="A267">
        <f t="shared" ref="A267:B267" si="87">A266</f>
        <v>0</v>
      </c>
      <c r="B267">
        <f t="shared" si="87"/>
        <v>1</v>
      </c>
      <c r="C267">
        <f t="shared" si="54"/>
        <v>266</v>
      </c>
      <c r="D267">
        <f t="shared" si="26"/>
        <v>0</v>
      </c>
      <c r="E267" t="str">
        <f>VLOOKUP(D267,name!A:B,2,1)</f>
        <v>Player</v>
      </c>
      <c r="F267">
        <f t="shared" si="27"/>
        <v>0</v>
      </c>
      <c r="G267" t="str">
        <f t="shared" si="71"/>
        <v>q</v>
      </c>
      <c r="H267" t="str">
        <f>VLOOKUP(D267,name!A:C,3,1)</f>
        <v>assets/icons/image326.png</v>
      </c>
    </row>
    <row r="268" spans="1:8" x14ac:dyDescent="0.15">
      <c r="A268">
        <f t="shared" ref="A268:B268" si="88">A267</f>
        <v>0</v>
      </c>
      <c r="B268">
        <f t="shared" si="88"/>
        <v>1</v>
      </c>
      <c r="C268">
        <f t="shared" si="54"/>
        <v>267</v>
      </c>
      <c r="D268">
        <v>0</v>
      </c>
      <c r="E268" t="str">
        <f>VLOOKUP(D268,name!A:B,2,1)</f>
        <v>Player</v>
      </c>
      <c r="F268">
        <f t="shared" si="27"/>
        <v>0</v>
      </c>
      <c r="G268" t="str">
        <f t="shared" si="71"/>
        <v>q</v>
      </c>
      <c r="H268" t="str">
        <f>VLOOKUP(D268,name!A:C,3,1)</f>
        <v>assets/icons/image326.png</v>
      </c>
    </row>
    <row r="269" spans="1:8" x14ac:dyDescent="0.15">
      <c r="A269">
        <f t="shared" ref="A269:B269" si="89">A268</f>
        <v>0</v>
      </c>
      <c r="B269">
        <f t="shared" si="89"/>
        <v>1</v>
      </c>
      <c r="C269">
        <f t="shared" si="54"/>
        <v>268</v>
      </c>
      <c r="D269">
        <f t="shared" si="26"/>
        <v>0</v>
      </c>
      <c r="E269" t="str">
        <f>VLOOKUP(D269,name!A:B,2,1)</f>
        <v>Player</v>
      </c>
      <c r="F269">
        <f t="shared" si="27"/>
        <v>0</v>
      </c>
      <c r="G269" t="str">
        <f t="shared" si="71"/>
        <v>q</v>
      </c>
      <c r="H269" t="str">
        <f>VLOOKUP(D269,name!A:C,3,1)</f>
        <v>assets/icons/image326.png</v>
      </c>
    </row>
    <row r="270" spans="1:8" x14ac:dyDescent="0.15">
      <c r="A270">
        <f t="shared" ref="A270:B270" si="90">A269</f>
        <v>0</v>
      </c>
      <c r="B270">
        <f t="shared" si="90"/>
        <v>1</v>
      </c>
      <c r="C270">
        <f t="shared" si="54"/>
        <v>269</v>
      </c>
      <c r="D270">
        <v>0</v>
      </c>
      <c r="E270" t="str">
        <f>VLOOKUP(D270,name!A:B,2,1)</f>
        <v>Player</v>
      </c>
      <c r="F270">
        <f t="shared" si="27"/>
        <v>0</v>
      </c>
      <c r="G270" t="str">
        <f t="shared" si="71"/>
        <v>q</v>
      </c>
      <c r="H270" t="str">
        <f>VLOOKUP(D270,name!A:C,3,1)</f>
        <v>assets/icons/image326.png</v>
      </c>
    </row>
    <row r="271" spans="1:8" x14ac:dyDescent="0.15">
      <c r="A271">
        <f t="shared" ref="A271:B271" si="91">A270</f>
        <v>0</v>
      </c>
      <c r="B271">
        <f t="shared" si="91"/>
        <v>1</v>
      </c>
      <c r="C271">
        <f t="shared" si="54"/>
        <v>270</v>
      </c>
      <c r="D271">
        <f t="shared" si="26"/>
        <v>0</v>
      </c>
      <c r="E271" t="str">
        <f>VLOOKUP(D271,name!A:B,2,1)</f>
        <v>Player</v>
      </c>
      <c r="F271">
        <f t="shared" si="27"/>
        <v>0</v>
      </c>
      <c r="G271" t="str">
        <f t="shared" si="71"/>
        <v>q</v>
      </c>
      <c r="H271" t="str">
        <f>VLOOKUP(D271,name!A:C,3,1)</f>
        <v>assets/icons/image326.png</v>
      </c>
    </row>
    <row r="272" spans="1:8" x14ac:dyDescent="0.15">
      <c r="A272">
        <f t="shared" ref="A272:B272" si="92">A271</f>
        <v>0</v>
      </c>
      <c r="B272">
        <f t="shared" si="92"/>
        <v>1</v>
      </c>
      <c r="C272">
        <f t="shared" si="54"/>
        <v>271</v>
      </c>
      <c r="D272">
        <v>0</v>
      </c>
      <c r="E272" t="str">
        <f>VLOOKUP(D272,name!A:B,2,1)</f>
        <v>Player</v>
      </c>
      <c r="F272">
        <f t="shared" si="27"/>
        <v>0</v>
      </c>
      <c r="G272" t="str">
        <f t="shared" si="71"/>
        <v>q</v>
      </c>
      <c r="H272" t="str">
        <f>VLOOKUP(D272,name!A:C,3,1)</f>
        <v>assets/icons/image326.png</v>
      </c>
    </row>
    <row r="273" spans="1:8" x14ac:dyDescent="0.15">
      <c r="A273">
        <f t="shared" ref="A273:B273" si="93">A272</f>
        <v>0</v>
      </c>
      <c r="B273">
        <f t="shared" si="93"/>
        <v>1</v>
      </c>
      <c r="C273">
        <f t="shared" si="54"/>
        <v>272</v>
      </c>
      <c r="D273">
        <f t="shared" ref="D273:D285" si="94">D71</f>
        <v>0</v>
      </c>
      <c r="E273" t="str">
        <f>VLOOKUP(D273,name!A:B,2,1)</f>
        <v>Player</v>
      </c>
      <c r="F273">
        <f t="shared" ref="F273:F286" si="95">F71</f>
        <v>0</v>
      </c>
      <c r="G273" t="str">
        <f t="shared" si="71"/>
        <v>q</v>
      </c>
      <c r="H273" t="str">
        <f>VLOOKUP(D273,name!A:C,3,1)</f>
        <v>assets/icons/image326.png</v>
      </c>
    </row>
    <row r="274" spans="1:8" x14ac:dyDescent="0.15">
      <c r="A274">
        <f t="shared" ref="A274:B274" si="96">A273</f>
        <v>0</v>
      </c>
      <c r="B274">
        <f t="shared" si="96"/>
        <v>1</v>
      </c>
      <c r="C274">
        <f t="shared" si="54"/>
        <v>273</v>
      </c>
      <c r="D274">
        <v>0</v>
      </c>
      <c r="E274" t="str">
        <f>VLOOKUP(D274,name!A:B,2,1)</f>
        <v>Player</v>
      </c>
      <c r="F274">
        <f t="shared" si="95"/>
        <v>0</v>
      </c>
      <c r="G274" t="str">
        <f t="shared" si="71"/>
        <v>q</v>
      </c>
      <c r="H274" t="str">
        <f>VLOOKUP(D274,name!A:C,3,1)</f>
        <v>assets/icons/image326.png</v>
      </c>
    </row>
    <row r="275" spans="1:8" x14ac:dyDescent="0.15">
      <c r="A275">
        <f t="shared" ref="A275:B275" si="97">A274</f>
        <v>0</v>
      </c>
      <c r="B275">
        <f t="shared" si="97"/>
        <v>1</v>
      </c>
      <c r="C275">
        <f t="shared" si="54"/>
        <v>274</v>
      </c>
      <c r="D275">
        <f t="shared" si="94"/>
        <v>0</v>
      </c>
      <c r="E275" t="str">
        <f>VLOOKUP(D275,name!A:B,2,1)</f>
        <v>Player</v>
      </c>
      <c r="F275">
        <f t="shared" si="95"/>
        <v>0</v>
      </c>
      <c r="G275" t="str">
        <f t="shared" si="71"/>
        <v>q</v>
      </c>
      <c r="H275" t="str">
        <f>VLOOKUP(D275,name!A:C,3,1)</f>
        <v>assets/icons/image326.png</v>
      </c>
    </row>
    <row r="276" spans="1:8" x14ac:dyDescent="0.15">
      <c r="A276">
        <f t="shared" ref="A276:B276" si="98">A275</f>
        <v>0</v>
      </c>
      <c r="B276">
        <f t="shared" si="98"/>
        <v>1</v>
      </c>
      <c r="C276">
        <f t="shared" si="54"/>
        <v>275</v>
      </c>
      <c r="D276">
        <v>0</v>
      </c>
      <c r="E276" t="str">
        <f>VLOOKUP(D276,name!A:B,2,1)</f>
        <v>Player</v>
      </c>
      <c r="F276">
        <f t="shared" si="95"/>
        <v>0</v>
      </c>
      <c r="G276" t="str">
        <f t="shared" si="71"/>
        <v>q</v>
      </c>
      <c r="H276" t="str">
        <f>VLOOKUP(D276,name!A:C,3,1)</f>
        <v>assets/icons/image326.png</v>
      </c>
    </row>
    <row r="277" spans="1:8" x14ac:dyDescent="0.15">
      <c r="A277">
        <f t="shared" ref="A277:B277" si="99">A276</f>
        <v>0</v>
      </c>
      <c r="B277">
        <f t="shared" si="99"/>
        <v>1</v>
      </c>
      <c r="C277">
        <f t="shared" si="54"/>
        <v>276</v>
      </c>
      <c r="D277">
        <f t="shared" si="94"/>
        <v>0</v>
      </c>
      <c r="E277" t="str">
        <f>VLOOKUP(D277,name!A:B,2,1)</f>
        <v>Player</v>
      </c>
      <c r="F277">
        <f t="shared" si="95"/>
        <v>0</v>
      </c>
      <c r="G277" t="str">
        <f t="shared" si="71"/>
        <v>q</v>
      </c>
      <c r="H277" t="str">
        <f>VLOOKUP(D277,name!A:C,3,1)</f>
        <v>assets/icons/image326.png</v>
      </c>
    </row>
    <row r="278" spans="1:8" x14ac:dyDescent="0.15">
      <c r="A278">
        <f t="shared" ref="A278:B278" si="100">A277</f>
        <v>0</v>
      </c>
      <c r="B278">
        <f t="shared" si="100"/>
        <v>1</v>
      </c>
      <c r="C278">
        <f t="shared" si="54"/>
        <v>277</v>
      </c>
      <c r="D278">
        <v>0</v>
      </c>
      <c r="E278" t="str">
        <f>VLOOKUP(D278,name!A:B,2,1)</f>
        <v>Player</v>
      </c>
      <c r="F278">
        <f t="shared" si="95"/>
        <v>0</v>
      </c>
      <c r="G278" t="str">
        <f t="shared" si="71"/>
        <v>q</v>
      </c>
      <c r="H278" t="str">
        <f>VLOOKUP(D278,name!A:C,3,1)</f>
        <v>assets/icons/image326.png</v>
      </c>
    </row>
    <row r="279" spans="1:8" x14ac:dyDescent="0.15">
      <c r="A279">
        <f t="shared" ref="A279:B279" si="101">A278</f>
        <v>0</v>
      </c>
      <c r="B279">
        <f t="shared" si="101"/>
        <v>1</v>
      </c>
      <c r="C279">
        <f t="shared" si="54"/>
        <v>278</v>
      </c>
      <c r="D279">
        <f t="shared" si="94"/>
        <v>0</v>
      </c>
      <c r="E279" t="str">
        <f>VLOOKUP(D279,name!A:B,2,1)</f>
        <v>Player</v>
      </c>
      <c r="F279">
        <f t="shared" si="95"/>
        <v>0</v>
      </c>
      <c r="G279" t="str">
        <f t="shared" si="71"/>
        <v>q</v>
      </c>
      <c r="H279" t="str">
        <f>VLOOKUP(D279,name!A:C,3,1)</f>
        <v>assets/icons/image326.png</v>
      </c>
    </row>
    <row r="280" spans="1:8" x14ac:dyDescent="0.15">
      <c r="A280">
        <f t="shared" ref="A280:B280" si="102">A279</f>
        <v>0</v>
      </c>
      <c r="B280">
        <f t="shared" si="102"/>
        <v>1</v>
      </c>
      <c r="C280">
        <f t="shared" si="54"/>
        <v>279</v>
      </c>
      <c r="D280">
        <v>0</v>
      </c>
      <c r="E280" t="str">
        <f>VLOOKUP(D280,name!A:B,2,1)</f>
        <v>Player</v>
      </c>
      <c r="F280">
        <f t="shared" si="95"/>
        <v>0</v>
      </c>
      <c r="G280" t="str">
        <f t="shared" si="71"/>
        <v>q</v>
      </c>
      <c r="H280" t="str">
        <f>VLOOKUP(D280,name!A:C,3,1)</f>
        <v>assets/icons/image326.png</v>
      </c>
    </row>
    <row r="281" spans="1:8" x14ac:dyDescent="0.15">
      <c r="A281">
        <f t="shared" ref="A281:B281" si="103">A280</f>
        <v>0</v>
      </c>
      <c r="B281">
        <f t="shared" si="103"/>
        <v>1</v>
      </c>
      <c r="C281">
        <f t="shared" si="54"/>
        <v>280</v>
      </c>
      <c r="D281">
        <f t="shared" si="94"/>
        <v>0</v>
      </c>
      <c r="E281" t="str">
        <f>VLOOKUP(D281,name!A:B,2,1)</f>
        <v>Player</v>
      </c>
      <c r="F281">
        <f t="shared" si="95"/>
        <v>0</v>
      </c>
      <c r="G281" t="str">
        <f t="shared" si="71"/>
        <v>q</v>
      </c>
      <c r="H281" t="str">
        <f>VLOOKUP(D281,name!A:C,3,1)</f>
        <v>assets/icons/image326.png</v>
      </c>
    </row>
    <row r="282" spans="1:8" x14ac:dyDescent="0.15">
      <c r="A282">
        <f t="shared" ref="A282:B282" si="104">A281</f>
        <v>0</v>
      </c>
      <c r="B282">
        <f t="shared" si="104"/>
        <v>1</v>
      </c>
      <c r="C282">
        <f t="shared" si="54"/>
        <v>281</v>
      </c>
      <c r="D282">
        <v>0</v>
      </c>
      <c r="E282" t="str">
        <f>VLOOKUP(D282,name!A:B,2,1)</f>
        <v>Player</v>
      </c>
      <c r="F282">
        <f t="shared" si="95"/>
        <v>0</v>
      </c>
      <c r="G282" t="str">
        <f t="shared" si="71"/>
        <v>q</v>
      </c>
      <c r="H282" t="str">
        <f>VLOOKUP(D282,name!A:C,3,1)</f>
        <v>assets/icons/image326.png</v>
      </c>
    </row>
    <row r="283" spans="1:8" x14ac:dyDescent="0.15">
      <c r="A283">
        <f t="shared" ref="A283:B283" si="105">A282</f>
        <v>0</v>
      </c>
      <c r="B283">
        <f t="shared" si="105"/>
        <v>1</v>
      </c>
      <c r="C283">
        <f t="shared" si="54"/>
        <v>282</v>
      </c>
      <c r="D283">
        <f t="shared" si="94"/>
        <v>0</v>
      </c>
      <c r="E283" t="str">
        <f>VLOOKUP(D283,name!A:B,2,1)</f>
        <v>Player</v>
      </c>
      <c r="F283">
        <f t="shared" si="95"/>
        <v>0</v>
      </c>
      <c r="G283" t="str">
        <f t="shared" si="71"/>
        <v>q</v>
      </c>
      <c r="H283" t="str">
        <f>VLOOKUP(D283,name!A:C,3,1)</f>
        <v>assets/icons/image326.png</v>
      </c>
    </row>
    <row r="284" spans="1:8" x14ac:dyDescent="0.15">
      <c r="A284">
        <f t="shared" ref="A284:B284" si="106">A283</f>
        <v>0</v>
      </c>
      <c r="B284">
        <f t="shared" si="106"/>
        <v>1</v>
      </c>
      <c r="C284">
        <f t="shared" si="54"/>
        <v>283</v>
      </c>
      <c r="D284">
        <v>0</v>
      </c>
      <c r="E284" t="str">
        <f>VLOOKUP(D284,name!A:B,2,1)</f>
        <v>Player</v>
      </c>
      <c r="F284">
        <f t="shared" si="95"/>
        <v>0</v>
      </c>
      <c r="G284" t="str">
        <f t="shared" si="71"/>
        <v>q</v>
      </c>
      <c r="H284" t="str">
        <f>VLOOKUP(D284,name!A:C,3,1)</f>
        <v>assets/icons/image326.png</v>
      </c>
    </row>
    <row r="285" spans="1:8" x14ac:dyDescent="0.15">
      <c r="A285">
        <f t="shared" ref="A285:B285" si="107">A284</f>
        <v>0</v>
      </c>
      <c r="B285">
        <f t="shared" si="107"/>
        <v>1</v>
      </c>
      <c r="C285">
        <f t="shared" si="54"/>
        <v>284</v>
      </c>
      <c r="D285">
        <f t="shared" si="94"/>
        <v>0</v>
      </c>
      <c r="E285" t="str">
        <f>VLOOKUP(D285,name!A:B,2,1)</f>
        <v>Player</v>
      </c>
      <c r="F285">
        <f t="shared" si="95"/>
        <v>0</v>
      </c>
      <c r="G285" t="str">
        <f t="shared" si="71"/>
        <v>q</v>
      </c>
      <c r="H285" t="str">
        <f>VLOOKUP(D285,name!A:C,3,1)</f>
        <v>assets/icons/image326.png</v>
      </c>
    </row>
    <row r="286" spans="1:8" x14ac:dyDescent="0.15">
      <c r="A286">
        <f t="shared" ref="A286:B286" si="108">A285</f>
        <v>0</v>
      </c>
      <c r="B286">
        <f t="shared" si="108"/>
        <v>1</v>
      </c>
      <c r="C286">
        <f t="shared" si="54"/>
        <v>285</v>
      </c>
      <c r="D286">
        <v>0</v>
      </c>
      <c r="E286" t="str">
        <f>VLOOKUP(D286,name!A:B,2,1)</f>
        <v>Player</v>
      </c>
      <c r="F286">
        <f t="shared" si="95"/>
        <v>0</v>
      </c>
      <c r="G286" t="str">
        <f t="shared" si="71"/>
        <v>q</v>
      </c>
      <c r="H286" t="str">
        <f>VLOOKUP(D286,name!A:C,3,1)</f>
        <v>assets/icons/image326.png</v>
      </c>
    </row>
    <row r="287" spans="1:8" x14ac:dyDescent="0.15">
      <c r="A287">
        <f t="shared" ref="A287:B287" si="109">A286</f>
        <v>0</v>
      </c>
      <c r="B287">
        <f t="shared" si="109"/>
        <v>1</v>
      </c>
      <c r="C287">
        <f t="shared" si="54"/>
        <v>286</v>
      </c>
      <c r="D287">
        <v>1</v>
      </c>
      <c r="E287" t="str">
        <f>VLOOKUP(D287,name!A:B,2,1)</f>
        <v>Navigator</v>
      </c>
      <c r="F287" t="str">
        <f>"とても良くできました。レッスン"&amp;B287&amp;"はこれで終了です。"</f>
        <v>とても良くできました。レッスン1はこれで終了です。</v>
      </c>
      <c r="G287" t="str">
        <f t="shared" si="2"/>
        <v>e</v>
      </c>
      <c r="H287" t="str">
        <f>VLOOKUP(D287,name!A:C,3,1)</f>
        <v>assets/icons/image014.png</v>
      </c>
    </row>
  </sheetData>
  <sheetProtection algorithmName="SHA-512" hashValue="nwnTEVZTz0aHkhSb3asf1KddlVM8AylyyXlExZuMDXQtAuiSvPUXsyJ0yo+gHcWwuNdbsqqwFzVZ76f5sAjDiw==" saltValue="JGnPVqQ0stwl+kFO9e9DKA==" spinCount="100000" sheet="1" objects="1" scenarios="1"/>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90" operator="containsText" id="{0B57F934-680E-4B7B-9308-0DF3EB75A883}">
            <xm:f>NOT(ISERROR(SEARCH($G$84,G2)))</xm:f>
            <xm:f>$G$84</xm:f>
            <x14:dxf>
              <font>
                <color auto="1"/>
              </font>
              <fill>
                <patternFill>
                  <bgColor rgb="FFFFC000"/>
                </patternFill>
              </fill>
            </x14:dxf>
          </x14:cfRule>
          <xm:sqref>G2:G287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talk</vt:lpstr>
      <vt:lpstr>name</vt:lpstr>
      <vt:lpstr>img</vt:lpstr>
      <vt:lpstr>templete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2022-12-18T17:31:21Z</dcterms:modified>
</cp:coreProperties>
</file>