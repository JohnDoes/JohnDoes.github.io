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name" sheetId="2" r:id="rId2"/>
    <sheet name="img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9" i="1" l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E40" i="1"/>
  <c r="E4" i="1"/>
  <c r="G27" i="1"/>
  <c r="G28" i="1"/>
  <c r="G29" i="1"/>
  <c r="G30" i="1"/>
  <c r="G31" i="1"/>
  <c r="G32" i="1"/>
  <c r="G33" i="1"/>
  <c r="G34" i="1"/>
  <c r="G35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05" i="1"/>
  <c r="E104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59" i="1" l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39" i="1"/>
  <c r="E37" i="1"/>
  <c r="E38" i="1"/>
  <c r="E3" i="1"/>
  <c r="E2" i="1"/>
  <c r="E5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6" i="1"/>
  <c r="E7" i="1"/>
  <c r="E8" i="1"/>
  <c r="E9" i="1"/>
  <c r="E10" i="1"/>
  <c r="E11" i="1"/>
  <c r="E12" i="1"/>
  <c r="E13" i="1"/>
  <c r="E14" i="1"/>
  <c r="E15" i="1"/>
  <c r="E16" i="1"/>
  <c r="E17" i="1"/>
  <c r="E18" i="1"/>
</calcChain>
</file>

<file path=xl/sharedStrings.xml><?xml version="1.0" encoding="utf-8"?>
<sst xmlns="http://schemas.openxmlformats.org/spreadsheetml/2006/main" count="307" uniqueCount="112">
  <si>
    <t>LangID</t>
    <phoneticPr fontId="1"/>
  </si>
  <si>
    <t>StageID</t>
    <phoneticPr fontId="1"/>
  </si>
  <si>
    <t>LogID</t>
    <phoneticPr fontId="1"/>
  </si>
  <si>
    <t>Log</t>
    <phoneticPr fontId="1"/>
  </si>
  <si>
    <t>Lektion eins</t>
    <phoneticPr fontId="1"/>
  </si>
  <si>
    <t>Wie geht es Ihnen?</t>
  </si>
  <si>
    <t>Danke, gut. Und Ihnen?</t>
  </si>
  <si>
    <t>Also dann, Herr Tanaka, bis morgen.</t>
  </si>
  <si>
    <t>Bis morgen. Auf Wiedersehen.</t>
  </si>
  <si>
    <t>レッスン1</t>
    <phoneticPr fontId="1"/>
  </si>
  <si>
    <t>Chara</t>
    <phoneticPr fontId="1"/>
  </si>
  <si>
    <t>Hallo, Herr Tanaka.</t>
    <phoneticPr fontId="1"/>
  </si>
  <si>
    <t>Name</t>
    <phoneticPr fontId="1"/>
  </si>
  <si>
    <t>Chara</t>
    <phoneticPr fontId="1"/>
  </si>
  <si>
    <t>Name</t>
    <phoneticPr fontId="1"/>
  </si>
  <si>
    <t>player</t>
    <phoneticPr fontId="1"/>
  </si>
  <si>
    <t>navigator</t>
    <phoneticPr fontId="1"/>
  </si>
  <si>
    <t>tanaka</t>
    <phoneticPr fontId="1"/>
  </si>
  <si>
    <t>Guten Tag, Frau Schneider.</t>
    <phoneticPr fontId="1"/>
  </si>
  <si>
    <t>Schneider.</t>
    <phoneticPr fontId="1"/>
  </si>
  <si>
    <t>ドイツ語</t>
    <rPh sb="3" eb="4">
      <t>ゴ</t>
    </rPh>
    <phoneticPr fontId="1"/>
  </si>
  <si>
    <t>こんにちは、シュナイダー夫人。</t>
  </si>
  <si>
    <t>こんにちは、田中さん。</t>
  </si>
  <si>
    <t>お元気ですか?</t>
    <rPh sb="1" eb="3">
      <t>ゲンキ</t>
    </rPh>
    <phoneticPr fontId="1"/>
  </si>
  <si>
    <t>ありがとう、元気です。それで、あなたは？</t>
    <rPh sb="6" eb="8">
      <t>ゲンキ</t>
    </rPh>
    <phoneticPr fontId="1"/>
  </si>
  <si>
    <t>Auch gut, danke. (Der Bus kommt.)</t>
    <phoneticPr fontId="1"/>
  </si>
  <si>
    <t>私も元気です。ありがとう。[バスが来る]</t>
    <rPh sb="0" eb="1">
      <t>ワタシ</t>
    </rPh>
    <rPh sb="2" eb="4">
      <t>ゲンキ</t>
    </rPh>
    <rPh sb="17" eb="18">
      <t>ク</t>
    </rPh>
    <phoneticPr fontId="1"/>
  </si>
  <si>
    <t>それでは、田中さん、また明日お会いしましょう。</t>
  </si>
  <si>
    <t>ではまた明日。じゃあ、さようなら。</t>
    <phoneticPr fontId="1"/>
  </si>
  <si>
    <t>次の日本語をドイツ語に訳して答えてね！</t>
    <rPh sb="0" eb="1">
      <t>ツギ</t>
    </rPh>
    <rPh sb="2" eb="5">
      <t>ニホンゴ</t>
    </rPh>
    <rPh sb="9" eb="10">
      <t>ゴ</t>
    </rPh>
    <rPh sb="11" eb="12">
      <t>ヤク</t>
    </rPh>
    <rPh sb="14" eb="15">
      <t>コタ</t>
    </rPh>
    <phoneticPr fontId="1"/>
  </si>
  <si>
    <t>とても良くできました。レッスン1はこれで終了です。</t>
    <rPh sb="3" eb="4">
      <t>ヨ</t>
    </rPh>
    <rPh sb="20" eb="22">
      <t>シュウリョウ</t>
    </rPh>
    <phoneticPr fontId="1"/>
  </si>
  <si>
    <t>設定</t>
    <rPh sb="0" eb="2">
      <t>セッテイ</t>
    </rPh>
    <phoneticPr fontId="1"/>
  </si>
  <si>
    <t>Lektion zwei</t>
  </si>
  <si>
    <t>Freut mich, Sie kennen zu lernen.</t>
  </si>
  <si>
    <t>Woher kommen Sie, Frau Weber?</t>
  </si>
  <si>
    <t>Ich komme aus Südtirol, aus Italien.</t>
  </si>
  <si>
    <t>Und Sie? Kommen Sie aus Korea?</t>
  </si>
  <si>
    <t>レッスン2</t>
    <phoneticPr fontId="1"/>
  </si>
  <si>
    <t>Guten Tag. Ich heiße Tanaka. Ken Tanaka.</t>
    <phoneticPr fontId="1"/>
  </si>
  <si>
    <t>こんにちは。わたしは田中といいます。田中健です。</t>
    <phoneticPr fontId="1"/>
  </si>
  <si>
    <t>私の名前はアンドレア・ウェーバーです。</t>
  </si>
  <si>
    <t>Mein Name ist Andrea Weber.</t>
    <phoneticPr fontId="1"/>
  </si>
  <si>
    <t>Weber</t>
  </si>
  <si>
    <t>お会いできて嬉しいです。</t>
    <rPh sb="6" eb="7">
      <t>ウレ</t>
    </rPh>
    <phoneticPr fontId="1"/>
  </si>
  <si>
    <t>Freut mich auch.</t>
    <phoneticPr fontId="1"/>
  </si>
  <si>
    <t>私も嬉しいです。</t>
  </si>
  <si>
    <t>ウェーバーさん、どこから来ましたか?</t>
  </si>
  <si>
    <t>私はイタリアにある南チロルから来ました。</t>
    <phoneticPr fontId="1"/>
  </si>
  <si>
    <t>そしてあなたは?あなたは韓国出身ですか?</t>
    <phoneticPr fontId="1"/>
  </si>
  <si>
    <t>Nein, ich komme nicht aus Korea, sondern aus Japan.</t>
    <phoneticPr fontId="1"/>
  </si>
  <si>
    <t>いいえ、韓国出身ではなく、日本出身です。</t>
    <phoneticPr fontId="1"/>
  </si>
  <si>
    <t>Freut mich, Sie kennen zu lernen.</t>
    <phoneticPr fontId="1"/>
  </si>
  <si>
    <t>とても良くできました。レッスン2はこれで終了です。</t>
    <rPh sb="3" eb="4">
      <t>ヨ</t>
    </rPh>
    <rPh sb="20" eb="22">
      <t>シュウリョウ</t>
    </rPh>
    <phoneticPr fontId="1"/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</si>
  <si>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</si>
  <si>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</si>
  <si>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</si>
  <si>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</si>
  <si>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Et vous, vous êtes français ?</t>
  </si>
  <si>
    <t>レッスン 1</t>
  </si>
  <si>
    <t>Bonjour. Je m'appelle Minako. Et vous ?</t>
    <phoneticPr fontId="1"/>
  </si>
  <si>
    <t>Minako</t>
    <phoneticPr fontId="1"/>
  </si>
  <si>
    <t>こんにちは。美奈子と申します。それで、あなたは。</t>
  </si>
  <si>
    <t>Je m'appelle Céline. Vous êtes japonaise ?</t>
    <phoneticPr fontId="1"/>
  </si>
  <si>
    <t>Je suis française. Je suis d'Orléans.</t>
    <phoneticPr fontId="1"/>
  </si>
  <si>
    <t>Céline</t>
    <phoneticPr fontId="1"/>
  </si>
  <si>
    <t>私の名前はセリーヌです。あなたは日本人ですか?</t>
  </si>
  <si>
    <t>Oui. Je suis de Kyoto.</t>
    <phoneticPr fontId="1"/>
  </si>
  <si>
    <t>はい。京都出身です。</t>
  </si>
  <si>
    <t>私はフランス人です。私はオルレアン出身です。</t>
  </si>
  <si>
    <t>そして、あなたはフランス人ですか?</t>
    <phoneticPr fontId="1"/>
  </si>
  <si>
    <t>Non, je suis italien. Enchanté.</t>
    <phoneticPr fontId="1"/>
  </si>
  <si>
    <t>Luigi</t>
    <phoneticPr fontId="1"/>
  </si>
  <si>
    <t>いいえ、私はイタリア人です。はじめまして。</t>
  </si>
  <si>
    <t>Enchantée.</t>
    <phoneticPr fontId="1"/>
  </si>
  <si>
    <t>はじめまして。</t>
  </si>
  <si>
    <t>次の日本語をフランス語に訳して答えてね！</t>
    <rPh sb="0" eb="1">
      <t>ツギ</t>
    </rPh>
    <rPh sb="2" eb="5">
      <t>ニホンゴ</t>
    </rPh>
    <rPh sb="10" eb="11">
      <t>ゴ</t>
    </rPh>
    <rPh sb="12" eb="13">
      <t>ヤク</t>
    </rPh>
    <rPh sb="15" eb="16">
      <t>コタ</t>
    </rPh>
    <phoneticPr fontId="1"/>
  </si>
  <si>
    <t>Leçon deux</t>
  </si>
  <si>
    <t>Elle est très jolie.</t>
  </si>
  <si>
    <t>Et ça, qu'est-ce que c'est ?</t>
  </si>
  <si>
    <t>レッスン 2</t>
  </si>
  <si>
    <t>Voilà votre chambre.</t>
    <phoneticPr fontId="1"/>
  </si>
  <si>
    <t>M. Dubois</t>
    <phoneticPr fontId="1"/>
  </si>
  <si>
    <t>ここがあなたの部屋です。</t>
    <phoneticPr fontId="1"/>
  </si>
  <si>
    <t>（それは）とてもきれいですね。</t>
    <phoneticPr fontId="1"/>
  </si>
  <si>
    <t>Vous avez un lit, un bureau et une commode.</t>
    <phoneticPr fontId="1"/>
  </si>
  <si>
    <t>ベッド、机、箪笥があります。</t>
  </si>
  <si>
    <t>（そして、）それは何ですか?</t>
    <phoneticPr fontId="1"/>
  </si>
  <si>
    <t>C'est une table de nuit.</t>
    <phoneticPr fontId="1"/>
  </si>
  <si>
    <t>ベッドサイドテーブルです。</t>
  </si>
  <si>
    <t>Et ça ?</t>
    <phoneticPr fontId="1"/>
  </si>
  <si>
    <t>Ce sont des prises de courant.</t>
    <phoneticPr fontId="1"/>
  </si>
  <si>
    <t>これらは電源コンセントです。</t>
  </si>
  <si>
    <t>それで、これは?</t>
    <phoneticPr fontId="1"/>
  </si>
  <si>
    <t>type</t>
    <phoneticPr fontId="1"/>
  </si>
  <si>
    <t>e</t>
    <phoneticPr fontId="1"/>
  </si>
  <si>
    <t>e</t>
    <phoneticPr fontId="1"/>
  </si>
  <si>
    <t>e</t>
    <phoneticPr fontId="1"/>
  </si>
  <si>
    <t>それでは学習を始めましょう！</t>
    <rPh sb="4" eb="6">
      <t>ガクシュウ</t>
    </rPh>
    <rPh sb="7" eb="8">
      <t>ハジ</t>
    </rPh>
    <phoneticPr fontId="1"/>
  </si>
  <si>
    <t>icon</t>
    <phoneticPr fontId="1"/>
  </si>
  <si>
    <t>C:\Users\真樹\Desktop\JohnDoes.github.io\assets\icons\image014.png</t>
    <phoneticPr fontId="1"/>
  </si>
  <si>
    <t>C:\Users\真樹\Desktop\JohnDoes.github.io\assets\icons\image013.png</t>
  </si>
  <si>
    <t>C:\Users\真樹\Desktop\JohnDoes.github.io\assets\icons\image003.png</t>
  </si>
  <si>
    <t>C:\Users\真樹\Desktop\JohnDoes.github.io\assets\icons\image016.png</t>
  </si>
  <si>
    <t>C:\Users\真樹\Desktop\JohnDoes.github.io\assets\icons\image086.png</t>
  </si>
  <si>
    <t>C:\Users\真樹\Desktop\JohnDoes.github.io\assets\icons\image078.png</t>
  </si>
  <si>
    <t>C:\Users\真樹\Desktop\JohnDoes.github.io\assets\icons\image023.png</t>
  </si>
  <si>
    <t>C:\Users\真樹\Desktop\JohnDoes.github.io\assets\icons\image033.png</t>
  </si>
  <si>
    <t>C:\Users\真樹\Desktop\JohnDoes.github.io\assets\icons\image326.png</t>
  </si>
  <si>
    <t>b</t>
    <phoneticPr fontId="1"/>
  </si>
  <si>
    <t>b</t>
    <phoneticPr fontId="1"/>
  </si>
  <si>
    <t>どの言語を学びたい？</t>
    <rPh sb="2" eb="4">
      <t>ゲンゴ</t>
    </rPh>
    <rPh sb="5" eb="6">
      <t>マナ</t>
    </rPh>
    <phoneticPr fontId="1"/>
  </si>
  <si>
    <t>最後に学習したのはステージいくつ？</t>
    <rPh sb="0" eb="2">
      <t>サイゴ</t>
    </rPh>
    <rPh sb="3" eb="5">
      <t>ガクシュウ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</si>
</sst>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1"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6"/>
  <sheetViews>
    <sheetView tabSelected="1" topLeftCell="B3" workbookViewId="0">
      <selection activeCell="D3" sqref="D3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</cols>
  <sheetData>
    <row r="1" spans="1:8" x14ac:dyDescent="0.15">
      <c r="A1" t="s">
        <v>0</v>
      </c>
      <c r="B1" t="s">
        <v>1</v>
      </c>
      <c r="C1" t="s">
        <v>2</v>
      </c>
      <c r="D1" t="s">
        <v>10</v>
      </c>
      <c r="E1" t="s">
        <v>12</v>
      </c>
      <c r="F1" t="s">
        <v>3</v>
      </c>
      <c r="G1" t="s">
        <v>93</v>
      </c>
      <c r="H1" t="s">
        <v>98</v>
      </c>
    </row>
    <row r="2" spans="1:8" x14ac:dyDescent="0.15">
      <c r="A2" t="s">
        <v>31</v>
      </c>
      <c r="B2">
        <v>0</v>
      </c>
      <c r="C2">
        <v>1</v>
      </c>
      <c r="D2">
        <v>1</v>
      </c>
      <c r="E2" t="str">
        <f>VLOOKUP(D2,name!A:B,2,1)</f>
        <v>navigator</v>
      </c>
      <c r="F2" s="1" t="s">
        <v>110</v>
      </c>
      <c r="G2" t="s">
        <v>108</v>
      </c>
      <c r="H2" t="str">
        <f>VLOOKUP(D2,name!A:C,3,1)</f>
        <v>C:\Users\真樹\Desktop\JohnDoes.github.io\assets\icons\image014.png</v>
      </c>
    </row>
    <row r="3" spans="1:8" x14ac:dyDescent="0.15">
      <c r="A3" t="s">
        <v>31</v>
      </c>
      <c r="B3">
        <v>0</v>
      </c>
      <c r="C3">
        <v>2</v>
      </c>
      <c r="D3">
        <v>1</v>
      </c>
      <c r="E3" t="str">
        <f>VLOOKUP(D3,name!A:B,2,1)</f>
        <v>navigator</v>
      </c>
      <c r="F3" s="1" t="s">
        <v>111</v>
      </c>
      <c r="G3" t="s">
        <v>109</v>
      </c>
      <c r="H3" t="str">
        <f>VLOOKUP(D3,name!A:C,3,1)</f>
        <v>C:\Users\真樹\Desktop\JohnDoes.github.io\assets\icons\image014.png</v>
      </c>
    </row>
    <row r="4" spans="1:8" x14ac:dyDescent="0.15">
      <c r="A4" t="s">
        <v>31</v>
      </c>
      <c r="B4">
        <v>0</v>
      </c>
      <c r="C4">
        <v>4</v>
      </c>
      <c r="D4">
        <v>1</v>
      </c>
      <c r="E4" t="str">
        <f>VLOOKUP(D4,name!A:B,2,1)</f>
        <v>navigator</v>
      </c>
      <c r="F4" t="s">
        <v>97</v>
      </c>
      <c r="G4" t="s">
        <v>96</v>
      </c>
      <c r="H4" t="str">
        <f>VLOOKUP(D4,name!A:C,3,1)</f>
        <v>C:\Users\真樹\Desktop\JohnDoes.github.io\assets\icons\image014.png</v>
      </c>
    </row>
    <row r="5" spans="1:8" x14ac:dyDescent="0.15">
      <c r="A5" t="s">
        <v>20</v>
      </c>
      <c r="B5">
        <v>1</v>
      </c>
      <c r="C5">
        <v>1</v>
      </c>
      <c r="D5">
        <v>1</v>
      </c>
      <c r="E5" t="str">
        <f>VLOOKUP(D5,name!A:B,2,1)</f>
        <v>navigator</v>
      </c>
      <c r="F5" t="s">
        <v>4</v>
      </c>
      <c r="G5" t="str">
        <f t="shared" ref="G5:G66" si="0">IF(D5=0,"q","a")</f>
        <v>a</v>
      </c>
      <c r="H5" t="str">
        <f>VLOOKUP(D5,name!A:C,3,1)</f>
        <v>C:\Users\真樹\Desktop\JohnDoes.github.io\assets\icons\image014.png</v>
      </c>
    </row>
    <row r="6" spans="1:8" x14ac:dyDescent="0.15">
      <c r="A6" t="s">
        <v>20</v>
      </c>
      <c r="B6">
        <v>1</v>
      </c>
      <c r="C6">
        <v>2</v>
      </c>
      <c r="D6">
        <v>1</v>
      </c>
      <c r="E6" t="str">
        <f>VLOOKUP(D6,name!A:B,2,1)</f>
        <v>navigator</v>
      </c>
      <c r="F6" t="s">
        <v>9</v>
      </c>
      <c r="G6" t="str">
        <f t="shared" si="0"/>
        <v>a</v>
      </c>
      <c r="H6" t="str">
        <f>VLOOKUP(D6,name!A:C,3,1)</f>
        <v>C:\Users\真樹\Desktop\JohnDoes.github.io\assets\icons\image014.png</v>
      </c>
    </row>
    <row r="7" spans="1:8" x14ac:dyDescent="0.15">
      <c r="A7" t="s">
        <v>20</v>
      </c>
      <c r="B7">
        <v>1</v>
      </c>
      <c r="C7">
        <v>3</v>
      </c>
      <c r="D7">
        <v>2</v>
      </c>
      <c r="E7" t="str">
        <f>VLOOKUP(D7,name!A:B,2,1)</f>
        <v>tanaka</v>
      </c>
      <c r="F7" t="s">
        <v>18</v>
      </c>
      <c r="G7" t="str">
        <f t="shared" si="0"/>
        <v>a</v>
      </c>
      <c r="H7" t="str">
        <f>VLOOKUP(D7,name!A:C,3,1)</f>
        <v>C:\Users\真樹\Desktop\JohnDoes.github.io\assets\icons\image013.png</v>
      </c>
    </row>
    <row r="8" spans="1:8" x14ac:dyDescent="0.15">
      <c r="A8" t="s">
        <v>20</v>
      </c>
      <c r="B8">
        <v>1</v>
      </c>
      <c r="C8">
        <v>4</v>
      </c>
      <c r="D8">
        <v>2</v>
      </c>
      <c r="E8" t="str">
        <f>VLOOKUP(D8,name!A:B,2,1)</f>
        <v>tanaka</v>
      </c>
      <c r="F8" t="s">
        <v>21</v>
      </c>
      <c r="G8" t="str">
        <f t="shared" si="0"/>
        <v>a</v>
      </c>
      <c r="H8" t="str">
        <f>VLOOKUP(D8,name!A:C,3,1)</f>
        <v>C:\Users\真樹\Desktop\JohnDoes.github.io\assets\icons\image013.png</v>
      </c>
    </row>
    <row r="9" spans="1:8" x14ac:dyDescent="0.15">
      <c r="A9" t="s">
        <v>20</v>
      </c>
      <c r="B9">
        <v>1</v>
      </c>
      <c r="C9">
        <v>5</v>
      </c>
      <c r="D9">
        <v>3</v>
      </c>
      <c r="E9" t="str">
        <f>VLOOKUP(D9,name!A:B,2,1)</f>
        <v>Schneider.</v>
      </c>
      <c r="F9" t="s">
        <v>11</v>
      </c>
      <c r="G9" t="str">
        <f t="shared" si="0"/>
        <v>a</v>
      </c>
      <c r="H9" t="str">
        <f>VLOOKUP(D9,name!A:C,3,1)</f>
        <v>C:\Users\真樹\Desktop\JohnDoes.github.io\assets\icons\image003.png</v>
      </c>
    </row>
    <row r="10" spans="1:8" x14ac:dyDescent="0.15">
      <c r="A10" t="s">
        <v>20</v>
      </c>
      <c r="B10">
        <v>1</v>
      </c>
      <c r="C10">
        <v>6</v>
      </c>
      <c r="D10">
        <v>3</v>
      </c>
      <c r="E10" t="str">
        <f>VLOOKUP(D10,name!A:B,2,1)</f>
        <v>Schneider.</v>
      </c>
      <c r="F10" t="s">
        <v>22</v>
      </c>
      <c r="G10" t="str">
        <f t="shared" si="0"/>
        <v>a</v>
      </c>
      <c r="H10" t="str">
        <f>VLOOKUP(D10,name!A:C,3,1)</f>
        <v>C:\Users\真樹\Desktop\JohnDoes.github.io\assets\icons\image003.png</v>
      </c>
    </row>
    <row r="11" spans="1:8" x14ac:dyDescent="0.15">
      <c r="A11" t="s">
        <v>20</v>
      </c>
      <c r="B11">
        <v>1</v>
      </c>
      <c r="C11">
        <v>7</v>
      </c>
      <c r="D11">
        <v>3</v>
      </c>
      <c r="E11" t="str">
        <f>VLOOKUP(D11,name!A:B,2,1)</f>
        <v>Schneider.</v>
      </c>
      <c r="F11" t="s">
        <v>5</v>
      </c>
      <c r="G11" t="str">
        <f t="shared" si="0"/>
        <v>a</v>
      </c>
      <c r="H11" t="str">
        <f>VLOOKUP(D11,name!A:C,3,1)</f>
        <v>C:\Users\真樹\Desktop\JohnDoes.github.io\assets\icons\image003.png</v>
      </c>
    </row>
    <row r="12" spans="1:8" x14ac:dyDescent="0.15">
      <c r="A12" t="s">
        <v>20</v>
      </c>
      <c r="B12">
        <v>1</v>
      </c>
      <c r="C12">
        <v>8</v>
      </c>
      <c r="D12">
        <v>3</v>
      </c>
      <c r="E12" t="str">
        <f>VLOOKUP(D12,name!A:B,2,1)</f>
        <v>Schneider.</v>
      </c>
      <c r="F12" t="s">
        <v>23</v>
      </c>
      <c r="G12" t="str">
        <f t="shared" si="0"/>
        <v>a</v>
      </c>
      <c r="H12" t="str">
        <f>VLOOKUP(D12,name!A:C,3,1)</f>
        <v>C:\Users\真樹\Desktop\JohnDoes.github.io\assets\icons\image003.png</v>
      </c>
    </row>
    <row r="13" spans="1:8" x14ac:dyDescent="0.15">
      <c r="A13" t="s">
        <v>20</v>
      </c>
      <c r="B13">
        <v>1</v>
      </c>
      <c r="C13">
        <v>9</v>
      </c>
      <c r="D13">
        <v>2</v>
      </c>
      <c r="E13" t="str">
        <f>VLOOKUP(D13,name!A:B,2,1)</f>
        <v>tanaka</v>
      </c>
      <c r="F13" t="s">
        <v>6</v>
      </c>
      <c r="G13" t="str">
        <f t="shared" si="0"/>
        <v>a</v>
      </c>
      <c r="H13" t="str">
        <f>VLOOKUP(D13,name!A:C,3,1)</f>
        <v>C:\Users\真樹\Desktop\JohnDoes.github.io\assets\icons\image013.png</v>
      </c>
    </row>
    <row r="14" spans="1:8" x14ac:dyDescent="0.15">
      <c r="A14" t="s">
        <v>20</v>
      </c>
      <c r="B14">
        <v>1</v>
      </c>
      <c r="C14">
        <v>10</v>
      </c>
      <c r="D14">
        <v>2</v>
      </c>
      <c r="E14" t="str">
        <f>VLOOKUP(D14,name!A:B,2,1)</f>
        <v>tanaka</v>
      </c>
      <c r="F14" t="s">
        <v>24</v>
      </c>
      <c r="G14" t="str">
        <f t="shared" si="0"/>
        <v>a</v>
      </c>
      <c r="H14" t="str">
        <f>VLOOKUP(D14,name!A:C,3,1)</f>
        <v>C:\Users\真樹\Desktop\JohnDoes.github.io\assets\icons\image013.png</v>
      </c>
    </row>
    <row r="15" spans="1:8" x14ac:dyDescent="0.15">
      <c r="A15" t="s">
        <v>20</v>
      </c>
      <c r="B15">
        <v>1</v>
      </c>
      <c r="C15">
        <v>11</v>
      </c>
      <c r="D15">
        <v>3</v>
      </c>
      <c r="E15" t="str">
        <f>VLOOKUP(D15,name!A:B,2,1)</f>
        <v>Schneider.</v>
      </c>
      <c r="F15" t="s">
        <v>25</v>
      </c>
      <c r="G15" t="str">
        <f t="shared" si="0"/>
        <v>a</v>
      </c>
      <c r="H15" t="str">
        <f>VLOOKUP(D15,name!A:C,3,1)</f>
        <v>C:\Users\真樹\Desktop\JohnDoes.github.io\assets\icons\image003.png</v>
      </c>
    </row>
    <row r="16" spans="1:8" x14ac:dyDescent="0.15">
      <c r="A16" t="s">
        <v>20</v>
      </c>
      <c r="B16">
        <v>1</v>
      </c>
      <c r="C16">
        <v>12</v>
      </c>
      <c r="D16">
        <v>3</v>
      </c>
      <c r="E16" t="str">
        <f>VLOOKUP(D16,name!A:B,2,1)</f>
        <v>Schneider.</v>
      </c>
      <c r="F16" t="s">
        <v>26</v>
      </c>
      <c r="G16" t="str">
        <f t="shared" si="0"/>
        <v>a</v>
      </c>
      <c r="H16" t="str">
        <f>VLOOKUP(D16,name!A:C,3,1)</f>
        <v>C:\Users\真樹\Desktop\JohnDoes.github.io\assets\icons\image003.png</v>
      </c>
    </row>
    <row r="17" spans="1:8" x14ac:dyDescent="0.15">
      <c r="A17" t="s">
        <v>20</v>
      </c>
      <c r="B17">
        <v>1</v>
      </c>
      <c r="C17">
        <v>13</v>
      </c>
      <c r="D17">
        <v>3</v>
      </c>
      <c r="E17" t="str">
        <f>VLOOKUP(D17,name!A:B,2,1)</f>
        <v>Schneider.</v>
      </c>
      <c r="F17" t="s">
        <v>7</v>
      </c>
      <c r="G17" t="str">
        <f t="shared" si="0"/>
        <v>a</v>
      </c>
      <c r="H17" t="str">
        <f>VLOOKUP(D17,name!A:C,3,1)</f>
        <v>C:\Users\真樹\Desktop\JohnDoes.github.io\assets\icons\image003.png</v>
      </c>
    </row>
    <row r="18" spans="1:8" x14ac:dyDescent="0.15">
      <c r="A18" t="s">
        <v>20</v>
      </c>
      <c r="B18">
        <v>1</v>
      </c>
      <c r="C18">
        <v>14</v>
      </c>
      <c r="D18">
        <v>3</v>
      </c>
      <c r="E18" t="str">
        <f>VLOOKUP(D18,name!A:B,2,1)</f>
        <v>Schneider.</v>
      </c>
      <c r="F18" t="s">
        <v>27</v>
      </c>
      <c r="G18" t="str">
        <f t="shared" si="0"/>
        <v>a</v>
      </c>
      <c r="H18" t="str">
        <f>VLOOKUP(D18,name!A:C,3,1)</f>
        <v>C:\Users\真樹\Desktop\JohnDoes.github.io\assets\icons\image003.png</v>
      </c>
    </row>
    <row r="19" spans="1:8" x14ac:dyDescent="0.15">
      <c r="A19" t="s">
        <v>20</v>
      </c>
      <c r="B19">
        <v>1</v>
      </c>
      <c r="C19">
        <v>15</v>
      </c>
      <c r="D19">
        <v>2</v>
      </c>
      <c r="E19" t="str">
        <f>VLOOKUP(D19,name!A:B,2,1)</f>
        <v>tanaka</v>
      </c>
      <c r="F19" t="s">
        <v>8</v>
      </c>
      <c r="G19" t="str">
        <f t="shared" si="0"/>
        <v>a</v>
      </c>
      <c r="H19" t="str">
        <f>VLOOKUP(D19,name!A:C,3,1)</f>
        <v>C:\Users\真樹\Desktop\JohnDoes.github.io\assets\icons\image013.png</v>
      </c>
    </row>
    <row r="20" spans="1:8" x14ac:dyDescent="0.15">
      <c r="A20" t="s">
        <v>20</v>
      </c>
      <c r="B20">
        <v>1</v>
      </c>
      <c r="C20">
        <v>16</v>
      </c>
      <c r="D20">
        <v>2</v>
      </c>
      <c r="E20" t="str">
        <f>VLOOKUP(D20,name!A:B,2,1)</f>
        <v>tanaka</v>
      </c>
      <c r="F20" t="s">
        <v>28</v>
      </c>
      <c r="G20" t="str">
        <f t="shared" si="0"/>
        <v>a</v>
      </c>
      <c r="H20" t="str">
        <f>VLOOKUP(D20,name!A:C,3,1)</f>
        <v>C:\Users\真樹\Desktop\JohnDoes.github.io\assets\icons\image013.png</v>
      </c>
    </row>
    <row r="21" spans="1:8" x14ac:dyDescent="0.15">
      <c r="A21" t="s">
        <v>20</v>
      </c>
      <c r="B21">
        <v>1</v>
      </c>
      <c r="C21">
        <v>17</v>
      </c>
      <c r="D21">
        <v>1</v>
      </c>
      <c r="E21" t="str">
        <f>VLOOKUP(D21,name!A:B,2,1)</f>
        <v>navigator</v>
      </c>
      <c r="F21" t="s">
        <v>29</v>
      </c>
      <c r="G21" t="str">
        <f t="shared" si="0"/>
        <v>a</v>
      </c>
      <c r="H21" t="str">
        <f>VLOOKUP(D21,name!A:C,3,1)</f>
        <v>C:\Users\真樹\Desktop\JohnDoes.github.io\assets\icons\image014.png</v>
      </c>
    </row>
    <row r="22" spans="1:8" x14ac:dyDescent="0.15">
      <c r="A22" t="s">
        <v>20</v>
      </c>
      <c r="B22">
        <v>1</v>
      </c>
      <c r="C22">
        <v>18</v>
      </c>
      <c r="D22">
        <v>2</v>
      </c>
      <c r="E22" t="str">
        <f>VLOOKUP(D22,name!A:B,2,1)</f>
        <v>tanaka</v>
      </c>
      <c r="F22" t="s">
        <v>21</v>
      </c>
      <c r="G22" t="str">
        <f t="shared" si="0"/>
        <v>a</v>
      </c>
      <c r="H22" t="str">
        <f>VLOOKUP(D22,name!A:C,3,1)</f>
        <v>C:\Users\真樹\Desktop\JohnDoes.github.io\assets\icons\image013.png</v>
      </c>
    </row>
    <row r="23" spans="1:8" x14ac:dyDescent="0.15">
      <c r="A23" t="s">
        <v>20</v>
      </c>
      <c r="B23">
        <v>1</v>
      </c>
      <c r="C23">
        <v>19</v>
      </c>
      <c r="D23">
        <v>0</v>
      </c>
      <c r="E23" t="str">
        <f>VLOOKUP(D23,name!A:B,2,1)</f>
        <v>player</v>
      </c>
      <c r="F23" t="s">
        <v>18</v>
      </c>
      <c r="G23" t="str">
        <f t="shared" si="0"/>
        <v>q</v>
      </c>
      <c r="H23" t="str">
        <f>VLOOKUP(D23,name!A:C,3,1)</f>
        <v>C:\Users\真樹\Desktop\JohnDoes.github.io\assets\icons\image326.png</v>
      </c>
    </row>
    <row r="24" spans="1:8" x14ac:dyDescent="0.15">
      <c r="A24" t="s">
        <v>20</v>
      </c>
      <c r="B24">
        <v>1</v>
      </c>
      <c r="C24">
        <v>20</v>
      </c>
      <c r="D24">
        <v>3</v>
      </c>
      <c r="E24" t="str">
        <f>VLOOKUP(D24,name!A:B,2,1)</f>
        <v>Schneider.</v>
      </c>
      <c r="F24" t="s">
        <v>22</v>
      </c>
      <c r="G24" t="str">
        <f t="shared" si="0"/>
        <v>a</v>
      </c>
      <c r="H24" t="str">
        <f>VLOOKUP(D24,name!A:C,3,1)</f>
        <v>C:\Users\真樹\Desktop\JohnDoes.github.io\assets\icons\image003.png</v>
      </c>
    </row>
    <row r="25" spans="1:8" x14ac:dyDescent="0.15">
      <c r="A25" t="s">
        <v>20</v>
      </c>
      <c r="B25">
        <v>1</v>
      </c>
      <c r="C25">
        <v>21</v>
      </c>
      <c r="D25">
        <v>0</v>
      </c>
      <c r="E25" t="str">
        <f>VLOOKUP(D25,name!A:B,2,1)</f>
        <v>player</v>
      </c>
      <c r="F25" t="s">
        <v>11</v>
      </c>
      <c r="G25" t="str">
        <f t="shared" si="0"/>
        <v>q</v>
      </c>
      <c r="H25" t="str">
        <f>VLOOKUP(D25,name!A:C,3,1)</f>
        <v>C:\Users\真樹\Desktop\JohnDoes.github.io\assets\icons\image326.png</v>
      </c>
    </row>
    <row r="26" spans="1:8" x14ac:dyDescent="0.15">
      <c r="A26" t="s">
        <v>20</v>
      </c>
      <c r="B26">
        <v>1</v>
      </c>
      <c r="C26">
        <v>22</v>
      </c>
      <c r="D26">
        <v>3</v>
      </c>
      <c r="E26" t="str">
        <f>VLOOKUP(D26,name!A:B,2,1)</f>
        <v>Schneider.</v>
      </c>
      <c r="F26" t="s">
        <v>23</v>
      </c>
      <c r="G26" t="str">
        <f t="shared" si="0"/>
        <v>a</v>
      </c>
      <c r="H26" t="str">
        <f>VLOOKUP(D26,name!A:C,3,1)</f>
        <v>C:\Users\真樹\Desktop\JohnDoes.github.io\assets\icons\image003.png</v>
      </c>
    </row>
    <row r="27" spans="1:8" x14ac:dyDescent="0.15">
      <c r="A27" t="s">
        <v>20</v>
      </c>
      <c r="B27">
        <v>1</v>
      </c>
      <c r="C27">
        <v>23</v>
      </c>
      <c r="D27">
        <v>0</v>
      </c>
      <c r="E27" t="str">
        <f>VLOOKUP(D27,name!A:B,2,1)</f>
        <v>player</v>
      </c>
      <c r="F27" t="s">
        <v>5</v>
      </c>
      <c r="G27" t="str">
        <f t="shared" si="0"/>
        <v>q</v>
      </c>
      <c r="H27" t="str">
        <f>VLOOKUP(D27,name!A:C,3,1)</f>
        <v>C:\Users\真樹\Desktop\JohnDoes.github.io\assets\icons\image326.png</v>
      </c>
    </row>
    <row r="28" spans="1:8" x14ac:dyDescent="0.15">
      <c r="A28" t="s">
        <v>20</v>
      </c>
      <c r="B28">
        <v>1</v>
      </c>
      <c r="C28">
        <v>24</v>
      </c>
      <c r="D28">
        <v>2</v>
      </c>
      <c r="E28" t="str">
        <f>VLOOKUP(D28,name!A:B,2,1)</f>
        <v>tanaka</v>
      </c>
      <c r="F28" t="s">
        <v>24</v>
      </c>
      <c r="G28" t="str">
        <f t="shared" si="0"/>
        <v>a</v>
      </c>
      <c r="H28" t="str">
        <f>VLOOKUP(D28,name!A:C,3,1)</f>
        <v>C:\Users\真樹\Desktop\JohnDoes.github.io\assets\icons\image013.png</v>
      </c>
    </row>
    <row r="29" spans="1:8" x14ac:dyDescent="0.15">
      <c r="A29" t="s">
        <v>20</v>
      </c>
      <c r="B29">
        <v>1</v>
      </c>
      <c r="C29">
        <v>25</v>
      </c>
      <c r="D29">
        <v>0</v>
      </c>
      <c r="E29" t="str">
        <f>VLOOKUP(D29,name!A:B,2,1)</f>
        <v>player</v>
      </c>
      <c r="F29" t="s">
        <v>6</v>
      </c>
      <c r="G29" t="str">
        <f t="shared" si="0"/>
        <v>q</v>
      </c>
      <c r="H29" t="str">
        <f>VLOOKUP(D29,name!A:C,3,1)</f>
        <v>C:\Users\真樹\Desktop\JohnDoes.github.io\assets\icons\image326.png</v>
      </c>
    </row>
    <row r="30" spans="1:8" x14ac:dyDescent="0.15">
      <c r="A30" t="s">
        <v>20</v>
      </c>
      <c r="B30">
        <v>1</v>
      </c>
      <c r="C30">
        <v>26</v>
      </c>
      <c r="D30">
        <v>3</v>
      </c>
      <c r="E30" t="str">
        <f>VLOOKUP(D30,name!A:B,2,1)</f>
        <v>Schneider.</v>
      </c>
      <c r="F30" t="s">
        <v>26</v>
      </c>
      <c r="G30" t="str">
        <f t="shared" si="0"/>
        <v>a</v>
      </c>
      <c r="H30" t="str">
        <f>VLOOKUP(D30,name!A:C,3,1)</f>
        <v>C:\Users\真樹\Desktop\JohnDoes.github.io\assets\icons\image003.png</v>
      </c>
    </row>
    <row r="31" spans="1:8" x14ac:dyDescent="0.15">
      <c r="A31" t="s">
        <v>20</v>
      </c>
      <c r="B31">
        <v>1</v>
      </c>
      <c r="C31">
        <v>27</v>
      </c>
      <c r="D31">
        <v>0</v>
      </c>
      <c r="E31" t="str">
        <f>VLOOKUP(D31,name!A:B,2,1)</f>
        <v>player</v>
      </c>
      <c r="F31" t="s">
        <v>25</v>
      </c>
      <c r="G31" t="str">
        <f t="shared" si="0"/>
        <v>q</v>
      </c>
      <c r="H31" t="str">
        <f>VLOOKUP(D31,name!A:C,3,1)</f>
        <v>C:\Users\真樹\Desktop\JohnDoes.github.io\assets\icons\image326.png</v>
      </c>
    </row>
    <row r="32" spans="1:8" x14ac:dyDescent="0.15">
      <c r="A32" t="s">
        <v>20</v>
      </c>
      <c r="B32">
        <v>1</v>
      </c>
      <c r="C32">
        <v>28</v>
      </c>
      <c r="D32">
        <v>3</v>
      </c>
      <c r="E32" t="str">
        <f>VLOOKUP(D32,name!A:B,2,1)</f>
        <v>Schneider.</v>
      </c>
      <c r="F32" t="s">
        <v>27</v>
      </c>
      <c r="G32" t="str">
        <f t="shared" si="0"/>
        <v>a</v>
      </c>
      <c r="H32" t="str">
        <f>VLOOKUP(D32,name!A:C,3,1)</f>
        <v>C:\Users\真樹\Desktop\JohnDoes.github.io\assets\icons\image003.png</v>
      </c>
    </row>
    <row r="33" spans="1:8" x14ac:dyDescent="0.15">
      <c r="A33" t="s">
        <v>20</v>
      </c>
      <c r="B33">
        <v>1</v>
      </c>
      <c r="C33">
        <v>29</v>
      </c>
      <c r="D33">
        <v>0</v>
      </c>
      <c r="E33" t="str">
        <f>VLOOKUP(D33,name!A:B,2,1)</f>
        <v>player</v>
      </c>
      <c r="F33" t="s">
        <v>7</v>
      </c>
      <c r="G33" t="str">
        <f t="shared" si="0"/>
        <v>q</v>
      </c>
      <c r="H33" t="str">
        <f>VLOOKUP(D33,name!A:C,3,1)</f>
        <v>C:\Users\真樹\Desktop\JohnDoes.github.io\assets\icons\image326.png</v>
      </c>
    </row>
    <row r="34" spans="1:8" x14ac:dyDescent="0.15">
      <c r="A34" t="s">
        <v>20</v>
      </c>
      <c r="B34">
        <v>1</v>
      </c>
      <c r="C34">
        <v>30</v>
      </c>
      <c r="D34">
        <v>2</v>
      </c>
      <c r="E34" t="str">
        <f>VLOOKUP(D34,name!A:B,2,1)</f>
        <v>tanaka</v>
      </c>
      <c r="F34" t="s">
        <v>28</v>
      </c>
      <c r="G34" t="str">
        <f t="shared" si="0"/>
        <v>a</v>
      </c>
      <c r="H34" t="str">
        <f>VLOOKUP(D34,name!A:C,3,1)</f>
        <v>C:\Users\真樹\Desktop\JohnDoes.github.io\assets\icons\image013.png</v>
      </c>
    </row>
    <row r="35" spans="1:8" x14ac:dyDescent="0.15">
      <c r="A35" t="s">
        <v>20</v>
      </c>
      <c r="B35">
        <v>1</v>
      </c>
      <c r="C35">
        <v>31</v>
      </c>
      <c r="D35">
        <v>0</v>
      </c>
      <c r="E35" t="str">
        <f>VLOOKUP(D35,name!A:B,2,1)</f>
        <v>player</v>
      </c>
      <c r="F35" t="s">
        <v>8</v>
      </c>
      <c r="G35" t="str">
        <f t="shared" si="0"/>
        <v>q</v>
      </c>
      <c r="H35" t="str">
        <f>VLOOKUP(D35,name!A:C,3,1)</f>
        <v>C:\Users\真樹\Desktop\JohnDoes.github.io\assets\icons\image326.png</v>
      </c>
    </row>
    <row r="36" spans="1:8" x14ac:dyDescent="0.15">
      <c r="A36" t="s">
        <v>20</v>
      </c>
      <c r="B36">
        <v>1</v>
      </c>
      <c r="C36">
        <v>32</v>
      </c>
      <c r="D36">
        <v>1</v>
      </c>
      <c r="E36" t="str">
        <f>VLOOKUP(D36,name!A:B,2,1)</f>
        <v>navigator</v>
      </c>
      <c r="F36" t="s">
        <v>30</v>
      </c>
      <c r="G36" t="s">
        <v>96</v>
      </c>
      <c r="H36" t="str">
        <f>VLOOKUP(D36,name!A:C,3,1)</f>
        <v>C:\Users\真樹\Desktop\JohnDoes.github.io\assets\icons\image014.png</v>
      </c>
    </row>
    <row r="37" spans="1:8" x14ac:dyDescent="0.15">
      <c r="A37" t="s">
        <v>20</v>
      </c>
      <c r="B37">
        <v>2</v>
      </c>
      <c r="C37">
        <v>1</v>
      </c>
      <c r="D37">
        <v>1</v>
      </c>
      <c r="E37" t="str">
        <f>VLOOKUP(D37,name!A:B,2,1)</f>
        <v>navigator</v>
      </c>
      <c r="F37" t="s">
        <v>32</v>
      </c>
      <c r="G37" t="str">
        <f t="shared" si="0"/>
        <v>a</v>
      </c>
      <c r="H37" t="str">
        <f>VLOOKUP(D37,name!A:C,3,1)</f>
        <v>C:\Users\真樹\Desktop\JohnDoes.github.io\assets\icons\image014.png</v>
      </c>
    </row>
    <row r="38" spans="1:8" x14ac:dyDescent="0.15">
      <c r="A38" t="s">
        <v>20</v>
      </c>
      <c r="B38">
        <v>2</v>
      </c>
      <c r="C38">
        <v>2</v>
      </c>
      <c r="D38">
        <v>1</v>
      </c>
      <c r="E38" t="str">
        <f>VLOOKUP(D38,name!A:B,2,1)</f>
        <v>navigator</v>
      </c>
      <c r="F38" t="s">
        <v>37</v>
      </c>
      <c r="G38" t="str">
        <f t="shared" si="0"/>
        <v>a</v>
      </c>
      <c r="H38" t="str">
        <f>VLOOKUP(D38,name!A:C,3,1)</f>
        <v>C:\Users\真樹\Desktop\JohnDoes.github.io\assets\icons\image014.png</v>
      </c>
    </row>
    <row r="39" spans="1:8" x14ac:dyDescent="0.15">
      <c r="A39" t="s">
        <v>20</v>
      </c>
      <c r="B39">
        <v>2</v>
      </c>
      <c r="C39">
        <v>3</v>
      </c>
      <c r="D39">
        <v>2</v>
      </c>
      <c r="E39" t="str">
        <f>VLOOKUP(D39,name!A:B,2,1)</f>
        <v>tanaka</v>
      </c>
      <c r="F39" t="s">
        <v>38</v>
      </c>
      <c r="G39" t="str">
        <f t="shared" si="0"/>
        <v>a</v>
      </c>
      <c r="H39" t="str">
        <f>VLOOKUP(D39,name!A:C,3,1)</f>
        <v>C:\Users\真樹\Desktop\JohnDoes.github.io\assets\icons\image013.png</v>
      </c>
    </row>
    <row r="40" spans="1:8" x14ac:dyDescent="0.15">
      <c r="A40" t="s">
        <v>20</v>
      </c>
      <c r="B40">
        <v>2</v>
      </c>
      <c r="C40">
        <v>4</v>
      </c>
      <c r="D40">
        <v>2</v>
      </c>
      <c r="E40" t="str">
        <f>VLOOKUP(D40,name!A:B,2,1)</f>
        <v>tanaka</v>
      </c>
      <c r="F40" t="s">
        <v>39</v>
      </c>
      <c r="G40" t="str">
        <f t="shared" si="0"/>
        <v>a</v>
      </c>
      <c r="H40" t="str">
        <f>VLOOKUP(D40,name!A:C,3,1)</f>
        <v>C:\Users\真樹\Desktop\JohnDoes.github.io\assets\icons\image013.png</v>
      </c>
    </row>
    <row r="41" spans="1:8" x14ac:dyDescent="0.15">
      <c r="A41" t="s">
        <v>20</v>
      </c>
      <c r="B41">
        <v>2</v>
      </c>
      <c r="C41">
        <v>5</v>
      </c>
      <c r="D41">
        <v>4</v>
      </c>
      <c r="E41" t="str">
        <f>VLOOKUP(D41,name!A:B,2,1)</f>
        <v>Weber</v>
      </c>
      <c r="F41" t="s">
        <v>41</v>
      </c>
      <c r="G41" t="str">
        <f t="shared" si="0"/>
        <v>a</v>
      </c>
      <c r="H41" t="str">
        <f>VLOOKUP(D41,name!A:C,3,1)</f>
        <v>C:\Users\真樹\Desktop\JohnDoes.github.io\assets\icons\image016.png</v>
      </c>
    </row>
    <row r="42" spans="1:8" x14ac:dyDescent="0.15">
      <c r="A42" t="s">
        <v>20</v>
      </c>
      <c r="B42">
        <v>2</v>
      </c>
      <c r="C42">
        <v>6</v>
      </c>
      <c r="D42">
        <v>4</v>
      </c>
      <c r="E42" t="str">
        <f>VLOOKUP(D42,name!A:B,2,1)</f>
        <v>Weber</v>
      </c>
      <c r="F42" t="s">
        <v>40</v>
      </c>
      <c r="G42" t="str">
        <f t="shared" si="0"/>
        <v>a</v>
      </c>
      <c r="H42" t="str">
        <f>VLOOKUP(D42,name!A:C,3,1)</f>
        <v>C:\Users\真樹\Desktop\JohnDoes.github.io\assets\icons\image016.png</v>
      </c>
    </row>
    <row r="43" spans="1:8" x14ac:dyDescent="0.15">
      <c r="A43" t="s">
        <v>20</v>
      </c>
      <c r="B43">
        <v>2</v>
      </c>
      <c r="C43">
        <v>7</v>
      </c>
      <c r="D43">
        <v>4</v>
      </c>
      <c r="E43" t="str">
        <f>VLOOKUP(D43,name!A:B,2,1)</f>
        <v>Weber</v>
      </c>
      <c r="F43" t="s">
        <v>51</v>
      </c>
      <c r="G43" t="str">
        <f t="shared" si="0"/>
        <v>a</v>
      </c>
      <c r="H43" t="str">
        <f>VLOOKUP(D43,name!A:C,3,1)</f>
        <v>C:\Users\真樹\Desktop\JohnDoes.github.io\assets\icons\image016.png</v>
      </c>
    </row>
    <row r="44" spans="1:8" x14ac:dyDescent="0.15">
      <c r="A44" t="s">
        <v>20</v>
      </c>
      <c r="B44">
        <v>2</v>
      </c>
      <c r="C44">
        <v>8</v>
      </c>
      <c r="D44">
        <v>4</v>
      </c>
      <c r="E44" t="str">
        <f>VLOOKUP(D44,name!A:B,2,1)</f>
        <v>Weber</v>
      </c>
      <c r="F44" t="s">
        <v>43</v>
      </c>
      <c r="G44" t="str">
        <f t="shared" si="0"/>
        <v>a</v>
      </c>
      <c r="H44" t="str">
        <f>VLOOKUP(D44,name!A:C,3,1)</f>
        <v>C:\Users\真樹\Desktop\JohnDoes.github.io\assets\icons\image016.png</v>
      </c>
    </row>
    <row r="45" spans="1:8" x14ac:dyDescent="0.15">
      <c r="A45" t="s">
        <v>20</v>
      </c>
      <c r="B45">
        <v>2</v>
      </c>
      <c r="C45">
        <v>9</v>
      </c>
      <c r="D45">
        <v>2</v>
      </c>
      <c r="E45" t="str">
        <f>VLOOKUP(D45,name!A:B,2,1)</f>
        <v>tanaka</v>
      </c>
      <c r="F45" t="s">
        <v>44</v>
      </c>
      <c r="G45" t="str">
        <f t="shared" si="0"/>
        <v>a</v>
      </c>
      <c r="H45" t="str">
        <f>VLOOKUP(D45,name!A:C,3,1)</f>
        <v>C:\Users\真樹\Desktop\JohnDoes.github.io\assets\icons\image013.png</v>
      </c>
    </row>
    <row r="46" spans="1:8" x14ac:dyDescent="0.15">
      <c r="A46" t="s">
        <v>20</v>
      </c>
      <c r="B46">
        <v>2</v>
      </c>
      <c r="C46">
        <v>10</v>
      </c>
      <c r="D46">
        <v>2</v>
      </c>
      <c r="E46" t="str">
        <f>VLOOKUP(D46,name!A:B,2,1)</f>
        <v>tanaka</v>
      </c>
      <c r="F46" t="s">
        <v>45</v>
      </c>
      <c r="G46" t="str">
        <f t="shared" si="0"/>
        <v>a</v>
      </c>
      <c r="H46" t="str">
        <f>VLOOKUP(D46,name!A:C,3,1)</f>
        <v>C:\Users\真樹\Desktop\JohnDoes.github.io\assets\icons\image013.png</v>
      </c>
    </row>
    <row r="47" spans="1:8" x14ac:dyDescent="0.15">
      <c r="A47" t="s">
        <v>20</v>
      </c>
      <c r="B47">
        <v>2</v>
      </c>
      <c r="C47">
        <v>11</v>
      </c>
      <c r="D47">
        <v>2</v>
      </c>
      <c r="E47" t="str">
        <f>VLOOKUP(D47,name!A:B,2,1)</f>
        <v>tanaka</v>
      </c>
      <c r="F47" t="s">
        <v>34</v>
      </c>
      <c r="G47" t="str">
        <f t="shared" si="0"/>
        <v>a</v>
      </c>
      <c r="H47" t="str">
        <f>VLOOKUP(D47,name!A:C,3,1)</f>
        <v>C:\Users\真樹\Desktop\JohnDoes.github.io\assets\icons\image013.png</v>
      </c>
    </row>
    <row r="48" spans="1:8" x14ac:dyDescent="0.15">
      <c r="A48" t="s">
        <v>20</v>
      </c>
      <c r="B48">
        <v>2</v>
      </c>
      <c r="C48">
        <v>12</v>
      </c>
      <c r="D48">
        <v>2</v>
      </c>
      <c r="E48" t="str">
        <f>VLOOKUP(D48,name!A:B,2,1)</f>
        <v>tanaka</v>
      </c>
      <c r="F48" t="s">
        <v>46</v>
      </c>
      <c r="G48" t="str">
        <f t="shared" si="0"/>
        <v>a</v>
      </c>
      <c r="H48" t="str">
        <f>VLOOKUP(D48,name!A:C,3,1)</f>
        <v>C:\Users\真樹\Desktop\JohnDoes.github.io\assets\icons\image013.png</v>
      </c>
    </row>
    <row r="49" spans="1:8" x14ac:dyDescent="0.15">
      <c r="A49" t="s">
        <v>20</v>
      </c>
      <c r="B49">
        <v>2</v>
      </c>
      <c r="C49">
        <v>13</v>
      </c>
      <c r="D49">
        <v>4</v>
      </c>
      <c r="E49" t="str">
        <f>VLOOKUP(D49,name!A:B,2,1)</f>
        <v>Weber</v>
      </c>
      <c r="F49" t="s">
        <v>35</v>
      </c>
      <c r="G49" t="str">
        <f t="shared" si="0"/>
        <v>a</v>
      </c>
      <c r="H49" t="str">
        <f>VLOOKUP(D49,name!A:C,3,1)</f>
        <v>C:\Users\真樹\Desktop\JohnDoes.github.io\assets\icons\image016.png</v>
      </c>
    </row>
    <row r="50" spans="1:8" x14ac:dyDescent="0.15">
      <c r="A50" t="s">
        <v>20</v>
      </c>
      <c r="B50">
        <v>2</v>
      </c>
      <c r="C50">
        <v>14</v>
      </c>
      <c r="D50">
        <v>4</v>
      </c>
      <c r="E50" t="str">
        <f>VLOOKUP(D50,name!A:B,2,1)</f>
        <v>Weber</v>
      </c>
      <c r="F50" t="s">
        <v>47</v>
      </c>
      <c r="G50" t="str">
        <f t="shared" si="0"/>
        <v>a</v>
      </c>
      <c r="H50" t="str">
        <f>VLOOKUP(D50,name!A:C,3,1)</f>
        <v>C:\Users\真樹\Desktop\JohnDoes.github.io\assets\icons\image016.png</v>
      </c>
    </row>
    <row r="51" spans="1:8" x14ac:dyDescent="0.15">
      <c r="A51" t="s">
        <v>20</v>
      </c>
      <c r="B51">
        <v>2</v>
      </c>
      <c r="C51">
        <v>15</v>
      </c>
      <c r="D51">
        <v>4</v>
      </c>
      <c r="E51" t="str">
        <f>VLOOKUP(D51,name!A:B,2,1)</f>
        <v>Weber</v>
      </c>
      <c r="F51" t="s">
        <v>36</v>
      </c>
      <c r="G51" t="str">
        <f t="shared" si="0"/>
        <v>a</v>
      </c>
      <c r="H51" t="str">
        <f>VLOOKUP(D51,name!A:C,3,1)</f>
        <v>C:\Users\真樹\Desktop\JohnDoes.github.io\assets\icons\image016.png</v>
      </c>
    </row>
    <row r="52" spans="1:8" x14ac:dyDescent="0.15">
      <c r="A52" t="s">
        <v>20</v>
      </c>
      <c r="B52">
        <v>2</v>
      </c>
      <c r="C52">
        <v>16</v>
      </c>
      <c r="D52">
        <v>4</v>
      </c>
      <c r="E52" t="str">
        <f>VLOOKUP(D52,name!A:B,2,1)</f>
        <v>Weber</v>
      </c>
      <c r="F52" t="s">
        <v>48</v>
      </c>
      <c r="G52" t="str">
        <f t="shared" si="0"/>
        <v>a</v>
      </c>
      <c r="H52" t="str">
        <f>VLOOKUP(D52,name!A:C,3,1)</f>
        <v>C:\Users\真樹\Desktop\JohnDoes.github.io\assets\icons\image016.png</v>
      </c>
    </row>
    <row r="53" spans="1:8" x14ac:dyDescent="0.15">
      <c r="A53" t="s">
        <v>20</v>
      </c>
      <c r="B53">
        <v>2</v>
      </c>
      <c r="C53">
        <v>17</v>
      </c>
      <c r="D53">
        <v>2</v>
      </c>
      <c r="E53" t="str">
        <f>VLOOKUP(D53,name!A:B,2,1)</f>
        <v>tanaka</v>
      </c>
      <c r="F53" t="s">
        <v>49</v>
      </c>
      <c r="G53" t="str">
        <f t="shared" si="0"/>
        <v>a</v>
      </c>
      <c r="H53" t="str">
        <f>VLOOKUP(D53,name!A:C,3,1)</f>
        <v>C:\Users\真樹\Desktop\JohnDoes.github.io\assets\icons\image013.png</v>
      </c>
    </row>
    <row r="54" spans="1:8" x14ac:dyDescent="0.15">
      <c r="A54" t="s">
        <v>20</v>
      </c>
      <c r="B54">
        <v>2</v>
      </c>
      <c r="C54">
        <v>18</v>
      </c>
      <c r="D54">
        <v>2</v>
      </c>
      <c r="E54" t="str">
        <f>VLOOKUP(D54,name!A:B,2,1)</f>
        <v>tanaka</v>
      </c>
      <c r="F54" t="s">
        <v>50</v>
      </c>
      <c r="G54" t="str">
        <f t="shared" si="0"/>
        <v>a</v>
      </c>
      <c r="H54" t="str">
        <f>VLOOKUP(D54,name!A:C,3,1)</f>
        <v>C:\Users\真樹\Desktop\JohnDoes.github.io\assets\icons\image013.png</v>
      </c>
    </row>
    <row r="55" spans="1:8" x14ac:dyDescent="0.15">
      <c r="A55" t="s">
        <v>20</v>
      </c>
      <c r="B55">
        <v>2</v>
      </c>
      <c r="C55">
        <v>19</v>
      </c>
      <c r="D55">
        <v>1</v>
      </c>
      <c r="E55" t="str">
        <f>VLOOKUP(D55,name!A:B,2,1)</f>
        <v>navigator</v>
      </c>
      <c r="F55" t="s">
        <v>29</v>
      </c>
      <c r="G55" t="str">
        <f t="shared" si="0"/>
        <v>a</v>
      </c>
      <c r="H55" t="str">
        <f>VLOOKUP(D55,name!A:C,3,1)</f>
        <v>C:\Users\真樹\Desktop\JohnDoes.github.io\assets\icons\image014.png</v>
      </c>
    </row>
    <row r="56" spans="1:8" x14ac:dyDescent="0.15">
      <c r="A56" t="s">
        <v>20</v>
      </c>
      <c r="B56">
        <v>2</v>
      </c>
      <c r="C56">
        <v>20</v>
      </c>
      <c r="D56">
        <v>2</v>
      </c>
      <c r="E56" t="str">
        <f>VLOOKUP(D56,name!A:B,2,1)</f>
        <v>tanaka</v>
      </c>
      <c r="F56" t="s">
        <v>39</v>
      </c>
      <c r="G56" t="str">
        <f t="shared" si="0"/>
        <v>a</v>
      </c>
      <c r="H56" t="str">
        <f>VLOOKUP(D56,name!A:C,3,1)</f>
        <v>C:\Users\真樹\Desktop\JohnDoes.github.io\assets\icons\image013.png</v>
      </c>
    </row>
    <row r="57" spans="1:8" x14ac:dyDescent="0.15">
      <c r="A57" t="s">
        <v>20</v>
      </c>
      <c r="B57">
        <v>2</v>
      </c>
      <c r="C57">
        <v>21</v>
      </c>
      <c r="D57">
        <v>0</v>
      </c>
      <c r="E57" t="str">
        <f>VLOOKUP(D57,name!A:B,2,1)</f>
        <v>player</v>
      </c>
      <c r="F57" t="s">
        <v>38</v>
      </c>
      <c r="G57" t="str">
        <f t="shared" si="0"/>
        <v>q</v>
      </c>
      <c r="H57" t="str">
        <f>VLOOKUP(D57,name!A:C,3,1)</f>
        <v>C:\Users\真樹\Desktop\JohnDoes.github.io\assets\icons\image326.png</v>
      </c>
    </row>
    <row r="58" spans="1:8" x14ac:dyDescent="0.15">
      <c r="A58" t="s">
        <v>20</v>
      </c>
      <c r="B58">
        <v>2</v>
      </c>
      <c r="C58">
        <v>22</v>
      </c>
      <c r="D58">
        <v>4</v>
      </c>
      <c r="E58" t="str">
        <f>VLOOKUP(D58,name!A:B,2,1)</f>
        <v>Weber</v>
      </c>
      <c r="F58" t="s">
        <v>40</v>
      </c>
      <c r="G58" t="str">
        <f t="shared" si="0"/>
        <v>a</v>
      </c>
      <c r="H58" t="str">
        <f>VLOOKUP(D58,name!A:C,3,1)</f>
        <v>C:\Users\真樹\Desktop\JohnDoes.github.io\assets\icons\image016.png</v>
      </c>
    </row>
    <row r="59" spans="1:8" x14ac:dyDescent="0.15">
      <c r="A59" t="s">
        <v>20</v>
      </c>
      <c r="B59">
        <v>2</v>
      </c>
      <c r="C59">
        <v>23</v>
      </c>
      <c r="D59">
        <v>0</v>
      </c>
      <c r="E59" t="str">
        <f>VLOOKUP(D59,name!A:B,2,1)</f>
        <v>player</v>
      </c>
      <c r="F59" t="s">
        <v>41</v>
      </c>
      <c r="G59" t="str">
        <f t="shared" si="0"/>
        <v>q</v>
      </c>
      <c r="H59" t="str">
        <f>VLOOKUP(D59,name!A:C,3,1)</f>
        <v>C:\Users\真樹\Desktop\JohnDoes.github.io\assets\icons\image326.png</v>
      </c>
    </row>
    <row r="60" spans="1:8" x14ac:dyDescent="0.15">
      <c r="A60" t="s">
        <v>20</v>
      </c>
      <c r="B60">
        <v>2</v>
      </c>
      <c r="C60">
        <v>24</v>
      </c>
      <c r="D60">
        <v>4</v>
      </c>
      <c r="E60" t="str">
        <f>VLOOKUP(D60,name!A:B,2,1)</f>
        <v>Weber</v>
      </c>
      <c r="F60" t="s">
        <v>43</v>
      </c>
      <c r="G60" t="str">
        <f t="shared" si="0"/>
        <v>a</v>
      </c>
      <c r="H60" t="str">
        <f>VLOOKUP(D60,name!A:C,3,1)</f>
        <v>C:\Users\真樹\Desktop\JohnDoes.github.io\assets\icons\image016.png</v>
      </c>
    </row>
    <row r="61" spans="1:8" x14ac:dyDescent="0.15">
      <c r="A61" t="s">
        <v>20</v>
      </c>
      <c r="B61">
        <v>2</v>
      </c>
      <c r="C61">
        <v>25</v>
      </c>
      <c r="D61">
        <v>0</v>
      </c>
      <c r="E61" t="str">
        <f>VLOOKUP(D61,name!A:B,2,1)</f>
        <v>player</v>
      </c>
      <c r="F61" t="s">
        <v>33</v>
      </c>
      <c r="G61" t="str">
        <f t="shared" si="0"/>
        <v>q</v>
      </c>
      <c r="H61" t="str">
        <f>VLOOKUP(D61,name!A:C,3,1)</f>
        <v>C:\Users\真樹\Desktop\JohnDoes.github.io\assets\icons\image326.png</v>
      </c>
    </row>
    <row r="62" spans="1:8" x14ac:dyDescent="0.15">
      <c r="A62" t="s">
        <v>20</v>
      </c>
      <c r="B62">
        <v>2</v>
      </c>
      <c r="C62">
        <v>26</v>
      </c>
      <c r="D62">
        <v>2</v>
      </c>
      <c r="E62" t="str">
        <f>VLOOKUP(D62,name!A:B,2,1)</f>
        <v>tanaka</v>
      </c>
      <c r="F62" t="s">
        <v>45</v>
      </c>
      <c r="G62" t="str">
        <f t="shared" si="0"/>
        <v>a</v>
      </c>
      <c r="H62" t="str">
        <f>VLOOKUP(D62,name!A:C,3,1)</f>
        <v>C:\Users\真樹\Desktop\JohnDoes.github.io\assets\icons\image013.png</v>
      </c>
    </row>
    <row r="63" spans="1:8" x14ac:dyDescent="0.15">
      <c r="A63" t="s">
        <v>20</v>
      </c>
      <c r="B63">
        <v>2</v>
      </c>
      <c r="C63">
        <v>27</v>
      </c>
      <c r="D63">
        <v>0</v>
      </c>
      <c r="E63" t="str">
        <f>VLOOKUP(D63,name!A:B,2,1)</f>
        <v>player</v>
      </c>
      <c r="F63" t="s">
        <v>44</v>
      </c>
      <c r="G63" t="str">
        <f t="shared" si="0"/>
        <v>q</v>
      </c>
      <c r="H63" t="str">
        <f>VLOOKUP(D63,name!A:C,3,1)</f>
        <v>C:\Users\真樹\Desktop\JohnDoes.github.io\assets\icons\image326.png</v>
      </c>
    </row>
    <row r="64" spans="1:8" x14ac:dyDescent="0.15">
      <c r="A64" t="s">
        <v>20</v>
      </c>
      <c r="B64">
        <v>2</v>
      </c>
      <c r="C64">
        <v>28</v>
      </c>
      <c r="D64">
        <v>2</v>
      </c>
      <c r="E64" t="str">
        <f>VLOOKUP(D64,name!A:B,2,1)</f>
        <v>tanaka</v>
      </c>
      <c r="F64" t="s">
        <v>46</v>
      </c>
      <c r="G64" t="str">
        <f t="shared" si="0"/>
        <v>a</v>
      </c>
      <c r="H64" t="str">
        <f>VLOOKUP(D64,name!A:C,3,1)</f>
        <v>C:\Users\真樹\Desktop\JohnDoes.github.io\assets\icons\image013.png</v>
      </c>
    </row>
    <row r="65" spans="1:8" x14ac:dyDescent="0.15">
      <c r="A65" t="s">
        <v>20</v>
      </c>
      <c r="B65">
        <v>2</v>
      </c>
      <c r="C65">
        <v>29</v>
      </c>
      <c r="D65">
        <v>0</v>
      </c>
      <c r="E65" t="str">
        <f>VLOOKUP(D65,name!A:B,2,1)</f>
        <v>player</v>
      </c>
      <c r="F65" t="s">
        <v>34</v>
      </c>
      <c r="G65" t="str">
        <f t="shared" si="0"/>
        <v>q</v>
      </c>
      <c r="H65" t="str">
        <f>VLOOKUP(D65,name!A:C,3,1)</f>
        <v>C:\Users\真樹\Desktop\JohnDoes.github.io\assets\icons\image326.png</v>
      </c>
    </row>
    <row r="66" spans="1:8" x14ac:dyDescent="0.15">
      <c r="A66" t="s">
        <v>20</v>
      </c>
      <c r="B66">
        <v>2</v>
      </c>
      <c r="C66">
        <v>30</v>
      </c>
      <c r="D66">
        <v>4</v>
      </c>
      <c r="E66" t="str">
        <f>VLOOKUP(D66,name!A:B,2,1)</f>
        <v>Weber</v>
      </c>
      <c r="F66" t="s">
        <v>47</v>
      </c>
      <c r="G66" t="str">
        <f t="shared" si="0"/>
        <v>a</v>
      </c>
      <c r="H66" t="str">
        <f>VLOOKUP(D66,name!A:C,3,1)</f>
        <v>C:\Users\真樹\Desktop\JohnDoes.github.io\assets\icons\image016.png</v>
      </c>
    </row>
    <row r="67" spans="1:8" x14ac:dyDescent="0.15">
      <c r="A67" t="s">
        <v>20</v>
      </c>
      <c r="B67">
        <v>2</v>
      </c>
      <c r="C67">
        <v>31</v>
      </c>
      <c r="D67">
        <v>0</v>
      </c>
      <c r="E67" t="str">
        <f>VLOOKUP(D67,name!A:B,2,1)</f>
        <v>player</v>
      </c>
      <c r="F67" t="s">
        <v>35</v>
      </c>
      <c r="G67" t="str">
        <f t="shared" ref="G67:G130" si="1">IF(D67=0,"q","a")</f>
        <v>q</v>
      </c>
      <c r="H67" t="str">
        <f>VLOOKUP(D67,name!A:C,3,1)</f>
        <v>C:\Users\真樹\Desktop\JohnDoes.github.io\assets\icons\image326.png</v>
      </c>
    </row>
    <row r="68" spans="1:8" x14ac:dyDescent="0.15">
      <c r="A68" t="s">
        <v>20</v>
      </c>
      <c r="B68">
        <v>2</v>
      </c>
      <c r="C68">
        <v>32</v>
      </c>
      <c r="D68">
        <v>4</v>
      </c>
      <c r="E68" t="str">
        <f>VLOOKUP(D68,name!A:B,2,1)</f>
        <v>Weber</v>
      </c>
      <c r="F68" t="s">
        <v>48</v>
      </c>
      <c r="G68" t="str">
        <f t="shared" si="1"/>
        <v>a</v>
      </c>
      <c r="H68" t="str">
        <f>VLOOKUP(D68,name!A:C,3,1)</f>
        <v>C:\Users\真樹\Desktop\JohnDoes.github.io\assets\icons\image016.png</v>
      </c>
    </row>
    <row r="69" spans="1:8" x14ac:dyDescent="0.15">
      <c r="A69" t="s">
        <v>20</v>
      </c>
      <c r="B69">
        <v>2</v>
      </c>
      <c r="C69">
        <v>33</v>
      </c>
      <c r="D69">
        <v>0</v>
      </c>
      <c r="E69" t="str">
        <f>VLOOKUP(D69,name!A:B,2,1)</f>
        <v>player</v>
      </c>
      <c r="F69" t="s">
        <v>36</v>
      </c>
      <c r="G69" t="str">
        <f t="shared" si="1"/>
        <v>q</v>
      </c>
      <c r="H69" t="str">
        <f>VLOOKUP(D69,name!A:C,3,1)</f>
        <v>C:\Users\真樹\Desktop\JohnDoes.github.io\assets\icons\image326.png</v>
      </c>
    </row>
    <row r="70" spans="1:8" x14ac:dyDescent="0.15">
      <c r="A70" t="s">
        <v>20</v>
      </c>
      <c r="B70">
        <v>2</v>
      </c>
      <c r="C70">
        <v>34</v>
      </c>
      <c r="D70">
        <v>2</v>
      </c>
      <c r="E70" t="str">
        <f>VLOOKUP(D70,name!A:B,2,1)</f>
        <v>tanaka</v>
      </c>
      <c r="F70" t="s">
        <v>50</v>
      </c>
      <c r="G70" t="str">
        <f t="shared" si="1"/>
        <v>a</v>
      </c>
      <c r="H70" t="str">
        <f>VLOOKUP(D70,name!A:C,3,1)</f>
        <v>C:\Users\真樹\Desktop\JohnDoes.github.io\assets\icons\image013.png</v>
      </c>
    </row>
    <row r="71" spans="1:8" x14ac:dyDescent="0.15">
      <c r="A71" t="s">
        <v>20</v>
      </c>
      <c r="B71">
        <v>2</v>
      </c>
      <c r="C71">
        <v>35</v>
      </c>
      <c r="D71">
        <v>0</v>
      </c>
      <c r="E71" t="str">
        <f>VLOOKUP(D71,name!A:B,2,1)</f>
        <v>player</v>
      </c>
      <c r="F71" t="s">
        <v>49</v>
      </c>
      <c r="G71" t="str">
        <f t="shared" si="1"/>
        <v>q</v>
      </c>
      <c r="H71" t="str">
        <f>VLOOKUP(D71,name!A:C,3,1)</f>
        <v>C:\Users\真樹\Desktop\JohnDoes.github.io\assets\icons\image326.png</v>
      </c>
    </row>
    <row r="72" spans="1:8" x14ac:dyDescent="0.15">
      <c r="A72" t="s">
        <v>20</v>
      </c>
      <c r="B72">
        <v>2</v>
      </c>
      <c r="C72">
        <v>36</v>
      </c>
      <c r="D72">
        <v>1</v>
      </c>
      <c r="E72" t="str">
        <f>VLOOKUP(D72,name!A:B,2,1)</f>
        <v>navigator</v>
      </c>
      <c r="F72" t="s">
        <v>52</v>
      </c>
      <c r="G72" t="s">
        <v>95</v>
      </c>
      <c r="H72" t="str">
        <f>VLOOKUP(D72,name!A:C,3,1)</f>
        <v>C:\Users\真樹\Desktop\JohnDoes.github.io\assets\icons\image014.png</v>
      </c>
    </row>
    <row r="73" spans="1:8" x14ac:dyDescent="0.15">
      <c r="A73" t="s">
        <v>55</v>
      </c>
      <c r="B73">
        <v>1</v>
      </c>
      <c r="C73">
        <v>1</v>
      </c>
      <c r="D73">
        <v>1</v>
      </c>
      <c r="E73" t="str">
        <f>VLOOKUP(D73,name!A:B,2,1)</f>
        <v>navigator</v>
      </c>
      <c r="F73" t="s">
        <v>56</v>
      </c>
      <c r="G73" t="str">
        <f t="shared" si="1"/>
        <v>a</v>
      </c>
      <c r="H73" t="str">
        <f>VLOOKUP(D73,name!A:C,3,1)</f>
        <v>C:\Users\真樹\Desktop\JohnDoes.github.io\assets\icons\image014.png</v>
      </c>
    </row>
    <row r="74" spans="1:8" x14ac:dyDescent="0.15">
      <c r="A74" t="s">
        <v>55</v>
      </c>
      <c r="B74">
        <v>1</v>
      </c>
      <c r="C74">
        <v>2</v>
      </c>
      <c r="D74">
        <v>1</v>
      </c>
      <c r="E74" t="str">
        <f>VLOOKUP(D74,name!A:B,2,1)</f>
        <v>navigator</v>
      </c>
      <c r="F74" t="s">
        <v>58</v>
      </c>
      <c r="G74" t="str">
        <f t="shared" si="1"/>
        <v>a</v>
      </c>
      <c r="H74" t="str">
        <f>VLOOKUP(D74,name!A:C,3,1)</f>
        <v>C:\Users\真樹\Desktop\JohnDoes.github.io\assets\icons\image014.png</v>
      </c>
    </row>
    <row r="75" spans="1:8" x14ac:dyDescent="0.15">
      <c r="A75" t="s">
        <v>55</v>
      </c>
      <c r="B75">
        <v>1</v>
      </c>
      <c r="C75">
        <v>3</v>
      </c>
      <c r="D75">
        <v>5</v>
      </c>
      <c r="E75" t="str">
        <f>VLOOKUP(D75,name!A:B,2,1)</f>
        <v>Minako</v>
      </c>
      <c r="F75" t="s">
        <v>59</v>
      </c>
      <c r="G75" t="str">
        <f t="shared" si="1"/>
        <v>a</v>
      </c>
      <c r="H75" t="str">
        <f>VLOOKUP(D75,name!A:C,3,1)</f>
        <v>C:\Users\真樹\Desktop\JohnDoes.github.io\assets\icons\image086.png</v>
      </c>
    </row>
    <row r="76" spans="1:8" x14ac:dyDescent="0.15">
      <c r="A76" t="s">
        <v>55</v>
      </c>
      <c r="B76">
        <v>1</v>
      </c>
      <c r="C76">
        <v>4</v>
      </c>
      <c r="D76">
        <v>5</v>
      </c>
      <c r="E76" t="str">
        <f>VLOOKUP(D76,name!A:B,2,1)</f>
        <v>Minako</v>
      </c>
      <c r="F76" t="s">
        <v>61</v>
      </c>
      <c r="G76" t="str">
        <f t="shared" si="1"/>
        <v>a</v>
      </c>
      <c r="H76" t="str">
        <f>VLOOKUP(D76,name!A:C,3,1)</f>
        <v>C:\Users\真樹\Desktop\JohnDoes.github.io\assets\icons\image086.png</v>
      </c>
    </row>
    <row r="77" spans="1:8" x14ac:dyDescent="0.15">
      <c r="A77" t="s">
        <v>55</v>
      </c>
      <c r="B77">
        <v>1</v>
      </c>
      <c r="C77">
        <v>5</v>
      </c>
      <c r="D77">
        <v>6</v>
      </c>
      <c r="E77" t="str">
        <f>VLOOKUP(D77,name!A:B,2,1)</f>
        <v>Céline</v>
      </c>
      <c r="F77" t="s">
        <v>62</v>
      </c>
      <c r="G77" t="str">
        <f t="shared" si="1"/>
        <v>a</v>
      </c>
      <c r="H77" t="str">
        <f>VLOOKUP(D77,name!A:C,3,1)</f>
        <v>C:\Users\真樹\Desktop\JohnDoes.github.io\assets\icons\image078.png</v>
      </c>
    </row>
    <row r="78" spans="1:8" x14ac:dyDescent="0.15">
      <c r="A78" t="s">
        <v>55</v>
      </c>
      <c r="B78">
        <v>1</v>
      </c>
      <c r="C78">
        <v>6</v>
      </c>
      <c r="D78">
        <v>6</v>
      </c>
      <c r="E78" t="str">
        <f>VLOOKUP(D78,name!A:B,2,1)</f>
        <v>Céline</v>
      </c>
      <c r="F78" t="s">
        <v>65</v>
      </c>
      <c r="G78" t="str">
        <f t="shared" si="1"/>
        <v>a</v>
      </c>
      <c r="H78" t="str">
        <f>VLOOKUP(D78,name!A:C,3,1)</f>
        <v>C:\Users\真樹\Desktop\JohnDoes.github.io\assets\icons\image078.png</v>
      </c>
    </row>
    <row r="79" spans="1:8" x14ac:dyDescent="0.15">
      <c r="A79" t="s">
        <v>55</v>
      </c>
      <c r="B79">
        <v>1</v>
      </c>
      <c r="C79">
        <v>7</v>
      </c>
      <c r="D79">
        <v>5</v>
      </c>
      <c r="E79" t="str">
        <f>VLOOKUP(D79,name!A:B,2,1)</f>
        <v>Minako</v>
      </c>
      <c r="F79" t="s">
        <v>66</v>
      </c>
      <c r="G79" t="str">
        <f t="shared" si="1"/>
        <v>a</v>
      </c>
      <c r="H79" t="str">
        <f>VLOOKUP(D79,name!A:C,3,1)</f>
        <v>C:\Users\真樹\Desktop\JohnDoes.github.io\assets\icons\image086.png</v>
      </c>
    </row>
    <row r="80" spans="1:8" x14ac:dyDescent="0.15">
      <c r="A80" t="s">
        <v>55</v>
      </c>
      <c r="B80">
        <v>1</v>
      </c>
      <c r="C80">
        <v>8</v>
      </c>
      <c r="D80">
        <v>5</v>
      </c>
      <c r="E80" t="str">
        <f>VLOOKUP(D80,name!A:B,2,1)</f>
        <v>Minako</v>
      </c>
      <c r="F80" t="s">
        <v>67</v>
      </c>
      <c r="G80" t="str">
        <f t="shared" si="1"/>
        <v>a</v>
      </c>
      <c r="H80" t="str">
        <f>VLOOKUP(D80,name!A:C,3,1)</f>
        <v>C:\Users\真樹\Desktop\JohnDoes.github.io\assets\icons\image086.png</v>
      </c>
    </row>
    <row r="81" spans="1:8" x14ac:dyDescent="0.15">
      <c r="A81" t="s">
        <v>55</v>
      </c>
      <c r="B81">
        <v>1</v>
      </c>
      <c r="C81">
        <v>9</v>
      </c>
      <c r="D81">
        <v>6</v>
      </c>
      <c r="E81" t="str">
        <f>VLOOKUP(D81,name!A:B,2,1)</f>
        <v>Céline</v>
      </c>
      <c r="F81" t="s">
        <v>63</v>
      </c>
      <c r="G81" t="str">
        <f t="shared" si="1"/>
        <v>a</v>
      </c>
      <c r="H81" t="str">
        <f>VLOOKUP(D81,name!A:C,3,1)</f>
        <v>C:\Users\真樹\Desktop\JohnDoes.github.io\assets\icons\image078.png</v>
      </c>
    </row>
    <row r="82" spans="1:8" x14ac:dyDescent="0.15">
      <c r="A82" t="s">
        <v>55</v>
      </c>
      <c r="B82">
        <v>1</v>
      </c>
      <c r="C82">
        <v>10</v>
      </c>
      <c r="D82">
        <v>6</v>
      </c>
      <c r="E82" t="str">
        <f>VLOOKUP(D82,name!A:B,2,1)</f>
        <v>Céline</v>
      </c>
      <c r="F82" t="s">
        <v>68</v>
      </c>
      <c r="G82" t="str">
        <f t="shared" si="1"/>
        <v>a</v>
      </c>
      <c r="H82" t="str">
        <f>VLOOKUP(D82,name!A:C,3,1)</f>
        <v>C:\Users\真樹\Desktop\JohnDoes.github.io\assets\icons\image078.png</v>
      </c>
    </row>
    <row r="83" spans="1:8" x14ac:dyDescent="0.15">
      <c r="A83" t="s">
        <v>55</v>
      </c>
      <c r="B83">
        <v>1</v>
      </c>
      <c r="C83">
        <v>11</v>
      </c>
      <c r="D83">
        <v>6</v>
      </c>
      <c r="E83" t="str">
        <f>VLOOKUP(D83,name!A:B,2,1)</f>
        <v>Céline</v>
      </c>
      <c r="F83" t="s">
        <v>57</v>
      </c>
      <c r="G83" t="str">
        <f t="shared" si="1"/>
        <v>a</v>
      </c>
      <c r="H83" t="str">
        <f>VLOOKUP(D83,name!A:C,3,1)</f>
        <v>C:\Users\真樹\Desktop\JohnDoes.github.io\assets\icons\image078.png</v>
      </c>
    </row>
    <row r="84" spans="1:8" x14ac:dyDescent="0.15">
      <c r="A84" t="s">
        <v>55</v>
      </c>
      <c r="B84">
        <v>1</v>
      </c>
      <c r="C84">
        <v>12</v>
      </c>
      <c r="D84">
        <v>6</v>
      </c>
      <c r="E84" t="str">
        <f>VLOOKUP(D84,name!A:B,2,1)</f>
        <v>Céline</v>
      </c>
      <c r="F84" t="s">
        <v>69</v>
      </c>
      <c r="G84" t="str">
        <f t="shared" si="1"/>
        <v>a</v>
      </c>
      <c r="H84" t="str">
        <f>VLOOKUP(D84,name!A:C,3,1)</f>
        <v>C:\Users\真樹\Desktop\JohnDoes.github.io\assets\icons\image078.png</v>
      </c>
    </row>
    <row r="85" spans="1:8" x14ac:dyDescent="0.15">
      <c r="A85" t="s">
        <v>55</v>
      </c>
      <c r="B85">
        <v>1</v>
      </c>
      <c r="C85">
        <v>13</v>
      </c>
      <c r="D85">
        <v>7</v>
      </c>
      <c r="E85" t="str">
        <f>VLOOKUP(D85,name!A:B,2,1)</f>
        <v>Luigi</v>
      </c>
      <c r="F85" t="s">
        <v>70</v>
      </c>
      <c r="G85" t="str">
        <f t="shared" si="1"/>
        <v>a</v>
      </c>
      <c r="H85" t="str">
        <f>VLOOKUP(D85,name!A:C,3,1)</f>
        <v>C:\Users\真樹\Desktop\JohnDoes.github.io\assets\icons\image023.png</v>
      </c>
    </row>
    <row r="86" spans="1:8" x14ac:dyDescent="0.15">
      <c r="A86" t="s">
        <v>55</v>
      </c>
      <c r="B86">
        <v>1</v>
      </c>
      <c r="C86">
        <v>14</v>
      </c>
      <c r="D86">
        <v>7</v>
      </c>
      <c r="E86" t="str">
        <f>VLOOKUP(D86,name!A:B,2,1)</f>
        <v>Luigi</v>
      </c>
      <c r="F86" t="s">
        <v>72</v>
      </c>
      <c r="G86" t="str">
        <f t="shared" si="1"/>
        <v>a</v>
      </c>
      <c r="H86" t="str">
        <f>VLOOKUP(D86,name!A:C,3,1)</f>
        <v>C:\Users\真樹\Desktop\JohnDoes.github.io\assets\icons\image023.png</v>
      </c>
    </row>
    <row r="87" spans="1:8" x14ac:dyDescent="0.15">
      <c r="A87" t="s">
        <v>55</v>
      </c>
      <c r="B87">
        <v>1</v>
      </c>
      <c r="C87">
        <v>15</v>
      </c>
      <c r="D87">
        <v>5</v>
      </c>
      <c r="E87" t="str">
        <f>VLOOKUP(D87,name!A:B,2,1)</f>
        <v>Minako</v>
      </c>
      <c r="F87" t="s">
        <v>73</v>
      </c>
      <c r="G87" t="str">
        <f t="shared" si="1"/>
        <v>a</v>
      </c>
      <c r="H87" t="str">
        <f>VLOOKUP(D87,name!A:C,3,1)</f>
        <v>C:\Users\真樹\Desktop\JohnDoes.github.io\assets\icons\image086.png</v>
      </c>
    </row>
    <row r="88" spans="1:8" x14ac:dyDescent="0.15">
      <c r="A88" t="s">
        <v>55</v>
      </c>
      <c r="B88">
        <v>1</v>
      </c>
      <c r="C88">
        <v>16</v>
      </c>
      <c r="D88">
        <v>5</v>
      </c>
      <c r="E88" t="str">
        <f>VLOOKUP(D88,name!A:B,2,1)</f>
        <v>Minako</v>
      </c>
      <c r="F88" t="s">
        <v>74</v>
      </c>
      <c r="G88" t="str">
        <f t="shared" si="1"/>
        <v>a</v>
      </c>
      <c r="H88" t="str">
        <f>VLOOKUP(D88,name!A:C,3,1)</f>
        <v>C:\Users\真樹\Desktop\JohnDoes.github.io\assets\icons\image086.png</v>
      </c>
    </row>
    <row r="89" spans="1:8" x14ac:dyDescent="0.15">
      <c r="A89" t="s">
        <v>55</v>
      </c>
      <c r="B89">
        <v>1</v>
      </c>
      <c r="C89">
        <v>17</v>
      </c>
      <c r="D89">
        <v>1</v>
      </c>
      <c r="E89" t="str">
        <f>VLOOKUP(D89,name!A:B,2,1)</f>
        <v>navigator</v>
      </c>
      <c r="F89" t="s">
        <v>75</v>
      </c>
      <c r="G89" t="str">
        <f t="shared" si="1"/>
        <v>a</v>
      </c>
      <c r="H89" t="str">
        <f>VLOOKUP(D89,name!A:C,3,1)</f>
        <v>C:\Users\真樹\Desktop\JohnDoes.github.io\assets\icons\image014.png</v>
      </c>
    </row>
    <row r="90" spans="1:8" x14ac:dyDescent="0.15">
      <c r="A90" t="s">
        <v>55</v>
      </c>
      <c r="B90">
        <v>1</v>
      </c>
      <c r="C90">
        <v>18</v>
      </c>
      <c r="D90">
        <v>5</v>
      </c>
      <c r="E90" t="str">
        <f>VLOOKUP(D90,name!A:B,2,1)</f>
        <v>Minako</v>
      </c>
      <c r="F90" t="s">
        <v>61</v>
      </c>
      <c r="G90" t="str">
        <f t="shared" si="1"/>
        <v>a</v>
      </c>
      <c r="H90" t="str">
        <f>VLOOKUP(D90,name!A:C,3,1)</f>
        <v>C:\Users\真樹\Desktop\JohnDoes.github.io\assets\icons\image086.png</v>
      </c>
    </row>
    <row r="91" spans="1:8" x14ac:dyDescent="0.15">
      <c r="A91" t="s">
        <v>55</v>
      </c>
      <c r="B91">
        <v>1</v>
      </c>
      <c r="C91">
        <v>19</v>
      </c>
      <c r="D91">
        <v>0</v>
      </c>
      <c r="E91" t="str">
        <f>VLOOKUP(D91,name!A:B,2,1)</f>
        <v>player</v>
      </c>
      <c r="F91" t="s">
        <v>59</v>
      </c>
      <c r="G91" t="str">
        <f t="shared" si="1"/>
        <v>q</v>
      </c>
      <c r="H91" t="str">
        <f>VLOOKUP(D91,name!A:C,3,1)</f>
        <v>C:\Users\真樹\Desktop\JohnDoes.github.io\assets\icons\image326.png</v>
      </c>
    </row>
    <row r="92" spans="1:8" x14ac:dyDescent="0.15">
      <c r="A92" t="s">
        <v>55</v>
      </c>
      <c r="B92">
        <v>1</v>
      </c>
      <c r="C92">
        <v>20</v>
      </c>
      <c r="D92">
        <v>6</v>
      </c>
      <c r="E92" t="str">
        <f>VLOOKUP(D92,name!A:B,2,1)</f>
        <v>Céline</v>
      </c>
      <c r="F92" t="s">
        <v>65</v>
      </c>
      <c r="G92" t="str">
        <f t="shared" si="1"/>
        <v>a</v>
      </c>
      <c r="H92" t="str">
        <f>VLOOKUP(D92,name!A:C,3,1)</f>
        <v>C:\Users\真樹\Desktop\JohnDoes.github.io\assets\icons\image078.png</v>
      </c>
    </row>
    <row r="93" spans="1:8" x14ac:dyDescent="0.15">
      <c r="A93" t="s">
        <v>55</v>
      </c>
      <c r="B93">
        <v>1</v>
      </c>
      <c r="C93">
        <v>21</v>
      </c>
      <c r="D93">
        <v>0</v>
      </c>
      <c r="E93" t="str">
        <f>VLOOKUP(D93,name!A:B,2,1)</f>
        <v>player</v>
      </c>
      <c r="F93" t="s">
        <v>62</v>
      </c>
      <c r="G93" t="str">
        <f t="shared" si="1"/>
        <v>q</v>
      </c>
      <c r="H93" t="str">
        <f>VLOOKUP(D93,name!A:C,3,1)</f>
        <v>C:\Users\真樹\Desktop\JohnDoes.github.io\assets\icons\image326.png</v>
      </c>
    </row>
    <row r="94" spans="1:8" x14ac:dyDescent="0.15">
      <c r="A94" t="s">
        <v>55</v>
      </c>
      <c r="B94">
        <v>1</v>
      </c>
      <c r="C94">
        <v>22</v>
      </c>
      <c r="D94">
        <v>5</v>
      </c>
      <c r="E94" t="str">
        <f>VLOOKUP(D94,name!A:B,2,1)</f>
        <v>Minako</v>
      </c>
      <c r="F94" t="s">
        <v>67</v>
      </c>
      <c r="G94" t="str">
        <f t="shared" si="1"/>
        <v>a</v>
      </c>
      <c r="H94" t="str">
        <f>VLOOKUP(D94,name!A:C,3,1)</f>
        <v>C:\Users\真樹\Desktop\JohnDoes.github.io\assets\icons\image086.png</v>
      </c>
    </row>
    <row r="95" spans="1:8" x14ac:dyDescent="0.15">
      <c r="A95" t="s">
        <v>55</v>
      </c>
      <c r="B95">
        <v>1</v>
      </c>
      <c r="C95">
        <v>23</v>
      </c>
      <c r="D95">
        <v>0</v>
      </c>
      <c r="E95" t="str">
        <f>VLOOKUP(D95,name!A:B,2,1)</f>
        <v>player</v>
      </c>
      <c r="F95" t="s">
        <v>66</v>
      </c>
      <c r="G95" t="str">
        <f t="shared" si="1"/>
        <v>q</v>
      </c>
      <c r="H95" t="str">
        <f>VLOOKUP(D95,name!A:C,3,1)</f>
        <v>C:\Users\真樹\Desktop\JohnDoes.github.io\assets\icons\image326.png</v>
      </c>
    </row>
    <row r="96" spans="1:8" x14ac:dyDescent="0.15">
      <c r="A96" t="s">
        <v>55</v>
      </c>
      <c r="B96">
        <v>1</v>
      </c>
      <c r="C96">
        <v>24</v>
      </c>
      <c r="D96">
        <v>6</v>
      </c>
      <c r="E96" t="str">
        <f>VLOOKUP(D96,name!A:B,2,1)</f>
        <v>Céline</v>
      </c>
      <c r="F96" t="s">
        <v>68</v>
      </c>
      <c r="G96" t="str">
        <f t="shared" si="1"/>
        <v>a</v>
      </c>
      <c r="H96" t="str">
        <f>VLOOKUP(D96,name!A:C,3,1)</f>
        <v>C:\Users\真樹\Desktop\JohnDoes.github.io\assets\icons\image078.png</v>
      </c>
    </row>
    <row r="97" spans="1:8" x14ac:dyDescent="0.15">
      <c r="A97" t="s">
        <v>55</v>
      </c>
      <c r="B97">
        <v>1</v>
      </c>
      <c r="C97">
        <v>25</v>
      </c>
      <c r="D97">
        <v>0</v>
      </c>
      <c r="E97" t="str">
        <f>VLOOKUP(D97,name!A:B,2,1)</f>
        <v>player</v>
      </c>
      <c r="F97" t="s">
        <v>63</v>
      </c>
      <c r="G97" t="str">
        <f t="shared" si="1"/>
        <v>q</v>
      </c>
      <c r="H97" t="str">
        <f>VLOOKUP(D97,name!A:C,3,1)</f>
        <v>C:\Users\真樹\Desktop\JohnDoes.github.io\assets\icons\image326.png</v>
      </c>
    </row>
    <row r="98" spans="1:8" x14ac:dyDescent="0.15">
      <c r="A98" t="s">
        <v>55</v>
      </c>
      <c r="B98">
        <v>1</v>
      </c>
      <c r="C98">
        <v>26</v>
      </c>
      <c r="D98">
        <v>6</v>
      </c>
      <c r="E98" t="str">
        <f>VLOOKUP(D98,name!A:B,2,1)</f>
        <v>Céline</v>
      </c>
      <c r="F98" t="s">
        <v>69</v>
      </c>
      <c r="G98" t="str">
        <f t="shared" si="1"/>
        <v>a</v>
      </c>
      <c r="H98" t="str">
        <f>VLOOKUP(D98,name!A:C,3,1)</f>
        <v>C:\Users\真樹\Desktop\JohnDoes.github.io\assets\icons\image078.png</v>
      </c>
    </row>
    <row r="99" spans="1:8" x14ac:dyDescent="0.15">
      <c r="A99" t="s">
        <v>55</v>
      </c>
      <c r="B99">
        <v>1</v>
      </c>
      <c r="C99">
        <v>27</v>
      </c>
      <c r="D99">
        <v>0</v>
      </c>
      <c r="E99" t="str">
        <f>VLOOKUP(D99,name!A:B,2,1)</f>
        <v>player</v>
      </c>
      <c r="F99" t="s">
        <v>57</v>
      </c>
      <c r="G99" t="str">
        <f t="shared" si="1"/>
        <v>q</v>
      </c>
      <c r="H99" t="str">
        <f>VLOOKUP(D99,name!A:C,3,1)</f>
        <v>C:\Users\真樹\Desktop\JohnDoes.github.io\assets\icons\image326.png</v>
      </c>
    </row>
    <row r="100" spans="1:8" x14ac:dyDescent="0.15">
      <c r="A100" t="s">
        <v>55</v>
      </c>
      <c r="B100">
        <v>1</v>
      </c>
      <c r="C100">
        <v>28</v>
      </c>
      <c r="D100">
        <v>7</v>
      </c>
      <c r="E100" t="str">
        <f>VLOOKUP(D100,name!A:B,2,1)</f>
        <v>Luigi</v>
      </c>
      <c r="F100" t="s">
        <v>72</v>
      </c>
      <c r="G100" t="str">
        <f t="shared" si="1"/>
        <v>a</v>
      </c>
      <c r="H100" t="str">
        <f>VLOOKUP(D100,name!A:C,3,1)</f>
        <v>C:\Users\真樹\Desktop\JohnDoes.github.io\assets\icons\image023.png</v>
      </c>
    </row>
    <row r="101" spans="1:8" x14ac:dyDescent="0.15">
      <c r="A101" t="s">
        <v>55</v>
      </c>
      <c r="B101">
        <v>1</v>
      </c>
      <c r="C101">
        <v>29</v>
      </c>
      <c r="D101">
        <v>0</v>
      </c>
      <c r="E101" t="str">
        <f>VLOOKUP(D101,name!A:B,2,1)</f>
        <v>player</v>
      </c>
      <c r="F101" t="s">
        <v>70</v>
      </c>
      <c r="G101" t="str">
        <f t="shared" si="1"/>
        <v>q</v>
      </c>
      <c r="H101" t="str">
        <f>VLOOKUP(D101,name!A:C,3,1)</f>
        <v>C:\Users\真樹\Desktop\JohnDoes.github.io\assets\icons\image326.png</v>
      </c>
    </row>
    <row r="102" spans="1:8" x14ac:dyDescent="0.15">
      <c r="A102" t="s">
        <v>55</v>
      </c>
      <c r="B102">
        <v>1</v>
      </c>
      <c r="C102">
        <v>30</v>
      </c>
      <c r="D102">
        <v>5</v>
      </c>
      <c r="E102" t="str">
        <f>VLOOKUP(D102,name!A:B,2,1)</f>
        <v>Minako</v>
      </c>
      <c r="F102" t="s">
        <v>74</v>
      </c>
      <c r="G102" t="str">
        <f t="shared" si="1"/>
        <v>a</v>
      </c>
      <c r="H102" t="str">
        <f>VLOOKUP(D102,name!A:C,3,1)</f>
        <v>C:\Users\真樹\Desktop\JohnDoes.github.io\assets\icons\image086.png</v>
      </c>
    </row>
    <row r="103" spans="1:8" x14ac:dyDescent="0.15">
      <c r="A103" t="s">
        <v>55</v>
      </c>
      <c r="B103">
        <v>1</v>
      </c>
      <c r="C103">
        <v>31</v>
      </c>
      <c r="D103">
        <v>0</v>
      </c>
      <c r="E103" t="str">
        <f>VLOOKUP(D103,name!A:B,2,1)</f>
        <v>player</v>
      </c>
      <c r="F103" t="s">
        <v>73</v>
      </c>
      <c r="G103" t="str">
        <f t="shared" si="1"/>
        <v>q</v>
      </c>
      <c r="H103" t="str">
        <f>VLOOKUP(D103,name!A:C,3,1)</f>
        <v>C:\Users\真樹\Desktop\JohnDoes.github.io\assets\icons\image326.png</v>
      </c>
    </row>
    <row r="104" spans="1:8" x14ac:dyDescent="0.15">
      <c r="A104" t="s">
        <v>55</v>
      </c>
      <c r="B104">
        <v>1</v>
      </c>
      <c r="C104">
        <v>32</v>
      </c>
      <c r="D104">
        <v>1</v>
      </c>
      <c r="E104" t="str">
        <f>VLOOKUP(D104,name!A:B,2,1)</f>
        <v>navigator</v>
      </c>
      <c r="F104" t="s">
        <v>30</v>
      </c>
      <c r="G104" t="s">
        <v>94</v>
      </c>
      <c r="H104" t="str">
        <f>VLOOKUP(D104,name!A:C,3,1)</f>
        <v>C:\Users\真樹\Desktop\JohnDoes.github.io\assets\icons\image014.png</v>
      </c>
    </row>
    <row r="105" spans="1:8" x14ac:dyDescent="0.15">
      <c r="A105" t="s">
        <v>55</v>
      </c>
      <c r="B105">
        <v>2</v>
      </c>
      <c r="C105">
        <v>1</v>
      </c>
      <c r="D105">
        <v>1</v>
      </c>
      <c r="E105" t="str">
        <f>VLOOKUP(D105,name!A:B,2,1)</f>
        <v>navigator</v>
      </c>
      <c r="F105" t="s">
        <v>76</v>
      </c>
      <c r="G105" t="str">
        <f t="shared" si="1"/>
        <v>a</v>
      </c>
      <c r="H105" t="str">
        <f>VLOOKUP(D105,name!A:C,3,1)</f>
        <v>C:\Users\真樹\Desktop\JohnDoes.github.io\assets\icons\image014.png</v>
      </c>
    </row>
    <row r="106" spans="1:8" x14ac:dyDescent="0.15">
      <c r="A106" t="s">
        <v>55</v>
      </c>
      <c r="B106">
        <v>2</v>
      </c>
      <c r="C106">
        <v>2</v>
      </c>
      <c r="D106">
        <v>1</v>
      </c>
      <c r="E106" t="str">
        <f>VLOOKUP(D106,name!A:B,2,1)</f>
        <v>navigator</v>
      </c>
      <c r="F106" t="s">
        <v>79</v>
      </c>
      <c r="G106" t="str">
        <f t="shared" si="1"/>
        <v>a</v>
      </c>
      <c r="H106" t="str">
        <f>VLOOKUP(D106,name!A:C,3,1)</f>
        <v>C:\Users\真樹\Desktop\JohnDoes.github.io\assets\icons\image014.png</v>
      </c>
    </row>
    <row r="107" spans="1:8" x14ac:dyDescent="0.15">
      <c r="A107" t="s">
        <v>55</v>
      </c>
      <c r="B107">
        <v>2</v>
      </c>
      <c r="C107">
        <v>3</v>
      </c>
      <c r="D107">
        <v>8</v>
      </c>
      <c r="E107" t="str">
        <f>VLOOKUP(D107,name!A:B,2,1)</f>
        <v>M. Dubois</v>
      </c>
      <c r="F107" t="s">
        <v>80</v>
      </c>
      <c r="G107" t="str">
        <f t="shared" si="1"/>
        <v>a</v>
      </c>
      <c r="H107" t="str">
        <f>VLOOKUP(D107,name!A:C,3,1)</f>
        <v>C:\Users\真樹\Desktop\JohnDoes.github.io\assets\icons\image033.png</v>
      </c>
    </row>
    <row r="108" spans="1:8" x14ac:dyDescent="0.15">
      <c r="A108" t="s">
        <v>55</v>
      </c>
      <c r="B108">
        <v>2</v>
      </c>
      <c r="C108">
        <v>4</v>
      </c>
      <c r="D108">
        <v>8</v>
      </c>
      <c r="E108" t="str">
        <f>VLOOKUP(D108,name!A:B,2,1)</f>
        <v>M. Dubois</v>
      </c>
      <c r="F108" t="s">
        <v>82</v>
      </c>
      <c r="G108" t="str">
        <f t="shared" si="1"/>
        <v>a</v>
      </c>
      <c r="H108" t="str">
        <f>VLOOKUP(D108,name!A:C,3,1)</f>
        <v>C:\Users\真樹\Desktop\JohnDoes.github.io\assets\icons\image033.png</v>
      </c>
    </row>
    <row r="109" spans="1:8" x14ac:dyDescent="0.15">
      <c r="A109" t="s">
        <v>55</v>
      </c>
      <c r="B109">
        <v>2</v>
      </c>
      <c r="C109">
        <v>5</v>
      </c>
      <c r="D109">
        <v>5</v>
      </c>
      <c r="E109" t="str">
        <f>VLOOKUP(D109,name!A:B,2,1)</f>
        <v>Minako</v>
      </c>
      <c r="F109" t="s">
        <v>77</v>
      </c>
      <c r="G109" t="str">
        <f t="shared" si="1"/>
        <v>a</v>
      </c>
      <c r="H109" t="str">
        <f>VLOOKUP(D109,name!A:C,3,1)</f>
        <v>C:\Users\真樹\Desktop\JohnDoes.github.io\assets\icons\image086.png</v>
      </c>
    </row>
    <row r="110" spans="1:8" x14ac:dyDescent="0.15">
      <c r="A110" t="s">
        <v>55</v>
      </c>
      <c r="B110">
        <v>2</v>
      </c>
      <c r="C110">
        <v>6</v>
      </c>
      <c r="D110">
        <v>5</v>
      </c>
      <c r="E110" t="str">
        <f>VLOOKUP(D110,name!A:B,2,1)</f>
        <v>Minako</v>
      </c>
      <c r="F110" t="s">
        <v>83</v>
      </c>
      <c r="G110" t="str">
        <f t="shared" si="1"/>
        <v>a</v>
      </c>
      <c r="H110" t="str">
        <f>VLOOKUP(D110,name!A:C,3,1)</f>
        <v>C:\Users\真樹\Desktop\JohnDoes.github.io\assets\icons\image086.png</v>
      </c>
    </row>
    <row r="111" spans="1:8" x14ac:dyDescent="0.15">
      <c r="A111" t="s">
        <v>55</v>
      </c>
      <c r="B111">
        <v>2</v>
      </c>
      <c r="C111">
        <v>7</v>
      </c>
      <c r="D111">
        <v>8</v>
      </c>
      <c r="E111" t="str">
        <f>VLOOKUP(D111,name!A:B,2,1)</f>
        <v>M. Dubois</v>
      </c>
      <c r="F111" t="s">
        <v>84</v>
      </c>
      <c r="G111" t="str">
        <f t="shared" si="1"/>
        <v>a</v>
      </c>
      <c r="H111" t="str">
        <f>VLOOKUP(D111,name!A:C,3,1)</f>
        <v>C:\Users\真樹\Desktop\JohnDoes.github.io\assets\icons\image033.png</v>
      </c>
    </row>
    <row r="112" spans="1:8" x14ac:dyDescent="0.15">
      <c r="A112" t="s">
        <v>55</v>
      </c>
      <c r="B112">
        <v>2</v>
      </c>
      <c r="C112">
        <v>8</v>
      </c>
      <c r="D112">
        <v>8</v>
      </c>
      <c r="E112" t="str">
        <f>VLOOKUP(D112,name!A:B,2,1)</f>
        <v>M. Dubois</v>
      </c>
      <c r="F112" t="s">
        <v>85</v>
      </c>
      <c r="G112" t="str">
        <f t="shared" si="1"/>
        <v>a</v>
      </c>
      <c r="H112" t="str">
        <f>VLOOKUP(D112,name!A:C,3,1)</f>
        <v>C:\Users\真樹\Desktop\JohnDoes.github.io\assets\icons\image033.png</v>
      </c>
    </row>
    <row r="113" spans="1:8" x14ac:dyDescent="0.15">
      <c r="A113" t="s">
        <v>55</v>
      </c>
      <c r="B113">
        <v>2</v>
      </c>
      <c r="C113">
        <v>9</v>
      </c>
      <c r="D113">
        <v>5</v>
      </c>
      <c r="E113" t="str">
        <f>VLOOKUP(D113,name!A:B,2,1)</f>
        <v>Minako</v>
      </c>
      <c r="F113" t="s">
        <v>78</v>
      </c>
      <c r="G113" t="str">
        <f t="shared" si="1"/>
        <v>a</v>
      </c>
      <c r="H113" t="str">
        <f>VLOOKUP(D113,name!A:C,3,1)</f>
        <v>C:\Users\真樹\Desktop\JohnDoes.github.io\assets\icons\image086.png</v>
      </c>
    </row>
    <row r="114" spans="1:8" x14ac:dyDescent="0.15">
      <c r="A114" t="s">
        <v>55</v>
      </c>
      <c r="B114">
        <v>2</v>
      </c>
      <c r="C114">
        <v>10</v>
      </c>
      <c r="D114">
        <v>5</v>
      </c>
      <c r="E114" t="str">
        <f>VLOOKUP(D114,name!A:B,2,1)</f>
        <v>Minako</v>
      </c>
      <c r="F114" t="s">
        <v>86</v>
      </c>
      <c r="G114" t="str">
        <f t="shared" si="1"/>
        <v>a</v>
      </c>
      <c r="H114" t="str">
        <f>VLOOKUP(D114,name!A:C,3,1)</f>
        <v>C:\Users\真樹\Desktop\JohnDoes.github.io\assets\icons\image086.png</v>
      </c>
    </row>
    <row r="115" spans="1:8" x14ac:dyDescent="0.15">
      <c r="A115" t="s">
        <v>55</v>
      </c>
      <c r="B115">
        <v>2</v>
      </c>
      <c r="C115">
        <v>11</v>
      </c>
      <c r="D115">
        <v>8</v>
      </c>
      <c r="E115" t="str">
        <f>VLOOKUP(D115,name!A:B,2,1)</f>
        <v>M. Dubois</v>
      </c>
      <c r="F115" t="s">
        <v>87</v>
      </c>
      <c r="G115" t="str">
        <f t="shared" si="1"/>
        <v>a</v>
      </c>
      <c r="H115" t="str">
        <f>VLOOKUP(D115,name!A:C,3,1)</f>
        <v>C:\Users\真樹\Desktop\JohnDoes.github.io\assets\icons\image033.png</v>
      </c>
    </row>
    <row r="116" spans="1:8" x14ac:dyDescent="0.15">
      <c r="A116" t="s">
        <v>55</v>
      </c>
      <c r="B116">
        <v>2</v>
      </c>
      <c r="C116">
        <v>12</v>
      </c>
      <c r="D116">
        <v>8</v>
      </c>
      <c r="E116" t="str">
        <f>VLOOKUP(D116,name!A:B,2,1)</f>
        <v>M. Dubois</v>
      </c>
      <c r="F116" t="s">
        <v>88</v>
      </c>
      <c r="G116" t="str">
        <f t="shared" si="1"/>
        <v>a</v>
      </c>
      <c r="H116" t="str">
        <f>VLOOKUP(D116,name!A:C,3,1)</f>
        <v>C:\Users\真樹\Desktop\JohnDoes.github.io\assets\icons\image033.png</v>
      </c>
    </row>
    <row r="117" spans="1:8" x14ac:dyDescent="0.15">
      <c r="A117" t="s">
        <v>55</v>
      </c>
      <c r="B117">
        <v>2</v>
      </c>
      <c r="C117">
        <v>13</v>
      </c>
      <c r="D117">
        <v>5</v>
      </c>
      <c r="E117" t="str">
        <f>VLOOKUP(D117,name!A:B,2,1)</f>
        <v>Minako</v>
      </c>
      <c r="F117" t="s">
        <v>89</v>
      </c>
      <c r="G117" t="str">
        <f t="shared" si="1"/>
        <v>a</v>
      </c>
      <c r="H117" t="str">
        <f>VLOOKUP(D117,name!A:C,3,1)</f>
        <v>C:\Users\真樹\Desktop\JohnDoes.github.io\assets\icons\image086.png</v>
      </c>
    </row>
    <row r="118" spans="1:8" x14ac:dyDescent="0.15">
      <c r="A118" t="s">
        <v>55</v>
      </c>
      <c r="B118">
        <v>2</v>
      </c>
      <c r="C118">
        <v>14</v>
      </c>
      <c r="D118">
        <v>5</v>
      </c>
      <c r="E118" t="str">
        <f>VLOOKUP(D118,name!A:B,2,1)</f>
        <v>Minako</v>
      </c>
      <c r="F118" t="s">
        <v>92</v>
      </c>
      <c r="G118" t="str">
        <f t="shared" si="1"/>
        <v>a</v>
      </c>
      <c r="H118" t="str">
        <f>VLOOKUP(D118,name!A:C,3,1)</f>
        <v>C:\Users\真樹\Desktop\JohnDoes.github.io\assets\icons\image086.png</v>
      </c>
    </row>
    <row r="119" spans="1:8" x14ac:dyDescent="0.15">
      <c r="A119" t="s">
        <v>55</v>
      </c>
      <c r="B119">
        <v>2</v>
      </c>
      <c r="C119">
        <v>15</v>
      </c>
      <c r="D119">
        <v>8</v>
      </c>
      <c r="E119" t="str">
        <f>VLOOKUP(D119,name!A:B,2,1)</f>
        <v>M. Dubois</v>
      </c>
      <c r="F119" t="s">
        <v>90</v>
      </c>
      <c r="G119" t="str">
        <f t="shared" si="1"/>
        <v>a</v>
      </c>
      <c r="H119" t="str">
        <f>VLOOKUP(D119,name!A:C,3,1)</f>
        <v>C:\Users\真樹\Desktop\JohnDoes.github.io\assets\icons\image033.png</v>
      </c>
    </row>
    <row r="120" spans="1:8" x14ac:dyDescent="0.15">
      <c r="A120" t="s">
        <v>55</v>
      </c>
      <c r="B120">
        <v>2</v>
      </c>
      <c r="C120">
        <v>16</v>
      </c>
      <c r="D120">
        <v>8</v>
      </c>
      <c r="E120" t="str">
        <f>VLOOKUP(D120,name!A:B,2,1)</f>
        <v>M. Dubois</v>
      </c>
      <c r="F120" t="s">
        <v>91</v>
      </c>
      <c r="G120" t="str">
        <f t="shared" si="1"/>
        <v>a</v>
      </c>
      <c r="H120" t="str">
        <f>VLOOKUP(D120,name!A:C,3,1)</f>
        <v>C:\Users\真樹\Desktop\JohnDoes.github.io\assets\icons\image033.png</v>
      </c>
    </row>
    <row r="121" spans="1:8" x14ac:dyDescent="0.15">
      <c r="A121" t="s">
        <v>55</v>
      </c>
      <c r="B121">
        <v>2</v>
      </c>
      <c r="C121">
        <v>17</v>
      </c>
      <c r="D121">
        <v>1</v>
      </c>
      <c r="E121" t="str">
        <f>VLOOKUP(D121,name!A:B,2,1)</f>
        <v>navigator</v>
      </c>
      <c r="F121" t="s">
        <v>75</v>
      </c>
      <c r="G121" t="str">
        <f t="shared" si="1"/>
        <v>a</v>
      </c>
      <c r="H121" t="str">
        <f>VLOOKUP(D121,name!A:C,3,1)</f>
        <v>C:\Users\真樹\Desktop\JohnDoes.github.io\assets\icons\image014.png</v>
      </c>
    </row>
    <row r="122" spans="1:8" x14ac:dyDescent="0.15">
      <c r="A122" t="s">
        <v>55</v>
      </c>
      <c r="B122">
        <v>2</v>
      </c>
      <c r="C122">
        <v>18</v>
      </c>
      <c r="D122">
        <v>8</v>
      </c>
      <c r="E122" t="str">
        <f>VLOOKUP(D122,name!A:B,2,1)</f>
        <v>M. Dubois</v>
      </c>
      <c r="F122" t="s">
        <v>82</v>
      </c>
      <c r="G122" t="str">
        <f t="shared" si="1"/>
        <v>a</v>
      </c>
      <c r="H122" t="str">
        <f>VLOOKUP(D122,name!A:C,3,1)</f>
        <v>C:\Users\真樹\Desktop\JohnDoes.github.io\assets\icons\image033.png</v>
      </c>
    </row>
    <row r="123" spans="1:8" x14ac:dyDescent="0.15">
      <c r="A123" t="s">
        <v>55</v>
      </c>
      <c r="B123">
        <v>2</v>
      </c>
      <c r="C123">
        <v>19</v>
      </c>
      <c r="D123">
        <v>0</v>
      </c>
      <c r="E123" t="str">
        <f>VLOOKUP(D123,name!A:B,2,1)</f>
        <v>player</v>
      </c>
      <c r="F123" t="s">
        <v>80</v>
      </c>
      <c r="G123" t="str">
        <f t="shared" si="1"/>
        <v>q</v>
      </c>
      <c r="H123" t="str">
        <f>VLOOKUP(D123,name!A:C,3,1)</f>
        <v>C:\Users\真樹\Desktop\JohnDoes.github.io\assets\icons\image326.png</v>
      </c>
    </row>
    <row r="124" spans="1:8" x14ac:dyDescent="0.15">
      <c r="A124" t="s">
        <v>55</v>
      </c>
      <c r="B124">
        <v>2</v>
      </c>
      <c r="C124">
        <v>20</v>
      </c>
      <c r="D124">
        <v>5</v>
      </c>
      <c r="E124" t="str">
        <f>VLOOKUP(D124,name!A:B,2,1)</f>
        <v>Minako</v>
      </c>
      <c r="F124" t="s">
        <v>83</v>
      </c>
      <c r="G124" t="str">
        <f t="shared" si="1"/>
        <v>a</v>
      </c>
      <c r="H124" t="str">
        <f>VLOOKUP(D124,name!A:C,3,1)</f>
        <v>C:\Users\真樹\Desktop\JohnDoes.github.io\assets\icons\image086.png</v>
      </c>
    </row>
    <row r="125" spans="1:8" x14ac:dyDescent="0.15">
      <c r="A125" t="s">
        <v>55</v>
      </c>
      <c r="B125">
        <v>2</v>
      </c>
      <c r="C125">
        <v>21</v>
      </c>
      <c r="D125">
        <v>0</v>
      </c>
      <c r="E125" t="str">
        <f>VLOOKUP(D125,name!A:B,2,1)</f>
        <v>player</v>
      </c>
      <c r="F125" t="s">
        <v>77</v>
      </c>
      <c r="G125" t="str">
        <f t="shared" si="1"/>
        <v>q</v>
      </c>
      <c r="H125" t="str">
        <f>VLOOKUP(D125,name!A:C,3,1)</f>
        <v>C:\Users\真樹\Desktop\JohnDoes.github.io\assets\icons\image326.png</v>
      </c>
    </row>
    <row r="126" spans="1:8" x14ac:dyDescent="0.15">
      <c r="A126" t="s">
        <v>55</v>
      </c>
      <c r="B126">
        <v>2</v>
      </c>
      <c r="C126">
        <v>22</v>
      </c>
      <c r="D126">
        <v>8</v>
      </c>
      <c r="E126" t="str">
        <f>VLOOKUP(D126,name!A:B,2,1)</f>
        <v>M. Dubois</v>
      </c>
      <c r="F126" t="s">
        <v>85</v>
      </c>
      <c r="G126" t="str">
        <f t="shared" si="1"/>
        <v>a</v>
      </c>
      <c r="H126" t="str">
        <f>VLOOKUP(D126,name!A:C,3,1)</f>
        <v>C:\Users\真樹\Desktop\JohnDoes.github.io\assets\icons\image033.png</v>
      </c>
    </row>
    <row r="127" spans="1:8" x14ac:dyDescent="0.15">
      <c r="A127" t="s">
        <v>55</v>
      </c>
      <c r="B127">
        <v>2</v>
      </c>
      <c r="C127">
        <v>23</v>
      </c>
      <c r="D127">
        <v>0</v>
      </c>
      <c r="E127" t="str">
        <f>VLOOKUP(D127,name!A:B,2,1)</f>
        <v>player</v>
      </c>
      <c r="F127" t="s">
        <v>84</v>
      </c>
      <c r="G127" t="str">
        <f t="shared" si="1"/>
        <v>q</v>
      </c>
      <c r="H127" t="str">
        <f>VLOOKUP(D127,name!A:C,3,1)</f>
        <v>C:\Users\真樹\Desktop\JohnDoes.github.io\assets\icons\image326.png</v>
      </c>
    </row>
    <row r="128" spans="1:8" x14ac:dyDescent="0.15">
      <c r="A128" t="s">
        <v>55</v>
      </c>
      <c r="B128">
        <v>2</v>
      </c>
      <c r="C128">
        <v>24</v>
      </c>
      <c r="D128">
        <v>5</v>
      </c>
      <c r="E128" t="str">
        <f>VLOOKUP(D128,name!A:B,2,1)</f>
        <v>Minako</v>
      </c>
      <c r="F128" t="s">
        <v>86</v>
      </c>
      <c r="G128" t="str">
        <f t="shared" si="1"/>
        <v>a</v>
      </c>
      <c r="H128" t="str">
        <f>VLOOKUP(D128,name!A:C,3,1)</f>
        <v>C:\Users\真樹\Desktop\JohnDoes.github.io\assets\icons\image086.png</v>
      </c>
    </row>
    <row r="129" spans="1:8" x14ac:dyDescent="0.15">
      <c r="A129" t="s">
        <v>55</v>
      </c>
      <c r="B129">
        <v>2</v>
      </c>
      <c r="C129">
        <v>25</v>
      </c>
      <c r="D129">
        <v>0</v>
      </c>
      <c r="E129" t="str">
        <f>VLOOKUP(D129,name!A:B,2,1)</f>
        <v>player</v>
      </c>
      <c r="F129" t="s">
        <v>78</v>
      </c>
      <c r="G129" t="str">
        <f t="shared" si="1"/>
        <v>q</v>
      </c>
      <c r="H129" t="str">
        <f>VLOOKUP(D129,name!A:C,3,1)</f>
        <v>C:\Users\真樹\Desktop\JohnDoes.github.io\assets\icons\image326.png</v>
      </c>
    </row>
    <row r="130" spans="1:8" x14ac:dyDescent="0.15">
      <c r="A130" t="s">
        <v>55</v>
      </c>
      <c r="B130">
        <v>2</v>
      </c>
      <c r="C130">
        <v>26</v>
      </c>
      <c r="D130">
        <v>8</v>
      </c>
      <c r="E130" t="str">
        <f>VLOOKUP(D130,name!A:B,2,1)</f>
        <v>M. Dubois</v>
      </c>
      <c r="F130" t="s">
        <v>88</v>
      </c>
      <c r="G130" t="str">
        <f t="shared" si="1"/>
        <v>a</v>
      </c>
      <c r="H130" t="str">
        <f>VLOOKUP(D130,name!A:C,3,1)</f>
        <v>C:\Users\真樹\Desktop\JohnDoes.github.io\assets\icons\image033.png</v>
      </c>
    </row>
    <row r="131" spans="1:8" x14ac:dyDescent="0.15">
      <c r="A131" t="s">
        <v>55</v>
      </c>
      <c r="B131">
        <v>2</v>
      </c>
      <c r="C131">
        <v>27</v>
      </c>
      <c r="D131">
        <v>0</v>
      </c>
      <c r="E131" t="str">
        <f>VLOOKUP(D131,name!A:B,2,1)</f>
        <v>player</v>
      </c>
      <c r="F131" t="s">
        <v>87</v>
      </c>
      <c r="G131" t="str">
        <f t="shared" ref="G131:G135" si="2">IF(D131=0,"q","a")</f>
        <v>q</v>
      </c>
      <c r="H131" t="str">
        <f>VLOOKUP(D131,name!A:C,3,1)</f>
        <v>C:\Users\真樹\Desktop\JohnDoes.github.io\assets\icons\image326.png</v>
      </c>
    </row>
    <row r="132" spans="1:8" x14ac:dyDescent="0.15">
      <c r="A132" t="s">
        <v>55</v>
      </c>
      <c r="B132">
        <v>2</v>
      </c>
      <c r="C132">
        <v>28</v>
      </c>
      <c r="D132">
        <v>5</v>
      </c>
      <c r="E132" t="str">
        <f>VLOOKUP(D132,name!A:B,2,1)</f>
        <v>Minako</v>
      </c>
      <c r="F132" t="s">
        <v>92</v>
      </c>
      <c r="G132" t="str">
        <f t="shared" si="2"/>
        <v>a</v>
      </c>
      <c r="H132" t="str">
        <f>VLOOKUP(D132,name!A:C,3,1)</f>
        <v>C:\Users\真樹\Desktop\JohnDoes.github.io\assets\icons\image086.png</v>
      </c>
    </row>
    <row r="133" spans="1:8" x14ac:dyDescent="0.15">
      <c r="A133" t="s">
        <v>55</v>
      </c>
      <c r="B133">
        <v>2</v>
      </c>
      <c r="C133">
        <v>29</v>
      </c>
      <c r="D133">
        <v>0</v>
      </c>
      <c r="E133" t="str">
        <f>VLOOKUP(D133,name!A:B,2,1)</f>
        <v>player</v>
      </c>
      <c r="F133" t="s">
        <v>89</v>
      </c>
      <c r="G133" t="str">
        <f t="shared" si="2"/>
        <v>q</v>
      </c>
      <c r="H133" t="str">
        <f>VLOOKUP(D133,name!A:C,3,1)</f>
        <v>C:\Users\真樹\Desktop\JohnDoes.github.io\assets\icons\image326.png</v>
      </c>
    </row>
    <row r="134" spans="1:8" x14ac:dyDescent="0.15">
      <c r="A134" t="s">
        <v>55</v>
      </c>
      <c r="B134">
        <v>2</v>
      </c>
      <c r="C134">
        <v>30</v>
      </c>
      <c r="D134">
        <v>8</v>
      </c>
      <c r="E134" t="str">
        <f>VLOOKUP(D134,name!A:B,2,1)</f>
        <v>M. Dubois</v>
      </c>
      <c r="F134" t="s">
        <v>91</v>
      </c>
      <c r="G134" t="str">
        <f t="shared" si="2"/>
        <v>a</v>
      </c>
      <c r="H134" t="str">
        <f>VLOOKUP(D134,name!A:C,3,1)</f>
        <v>C:\Users\真樹\Desktop\JohnDoes.github.io\assets\icons\image033.png</v>
      </c>
    </row>
    <row r="135" spans="1:8" x14ac:dyDescent="0.15">
      <c r="A135" t="s">
        <v>55</v>
      </c>
      <c r="B135">
        <v>2</v>
      </c>
      <c r="C135">
        <v>31</v>
      </c>
      <c r="D135">
        <v>0</v>
      </c>
      <c r="E135" t="str">
        <f>VLOOKUP(D135,name!A:B,2,1)</f>
        <v>player</v>
      </c>
      <c r="F135" t="s">
        <v>90</v>
      </c>
      <c r="G135" t="str">
        <f t="shared" si="2"/>
        <v>q</v>
      </c>
      <c r="H135" t="str">
        <f>VLOOKUP(D135,name!A:C,3,1)</f>
        <v>C:\Users\真樹\Desktop\JohnDoes.github.io\assets\icons\image326.png</v>
      </c>
    </row>
    <row r="136" spans="1:8" x14ac:dyDescent="0.15">
      <c r="A136" t="s">
        <v>55</v>
      </c>
      <c r="B136">
        <v>2</v>
      </c>
      <c r="C136">
        <v>32</v>
      </c>
      <c r="D136">
        <v>1</v>
      </c>
      <c r="E136" t="str">
        <f>VLOOKUP(D136,name!A:B,2,1)</f>
        <v>navigator</v>
      </c>
      <c r="F136" t="s">
        <v>52</v>
      </c>
      <c r="G136" t="s">
        <v>94</v>
      </c>
      <c r="H136" t="str">
        <f>VLOOKUP(D136,name!A:C,3,1)</f>
        <v>C:\Users\真樹\Desktop\JohnDoes.github.io\assets\icons\image014.png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54324D1-2780-4CFA-8138-08D349C6EA0B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H1 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>
      <selection activeCell="D17" sqref="D17"/>
    </sheetView>
  </sheetViews>
  <sheetFormatPr defaultRowHeight="13.5" x14ac:dyDescent="0.15"/>
  <sheetData>
    <row r="1" spans="1:3" x14ac:dyDescent="0.15">
      <c r="A1" t="s">
        <v>13</v>
      </c>
      <c r="B1" t="s">
        <v>14</v>
      </c>
    </row>
    <row r="2" spans="1:3" x14ac:dyDescent="0.15">
      <c r="A2">
        <v>0</v>
      </c>
      <c r="B2" t="s">
        <v>15</v>
      </c>
      <c r="C2" t="s">
        <v>107</v>
      </c>
    </row>
    <row r="3" spans="1:3" x14ac:dyDescent="0.15">
      <c r="A3">
        <v>1</v>
      </c>
      <c r="B3" t="s">
        <v>16</v>
      </c>
      <c r="C3" t="s">
        <v>99</v>
      </c>
    </row>
    <row r="4" spans="1:3" x14ac:dyDescent="0.15">
      <c r="A4">
        <v>2</v>
      </c>
      <c r="B4" t="s">
        <v>17</v>
      </c>
      <c r="C4" t="s">
        <v>100</v>
      </c>
    </row>
    <row r="5" spans="1:3" x14ac:dyDescent="0.15">
      <c r="A5">
        <v>3</v>
      </c>
      <c r="B5" t="s">
        <v>19</v>
      </c>
      <c r="C5" t="s">
        <v>101</v>
      </c>
    </row>
    <row r="6" spans="1:3" x14ac:dyDescent="0.15">
      <c r="A6">
        <v>4</v>
      </c>
      <c r="B6" t="s">
        <v>42</v>
      </c>
      <c r="C6" t="s">
        <v>102</v>
      </c>
    </row>
    <row r="7" spans="1:3" x14ac:dyDescent="0.15">
      <c r="A7">
        <v>5</v>
      </c>
      <c r="B7" t="s">
        <v>60</v>
      </c>
      <c r="C7" t="s">
        <v>103</v>
      </c>
    </row>
    <row r="8" spans="1:3" x14ac:dyDescent="0.15">
      <c r="A8">
        <v>6</v>
      </c>
      <c r="B8" t="s">
        <v>64</v>
      </c>
      <c r="C8" t="s">
        <v>104</v>
      </c>
    </row>
    <row r="9" spans="1:3" x14ac:dyDescent="0.15">
      <c r="A9">
        <v>7</v>
      </c>
      <c r="B9" t="s">
        <v>71</v>
      </c>
      <c r="C9" t="s">
        <v>105</v>
      </c>
    </row>
    <row r="10" spans="1:3" x14ac:dyDescent="0.15">
      <c r="A10">
        <v>8</v>
      </c>
      <c r="B10" t="s">
        <v>81</v>
      </c>
      <c r="C10" t="s">
        <v>106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53</v>
      </c>
      <c r="B2" t="s">
        <v>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talk</vt:lpstr>
      <vt:lpstr>name</vt:lpstr>
      <vt:lpstr>img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2022-12-12T15:35:00Z</dcterms:modified>
</cp:coreProperties>
</file>