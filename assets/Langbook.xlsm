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name" sheetId="2" r:id="rId2"/>
    <sheet name="img" sheetId="3" r:id="rId3"/>
    <sheet name="templete" sheetId="4" r:id="rId4"/>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86" i="1" l="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F500" i="1"/>
  <c r="F532" i="1"/>
  <c r="F519" i="1"/>
  <c r="F487" i="1"/>
  <c r="E487" i="1"/>
  <c r="F486" i="1"/>
  <c r="E486" i="1"/>
  <c r="G4"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E440" i="1"/>
  <c r="E441" i="1"/>
  <c r="E442" i="1"/>
  <c r="E443" i="1"/>
  <c r="E444" i="1"/>
  <c r="E445" i="1"/>
  <c r="E446" i="1"/>
  <c r="E447" i="1"/>
  <c r="E448" i="1"/>
  <c r="E449" i="1"/>
  <c r="E450" i="1"/>
  <c r="E451" i="1"/>
  <c r="E452" i="1"/>
  <c r="E453" i="1"/>
  <c r="E454" i="1"/>
  <c r="G438" i="1"/>
  <c r="H438" i="1"/>
  <c r="G439" i="1"/>
  <c r="H439" i="1"/>
  <c r="F485" i="1"/>
  <c r="F472" i="1"/>
  <c r="F453" i="1"/>
  <c r="F440" i="1"/>
  <c r="F439" i="1"/>
  <c r="E439" i="1"/>
  <c r="G350" i="1" l="1"/>
  <c r="H350" i="1"/>
  <c r="G351" i="1"/>
  <c r="H351" i="1"/>
  <c r="G352" i="1"/>
  <c r="H352" i="1"/>
  <c r="G353" i="1"/>
  <c r="H353" i="1"/>
  <c r="G354" i="1"/>
  <c r="H354" i="1"/>
  <c r="G355" i="1"/>
  <c r="H355" i="1"/>
  <c r="G356" i="1"/>
  <c r="H356" i="1"/>
  <c r="G357" i="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F2" i="4"/>
  <c r="F378" i="1"/>
  <c r="F421" i="1"/>
  <c r="F355" i="1"/>
  <c r="F396" i="1"/>
  <c r="E2" i="4"/>
  <c r="E3" i="4"/>
  <c r="E4" i="4"/>
  <c r="E5" i="4"/>
  <c r="E6" i="4"/>
  <c r="E7" i="4"/>
  <c r="E8" i="4"/>
  <c r="E9" i="4"/>
  <c r="F376" i="1"/>
  <c r="F438" i="1"/>
  <c r="G301" i="1"/>
  <c r="H301" i="1"/>
  <c r="G302" i="1"/>
  <c r="H302" i="1"/>
  <c r="G303" i="1"/>
  <c r="H303" i="1"/>
  <c r="G304" i="1"/>
  <c r="H304" i="1"/>
  <c r="G305" i="1"/>
  <c r="H305" i="1"/>
  <c r="G306" i="1"/>
  <c r="H306" i="1"/>
  <c r="G307" i="1"/>
  <c r="H307" i="1"/>
  <c r="G308" i="1"/>
  <c r="H308" i="1"/>
  <c r="G309" i="1"/>
  <c r="H309" i="1"/>
  <c r="G310" i="1"/>
  <c r="H310" i="1"/>
  <c r="G311" i="1"/>
  <c r="H311" i="1"/>
  <c r="G312" i="1"/>
  <c r="H312" i="1"/>
  <c r="G313" i="1"/>
  <c r="H313" i="1"/>
  <c r="G314" i="1"/>
  <c r="H314" i="1"/>
  <c r="G315" i="1"/>
  <c r="H315" i="1"/>
  <c r="G316" i="1"/>
  <c r="H316" i="1"/>
  <c r="G317" i="1"/>
  <c r="H317" i="1"/>
  <c r="G318" i="1"/>
  <c r="H318" i="1"/>
  <c r="G319" i="1"/>
  <c r="H319" i="1"/>
  <c r="G320" i="1"/>
  <c r="H320" i="1"/>
  <c r="G321" i="1"/>
  <c r="H321" i="1"/>
  <c r="G322" i="1"/>
  <c r="H322" i="1"/>
  <c r="G323" i="1"/>
  <c r="H323" i="1"/>
  <c r="G324" i="1"/>
  <c r="H324" i="1"/>
  <c r="G325" i="1"/>
  <c r="H325" i="1"/>
  <c r="G326" i="1"/>
  <c r="H326" i="1"/>
  <c r="G327" i="1"/>
  <c r="H327" i="1"/>
  <c r="G328" i="1"/>
  <c r="H328" i="1"/>
  <c r="G329" i="1"/>
  <c r="H329" i="1"/>
  <c r="G330" i="1"/>
  <c r="H330" i="1"/>
  <c r="G331" i="1"/>
  <c r="H331" i="1"/>
  <c r="G332" i="1"/>
  <c r="H332" i="1"/>
  <c r="G333" i="1"/>
  <c r="H333" i="1"/>
  <c r="G334" i="1"/>
  <c r="H334" i="1"/>
  <c r="G335" i="1"/>
  <c r="H335" i="1"/>
  <c r="G336" i="1"/>
  <c r="H336" i="1"/>
  <c r="G337" i="1"/>
  <c r="H337" i="1"/>
  <c r="G338" i="1"/>
  <c r="H338" i="1"/>
  <c r="G339" i="1"/>
  <c r="H339" i="1"/>
  <c r="G340" i="1"/>
  <c r="H340" i="1"/>
  <c r="G341" i="1"/>
  <c r="H341" i="1"/>
  <c r="G342" i="1"/>
  <c r="H342" i="1"/>
  <c r="G343" i="1"/>
  <c r="H343" i="1"/>
  <c r="G344" i="1"/>
  <c r="H344" i="1"/>
  <c r="G345" i="1"/>
  <c r="H345" i="1"/>
  <c r="G346" i="1"/>
  <c r="H346" i="1"/>
  <c r="G347" i="1"/>
  <c r="H347" i="1"/>
  <c r="G348" i="1"/>
  <c r="H348" i="1"/>
  <c r="G349" i="1"/>
  <c r="H349"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G233" i="1"/>
  <c r="H233" i="1"/>
  <c r="G234" i="1"/>
  <c r="H234" i="1"/>
  <c r="G235" i="1"/>
  <c r="H235" i="1"/>
  <c r="G236" i="1"/>
  <c r="H236" i="1"/>
  <c r="G237" i="1"/>
  <c r="H237" i="1"/>
  <c r="G238" i="1"/>
  <c r="H238" i="1"/>
  <c r="G239" i="1"/>
  <c r="H239" i="1"/>
  <c r="G240" i="1"/>
  <c r="H240" i="1"/>
  <c r="G241" i="1"/>
  <c r="H241" i="1"/>
  <c r="G242" i="1"/>
  <c r="H242" i="1"/>
  <c r="G243" i="1"/>
  <c r="H243" i="1"/>
  <c r="G244" i="1"/>
  <c r="H244" i="1"/>
  <c r="G245" i="1"/>
  <c r="H245" i="1"/>
  <c r="G246" i="1"/>
  <c r="H246" i="1"/>
  <c r="G247" i="1"/>
  <c r="H247" i="1"/>
  <c r="G248" i="1"/>
  <c r="H248" i="1"/>
  <c r="G249" i="1"/>
  <c r="H249" i="1"/>
  <c r="G250" i="1"/>
  <c r="H250" i="1"/>
  <c r="G251" i="1"/>
  <c r="H251" i="1"/>
  <c r="G252" i="1"/>
  <c r="H252" i="1"/>
  <c r="G253" i="1"/>
  <c r="H253" i="1"/>
  <c r="G254" i="1"/>
  <c r="H254" i="1"/>
  <c r="G255" i="1"/>
  <c r="H255" i="1"/>
  <c r="G256" i="1"/>
  <c r="H256" i="1"/>
  <c r="G257" i="1"/>
  <c r="H257" i="1"/>
  <c r="G258" i="1"/>
  <c r="H258" i="1"/>
  <c r="G259" i="1"/>
  <c r="H259" i="1"/>
  <c r="G260" i="1"/>
  <c r="H260" i="1"/>
  <c r="G261" i="1"/>
  <c r="H261" i="1"/>
  <c r="G262" i="1"/>
  <c r="H262" i="1"/>
  <c r="G263" i="1"/>
  <c r="H263" i="1"/>
  <c r="G264" i="1"/>
  <c r="H264" i="1"/>
  <c r="G265" i="1"/>
  <c r="H265" i="1"/>
  <c r="G266" i="1"/>
  <c r="H266" i="1"/>
  <c r="G267" i="1"/>
  <c r="H267" i="1"/>
  <c r="G268" i="1"/>
  <c r="H268" i="1"/>
  <c r="G269" i="1"/>
  <c r="H269" i="1"/>
  <c r="G270" i="1"/>
  <c r="H270" i="1"/>
  <c r="G271" i="1"/>
  <c r="H271" i="1"/>
  <c r="G272" i="1"/>
  <c r="H272" i="1"/>
  <c r="G273" i="1"/>
  <c r="H273" i="1"/>
  <c r="G274" i="1"/>
  <c r="H274" i="1"/>
  <c r="G275" i="1"/>
  <c r="H275" i="1"/>
  <c r="G276" i="1"/>
  <c r="H276" i="1"/>
  <c r="G277" i="1"/>
  <c r="H277" i="1"/>
  <c r="G278" i="1"/>
  <c r="H278" i="1"/>
  <c r="G279" i="1"/>
  <c r="H279" i="1"/>
  <c r="G280" i="1"/>
  <c r="H280" i="1"/>
  <c r="G281" i="1"/>
  <c r="H281" i="1"/>
  <c r="G282" i="1"/>
  <c r="H282" i="1"/>
  <c r="G283" i="1"/>
  <c r="H283" i="1"/>
  <c r="G284" i="1"/>
  <c r="H284" i="1"/>
  <c r="G285" i="1"/>
  <c r="H285" i="1"/>
  <c r="G286" i="1"/>
  <c r="H286" i="1"/>
  <c r="G287" i="1"/>
  <c r="H287" i="1"/>
  <c r="G288" i="1"/>
  <c r="H288" i="1"/>
  <c r="G289" i="1"/>
  <c r="H289" i="1"/>
  <c r="G290" i="1"/>
  <c r="H290" i="1"/>
  <c r="G291" i="1"/>
  <c r="H291" i="1"/>
  <c r="G292" i="1"/>
  <c r="H292" i="1"/>
  <c r="G293" i="1"/>
  <c r="H293" i="1"/>
  <c r="G294" i="1"/>
  <c r="H294" i="1"/>
  <c r="G295" i="1"/>
  <c r="H295" i="1"/>
  <c r="G296" i="1"/>
  <c r="H296" i="1"/>
  <c r="G297" i="1"/>
  <c r="H297" i="1"/>
  <c r="G298" i="1"/>
  <c r="H298" i="1"/>
  <c r="G299" i="1"/>
  <c r="H299" i="1"/>
  <c r="G300" i="1"/>
  <c r="H300" i="1"/>
  <c r="F3" i="4"/>
  <c r="F9" i="4"/>
  <c r="F7" i="4"/>
  <c r="F5" i="4"/>
  <c r="E1" i="4"/>
  <c r="F324" i="1"/>
  <c r="F303" i="1"/>
  <c r="E438" i="1" l="1"/>
  <c r="F300" i="1"/>
  <c r="F231" i="1"/>
  <c r="F253" i="1"/>
  <c r="F379" i="1"/>
  <c r="E233" i="1"/>
  <c r="E234" i="1"/>
  <c r="E235" i="1"/>
  <c r="E236" i="1"/>
  <c r="H232" i="1"/>
  <c r="G232" i="1"/>
  <c r="E232" i="1"/>
  <c r="F234"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61" i="1"/>
  <c r="G62" i="1"/>
  <c r="H214" i="1"/>
  <c r="E214" i="1"/>
  <c r="H211" i="1"/>
  <c r="E211" i="1"/>
  <c r="H208" i="1"/>
  <c r="E208" i="1"/>
  <c r="H205" i="1"/>
  <c r="E205" i="1"/>
  <c r="H202" i="1"/>
  <c r="E202" i="1"/>
  <c r="H199" i="1"/>
  <c r="E199" i="1"/>
  <c r="H196" i="1"/>
  <c r="E196" i="1"/>
  <c r="H194" i="1"/>
  <c r="F194" i="1"/>
  <c r="E194" i="1"/>
  <c r="H193" i="1"/>
  <c r="E193" i="1"/>
  <c r="H192" i="1"/>
  <c r="E192" i="1"/>
  <c r="H191" i="1"/>
  <c r="E191" i="1"/>
  <c r="H190" i="1"/>
  <c r="E190" i="1"/>
  <c r="H189" i="1"/>
  <c r="E189" i="1"/>
  <c r="H188" i="1"/>
  <c r="E188" i="1"/>
  <c r="H187" i="1"/>
  <c r="E187" i="1"/>
  <c r="H186" i="1"/>
  <c r="E186" i="1"/>
  <c r="H185" i="1"/>
  <c r="E185" i="1"/>
  <c r="H184" i="1"/>
  <c r="E184" i="1"/>
  <c r="H183" i="1"/>
  <c r="E183" i="1"/>
  <c r="H182" i="1"/>
  <c r="E182" i="1"/>
  <c r="H181" i="1"/>
  <c r="E181" i="1"/>
  <c r="H180" i="1"/>
  <c r="E180" i="1"/>
  <c r="H179" i="1"/>
  <c r="F179" i="1"/>
  <c r="E179" i="1"/>
  <c r="H159" i="1"/>
  <c r="E159" i="1"/>
  <c r="H156" i="1"/>
  <c r="E156" i="1"/>
  <c r="H153" i="1"/>
  <c r="E153" i="1"/>
  <c r="H150" i="1"/>
  <c r="E150" i="1"/>
  <c r="H147" i="1"/>
  <c r="E147" i="1"/>
  <c r="H144" i="1"/>
  <c r="E144" i="1"/>
  <c r="H141" i="1"/>
  <c r="E141" i="1"/>
  <c r="H139" i="1"/>
  <c r="F139" i="1"/>
  <c r="E139" i="1"/>
  <c r="H138" i="1"/>
  <c r="E138" i="1"/>
  <c r="H137" i="1"/>
  <c r="E137" i="1"/>
  <c r="H136" i="1"/>
  <c r="E136" i="1"/>
  <c r="H135" i="1"/>
  <c r="E135" i="1"/>
  <c r="H134" i="1"/>
  <c r="E134" i="1"/>
  <c r="H133" i="1"/>
  <c r="E133" i="1"/>
  <c r="H132" i="1"/>
  <c r="E132" i="1"/>
  <c r="H131" i="1"/>
  <c r="E131" i="1"/>
  <c r="H130" i="1"/>
  <c r="E130" i="1"/>
  <c r="H129" i="1"/>
  <c r="E129" i="1"/>
  <c r="H128" i="1"/>
  <c r="E128" i="1"/>
  <c r="H127" i="1"/>
  <c r="E127" i="1"/>
  <c r="H126" i="1"/>
  <c r="E126" i="1"/>
  <c r="H125" i="1"/>
  <c r="E125" i="1"/>
  <c r="H124" i="1"/>
  <c r="F124" i="1"/>
  <c r="E124" i="1"/>
  <c r="H79" i="1"/>
  <c r="G79" i="1"/>
  <c r="F79" i="1"/>
  <c r="E79" i="1"/>
  <c r="H62" i="1"/>
  <c r="F62" i="1"/>
  <c r="E62" i="1"/>
  <c r="E63" i="1"/>
  <c r="G63" i="1"/>
  <c r="H63" i="1"/>
  <c r="H102" i="1"/>
  <c r="G102" i="1"/>
  <c r="E102" i="1"/>
  <c r="H99" i="1"/>
  <c r="G99" i="1"/>
  <c r="E99" i="1"/>
  <c r="H96" i="1"/>
  <c r="G96" i="1"/>
  <c r="E96" i="1"/>
  <c r="H93" i="1"/>
  <c r="G93" i="1"/>
  <c r="E93" i="1"/>
  <c r="H90" i="1"/>
  <c r="G90" i="1"/>
  <c r="E90" i="1"/>
  <c r="H87" i="1"/>
  <c r="G87" i="1"/>
  <c r="E87" i="1"/>
  <c r="H84" i="1"/>
  <c r="G84" i="1"/>
  <c r="E84" i="1"/>
  <c r="H80" i="1"/>
  <c r="G80" i="1"/>
  <c r="E80" i="1"/>
  <c r="H78" i="1"/>
  <c r="G78" i="1"/>
  <c r="E78" i="1"/>
  <c r="H77" i="1"/>
  <c r="G77" i="1"/>
  <c r="E77" i="1"/>
  <c r="H76" i="1"/>
  <c r="G76" i="1"/>
  <c r="E76" i="1"/>
  <c r="H75" i="1"/>
  <c r="G75" i="1"/>
  <c r="E75" i="1"/>
  <c r="H74" i="1"/>
  <c r="G74" i="1"/>
  <c r="E74" i="1"/>
  <c r="H73" i="1"/>
  <c r="G73" i="1"/>
  <c r="E73" i="1"/>
  <c r="H72" i="1"/>
  <c r="G72" i="1"/>
  <c r="E72" i="1"/>
  <c r="H71" i="1"/>
  <c r="G71" i="1"/>
  <c r="E71" i="1"/>
  <c r="H70" i="1"/>
  <c r="G70" i="1"/>
  <c r="E70" i="1"/>
  <c r="H69" i="1"/>
  <c r="G69" i="1"/>
  <c r="E69" i="1"/>
  <c r="H68" i="1"/>
  <c r="G68" i="1"/>
  <c r="E68" i="1"/>
  <c r="H67" i="1"/>
  <c r="G67" i="1"/>
  <c r="E67" i="1"/>
  <c r="H66" i="1"/>
  <c r="G66" i="1"/>
  <c r="E66" i="1"/>
  <c r="H65" i="1"/>
  <c r="G65" i="1"/>
  <c r="E65" i="1"/>
  <c r="H64" i="1"/>
  <c r="G64" i="1"/>
  <c r="E64" i="1"/>
  <c r="H41" i="1"/>
  <c r="G41" i="1"/>
  <c r="E41" i="1"/>
  <c r="H38" i="1"/>
  <c r="G38" i="1"/>
  <c r="E38" i="1"/>
  <c r="G34" i="1"/>
  <c r="H35" i="1"/>
  <c r="G35" i="1"/>
  <c r="E35" i="1"/>
  <c r="G31" i="1"/>
  <c r="H32" i="1"/>
  <c r="G32" i="1"/>
  <c r="E32" i="1"/>
  <c r="G25" i="1"/>
  <c r="G28" i="1"/>
  <c r="H29" i="1"/>
  <c r="G29" i="1"/>
  <c r="E29" i="1"/>
  <c r="H26" i="1"/>
  <c r="G26" i="1"/>
  <c r="E26" i="1"/>
  <c r="G27" i="1"/>
  <c r="G30" i="1"/>
  <c r="G33" i="1"/>
  <c r="G36" i="1"/>
  <c r="G37" i="1"/>
  <c r="G39" i="1"/>
  <c r="G40" i="1"/>
  <c r="G42" i="1"/>
  <c r="G43" i="1"/>
  <c r="G44" i="1"/>
  <c r="G45" i="1"/>
  <c r="G46" i="1"/>
  <c r="G47" i="1"/>
  <c r="G48" i="1"/>
  <c r="G49" i="1"/>
  <c r="G50" i="1"/>
  <c r="G51" i="1"/>
  <c r="G52" i="1"/>
  <c r="G53" i="1"/>
  <c r="G54" i="1"/>
  <c r="G55" i="1"/>
  <c r="G56" i="1"/>
  <c r="G57" i="1"/>
  <c r="G58" i="1"/>
  <c r="G59" i="1"/>
  <c r="G60" i="1"/>
  <c r="G81" i="1"/>
  <c r="G82" i="1"/>
  <c r="G83" i="1"/>
  <c r="G85" i="1"/>
  <c r="G86" i="1"/>
  <c r="G88" i="1"/>
  <c r="G89" i="1"/>
  <c r="G91" i="1"/>
  <c r="G92" i="1"/>
  <c r="G94" i="1"/>
  <c r="G95" i="1"/>
  <c r="G97" i="1"/>
  <c r="G98" i="1"/>
  <c r="G100" i="1"/>
  <c r="G101" i="1"/>
  <c r="G103" i="1"/>
  <c r="G104" i="1"/>
  <c r="G105" i="1"/>
  <c r="G106" i="1"/>
  <c r="G107" i="1"/>
  <c r="G108" i="1"/>
  <c r="G109" i="1"/>
  <c r="G110" i="1"/>
  <c r="G111" i="1"/>
  <c r="G112" i="1"/>
  <c r="G113" i="1"/>
  <c r="G114" i="1"/>
  <c r="G115" i="1"/>
  <c r="G116" i="1"/>
  <c r="G117" i="1"/>
  <c r="G118" i="1"/>
  <c r="G119" i="1"/>
  <c r="G120" i="1"/>
  <c r="G121" i="1"/>
  <c r="G122" i="1"/>
  <c r="G5" i="1"/>
  <c r="G6" i="1"/>
  <c r="G7" i="1"/>
  <c r="G8" i="1"/>
  <c r="G9" i="1"/>
  <c r="G10" i="1"/>
  <c r="G11" i="1"/>
  <c r="G12" i="1"/>
  <c r="G13" i="1"/>
  <c r="G14" i="1"/>
  <c r="G15" i="1"/>
  <c r="G16" i="1"/>
  <c r="G17" i="1"/>
  <c r="G18" i="1"/>
  <c r="G19" i="1"/>
  <c r="G20" i="1"/>
  <c r="G21" i="1"/>
  <c r="G22" i="1"/>
  <c r="G23" i="1"/>
  <c r="G24" i="1"/>
  <c r="H23" i="1"/>
  <c r="E23" i="1"/>
  <c r="F44" i="1"/>
  <c r="F22" i="1"/>
  <c r="H22" i="1"/>
  <c r="E22" i="1"/>
  <c r="H43" i="1"/>
  <c r="E43" i="1"/>
  <c r="H42" i="1"/>
  <c r="E42" i="1"/>
  <c r="H40" i="1"/>
  <c r="E40" i="1"/>
  <c r="H39" i="1"/>
  <c r="E39" i="1"/>
  <c r="H37" i="1"/>
  <c r="E37" i="1"/>
  <c r="H36" i="1"/>
  <c r="E36" i="1"/>
  <c r="H34" i="1"/>
  <c r="E34" i="1"/>
  <c r="H33" i="1"/>
  <c r="E33" i="1"/>
  <c r="H31" i="1"/>
  <c r="E31" i="1"/>
  <c r="H30" i="1"/>
  <c r="E30" i="1"/>
  <c r="H28" i="1"/>
  <c r="E28" i="1"/>
  <c r="H27" i="1"/>
  <c r="E27" i="1"/>
  <c r="H25" i="1"/>
  <c r="E25" i="1"/>
  <c r="H24" i="1"/>
  <c r="E24" i="1"/>
  <c r="F7" i="1"/>
  <c r="H6" i="1"/>
  <c r="E6" i="1"/>
  <c r="H108" i="1" l="1"/>
  <c r="H109" i="1"/>
  <c r="H110" i="1"/>
  <c r="H111" i="1"/>
  <c r="H112" i="1"/>
  <c r="H113" i="1"/>
  <c r="H114" i="1"/>
  <c r="H115" i="1"/>
  <c r="H116" i="1"/>
  <c r="H117" i="1"/>
  <c r="H118" i="1"/>
  <c r="H119" i="1"/>
  <c r="H120" i="1"/>
  <c r="H121" i="1"/>
  <c r="H122" i="1"/>
  <c r="H123" i="1"/>
  <c r="H140" i="1"/>
  <c r="H142" i="1"/>
  <c r="H143" i="1"/>
  <c r="H145" i="1"/>
  <c r="H146" i="1"/>
  <c r="H148" i="1"/>
  <c r="H149" i="1"/>
  <c r="H151" i="1"/>
  <c r="H152" i="1"/>
  <c r="H154" i="1"/>
  <c r="H155" i="1"/>
  <c r="H157" i="1"/>
  <c r="H158" i="1"/>
  <c r="H160" i="1"/>
  <c r="H161" i="1"/>
  <c r="H162" i="1"/>
  <c r="H163" i="1"/>
  <c r="H164" i="1"/>
  <c r="H165" i="1"/>
  <c r="H166" i="1"/>
  <c r="H167" i="1"/>
  <c r="H168" i="1"/>
  <c r="H169" i="1"/>
  <c r="H170" i="1"/>
  <c r="H171" i="1"/>
  <c r="H172" i="1"/>
  <c r="H173" i="1"/>
  <c r="H174" i="1"/>
  <c r="H175" i="1"/>
  <c r="H176" i="1"/>
  <c r="H177" i="1"/>
  <c r="H178" i="1"/>
  <c r="H195" i="1"/>
  <c r="H197" i="1"/>
  <c r="H198" i="1"/>
  <c r="H200" i="1"/>
  <c r="H201" i="1"/>
  <c r="H203" i="1"/>
  <c r="H204" i="1"/>
  <c r="H206" i="1"/>
  <c r="H207" i="1"/>
  <c r="H209" i="1"/>
  <c r="H210" i="1"/>
  <c r="H212" i="1"/>
  <c r="H213" i="1"/>
  <c r="H215" i="1"/>
  <c r="H216" i="1"/>
  <c r="H217" i="1"/>
  <c r="H218" i="1"/>
  <c r="H219" i="1"/>
  <c r="H220" i="1"/>
  <c r="H221" i="1"/>
  <c r="H222" i="1"/>
  <c r="H223" i="1"/>
  <c r="H224" i="1"/>
  <c r="H225" i="1"/>
  <c r="H226" i="1"/>
  <c r="H227" i="1"/>
  <c r="H228" i="1"/>
  <c r="H229" i="1"/>
  <c r="H230" i="1"/>
  <c r="H231" i="1"/>
  <c r="H83" i="1"/>
  <c r="H85" i="1"/>
  <c r="H86" i="1"/>
  <c r="H88" i="1"/>
  <c r="H89" i="1"/>
  <c r="H91" i="1"/>
  <c r="H92" i="1"/>
  <c r="H94" i="1"/>
  <c r="H95" i="1"/>
  <c r="H97" i="1"/>
  <c r="H98" i="1"/>
  <c r="H100" i="1"/>
  <c r="H101" i="1"/>
  <c r="H103" i="1"/>
  <c r="H104" i="1"/>
  <c r="H105" i="1"/>
  <c r="H106" i="1"/>
  <c r="H107" i="1"/>
  <c r="H2" i="1"/>
  <c r="H3" i="1"/>
  <c r="H4" i="1"/>
  <c r="H5" i="1"/>
  <c r="H7" i="1"/>
  <c r="H8" i="1"/>
  <c r="H9" i="1"/>
  <c r="H10" i="1"/>
  <c r="H11" i="1"/>
  <c r="H12" i="1"/>
  <c r="H13" i="1"/>
  <c r="H14" i="1"/>
  <c r="H15" i="1"/>
  <c r="H16" i="1"/>
  <c r="H17" i="1"/>
  <c r="H18" i="1"/>
  <c r="H19" i="1"/>
  <c r="H20" i="1"/>
  <c r="H21" i="1"/>
  <c r="H44" i="1"/>
  <c r="H45" i="1"/>
  <c r="H46" i="1"/>
  <c r="H47" i="1"/>
  <c r="H48" i="1"/>
  <c r="H49" i="1"/>
  <c r="H50" i="1"/>
  <c r="H51" i="1"/>
  <c r="H52" i="1"/>
  <c r="H53" i="1"/>
  <c r="H54" i="1"/>
  <c r="H55" i="1"/>
  <c r="H56" i="1"/>
  <c r="H57" i="1"/>
  <c r="H58" i="1"/>
  <c r="H59" i="1"/>
  <c r="H60" i="1"/>
  <c r="H61" i="1"/>
  <c r="H81" i="1"/>
  <c r="H82" i="1"/>
  <c r="E82" i="1"/>
  <c r="E4" i="1"/>
  <c r="E178" i="1"/>
  <c r="E195" i="1"/>
  <c r="E197" i="1"/>
  <c r="E198" i="1"/>
  <c r="E200" i="1"/>
  <c r="E201" i="1"/>
  <c r="E203" i="1"/>
  <c r="E204" i="1"/>
  <c r="E206" i="1"/>
  <c r="E207" i="1"/>
  <c r="E209" i="1"/>
  <c r="E210" i="1"/>
  <c r="E212" i="1"/>
  <c r="E213" i="1"/>
  <c r="E215" i="1"/>
  <c r="E216" i="1"/>
  <c r="E217" i="1"/>
  <c r="E218" i="1"/>
  <c r="E219" i="1"/>
  <c r="E220" i="1"/>
  <c r="E221" i="1"/>
  <c r="E222" i="1"/>
  <c r="E223" i="1"/>
  <c r="E224" i="1"/>
  <c r="E225" i="1"/>
  <c r="E226" i="1"/>
  <c r="E227" i="1"/>
  <c r="E228" i="1"/>
  <c r="E229" i="1"/>
  <c r="E230" i="1"/>
  <c r="E231" i="1"/>
  <c r="E177" i="1"/>
  <c r="E176" i="1"/>
  <c r="E122" i="1"/>
  <c r="E123" i="1"/>
  <c r="E140" i="1"/>
  <c r="E142" i="1"/>
  <c r="E143" i="1"/>
  <c r="E145" i="1"/>
  <c r="E146" i="1"/>
  <c r="E148" i="1"/>
  <c r="E149" i="1"/>
  <c r="E151" i="1"/>
  <c r="E152" i="1"/>
  <c r="E154" i="1"/>
  <c r="E155" i="1"/>
  <c r="E157" i="1"/>
  <c r="E158" i="1"/>
  <c r="E160" i="1"/>
  <c r="E161" i="1"/>
  <c r="E162" i="1"/>
  <c r="E163" i="1"/>
  <c r="E164" i="1"/>
  <c r="E165" i="1"/>
  <c r="E166" i="1"/>
  <c r="E167" i="1"/>
  <c r="E168" i="1"/>
  <c r="E169" i="1"/>
  <c r="E170" i="1"/>
  <c r="E171" i="1"/>
  <c r="E172" i="1"/>
  <c r="E173" i="1"/>
  <c r="E174" i="1"/>
  <c r="E175" i="1"/>
  <c r="E108" i="1" l="1"/>
  <c r="E109" i="1"/>
  <c r="E110" i="1"/>
  <c r="E111" i="1"/>
  <c r="E112" i="1"/>
  <c r="E113" i="1"/>
  <c r="E114" i="1"/>
  <c r="E115" i="1"/>
  <c r="E116" i="1"/>
  <c r="E117" i="1"/>
  <c r="E118" i="1"/>
  <c r="E119" i="1"/>
  <c r="E120" i="1"/>
  <c r="E121" i="1"/>
  <c r="E83" i="1"/>
  <c r="E85" i="1"/>
  <c r="E86" i="1"/>
  <c r="E88" i="1"/>
  <c r="E89" i="1"/>
  <c r="E91" i="1"/>
  <c r="E92" i="1"/>
  <c r="E94" i="1"/>
  <c r="E95" i="1"/>
  <c r="E97" i="1"/>
  <c r="E98" i="1"/>
  <c r="E100" i="1"/>
  <c r="E101" i="1"/>
  <c r="E103" i="1"/>
  <c r="E104" i="1"/>
  <c r="E105" i="1"/>
  <c r="E106" i="1"/>
  <c r="E107" i="1"/>
  <c r="E81" i="1"/>
  <c r="E60" i="1"/>
  <c r="E61" i="1"/>
  <c r="E3" i="1"/>
  <c r="E2" i="1"/>
  <c r="E5" i="1"/>
  <c r="E20" i="1"/>
  <c r="E21" i="1"/>
  <c r="E44" i="1"/>
  <c r="E45" i="1"/>
  <c r="E46" i="1"/>
  <c r="E47" i="1"/>
  <c r="E48" i="1"/>
  <c r="E49" i="1"/>
  <c r="E50" i="1"/>
  <c r="E51" i="1"/>
  <c r="E52" i="1"/>
  <c r="E53" i="1"/>
  <c r="E54" i="1"/>
  <c r="E55" i="1"/>
  <c r="E56" i="1"/>
  <c r="E57" i="1"/>
  <c r="E58" i="1"/>
  <c r="E59" i="1"/>
  <c r="E7" i="1"/>
  <c r="E8" i="1"/>
  <c r="E9" i="1"/>
  <c r="E10" i="1"/>
  <c r="E11" i="1"/>
  <c r="E12" i="1"/>
  <c r="E13" i="1"/>
  <c r="E14" i="1"/>
  <c r="E15" i="1"/>
  <c r="E16" i="1"/>
  <c r="E17" i="1"/>
  <c r="E18" i="1"/>
  <c r="E19" i="1"/>
</calcChain>
</file>

<file path=xl/sharedStrings.xml><?xml version="1.0" encoding="utf-8"?>
<sst xmlns="http://schemas.openxmlformats.org/spreadsheetml/2006/main" count="1072" uniqueCount="201">
  <si>
    <t>LangID</t>
    <phoneticPr fontId="1"/>
  </si>
  <si>
    <t>StageID</t>
    <phoneticPr fontId="1"/>
  </si>
  <si>
    <t>LogID</t>
    <phoneticPr fontId="1"/>
  </si>
  <si>
    <t>Log</t>
    <phoneticPr fontId="1"/>
  </si>
  <si>
    <t>Lektion eins</t>
    <phoneticPr fontId="1"/>
  </si>
  <si>
    <t>Wie geht es Ihnen?</t>
  </si>
  <si>
    <t>Danke, gut. Und Ihnen?</t>
  </si>
  <si>
    <t>Also dann, Herr Tanaka, bis morgen.</t>
  </si>
  <si>
    <t>Bis morgen. Auf Wiedersehen.</t>
  </si>
  <si>
    <t>レッスン1</t>
    <phoneticPr fontId="1"/>
  </si>
  <si>
    <t>Chara</t>
    <phoneticPr fontId="1"/>
  </si>
  <si>
    <t>Hallo, Herr Tanaka.</t>
    <phoneticPr fontId="1"/>
  </si>
  <si>
    <t>Name</t>
    <phoneticPr fontId="1"/>
  </si>
  <si>
    <t>Chara</t>
    <phoneticPr fontId="1"/>
  </si>
  <si>
    <t>Name</t>
    <phoneticPr fontId="1"/>
  </si>
  <si>
    <t>Guten Tag, Frau Schneider.</t>
    <phoneticPr fontId="1"/>
  </si>
  <si>
    <t>Schneider.</t>
    <phoneticPr fontId="1"/>
  </si>
  <si>
    <t>ドイツ語</t>
    <rPh sb="3" eb="4">
      <t>ゴ</t>
    </rPh>
    <phoneticPr fontId="1"/>
  </si>
  <si>
    <t>こんにちは、シュナイダー夫人。</t>
  </si>
  <si>
    <t>こんにちは、田中さん。</t>
  </si>
  <si>
    <t>お元気ですか?</t>
    <rPh sb="1" eb="3">
      <t>ゲンキ</t>
    </rPh>
    <phoneticPr fontId="1"/>
  </si>
  <si>
    <t>ありがとう、元気です。それで、あなたは？</t>
    <rPh sb="6" eb="8">
      <t>ゲンキ</t>
    </rPh>
    <phoneticPr fontId="1"/>
  </si>
  <si>
    <t>Auch gut, danke. (Der Bus kommt.)</t>
    <phoneticPr fontId="1"/>
  </si>
  <si>
    <t>私も元気です。ありがとう。[バスが来る]</t>
    <rPh sb="0" eb="1">
      <t>ワタシ</t>
    </rPh>
    <rPh sb="2" eb="4">
      <t>ゲンキ</t>
    </rPh>
    <rPh sb="17" eb="18">
      <t>ク</t>
    </rPh>
    <phoneticPr fontId="1"/>
  </si>
  <si>
    <t>それでは、田中さん、また明日お会いしましょう。</t>
  </si>
  <si>
    <t>ではまた明日。じゃあ、さようなら。</t>
    <phoneticPr fontId="1"/>
  </si>
  <si>
    <t>次の日本語をドイツ語に訳して答えてね！</t>
    <rPh sb="0" eb="1">
      <t>ツギ</t>
    </rPh>
    <rPh sb="2" eb="5">
      <t>ニホンゴ</t>
    </rPh>
    <rPh sb="9" eb="10">
      <t>ゴ</t>
    </rPh>
    <rPh sb="11" eb="12">
      <t>ヤク</t>
    </rPh>
    <rPh sb="14" eb="15">
      <t>コタ</t>
    </rPh>
    <phoneticPr fontId="1"/>
  </si>
  <si>
    <t>とても良くできました。レッスン1はこれで終了です。</t>
    <rPh sb="3" eb="4">
      <t>ヨ</t>
    </rPh>
    <rPh sb="20" eb="22">
      <t>シュウリョウ</t>
    </rPh>
    <phoneticPr fontId="1"/>
  </si>
  <si>
    <t>設定</t>
    <rPh sb="0" eb="2">
      <t>セッテイ</t>
    </rPh>
    <phoneticPr fontId="1"/>
  </si>
  <si>
    <t>Lektion zwei</t>
  </si>
  <si>
    <t>Freut mich, Sie kennen zu lernen.</t>
  </si>
  <si>
    <t>Woher kommen Sie, Frau Weber?</t>
  </si>
  <si>
    <t>Ich komme aus Südtirol, aus Italien.</t>
  </si>
  <si>
    <t>Und Sie? Kommen Sie aus Korea?</t>
  </si>
  <si>
    <t>レッスン2</t>
    <phoneticPr fontId="1"/>
  </si>
  <si>
    <t>Guten Tag. Ich heiße Tanaka. Ken Tanaka.</t>
    <phoneticPr fontId="1"/>
  </si>
  <si>
    <t>こんにちは。わたしは田中といいます。田中健です。</t>
    <phoneticPr fontId="1"/>
  </si>
  <si>
    <t>私の名前はアンドレア・ウェーバーです。</t>
  </si>
  <si>
    <t>Mein Name ist Andrea Weber.</t>
    <phoneticPr fontId="1"/>
  </si>
  <si>
    <t>Weber</t>
  </si>
  <si>
    <t>お会いできて嬉しいです。</t>
    <rPh sb="6" eb="7">
      <t>ウレ</t>
    </rPh>
    <phoneticPr fontId="1"/>
  </si>
  <si>
    <t>Freut mich auch.</t>
    <phoneticPr fontId="1"/>
  </si>
  <si>
    <t>私も嬉しいです。</t>
  </si>
  <si>
    <t>ウェーバーさん、どこから来ましたか?</t>
  </si>
  <si>
    <t>私はイタリアにある南チロルから来ました。</t>
    <phoneticPr fontId="1"/>
  </si>
  <si>
    <t>そしてあなたは?あなたは韓国出身ですか?</t>
    <phoneticPr fontId="1"/>
  </si>
  <si>
    <t>Nein, ich komme nicht aus Korea, sondern aus Japan.</t>
    <phoneticPr fontId="1"/>
  </si>
  <si>
    <t>いいえ、韓国出身ではなく、日本出身です。</t>
    <phoneticPr fontId="1"/>
  </si>
  <si>
    <t>とても良くできました。レッスン2はこれで終了です。</t>
    <rPh sb="3" eb="4">
      <t>ヨ</t>
    </rPh>
    <rPh sb="20" eb="22">
      <t>シュウリョウ</t>
    </rPh>
    <phoneticPr fontId="1"/>
  </si>
  <si>
    <t>パス</t>
    <phoneticPr fontId="1"/>
  </si>
  <si>
    <t>画像</t>
    <rPh sb="0" eb="2">
      <t>ガゾウ</t>
    </rPh>
    <phoneticPr fontId="1"/>
  </si>
  <si>
    <t>フランス語</t>
    <rPh sb="4" eb="5">
      <t>ゴ</t>
    </rPh>
    <phoneticPr fontId="1"/>
  </si>
  <si>
    <t>Leçon un</t>
  </si>
  <si>
    <t>Et vous, vous êtes français ?</t>
  </si>
  <si>
    <t>レッスン 1</t>
  </si>
  <si>
    <t>Bonjour. Je m'appelle Minako. Et vous ?</t>
    <phoneticPr fontId="1"/>
  </si>
  <si>
    <t>Minako</t>
    <phoneticPr fontId="1"/>
  </si>
  <si>
    <t>こんにちは。美奈子と申します。それで、あなたは。</t>
  </si>
  <si>
    <t>Je m'appelle Céline. Vous êtes japonaise ?</t>
    <phoneticPr fontId="1"/>
  </si>
  <si>
    <t>Je suis française. Je suis d'Orléans.</t>
    <phoneticPr fontId="1"/>
  </si>
  <si>
    <t>Céline</t>
    <phoneticPr fontId="1"/>
  </si>
  <si>
    <t>私の名前はセリーヌです。あなたは日本人ですか?</t>
  </si>
  <si>
    <t>Oui. Je suis de Kyoto.</t>
    <phoneticPr fontId="1"/>
  </si>
  <si>
    <t>はい。京都出身です。</t>
  </si>
  <si>
    <t>私はフランス人です。私はオルレアン出身です。</t>
  </si>
  <si>
    <t>そして、あなたはフランス人ですか?</t>
    <phoneticPr fontId="1"/>
  </si>
  <si>
    <t>Non, je suis italien. Enchanté.</t>
    <phoneticPr fontId="1"/>
  </si>
  <si>
    <t>Luigi</t>
    <phoneticPr fontId="1"/>
  </si>
  <si>
    <t>いいえ、私はイタリア人です。はじめまして。</t>
  </si>
  <si>
    <t>Enchantée.</t>
    <phoneticPr fontId="1"/>
  </si>
  <si>
    <t>はじめまして。</t>
  </si>
  <si>
    <t>次の日本語をフランス語に訳して答えてね！</t>
    <rPh sb="0" eb="1">
      <t>ツギ</t>
    </rPh>
    <rPh sb="2" eb="5">
      <t>ニホンゴ</t>
    </rPh>
    <rPh sb="10" eb="11">
      <t>ゴ</t>
    </rPh>
    <rPh sb="12" eb="13">
      <t>ヤク</t>
    </rPh>
    <rPh sb="15" eb="16">
      <t>コタ</t>
    </rPh>
    <phoneticPr fontId="1"/>
  </si>
  <si>
    <t>Leçon deux</t>
  </si>
  <si>
    <t>Elle est très jolie.</t>
  </si>
  <si>
    <t>Et ça, qu'est-ce que c'est ?</t>
  </si>
  <si>
    <t>レッスン 2</t>
  </si>
  <si>
    <t>Voilà votre chambre.</t>
    <phoneticPr fontId="1"/>
  </si>
  <si>
    <t>M. Dubois</t>
    <phoneticPr fontId="1"/>
  </si>
  <si>
    <t>ここがあなたの部屋です。</t>
    <phoneticPr fontId="1"/>
  </si>
  <si>
    <t>（それは）とてもきれいですね。</t>
    <phoneticPr fontId="1"/>
  </si>
  <si>
    <t>Vous avez un lit, un bureau et une commode.</t>
    <phoneticPr fontId="1"/>
  </si>
  <si>
    <t>ベッド、机、箪笥があります。</t>
  </si>
  <si>
    <t>（そして、）それは何ですか?</t>
    <phoneticPr fontId="1"/>
  </si>
  <si>
    <t>C'est une table de nuit.</t>
    <phoneticPr fontId="1"/>
  </si>
  <si>
    <t>ベッドサイドテーブルです。</t>
  </si>
  <si>
    <t>Et ça ?</t>
    <phoneticPr fontId="1"/>
  </si>
  <si>
    <t>Ce sont des prises de courant.</t>
    <phoneticPr fontId="1"/>
  </si>
  <si>
    <t>これらは電源コンセントです。</t>
  </si>
  <si>
    <t>それで、これは?</t>
    <phoneticPr fontId="1"/>
  </si>
  <si>
    <t>type</t>
    <phoneticPr fontId="1"/>
  </si>
  <si>
    <t>それでは学習を始めましょう！</t>
    <rPh sb="4" eb="6">
      <t>ガクシュウ</t>
    </rPh>
    <rPh sb="7" eb="8">
      <t>ハジ</t>
    </rPh>
    <phoneticPr fontId="1"/>
  </si>
  <si>
    <t>icon</t>
    <phoneticPr fontId="1"/>
  </si>
  <si>
    <t>どの言語を学びたい？</t>
    <rPh sb="2" eb="4">
      <t>ゲンゴ</t>
    </rPh>
    <rPh sb="5" eb="6">
      <t>マナ</t>
    </rPh>
    <phoneticPr fontId="1"/>
  </si>
  <si>
    <t>最後に学習したのはステージいくつ？</t>
    <rPh sb="0" eb="2">
      <t>サイゴ</t>
    </rPh>
    <rPh sb="3" eb="5">
      <t>ガクシュウ</t>
    </rPh>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</si>
  <si>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</si>
  <si>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</si>
  <si>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</si>
  <si>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</si>
  <si>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</si>
  <si>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</si>
  <si>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</si>
  <si>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</si>
  <si>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</si>
  <si>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b</t>
    <phoneticPr fontId="1"/>
  </si>
  <si>
    <t>b</t>
    <phoneticPr fontId="1"/>
  </si>
  <si>
    <t>Lektion drei</t>
  </si>
  <si>
    <t>Frau Schneider, das ist Herr Bauer.</t>
  </si>
  <si>
    <t>Er ist mein Kollege. Wir arbeiten zusammen.</t>
  </si>
  <si>
    <t>Herr Bauer, das ist Frau Schneider.</t>
  </si>
  <si>
    <t>Sie ist meine Nachbarin und Kochlehrerin.</t>
  </si>
  <si>
    <t>Freut mich. Ich koche auch sehr gern.</t>
  </si>
  <si>
    <t>レッスン 3</t>
    <phoneticPr fontId="1"/>
  </si>
  <si>
    <t>田中さん、こんにちは。お元気ですか。</t>
    <phoneticPr fontId="1"/>
  </si>
  <si>
    <t>Hallo, Herr Tanaka. Wie geht's?</t>
    <phoneticPr fontId="1"/>
  </si>
  <si>
    <t>Tanaka</t>
    <phoneticPr fontId="1"/>
  </si>
  <si>
    <t>Navigator</t>
    <phoneticPr fontId="1"/>
  </si>
  <si>
    <t>Player</t>
    <phoneticPr fontId="1"/>
  </si>
  <si>
    <t>ありがとう、いいね。それで、あなたは。</t>
  </si>
  <si>
    <t>Ausgezeichnet, danke.</t>
    <phoneticPr fontId="1"/>
  </si>
  <si>
    <t>とても良いです、ありがとう。</t>
    <rPh sb="3" eb="4">
      <t>ヨ</t>
    </rPh>
    <phoneticPr fontId="1"/>
  </si>
  <si>
    <t>シュナイダーさん、こちらはバウアーさんです。</t>
    <phoneticPr fontId="1"/>
  </si>
  <si>
    <t>彼は私の同僚です。私たちは一緒に働きます。</t>
  </si>
  <si>
    <t>バウアーさん、こちらはシュナイダー夫人です。</t>
    <phoneticPr fontId="1"/>
  </si>
  <si>
    <t>彼女は私の隣人であり、料理の先生です。</t>
  </si>
  <si>
    <t>Bauer</t>
  </si>
  <si>
    <t>assets/icons/image009.png</t>
    <phoneticPr fontId="1"/>
  </si>
  <si>
    <t>嬉しい。料理も大好きです。</t>
  </si>
  <si>
    <t>Schön. Dann haben wir etwas gemeinsam.</t>
    <phoneticPr fontId="1"/>
  </si>
  <si>
    <t>素晴らしい。それに、共通点があります。</t>
    <rPh sb="0" eb="2">
      <t>スバ</t>
    </rPh>
    <phoneticPr fontId="1"/>
  </si>
  <si>
    <t>Lektion vier</t>
  </si>
  <si>
    <t>Entschuldigung, wo ist das Rathaus?</t>
  </si>
  <si>
    <t>すみません、市庁舎はどこですか?</t>
  </si>
  <si>
    <t>Passantin</t>
  </si>
  <si>
    <t>assets/icons/image081.png</t>
    <phoneticPr fontId="1"/>
  </si>
  <si>
    <t>Moment.</t>
    <phoneticPr fontId="1"/>
  </si>
  <si>
    <t>少々お待ちください。</t>
    <rPh sb="0" eb="4">
      <t>ショウショウオマ</t>
    </rPh>
    <phoneticPr fontId="1"/>
  </si>
  <si>
    <t>ここを直進し、右側の最初の通りを進みます。</t>
  </si>
  <si>
    <t>Gehen Sie hier geradeaus, und dann die erste Straße rechts.</t>
    <phoneticPr fontId="1"/>
  </si>
  <si>
    <t>Da ist das Rathaus.</t>
    <phoneticPr fontId="1"/>
  </si>
  <si>
    <t>そこに市庁舎があります。</t>
    <phoneticPr fontId="1"/>
  </si>
  <si>
    <t>Vielen Dank. Und noch eine Frage.</t>
    <phoneticPr fontId="1"/>
  </si>
  <si>
    <t>ありがとうございました。そしてもう1つの質問。</t>
  </si>
  <si>
    <t>Wo ist hier eine Bushaltestelle?</t>
    <phoneticPr fontId="1"/>
  </si>
  <si>
    <t>ここのバス停はどこですか?</t>
  </si>
  <si>
    <t>Da vorne ist die Haltestelle, 'Schillerstraße'</t>
    <phoneticPr fontId="1"/>
  </si>
  <si>
    <t>バス停、「シラー通り」があります</t>
    <phoneticPr fontId="1"/>
  </si>
  <si>
    <t>A ja. Danke schön.</t>
    <phoneticPr fontId="1"/>
  </si>
  <si>
    <t>あ はい。ありがとうございました。</t>
    <phoneticPr fontId="1"/>
  </si>
  <si>
    <t>Nichts zu danken. Auf Wiedersehen.</t>
    <phoneticPr fontId="1"/>
  </si>
  <si>
    <t>どういたしまして。じゃあまた。</t>
    <phoneticPr fontId="1"/>
  </si>
  <si>
    <t>Wiedersehen.</t>
    <phoneticPr fontId="1"/>
  </si>
  <si>
    <t>また。</t>
    <phoneticPr fontId="1"/>
  </si>
  <si>
    <t>Lektion fünf</t>
    <phoneticPr fontId="1"/>
  </si>
  <si>
    <t>Sag mal, Andrea, sprichst du eigentlich zu Hause Deutsch oder Italienisch?</t>
    <phoneticPr fontId="1"/>
  </si>
  <si>
    <t>Mein Vater und ich sprechen immer Deutsch, aber meine Mutter spricht nur Italienisch.</t>
    <phoneticPr fontId="1"/>
  </si>
  <si>
    <t>父と私はいつもドイツ語を話しますが、母はイタリア語しか話せません。</t>
  </si>
  <si>
    <t>このあたりのバス停はどこですか?</t>
    <phoneticPr fontId="1"/>
  </si>
  <si>
    <t>そこにバス停、「シラー通り」があります</t>
    <phoneticPr fontId="1"/>
  </si>
  <si>
    <t>教えてください、アンドレア、あなたは家ではドイツ語それともイタリア語を話しますか?</t>
    <phoneticPr fontId="1"/>
  </si>
  <si>
    <t>Sie ist Italienerin.</t>
    <phoneticPr fontId="1"/>
  </si>
  <si>
    <t>彼女はイタリア人です。</t>
  </si>
  <si>
    <t>Interessant. Hast du eigentlich Geschwister?</t>
  </si>
  <si>
    <t>面白いね。兄弟がいますか?</t>
    <phoneticPr fontId="1"/>
  </si>
  <si>
    <t>Ja, ich habe einen Bruder und eine Schwester.</t>
    <phoneticPr fontId="1"/>
  </si>
  <si>
    <t>はい、私には弟と妹がいます。</t>
    <rPh sb="6" eb="7">
      <t>オトウト</t>
    </rPh>
    <phoneticPr fontId="1"/>
  </si>
  <si>
    <t>Mein Bruder studiert in Salzburg.</t>
  </si>
  <si>
    <t>私の弟はザルツブルクで勉強しています。</t>
    <rPh sb="2" eb="3">
      <t>オトウト</t>
    </rPh>
    <phoneticPr fontId="1"/>
  </si>
  <si>
    <t>Das ist ja witzig. Mein Bruder wohnt auch in Salzburg.</t>
  </si>
  <si>
    <t>面白いです。私の兄もザルツブルクに住んでいます。</t>
    <rPh sb="0" eb="2">
      <t>オモシロ</t>
    </rPh>
    <phoneticPr fontId="1"/>
  </si>
  <si>
    <t>Er hat eine Konditorei dort.</t>
  </si>
  <si>
    <t>彼はそこにケーキ屋をやっています。</t>
    <rPh sb="8" eb="9">
      <t>ヤ</t>
    </rPh>
    <phoneticPr fontId="1"/>
  </si>
  <si>
    <t>中国語</t>
    <rPh sb="0" eb="3">
      <t>チュウゴクゴ</t>
    </rPh>
    <phoneticPr fontId="1"/>
  </si>
  <si>
    <t>李明</t>
  </si>
  <si>
    <t>assets/icons/image144.png</t>
    <phoneticPr fontId="1"/>
  </si>
  <si>
    <t>鈴木</t>
    <rPh sb="0" eb="2">
      <t>スズキ</t>
    </rPh>
    <phoneticPr fontId="1"/>
  </si>
  <si>
    <t>assets/icons/image037.png</t>
    <phoneticPr fontId="1"/>
  </si>
  <si>
    <t>すみません、鈴木さんですか?</t>
  </si>
  <si>
    <t>はい、私は鈴木恵子です。</t>
    <phoneticPr fontId="1"/>
  </si>
  <si>
    <t>リーさんですか?</t>
  </si>
  <si>
    <t>是, 我 是 李明。</t>
    <phoneticPr fontId="1"/>
  </si>
  <si>
    <t>はい、私はリー・ミンです。</t>
  </si>
  <si>
    <t>リー・ミンさん こんにちは!</t>
  </si>
  <si>
    <t>李明 先生, 你 好!</t>
    <phoneticPr fontId="1"/>
  </si>
  <si>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</si>
  <si>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是, 我 是 铃木 惠子。</t>
    <phoneticPr fontId="1"/>
  </si>
  <si>
    <t>您 是 李 先生 吗?</t>
    <phoneticPr fontId="1"/>
  </si>
  <si>
    <t>你 好, 铃木 小姐!</t>
    <phoneticPr fontId="1"/>
  </si>
  <si>
    <t>こんにちは 鈴木さん!</t>
  </si>
  <si>
    <t>url</t>
    <phoneticPr fontId="1"/>
  </si>
  <si>
    <t>お父さんは元気?</t>
  </si>
  <si>
    <r>
      <t xml:space="preserve">你 爸爸 好 </t>
    </r>
    <r>
      <rPr>
        <sz val="11"/>
        <color theme="1"/>
        <rFont val="ＭＳ Ｐゴシック"/>
        <family val="3"/>
        <charset val="134"/>
        <scheme val="minor"/>
      </rPr>
      <t>吗</t>
    </r>
    <r>
      <rPr>
        <sz val="11"/>
        <color theme="1"/>
        <rFont val="ＭＳ Ｐゴシック"/>
        <family val="2"/>
        <charset val="128"/>
        <scheme val="minor"/>
      </rPr>
      <t>?</t>
    </r>
    <phoneticPr fontId="1"/>
  </si>
  <si>
    <r>
      <t>谢谢</t>
    </r>
    <r>
      <rPr>
        <sz val="11"/>
        <color theme="1"/>
        <rFont val="ＭＳ Ｐゴシック"/>
        <family val="2"/>
        <charset val="128"/>
        <scheme val="minor"/>
      </rPr>
      <t>, 他 很 好。</t>
    </r>
    <phoneticPr fontId="1"/>
  </si>
  <si>
    <t>ありがとう、彼は元気です。</t>
  </si>
  <si>
    <t>你 爸爸 忙 不忙?</t>
    <phoneticPr fontId="1"/>
  </si>
  <si>
    <t>お父さんは 忙しいの?</t>
    <rPh sb="1" eb="2">
      <t>トウ</t>
    </rPh>
    <phoneticPr fontId="1"/>
  </si>
  <si>
    <t>他　很　忙。</t>
    <phoneticPr fontId="1"/>
  </si>
  <si>
    <t>彼はとても忙しい。</t>
  </si>
  <si>
    <r>
      <t>你　妈妈</t>
    </r>
    <r>
      <rPr>
        <sz val="11"/>
        <color theme="1"/>
        <rFont val="ＭＳ Ｐゴシック"/>
        <family val="3"/>
        <charset val="128"/>
        <scheme val="minor"/>
      </rPr>
      <t>　呢?</t>
    </r>
    <phoneticPr fontId="1"/>
  </si>
  <si>
    <t>お母さんは?</t>
    <rPh sb="1" eb="2">
      <t>カア</t>
    </rPh>
    <phoneticPr fontId="1"/>
  </si>
  <si>
    <t>她　不　太　忙。</t>
    <phoneticPr fontId="1"/>
  </si>
  <si>
    <t>彼女はそれほど忙しくありません。</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</si>
</sst>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34"/>
      <scheme val="minor"/>
    </font>
    <font>
      <sz val="11"/>
      <color theme="1"/>
      <name val="ＭＳ Ｐゴシック"/>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5">
    <xf numFmtId="0" fontId="0" fillId="0" borderId="0" xfId="0">
      <alignment vertical="center"/>
    </xf>
    <xf numFmtId="0" fontId="0" fillId="0" borderId="0" xfId="0" applyAlignment="1">
      <alignment vertical="center" wrapText="1"/>
    </xf>
    <xf numFmtId="0" fontId="0" fillId="0" borderId="0" xfId="0" applyAlignment="1" applyProtection="1">
      <alignment vertical="center" wrapText="1"/>
      <protection locked="0"/>
    </xf>
    <xf numFmtId="0" fontId="2" fillId="0" borderId="0" xfId="0" applyFont="1">
      <alignment vertical="center"/>
    </xf>
    <xf numFmtId="0" fontId="0" fillId="0" borderId="0" xfId="0" applyFont="1" applyAlignment="1">
      <alignment vertical="center" wrapText="1"/>
    </xf>
  </cellXfs>
  <cellStyles count="1">
    <cellStyle name="標準" xfId="0" builtinId="0"/>
  </cellStyles>
  <dxfs count="79">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32"/>
  <sheetViews>
    <sheetView tabSelected="1" topLeftCell="A509" workbookViewId="0">
      <selection activeCell="K526" sqref="K526"/>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8" x14ac:dyDescent="0.15">
      <c r="A1" t="s">
        <v>0</v>
      </c>
      <c r="B1" t="s">
        <v>1</v>
      </c>
      <c r="C1" t="s">
        <v>2</v>
      </c>
      <c r="D1" t="s">
        <v>10</v>
      </c>
      <c r="E1" t="s">
        <v>12</v>
      </c>
      <c r="F1" t="s">
        <v>3</v>
      </c>
      <c r="G1" t="s">
        <v>89</v>
      </c>
      <c r="H1" t="s">
        <v>91</v>
      </c>
    </row>
    <row r="2" spans="1:8" x14ac:dyDescent="0.15">
      <c r="A2" t="s">
        <v>28</v>
      </c>
      <c r="B2">
        <v>0</v>
      </c>
      <c r="C2">
        <v>1</v>
      </c>
      <c r="D2">
        <v>1</v>
      </c>
      <c r="E2" t="str">
        <f>VLOOKUP(D2,name!A:B,2,1)</f>
        <v>Navigator</v>
      </c>
      <c r="F2" s="1" t="s">
        <v>92</v>
      </c>
      <c r="G2" t="s">
        <v>103</v>
      </c>
      <c r="H2" t="str">
        <f>VLOOKUP(D2,name!A:C,3,1)</f>
        <v>assets/icons/image014.png</v>
      </c>
    </row>
    <row r="3" spans="1:8" x14ac:dyDescent="0.15">
      <c r="A3" t="s">
        <v>28</v>
      </c>
      <c r="B3">
        <v>0</v>
      </c>
      <c r="C3">
        <v>2</v>
      </c>
      <c r="D3">
        <v>1</v>
      </c>
      <c r="E3" t="str">
        <f>VLOOKUP(D3,name!A:B,2,1)</f>
        <v>Navigator</v>
      </c>
      <c r="F3" s="1" t="s">
        <v>93</v>
      </c>
      <c r="G3" t="s">
        <v>104</v>
      </c>
      <c r="H3" t="str">
        <f>VLOOKUP(D3,name!A:C,3,1)</f>
        <v>assets/icons/image014.png</v>
      </c>
    </row>
    <row r="4" spans="1:8" x14ac:dyDescent="0.15">
      <c r="A4" t="s">
        <v>28</v>
      </c>
      <c r="B4">
        <v>0</v>
      </c>
      <c r="C4">
        <v>3</v>
      </c>
      <c r="D4">
        <v>1</v>
      </c>
      <c r="E4" t="str">
        <f>VLOOKUP(D4,name!A:B,2,1)</f>
        <v>Navigator</v>
      </c>
      <c r="F4" t="s">
        <v>90</v>
      </c>
      <c r="G4" t="str">
        <f>IF(D4=0,"q",IF(B4=B5,"a","e"))</f>
        <v>e</v>
      </c>
      <c r="H4" t="str">
        <f>VLOOKUP(D4,name!A:C,3,1)</f>
        <v>assets/icons/image014.png</v>
      </c>
    </row>
    <row r="5" spans="1:8" x14ac:dyDescent="0.15">
      <c r="A5" t="s">
        <v>17</v>
      </c>
      <c r="B5">
        <v>1</v>
      </c>
      <c r="C5">
        <v>1</v>
      </c>
      <c r="D5">
        <v>1</v>
      </c>
      <c r="E5" t="str">
        <f>VLOOKUP(D5,name!A:B,2,1)</f>
        <v>Navigator</v>
      </c>
      <c r="F5" t="s">
        <v>4</v>
      </c>
      <c r="G5" t="str">
        <f t="shared" ref="G5:G24" si="0">IF(D5=0,"q",IF(B5=B6,"a","e"))</f>
        <v>a</v>
      </c>
      <c r="H5" t="str">
        <f>VLOOKUP(D5,name!A:C,3,1)</f>
        <v>assets/icons/image014.png</v>
      </c>
    </row>
    <row r="6" spans="1:8" x14ac:dyDescent="0.15">
      <c r="A6" t="s">
        <v>17</v>
      </c>
      <c r="B6">
        <v>1</v>
      </c>
      <c r="C6">
        <v>2</v>
      </c>
      <c r="D6">
        <v>1</v>
      </c>
      <c r="E6" t="str">
        <f>VLOOKUP(D6,name!A:B,2,1)</f>
        <v>Navigator</v>
      </c>
      <c r="F6" t="s">
        <v>9</v>
      </c>
      <c r="G6" t="str">
        <f t="shared" si="0"/>
        <v>a</v>
      </c>
      <c r="H6" t="str">
        <f>VLOOKUP(D6,name!A:C,3,1)</f>
        <v>assets/icons/image014.png</v>
      </c>
    </row>
    <row r="7" spans="1:8" ht="40.5" x14ac:dyDescent="0.15">
      <c r="A7" t="s">
        <v>17</v>
      </c>
      <c r="B7">
        <v>1</v>
      </c>
      <c r="C7">
        <v>3</v>
      </c>
      <c r="D7">
        <v>1</v>
      </c>
      <c r="E7" t="str">
        <f>VLOOKUP(D7,name!A:B,2,1)</f>
        <v>Navigator</v>
      </c>
      <c r="F7" s="1" t="str">
        <f>"まずは対話文を流します。その後に、日本語と"&amp;A7&amp;"を一文ずつ流すので"&amp;A7&amp;"を真似して下さい。最後に日本語のみを流すので、"&amp;A7&amp;"で答えてください。"</f>
        <v>まずは対話文を流します。その後に、日本語とドイツ語を一文ずつ流すのでドイツ語を真似して下さい。最後に日本語のみを流すので、ドイツ語で答えてください。</v>
      </c>
      <c r="G7" t="str">
        <f t="shared" si="0"/>
        <v>a</v>
      </c>
      <c r="H7" t="str">
        <f>VLOOKUP(D7,name!A:C,3,1)</f>
        <v>assets/icons/image014.png</v>
      </c>
    </row>
    <row r="8" spans="1:8" x14ac:dyDescent="0.15">
      <c r="A8" t="s">
        <v>17</v>
      </c>
      <c r="B8">
        <v>1</v>
      </c>
      <c r="C8">
        <v>4</v>
      </c>
      <c r="D8">
        <v>2</v>
      </c>
      <c r="E8" t="str">
        <f>VLOOKUP(D8,name!A:B,2,1)</f>
        <v>Tanaka</v>
      </c>
      <c r="F8" t="s">
        <v>18</v>
      </c>
      <c r="G8" t="str">
        <f t="shared" si="0"/>
        <v>a</v>
      </c>
      <c r="H8" t="str">
        <f>VLOOKUP(D8,name!A:C,3,1)</f>
        <v>assets/icons/image013.png</v>
      </c>
    </row>
    <row r="9" spans="1:8" x14ac:dyDescent="0.15">
      <c r="A9" t="s">
        <v>17</v>
      </c>
      <c r="B9">
        <v>1</v>
      </c>
      <c r="C9">
        <v>5</v>
      </c>
      <c r="D9">
        <v>2</v>
      </c>
      <c r="E9" t="str">
        <f>VLOOKUP(D9,name!A:B,2,1)</f>
        <v>Tanaka</v>
      </c>
      <c r="F9" t="s">
        <v>15</v>
      </c>
      <c r="G9" t="str">
        <f t="shared" si="0"/>
        <v>a</v>
      </c>
      <c r="H9" t="str">
        <f>VLOOKUP(D9,name!A:C,3,1)</f>
        <v>assets/icons/image013.png</v>
      </c>
    </row>
    <row r="10" spans="1:8" x14ac:dyDescent="0.15">
      <c r="A10" t="s">
        <v>17</v>
      </c>
      <c r="B10">
        <v>1</v>
      </c>
      <c r="C10">
        <v>6</v>
      </c>
      <c r="D10">
        <v>3</v>
      </c>
      <c r="E10" t="str">
        <f>VLOOKUP(D10,name!A:B,2,1)</f>
        <v>Schneider.</v>
      </c>
      <c r="F10" t="s">
        <v>19</v>
      </c>
      <c r="G10" t="str">
        <f t="shared" si="0"/>
        <v>a</v>
      </c>
      <c r="H10" t="str">
        <f>VLOOKUP(D10,name!A:C,3,1)</f>
        <v>assets/icons/image003.png</v>
      </c>
    </row>
    <row r="11" spans="1:8" x14ac:dyDescent="0.15">
      <c r="A11" t="s">
        <v>17</v>
      </c>
      <c r="B11">
        <v>1</v>
      </c>
      <c r="C11">
        <v>7</v>
      </c>
      <c r="D11">
        <v>3</v>
      </c>
      <c r="E11" t="str">
        <f>VLOOKUP(D11,name!A:B,2,1)</f>
        <v>Schneider.</v>
      </c>
      <c r="F11" t="s">
        <v>11</v>
      </c>
      <c r="G11" t="str">
        <f t="shared" si="0"/>
        <v>a</v>
      </c>
      <c r="H11" t="str">
        <f>VLOOKUP(D11,name!A:C,3,1)</f>
        <v>assets/icons/image003.png</v>
      </c>
    </row>
    <row r="12" spans="1:8" x14ac:dyDescent="0.15">
      <c r="A12" t="s">
        <v>17</v>
      </c>
      <c r="B12">
        <v>1</v>
      </c>
      <c r="C12">
        <v>8</v>
      </c>
      <c r="D12">
        <v>3</v>
      </c>
      <c r="E12" t="str">
        <f>VLOOKUP(D12,name!A:B,2,1)</f>
        <v>Schneider.</v>
      </c>
      <c r="F12" t="s">
        <v>20</v>
      </c>
      <c r="G12" t="str">
        <f t="shared" si="0"/>
        <v>a</v>
      </c>
      <c r="H12" t="str">
        <f>VLOOKUP(D12,name!A:C,3,1)</f>
        <v>assets/icons/image003.png</v>
      </c>
    </row>
    <row r="13" spans="1:8" x14ac:dyDescent="0.15">
      <c r="A13" t="s">
        <v>17</v>
      </c>
      <c r="B13">
        <v>1</v>
      </c>
      <c r="C13">
        <v>9</v>
      </c>
      <c r="D13">
        <v>3</v>
      </c>
      <c r="E13" t="str">
        <f>VLOOKUP(D13,name!A:B,2,1)</f>
        <v>Schneider.</v>
      </c>
      <c r="F13" t="s">
        <v>5</v>
      </c>
      <c r="G13" t="str">
        <f t="shared" si="0"/>
        <v>a</v>
      </c>
      <c r="H13" t="str">
        <f>VLOOKUP(D13,name!A:C,3,1)</f>
        <v>assets/icons/image003.png</v>
      </c>
    </row>
    <row r="14" spans="1:8" x14ac:dyDescent="0.15">
      <c r="A14" t="s">
        <v>17</v>
      </c>
      <c r="B14">
        <v>1</v>
      </c>
      <c r="C14">
        <v>10</v>
      </c>
      <c r="D14">
        <v>2</v>
      </c>
      <c r="E14" t="str">
        <f>VLOOKUP(D14,name!A:B,2,1)</f>
        <v>Tanaka</v>
      </c>
      <c r="F14" t="s">
        <v>21</v>
      </c>
      <c r="G14" t="str">
        <f t="shared" si="0"/>
        <v>a</v>
      </c>
      <c r="H14" t="str">
        <f>VLOOKUP(D14,name!A:C,3,1)</f>
        <v>assets/icons/image013.png</v>
      </c>
    </row>
    <row r="15" spans="1:8" x14ac:dyDescent="0.15">
      <c r="A15" t="s">
        <v>17</v>
      </c>
      <c r="B15">
        <v>1</v>
      </c>
      <c r="C15">
        <v>11</v>
      </c>
      <c r="D15">
        <v>2</v>
      </c>
      <c r="E15" t="str">
        <f>VLOOKUP(D15,name!A:B,2,1)</f>
        <v>Tanaka</v>
      </c>
      <c r="F15" t="s">
        <v>6</v>
      </c>
      <c r="G15" t="str">
        <f t="shared" si="0"/>
        <v>a</v>
      </c>
      <c r="H15" t="str">
        <f>VLOOKUP(D15,name!A:C,3,1)</f>
        <v>assets/icons/image013.png</v>
      </c>
    </row>
    <row r="16" spans="1:8" x14ac:dyDescent="0.15">
      <c r="A16" t="s">
        <v>17</v>
      </c>
      <c r="B16">
        <v>1</v>
      </c>
      <c r="C16">
        <v>12</v>
      </c>
      <c r="D16">
        <v>3</v>
      </c>
      <c r="E16" t="str">
        <f>VLOOKUP(D16,name!A:B,2,1)</f>
        <v>Schneider.</v>
      </c>
      <c r="F16" t="s">
        <v>23</v>
      </c>
      <c r="G16" t="str">
        <f t="shared" si="0"/>
        <v>a</v>
      </c>
      <c r="H16" t="str">
        <f>VLOOKUP(D16,name!A:C,3,1)</f>
        <v>assets/icons/image003.png</v>
      </c>
    </row>
    <row r="17" spans="1:8" x14ac:dyDescent="0.15">
      <c r="A17" t="s">
        <v>17</v>
      </c>
      <c r="B17">
        <v>1</v>
      </c>
      <c r="C17">
        <v>13</v>
      </c>
      <c r="D17">
        <v>3</v>
      </c>
      <c r="E17" t="str">
        <f>VLOOKUP(D17,name!A:B,2,1)</f>
        <v>Schneider.</v>
      </c>
      <c r="F17" t="s">
        <v>22</v>
      </c>
      <c r="G17" t="str">
        <f t="shared" si="0"/>
        <v>a</v>
      </c>
      <c r="H17" t="str">
        <f>VLOOKUP(D17,name!A:C,3,1)</f>
        <v>assets/icons/image003.png</v>
      </c>
    </row>
    <row r="18" spans="1:8" x14ac:dyDescent="0.15">
      <c r="A18" t="s">
        <v>17</v>
      </c>
      <c r="B18">
        <v>1</v>
      </c>
      <c r="C18">
        <v>14</v>
      </c>
      <c r="D18">
        <v>3</v>
      </c>
      <c r="E18" t="str">
        <f>VLOOKUP(D18,name!A:B,2,1)</f>
        <v>Schneider.</v>
      </c>
      <c r="F18" t="s">
        <v>24</v>
      </c>
      <c r="G18" t="str">
        <f t="shared" si="0"/>
        <v>a</v>
      </c>
      <c r="H18" t="str">
        <f>VLOOKUP(D18,name!A:C,3,1)</f>
        <v>assets/icons/image003.png</v>
      </c>
    </row>
    <row r="19" spans="1:8" x14ac:dyDescent="0.15">
      <c r="A19" t="s">
        <v>17</v>
      </c>
      <c r="B19">
        <v>1</v>
      </c>
      <c r="C19">
        <v>15</v>
      </c>
      <c r="D19">
        <v>3</v>
      </c>
      <c r="E19" t="str">
        <f>VLOOKUP(D19,name!A:B,2,1)</f>
        <v>Schneider.</v>
      </c>
      <c r="F19" t="s">
        <v>7</v>
      </c>
      <c r="G19" t="str">
        <f t="shared" si="0"/>
        <v>a</v>
      </c>
      <c r="H19" t="str">
        <f>VLOOKUP(D19,name!A:C,3,1)</f>
        <v>assets/icons/image003.png</v>
      </c>
    </row>
    <row r="20" spans="1:8" x14ac:dyDescent="0.15">
      <c r="A20" t="s">
        <v>17</v>
      </c>
      <c r="B20">
        <v>1</v>
      </c>
      <c r="C20">
        <v>16</v>
      </c>
      <c r="D20">
        <v>2</v>
      </c>
      <c r="E20" t="str">
        <f>VLOOKUP(D20,name!A:B,2,1)</f>
        <v>Tanaka</v>
      </c>
      <c r="F20" t="s">
        <v>25</v>
      </c>
      <c r="G20" t="str">
        <f t="shared" si="0"/>
        <v>a</v>
      </c>
      <c r="H20" t="str">
        <f>VLOOKUP(D20,name!A:C,3,1)</f>
        <v>assets/icons/image013.png</v>
      </c>
    </row>
    <row r="21" spans="1:8" x14ac:dyDescent="0.15">
      <c r="A21" t="s">
        <v>17</v>
      </c>
      <c r="B21">
        <v>1</v>
      </c>
      <c r="C21">
        <v>17</v>
      </c>
      <c r="D21">
        <v>2</v>
      </c>
      <c r="E21" t="str">
        <f>VLOOKUP(D21,name!A:B,2,1)</f>
        <v>Tanaka</v>
      </c>
      <c r="F21" t="s">
        <v>8</v>
      </c>
      <c r="G21" t="str">
        <f t="shared" si="0"/>
        <v>a</v>
      </c>
      <c r="H21" t="str">
        <f>VLOOKUP(D21,name!A:C,3,1)</f>
        <v>assets/icons/image013.png</v>
      </c>
    </row>
    <row r="22" spans="1:8" x14ac:dyDescent="0.15">
      <c r="A22" t="s">
        <v>17</v>
      </c>
      <c r="B22">
        <v>1</v>
      </c>
      <c r="C22">
        <v>18</v>
      </c>
      <c r="D22">
        <v>1</v>
      </c>
      <c r="E22" t="str">
        <f>VLOOKUP(D22,name!A:B,2,1)</f>
        <v>Navigator</v>
      </c>
      <c r="F22" t="str">
        <f>"次の"&amp;A22&amp;"を真似してね！"</f>
        <v>次のドイツ語を真似してね！</v>
      </c>
      <c r="G22" t="str">
        <f t="shared" si="0"/>
        <v>a</v>
      </c>
      <c r="H22" t="str">
        <f>VLOOKUP(D22,name!A:C,3,1)</f>
        <v>assets/icons/image014.png</v>
      </c>
    </row>
    <row r="23" spans="1:8" x14ac:dyDescent="0.15">
      <c r="A23" t="s">
        <v>17</v>
      </c>
      <c r="B23">
        <v>1</v>
      </c>
      <c r="C23">
        <v>19</v>
      </c>
      <c r="D23">
        <v>2</v>
      </c>
      <c r="E23" t="str">
        <f>VLOOKUP(D23,name!A:B,2,1)</f>
        <v>Tanaka</v>
      </c>
      <c r="F23" t="s">
        <v>18</v>
      </c>
      <c r="G23" t="str">
        <f t="shared" si="0"/>
        <v>a</v>
      </c>
      <c r="H23" t="str">
        <f>VLOOKUP(D23,name!A:C,3,1)</f>
        <v>assets/icons/image013.png</v>
      </c>
    </row>
    <row r="24" spans="1:8" x14ac:dyDescent="0.15">
      <c r="A24" t="s">
        <v>17</v>
      </c>
      <c r="B24">
        <v>1</v>
      </c>
      <c r="C24">
        <v>20</v>
      </c>
      <c r="D24">
        <v>2</v>
      </c>
      <c r="E24" t="str">
        <f>VLOOKUP(D24,name!A:B,2,1)</f>
        <v>Tanaka</v>
      </c>
      <c r="F24" t="s">
        <v>15</v>
      </c>
      <c r="G24" t="str">
        <f t="shared" si="0"/>
        <v>a</v>
      </c>
      <c r="H24" t="str">
        <f>VLOOKUP(D24,name!A:C,3,1)</f>
        <v>assets/icons/image013.png</v>
      </c>
    </row>
    <row r="25" spans="1:8" x14ac:dyDescent="0.15">
      <c r="A25" t="s">
        <v>17</v>
      </c>
      <c r="B25">
        <v>1</v>
      </c>
      <c r="C25">
        <v>21</v>
      </c>
      <c r="D25">
        <v>0</v>
      </c>
      <c r="E25" t="str">
        <f>VLOOKUP(D25,name!A:B,2,1)</f>
        <v>Player</v>
      </c>
      <c r="F25" t="s">
        <v>15</v>
      </c>
      <c r="G25" t="str">
        <f>IF(D25=0,"q",IF(B25=B26,"a","e"))</f>
        <v>q</v>
      </c>
      <c r="H25" t="str">
        <f>VLOOKUP(D25,name!A:C,3,1)</f>
        <v>assets/icons/image326.png</v>
      </c>
    </row>
    <row r="26" spans="1:8" x14ac:dyDescent="0.15">
      <c r="A26" t="s">
        <v>17</v>
      </c>
      <c r="B26">
        <v>1</v>
      </c>
      <c r="C26">
        <v>22</v>
      </c>
      <c r="D26">
        <v>3</v>
      </c>
      <c r="E26" t="str">
        <f>VLOOKUP(D26,name!A:B,2,1)</f>
        <v>Schneider.</v>
      </c>
      <c r="F26" t="s">
        <v>19</v>
      </c>
      <c r="G26" t="str">
        <f t="shared" ref="G26" si="1">IF(D26=0,"q",IF(B26=B27,"a","e"))</f>
        <v>a</v>
      </c>
      <c r="H26" t="str">
        <f>VLOOKUP(D26,name!A:C,3,1)</f>
        <v>assets/icons/image003.png</v>
      </c>
    </row>
    <row r="27" spans="1:8" x14ac:dyDescent="0.15">
      <c r="A27" t="s">
        <v>17</v>
      </c>
      <c r="B27">
        <v>1</v>
      </c>
      <c r="C27">
        <v>23</v>
      </c>
      <c r="D27">
        <v>3</v>
      </c>
      <c r="E27" t="str">
        <f>VLOOKUP(D27,name!A:B,2,1)</f>
        <v>Schneider.</v>
      </c>
      <c r="F27" t="s">
        <v>11</v>
      </c>
      <c r="G27" t="str">
        <f t="shared" ref="G27:G121" si="2">IF(D27=0,"q",IF(B27=B28,"a","e"))</f>
        <v>a</v>
      </c>
      <c r="H27" t="str">
        <f>VLOOKUP(D27,name!A:C,3,1)</f>
        <v>assets/icons/image003.png</v>
      </c>
    </row>
    <row r="28" spans="1:8" x14ac:dyDescent="0.15">
      <c r="A28" t="s">
        <v>17</v>
      </c>
      <c r="B28">
        <v>1</v>
      </c>
      <c r="C28">
        <v>24</v>
      </c>
      <c r="D28">
        <v>0</v>
      </c>
      <c r="E28" t="str">
        <f>VLOOKUP(D28,name!A:B,2,1)</f>
        <v>Player</v>
      </c>
      <c r="F28" t="s">
        <v>11</v>
      </c>
      <c r="G28" t="str">
        <f>IF(D28=0,"q",IF(B28=B29,"a","e"))</f>
        <v>q</v>
      </c>
      <c r="H28" t="str">
        <f>VLOOKUP(D28,name!A:C,3,1)</f>
        <v>assets/icons/image326.png</v>
      </c>
    </row>
    <row r="29" spans="1:8" x14ac:dyDescent="0.15">
      <c r="A29" t="s">
        <v>17</v>
      </c>
      <c r="B29">
        <v>1</v>
      </c>
      <c r="C29">
        <v>25</v>
      </c>
      <c r="D29">
        <v>3</v>
      </c>
      <c r="E29" t="str">
        <f>VLOOKUP(D29,name!A:B,2,1)</f>
        <v>Schneider.</v>
      </c>
      <c r="F29" t="s">
        <v>20</v>
      </c>
      <c r="G29" t="str">
        <f t="shared" ref="G29" si="3">IF(D29=0,"q",IF(B29=B30,"a","e"))</f>
        <v>a</v>
      </c>
      <c r="H29" t="str">
        <f>VLOOKUP(D29,name!A:C,3,1)</f>
        <v>assets/icons/image003.png</v>
      </c>
    </row>
    <row r="30" spans="1:8" x14ac:dyDescent="0.15">
      <c r="A30" t="s">
        <v>17</v>
      </c>
      <c r="B30">
        <v>1</v>
      </c>
      <c r="C30">
        <v>26</v>
      </c>
      <c r="D30">
        <v>3</v>
      </c>
      <c r="E30" t="str">
        <f>VLOOKUP(D30,name!A:B,2,1)</f>
        <v>Schneider.</v>
      </c>
      <c r="F30" t="s">
        <v>5</v>
      </c>
      <c r="G30" t="str">
        <f t="shared" si="2"/>
        <v>a</v>
      </c>
      <c r="H30" t="str">
        <f>VLOOKUP(D30,name!A:C,3,1)</f>
        <v>assets/icons/image003.png</v>
      </c>
    </row>
    <row r="31" spans="1:8" x14ac:dyDescent="0.15">
      <c r="A31" t="s">
        <v>17</v>
      </c>
      <c r="B31">
        <v>1</v>
      </c>
      <c r="C31">
        <v>27</v>
      </c>
      <c r="D31">
        <v>0</v>
      </c>
      <c r="E31" t="str">
        <f>VLOOKUP(D31,name!A:B,2,1)</f>
        <v>Player</v>
      </c>
      <c r="F31" t="s">
        <v>5</v>
      </c>
      <c r="G31" t="str">
        <f>IF(D31=0,"q",IF(B31=B32,"a","e"))</f>
        <v>q</v>
      </c>
      <c r="H31" t="str">
        <f>VLOOKUP(D31,name!A:C,3,1)</f>
        <v>assets/icons/image326.png</v>
      </c>
    </row>
    <row r="32" spans="1:8" x14ac:dyDescent="0.15">
      <c r="A32" t="s">
        <v>17</v>
      </c>
      <c r="B32">
        <v>1</v>
      </c>
      <c r="C32">
        <v>28</v>
      </c>
      <c r="D32">
        <v>2</v>
      </c>
      <c r="E32" t="str">
        <f>VLOOKUP(D32,name!A:B,2,1)</f>
        <v>Tanaka</v>
      </c>
      <c r="F32" t="s">
        <v>21</v>
      </c>
      <c r="G32" t="str">
        <f t="shared" ref="G32" si="4">IF(D32=0,"q",IF(B32=B33,"a","e"))</f>
        <v>a</v>
      </c>
      <c r="H32" t="str">
        <f>VLOOKUP(D32,name!A:C,3,1)</f>
        <v>assets/icons/image013.png</v>
      </c>
    </row>
    <row r="33" spans="1:8" x14ac:dyDescent="0.15">
      <c r="A33" t="s">
        <v>17</v>
      </c>
      <c r="B33">
        <v>1</v>
      </c>
      <c r="C33">
        <v>29</v>
      </c>
      <c r="D33">
        <v>2</v>
      </c>
      <c r="E33" t="str">
        <f>VLOOKUP(D33,name!A:B,2,1)</f>
        <v>Tanaka</v>
      </c>
      <c r="F33" t="s">
        <v>6</v>
      </c>
      <c r="G33" t="str">
        <f t="shared" si="2"/>
        <v>a</v>
      </c>
      <c r="H33" t="str">
        <f>VLOOKUP(D33,name!A:C,3,1)</f>
        <v>assets/icons/image013.png</v>
      </c>
    </row>
    <row r="34" spans="1:8" x14ac:dyDescent="0.15">
      <c r="A34" t="s">
        <v>17</v>
      </c>
      <c r="B34">
        <v>1</v>
      </c>
      <c r="C34">
        <v>30</v>
      </c>
      <c r="D34">
        <v>0</v>
      </c>
      <c r="E34" t="str">
        <f>VLOOKUP(D34,name!A:B,2,1)</f>
        <v>Player</v>
      </c>
      <c r="F34" t="s">
        <v>6</v>
      </c>
      <c r="G34" t="str">
        <f>IF(D34=0,"q",IF(B34=B35,"a","e"))</f>
        <v>q</v>
      </c>
      <c r="H34" t="str">
        <f>VLOOKUP(D34,name!A:C,3,1)</f>
        <v>assets/icons/image326.png</v>
      </c>
    </row>
    <row r="35" spans="1:8" x14ac:dyDescent="0.15">
      <c r="A35" t="s">
        <v>17</v>
      </c>
      <c r="B35">
        <v>1</v>
      </c>
      <c r="C35">
        <v>31</v>
      </c>
      <c r="D35">
        <v>3</v>
      </c>
      <c r="E35" t="str">
        <f>VLOOKUP(D35,name!A:B,2,1)</f>
        <v>Schneider.</v>
      </c>
      <c r="F35" t="s">
        <v>23</v>
      </c>
      <c r="G35" t="str">
        <f t="shared" ref="G35" si="5">IF(D35=0,"q",IF(B35=B36,"a","e"))</f>
        <v>a</v>
      </c>
      <c r="H35" t="str">
        <f>VLOOKUP(D35,name!A:C,3,1)</f>
        <v>assets/icons/image003.png</v>
      </c>
    </row>
    <row r="36" spans="1:8" x14ac:dyDescent="0.15">
      <c r="A36" t="s">
        <v>17</v>
      </c>
      <c r="B36">
        <v>1</v>
      </c>
      <c r="C36">
        <v>32</v>
      </c>
      <c r="D36">
        <v>3</v>
      </c>
      <c r="E36" t="str">
        <f>VLOOKUP(D36,name!A:B,2,1)</f>
        <v>Schneider.</v>
      </c>
      <c r="F36" t="s">
        <v>22</v>
      </c>
      <c r="G36" t="str">
        <f t="shared" si="2"/>
        <v>a</v>
      </c>
      <c r="H36" t="str">
        <f>VLOOKUP(D36,name!A:C,3,1)</f>
        <v>assets/icons/image003.png</v>
      </c>
    </row>
    <row r="37" spans="1:8" x14ac:dyDescent="0.15">
      <c r="A37" t="s">
        <v>17</v>
      </c>
      <c r="B37">
        <v>1</v>
      </c>
      <c r="C37">
        <v>33</v>
      </c>
      <c r="D37">
        <v>0</v>
      </c>
      <c r="E37" t="str">
        <f>VLOOKUP(D37,name!A:B,2,1)</f>
        <v>Player</v>
      </c>
      <c r="F37" t="s">
        <v>22</v>
      </c>
      <c r="G37" t="str">
        <f>IF(D37=0,"q",IF(B37=B39,"a","e"))</f>
        <v>q</v>
      </c>
      <c r="H37" t="str">
        <f>VLOOKUP(D37,name!A:C,3,1)</f>
        <v>assets/icons/image326.png</v>
      </c>
    </row>
    <row r="38" spans="1:8" x14ac:dyDescent="0.15">
      <c r="A38" t="s">
        <v>17</v>
      </c>
      <c r="B38">
        <v>1</v>
      </c>
      <c r="C38">
        <v>34</v>
      </c>
      <c r="D38">
        <v>3</v>
      </c>
      <c r="E38" t="str">
        <f>VLOOKUP(D38,name!A:B,2,1)</f>
        <v>Schneider.</v>
      </c>
      <c r="F38" t="s">
        <v>24</v>
      </c>
      <c r="G38" t="str">
        <f t="shared" ref="G38" si="6">IF(D38=0,"q",IF(B38=B39,"a","e"))</f>
        <v>a</v>
      </c>
      <c r="H38" t="str">
        <f>VLOOKUP(D38,name!A:C,3,1)</f>
        <v>assets/icons/image003.png</v>
      </c>
    </row>
    <row r="39" spans="1:8" x14ac:dyDescent="0.15">
      <c r="A39" t="s">
        <v>17</v>
      </c>
      <c r="B39">
        <v>1</v>
      </c>
      <c r="C39">
        <v>35</v>
      </c>
      <c r="D39">
        <v>3</v>
      </c>
      <c r="E39" t="str">
        <f>VLOOKUP(D39,name!A:B,2,1)</f>
        <v>Schneider.</v>
      </c>
      <c r="F39" t="s">
        <v>7</v>
      </c>
      <c r="G39" t="str">
        <f t="shared" si="2"/>
        <v>a</v>
      </c>
      <c r="H39" t="str">
        <f>VLOOKUP(D39,name!A:C,3,1)</f>
        <v>assets/icons/image003.png</v>
      </c>
    </row>
    <row r="40" spans="1:8" x14ac:dyDescent="0.15">
      <c r="A40" t="s">
        <v>17</v>
      </c>
      <c r="B40">
        <v>1</v>
      </c>
      <c r="C40">
        <v>36</v>
      </c>
      <c r="D40">
        <v>0</v>
      </c>
      <c r="E40" t="str">
        <f>VLOOKUP(D40,name!A:B,2,1)</f>
        <v>Player</v>
      </c>
      <c r="F40" t="s">
        <v>7</v>
      </c>
      <c r="G40" t="str">
        <f>IF(D40=0,"q",IF(B40=B42,"a","e"))</f>
        <v>q</v>
      </c>
      <c r="H40" t="str">
        <f>VLOOKUP(D40,name!A:C,3,1)</f>
        <v>assets/icons/image326.png</v>
      </c>
    </row>
    <row r="41" spans="1:8" x14ac:dyDescent="0.15">
      <c r="A41" t="s">
        <v>17</v>
      </c>
      <c r="B41">
        <v>1</v>
      </c>
      <c r="C41">
        <v>37</v>
      </c>
      <c r="D41">
        <v>2</v>
      </c>
      <c r="E41" t="str">
        <f>VLOOKUP(D41,name!A:B,2,1)</f>
        <v>Tanaka</v>
      </c>
      <c r="F41" t="s">
        <v>25</v>
      </c>
      <c r="G41" t="str">
        <f t="shared" ref="G41" si="7">IF(D41=0,"q",IF(B41=B42,"a","e"))</f>
        <v>a</v>
      </c>
      <c r="H41" t="str">
        <f>VLOOKUP(D41,name!A:C,3,1)</f>
        <v>assets/icons/image013.png</v>
      </c>
    </row>
    <row r="42" spans="1:8" x14ac:dyDescent="0.15">
      <c r="A42" t="s">
        <v>17</v>
      </c>
      <c r="B42">
        <v>1</v>
      </c>
      <c r="C42">
        <v>38</v>
      </c>
      <c r="D42">
        <v>2</v>
      </c>
      <c r="E42" t="str">
        <f>VLOOKUP(D42,name!A:B,2,1)</f>
        <v>Tanaka</v>
      </c>
      <c r="F42" t="s">
        <v>8</v>
      </c>
      <c r="G42" t="str">
        <f t="shared" si="2"/>
        <v>a</v>
      </c>
      <c r="H42" t="str">
        <f>VLOOKUP(D42,name!A:C,3,1)</f>
        <v>assets/icons/image013.png</v>
      </c>
    </row>
    <row r="43" spans="1:8" x14ac:dyDescent="0.15">
      <c r="A43" t="s">
        <v>17</v>
      </c>
      <c r="B43">
        <v>1</v>
      </c>
      <c r="C43">
        <v>39</v>
      </c>
      <c r="D43">
        <v>0</v>
      </c>
      <c r="E43" t="str">
        <f>VLOOKUP(D43,name!A:B,2,1)</f>
        <v>Player</v>
      </c>
      <c r="F43" t="s">
        <v>8</v>
      </c>
      <c r="G43" t="str">
        <f t="shared" si="2"/>
        <v>q</v>
      </c>
      <c r="H43" t="str">
        <f>VLOOKUP(D43,name!A:C,3,1)</f>
        <v>assets/icons/image326.png</v>
      </c>
    </row>
    <row r="44" spans="1:8" x14ac:dyDescent="0.15">
      <c r="A44" t="s">
        <v>17</v>
      </c>
      <c r="B44">
        <v>1</v>
      </c>
      <c r="C44">
        <v>40</v>
      </c>
      <c r="D44">
        <v>1</v>
      </c>
      <c r="E44" t="str">
        <f>VLOOKUP(D44,name!A:B,2,1)</f>
        <v>Navigator</v>
      </c>
      <c r="F44" t="str">
        <f>"次の日本語を"&amp;A44&amp;"に訳して答えてね！"</f>
        <v>次の日本語をドイツ語に訳して答えてね！</v>
      </c>
      <c r="G44" t="str">
        <f t="shared" si="2"/>
        <v>a</v>
      </c>
      <c r="H44" t="str">
        <f>VLOOKUP(D44,name!A:C,3,1)</f>
        <v>assets/icons/image014.png</v>
      </c>
    </row>
    <row r="45" spans="1:8" x14ac:dyDescent="0.15">
      <c r="A45" t="s">
        <v>17</v>
      </c>
      <c r="B45">
        <v>1</v>
      </c>
      <c r="C45">
        <v>41</v>
      </c>
      <c r="D45">
        <v>2</v>
      </c>
      <c r="E45" t="str">
        <f>VLOOKUP(D45,name!A:B,2,1)</f>
        <v>Tanaka</v>
      </c>
      <c r="F45" t="s">
        <v>18</v>
      </c>
      <c r="G45" t="str">
        <f t="shared" si="2"/>
        <v>a</v>
      </c>
      <c r="H45" t="str">
        <f>VLOOKUP(D45,name!A:C,3,1)</f>
        <v>assets/icons/image013.png</v>
      </c>
    </row>
    <row r="46" spans="1:8" x14ac:dyDescent="0.15">
      <c r="A46" t="s">
        <v>17</v>
      </c>
      <c r="B46">
        <v>1</v>
      </c>
      <c r="C46">
        <v>42</v>
      </c>
      <c r="D46">
        <v>0</v>
      </c>
      <c r="E46" t="str">
        <f>VLOOKUP(D46,name!A:B,2,1)</f>
        <v>Player</v>
      </c>
      <c r="F46" t="s">
        <v>15</v>
      </c>
      <c r="G46" t="str">
        <f t="shared" si="2"/>
        <v>q</v>
      </c>
      <c r="H46" t="str">
        <f>VLOOKUP(D46,name!A:C,3,1)</f>
        <v>assets/icons/image326.png</v>
      </c>
    </row>
    <row r="47" spans="1:8" x14ac:dyDescent="0.15">
      <c r="A47" t="s">
        <v>17</v>
      </c>
      <c r="B47">
        <v>1</v>
      </c>
      <c r="C47">
        <v>43</v>
      </c>
      <c r="D47">
        <v>3</v>
      </c>
      <c r="E47" t="str">
        <f>VLOOKUP(D47,name!A:B,2,1)</f>
        <v>Schneider.</v>
      </c>
      <c r="F47" t="s">
        <v>19</v>
      </c>
      <c r="G47" t="str">
        <f t="shared" si="2"/>
        <v>a</v>
      </c>
      <c r="H47" t="str">
        <f>VLOOKUP(D47,name!A:C,3,1)</f>
        <v>assets/icons/image003.png</v>
      </c>
    </row>
    <row r="48" spans="1:8" x14ac:dyDescent="0.15">
      <c r="A48" t="s">
        <v>17</v>
      </c>
      <c r="B48">
        <v>1</v>
      </c>
      <c r="C48">
        <v>44</v>
      </c>
      <c r="D48">
        <v>0</v>
      </c>
      <c r="E48" t="str">
        <f>VLOOKUP(D48,name!A:B,2,1)</f>
        <v>Player</v>
      </c>
      <c r="F48" t="s">
        <v>11</v>
      </c>
      <c r="G48" t="str">
        <f t="shared" si="2"/>
        <v>q</v>
      </c>
      <c r="H48" t="str">
        <f>VLOOKUP(D48,name!A:C,3,1)</f>
        <v>assets/icons/image326.png</v>
      </c>
    </row>
    <row r="49" spans="1:8" x14ac:dyDescent="0.15">
      <c r="A49" t="s">
        <v>17</v>
      </c>
      <c r="B49">
        <v>1</v>
      </c>
      <c r="C49">
        <v>45</v>
      </c>
      <c r="D49">
        <v>3</v>
      </c>
      <c r="E49" t="str">
        <f>VLOOKUP(D49,name!A:B,2,1)</f>
        <v>Schneider.</v>
      </c>
      <c r="F49" t="s">
        <v>20</v>
      </c>
      <c r="G49" t="str">
        <f t="shared" si="2"/>
        <v>a</v>
      </c>
      <c r="H49" t="str">
        <f>VLOOKUP(D49,name!A:C,3,1)</f>
        <v>assets/icons/image003.png</v>
      </c>
    </row>
    <row r="50" spans="1:8" x14ac:dyDescent="0.15">
      <c r="A50" t="s">
        <v>17</v>
      </c>
      <c r="B50">
        <v>1</v>
      </c>
      <c r="C50">
        <v>46</v>
      </c>
      <c r="D50">
        <v>0</v>
      </c>
      <c r="E50" t="str">
        <f>VLOOKUP(D50,name!A:B,2,1)</f>
        <v>Player</v>
      </c>
      <c r="F50" t="s">
        <v>5</v>
      </c>
      <c r="G50" t="str">
        <f t="shared" si="2"/>
        <v>q</v>
      </c>
      <c r="H50" t="str">
        <f>VLOOKUP(D50,name!A:C,3,1)</f>
        <v>assets/icons/image326.png</v>
      </c>
    </row>
    <row r="51" spans="1:8" x14ac:dyDescent="0.15">
      <c r="A51" t="s">
        <v>17</v>
      </c>
      <c r="B51">
        <v>1</v>
      </c>
      <c r="C51">
        <v>47</v>
      </c>
      <c r="D51">
        <v>2</v>
      </c>
      <c r="E51" t="str">
        <f>VLOOKUP(D51,name!A:B,2,1)</f>
        <v>Tanaka</v>
      </c>
      <c r="F51" t="s">
        <v>21</v>
      </c>
      <c r="G51" t="str">
        <f t="shared" si="2"/>
        <v>a</v>
      </c>
      <c r="H51" t="str">
        <f>VLOOKUP(D51,name!A:C,3,1)</f>
        <v>assets/icons/image013.png</v>
      </c>
    </row>
    <row r="52" spans="1:8" x14ac:dyDescent="0.15">
      <c r="A52" t="s">
        <v>17</v>
      </c>
      <c r="B52">
        <v>1</v>
      </c>
      <c r="C52">
        <v>48</v>
      </c>
      <c r="D52">
        <v>0</v>
      </c>
      <c r="E52" t="str">
        <f>VLOOKUP(D52,name!A:B,2,1)</f>
        <v>Player</v>
      </c>
      <c r="F52" t="s">
        <v>6</v>
      </c>
      <c r="G52" t="str">
        <f t="shared" si="2"/>
        <v>q</v>
      </c>
      <c r="H52" t="str">
        <f>VLOOKUP(D52,name!A:C,3,1)</f>
        <v>assets/icons/image326.png</v>
      </c>
    </row>
    <row r="53" spans="1:8" x14ac:dyDescent="0.15">
      <c r="A53" t="s">
        <v>17</v>
      </c>
      <c r="B53">
        <v>1</v>
      </c>
      <c r="C53">
        <v>49</v>
      </c>
      <c r="D53">
        <v>3</v>
      </c>
      <c r="E53" t="str">
        <f>VLOOKUP(D53,name!A:B,2,1)</f>
        <v>Schneider.</v>
      </c>
      <c r="F53" t="s">
        <v>23</v>
      </c>
      <c r="G53" t="str">
        <f t="shared" si="2"/>
        <v>a</v>
      </c>
      <c r="H53" t="str">
        <f>VLOOKUP(D53,name!A:C,3,1)</f>
        <v>assets/icons/image003.png</v>
      </c>
    </row>
    <row r="54" spans="1:8" x14ac:dyDescent="0.15">
      <c r="A54" t="s">
        <v>17</v>
      </c>
      <c r="B54">
        <v>1</v>
      </c>
      <c r="C54">
        <v>50</v>
      </c>
      <c r="D54">
        <v>0</v>
      </c>
      <c r="E54" t="str">
        <f>VLOOKUP(D54,name!A:B,2,1)</f>
        <v>Player</v>
      </c>
      <c r="F54" t="s">
        <v>22</v>
      </c>
      <c r="G54" t="str">
        <f t="shared" si="2"/>
        <v>q</v>
      </c>
      <c r="H54" t="str">
        <f>VLOOKUP(D54,name!A:C,3,1)</f>
        <v>assets/icons/image326.png</v>
      </c>
    </row>
    <row r="55" spans="1:8" x14ac:dyDescent="0.15">
      <c r="A55" t="s">
        <v>17</v>
      </c>
      <c r="B55">
        <v>1</v>
      </c>
      <c r="C55">
        <v>51</v>
      </c>
      <c r="D55">
        <v>3</v>
      </c>
      <c r="E55" t="str">
        <f>VLOOKUP(D55,name!A:B,2,1)</f>
        <v>Schneider.</v>
      </c>
      <c r="F55" t="s">
        <v>24</v>
      </c>
      <c r="G55" t="str">
        <f t="shared" si="2"/>
        <v>a</v>
      </c>
      <c r="H55" t="str">
        <f>VLOOKUP(D55,name!A:C,3,1)</f>
        <v>assets/icons/image003.png</v>
      </c>
    </row>
    <row r="56" spans="1:8" x14ac:dyDescent="0.15">
      <c r="A56" t="s">
        <v>17</v>
      </c>
      <c r="B56">
        <v>1</v>
      </c>
      <c r="C56">
        <v>52</v>
      </c>
      <c r="D56">
        <v>0</v>
      </c>
      <c r="E56" t="str">
        <f>VLOOKUP(D56,name!A:B,2,1)</f>
        <v>Player</v>
      </c>
      <c r="F56" t="s">
        <v>7</v>
      </c>
      <c r="G56" t="str">
        <f t="shared" si="2"/>
        <v>q</v>
      </c>
      <c r="H56" t="str">
        <f>VLOOKUP(D56,name!A:C,3,1)</f>
        <v>assets/icons/image326.png</v>
      </c>
    </row>
    <row r="57" spans="1:8" x14ac:dyDescent="0.15">
      <c r="A57" t="s">
        <v>17</v>
      </c>
      <c r="B57">
        <v>1</v>
      </c>
      <c r="C57">
        <v>53</v>
      </c>
      <c r="D57">
        <v>2</v>
      </c>
      <c r="E57" t="str">
        <f>VLOOKUP(D57,name!A:B,2,1)</f>
        <v>Tanaka</v>
      </c>
      <c r="F57" t="s">
        <v>25</v>
      </c>
      <c r="G57" t="str">
        <f t="shared" si="2"/>
        <v>a</v>
      </c>
      <c r="H57" t="str">
        <f>VLOOKUP(D57,name!A:C,3,1)</f>
        <v>assets/icons/image013.png</v>
      </c>
    </row>
    <row r="58" spans="1:8" x14ac:dyDescent="0.15">
      <c r="A58" t="s">
        <v>17</v>
      </c>
      <c r="B58">
        <v>1</v>
      </c>
      <c r="C58">
        <v>54</v>
      </c>
      <c r="D58">
        <v>0</v>
      </c>
      <c r="E58" t="str">
        <f>VLOOKUP(D58,name!A:B,2,1)</f>
        <v>Player</v>
      </c>
      <c r="F58" t="s">
        <v>8</v>
      </c>
      <c r="G58" t="str">
        <f t="shared" si="2"/>
        <v>q</v>
      </c>
      <c r="H58" t="str">
        <f>VLOOKUP(D58,name!A:C,3,1)</f>
        <v>assets/icons/image326.png</v>
      </c>
    </row>
    <row r="59" spans="1:8" x14ac:dyDescent="0.15">
      <c r="A59" t="s">
        <v>17</v>
      </c>
      <c r="B59">
        <v>1</v>
      </c>
      <c r="C59">
        <v>55</v>
      </c>
      <c r="D59">
        <v>1</v>
      </c>
      <c r="E59" t="str">
        <f>VLOOKUP(D59,name!A:B,2,1)</f>
        <v>Navigator</v>
      </c>
      <c r="F59" t="s">
        <v>27</v>
      </c>
      <c r="G59" t="str">
        <f t="shared" si="2"/>
        <v>e</v>
      </c>
      <c r="H59" t="str">
        <f>VLOOKUP(D59,name!A:C,3,1)</f>
        <v>assets/icons/image014.png</v>
      </c>
    </row>
    <row r="60" spans="1:8" x14ac:dyDescent="0.15">
      <c r="A60" t="s">
        <v>17</v>
      </c>
      <c r="B60">
        <v>2</v>
      </c>
      <c r="C60">
        <v>1</v>
      </c>
      <c r="D60">
        <v>1</v>
      </c>
      <c r="E60" t="str">
        <f>VLOOKUP(D60,name!A:B,2,1)</f>
        <v>Navigator</v>
      </c>
      <c r="F60" t="s">
        <v>29</v>
      </c>
      <c r="G60" t="str">
        <f t="shared" si="2"/>
        <v>a</v>
      </c>
      <c r="H60" t="str">
        <f>VLOOKUP(D60,name!A:C,3,1)</f>
        <v>assets/icons/image014.png</v>
      </c>
    </row>
    <row r="61" spans="1:8" x14ac:dyDescent="0.15">
      <c r="A61" t="s">
        <v>17</v>
      </c>
      <c r="B61">
        <v>2</v>
      </c>
      <c r="C61">
        <v>2</v>
      </c>
      <c r="D61">
        <v>1</v>
      </c>
      <c r="E61" t="str">
        <f>VLOOKUP(D61,name!A:B,2,1)</f>
        <v>Navigator</v>
      </c>
      <c r="F61" t="s">
        <v>34</v>
      </c>
      <c r="G61" t="str">
        <f t="shared" si="2"/>
        <v>a</v>
      </c>
      <c r="H61" t="str">
        <f>VLOOKUP(D61,name!A:C,3,1)</f>
        <v>assets/icons/image014.png</v>
      </c>
    </row>
    <row r="62" spans="1:8" ht="40.5" x14ac:dyDescent="0.15">
      <c r="A62" t="s">
        <v>17</v>
      </c>
      <c r="B62">
        <v>2</v>
      </c>
      <c r="C62">
        <v>3</v>
      </c>
      <c r="D62">
        <v>1</v>
      </c>
      <c r="E62" t="str">
        <f>VLOOKUP(D62,name!A:B,2,1)</f>
        <v>Navigator</v>
      </c>
      <c r="F62" s="1" t="str">
        <f>"まずは対話文を流します。その後に、日本語と"&amp;A62&amp;"を一文ずつ流すので"&amp;A62&amp;"を真似して下さい。最後に日本語のみを流すので、"&amp;A62&amp;"で答えてください。"</f>
        <v>まずは対話文を流します。その後に、日本語とドイツ語を一文ずつ流すのでドイツ語を真似して下さい。最後に日本語のみを流すので、ドイツ語で答えてください。</v>
      </c>
      <c r="G62" t="str">
        <f t="shared" si="2"/>
        <v>a</v>
      </c>
      <c r="H62" t="str">
        <f>VLOOKUP(D62,name!A:C,3,1)</f>
        <v>assets/icons/image014.png</v>
      </c>
    </row>
    <row r="63" spans="1:8" x14ac:dyDescent="0.15">
      <c r="A63" t="s">
        <v>17</v>
      </c>
      <c r="B63">
        <v>2</v>
      </c>
      <c r="C63">
        <v>4</v>
      </c>
      <c r="D63">
        <v>2</v>
      </c>
      <c r="E63" t="str">
        <f>VLOOKUP(D63,name!A:B,2,1)</f>
        <v>Tanaka</v>
      </c>
      <c r="F63" t="s">
        <v>36</v>
      </c>
      <c r="G63" t="str">
        <f t="shared" ref="G63:G77" si="8">IF(D63=0,"q",IF(B63=B64,"a","e"))</f>
        <v>a</v>
      </c>
      <c r="H63" t="str">
        <f>VLOOKUP(D63,name!A:C,3,1)</f>
        <v>assets/icons/image013.png</v>
      </c>
    </row>
    <row r="64" spans="1:8" x14ac:dyDescent="0.15">
      <c r="A64" t="s">
        <v>17</v>
      </c>
      <c r="B64">
        <v>2</v>
      </c>
      <c r="C64">
        <v>5</v>
      </c>
      <c r="D64">
        <v>2</v>
      </c>
      <c r="E64" t="str">
        <f>VLOOKUP(D64,name!A:B,2,1)</f>
        <v>Tanaka</v>
      </c>
      <c r="F64" t="s">
        <v>35</v>
      </c>
      <c r="G64" t="str">
        <f t="shared" si="8"/>
        <v>a</v>
      </c>
      <c r="H64" t="str">
        <f>VLOOKUP(D64,name!A:C,3,1)</f>
        <v>assets/icons/image013.png</v>
      </c>
    </row>
    <row r="65" spans="1:8" x14ac:dyDescent="0.15">
      <c r="A65" t="s">
        <v>17</v>
      </c>
      <c r="B65">
        <v>2</v>
      </c>
      <c r="C65">
        <v>6</v>
      </c>
      <c r="D65">
        <v>4</v>
      </c>
      <c r="E65" t="str">
        <f>VLOOKUP(D65,name!A:B,2,1)</f>
        <v>Weber</v>
      </c>
      <c r="F65" t="s">
        <v>37</v>
      </c>
      <c r="G65" t="str">
        <f t="shared" si="8"/>
        <v>a</v>
      </c>
      <c r="H65" t="str">
        <f>VLOOKUP(D65,name!A:C,3,1)</f>
        <v>assets/icons/image016.png</v>
      </c>
    </row>
    <row r="66" spans="1:8" x14ac:dyDescent="0.15">
      <c r="A66" t="s">
        <v>17</v>
      </c>
      <c r="B66">
        <v>2</v>
      </c>
      <c r="C66">
        <v>7</v>
      </c>
      <c r="D66">
        <v>4</v>
      </c>
      <c r="E66" t="str">
        <f>VLOOKUP(D66,name!A:B,2,1)</f>
        <v>Weber</v>
      </c>
      <c r="F66" t="s">
        <v>38</v>
      </c>
      <c r="G66" t="str">
        <f t="shared" si="8"/>
        <v>a</v>
      </c>
      <c r="H66" t="str">
        <f>VLOOKUP(D66,name!A:C,3,1)</f>
        <v>assets/icons/image016.png</v>
      </c>
    </row>
    <row r="67" spans="1:8" x14ac:dyDescent="0.15">
      <c r="A67" t="s">
        <v>17</v>
      </c>
      <c r="B67">
        <v>2</v>
      </c>
      <c r="C67">
        <v>8</v>
      </c>
      <c r="D67">
        <v>4</v>
      </c>
      <c r="E67" t="str">
        <f>VLOOKUP(D67,name!A:B,2,1)</f>
        <v>Weber</v>
      </c>
      <c r="F67" t="s">
        <v>40</v>
      </c>
      <c r="G67" t="str">
        <f t="shared" si="8"/>
        <v>a</v>
      </c>
      <c r="H67" t="str">
        <f>VLOOKUP(D67,name!A:C,3,1)</f>
        <v>assets/icons/image016.png</v>
      </c>
    </row>
    <row r="68" spans="1:8" x14ac:dyDescent="0.15">
      <c r="A68" t="s">
        <v>17</v>
      </c>
      <c r="B68">
        <v>2</v>
      </c>
      <c r="C68">
        <v>9</v>
      </c>
      <c r="D68">
        <v>4</v>
      </c>
      <c r="E68" t="str">
        <f>VLOOKUP(D68,name!A:B,2,1)</f>
        <v>Weber</v>
      </c>
      <c r="F68" t="s">
        <v>30</v>
      </c>
      <c r="G68" t="str">
        <f t="shared" si="8"/>
        <v>a</v>
      </c>
      <c r="H68" t="str">
        <f>VLOOKUP(D68,name!A:C,3,1)</f>
        <v>assets/icons/image016.png</v>
      </c>
    </row>
    <row r="69" spans="1:8" x14ac:dyDescent="0.15">
      <c r="A69" t="s">
        <v>17</v>
      </c>
      <c r="B69">
        <v>2</v>
      </c>
      <c r="C69">
        <v>10</v>
      </c>
      <c r="D69">
        <v>2</v>
      </c>
      <c r="E69" t="str">
        <f>VLOOKUP(D69,name!A:B,2,1)</f>
        <v>Tanaka</v>
      </c>
      <c r="F69" t="s">
        <v>42</v>
      </c>
      <c r="G69" t="str">
        <f t="shared" si="8"/>
        <v>a</v>
      </c>
      <c r="H69" t="str">
        <f>VLOOKUP(D69,name!A:C,3,1)</f>
        <v>assets/icons/image013.png</v>
      </c>
    </row>
    <row r="70" spans="1:8" x14ac:dyDescent="0.15">
      <c r="A70" t="s">
        <v>17</v>
      </c>
      <c r="B70">
        <v>2</v>
      </c>
      <c r="C70">
        <v>11</v>
      </c>
      <c r="D70">
        <v>2</v>
      </c>
      <c r="E70" t="str">
        <f>VLOOKUP(D70,name!A:B,2,1)</f>
        <v>Tanaka</v>
      </c>
      <c r="F70" t="s">
        <v>41</v>
      </c>
      <c r="G70" t="str">
        <f t="shared" si="8"/>
        <v>a</v>
      </c>
      <c r="H70" t="str">
        <f>VLOOKUP(D70,name!A:C,3,1)</f>
        <v>assets/icons/image013.png</v>
      </c>
    </row>
    <row r="71" spans="1:8" x14ac:dyDescent="0.15">
      <c r="A71" t="s">
        <v>17</v>
      </c>
      <c r="B71">
        <v>2</v>
      </c>
      <c r="C71">
        <v>12</v>
      </c>
      <c r="D71">
        <v>2</v>
      </c>
      <c r="E71" t="str">
        <f>VLOOKUP(D71,name!A:B,2,1)</f>
        <v>Tanaka</v>
      </c>
      <c r="F71" t="s">
        <v>43</v>
      </c>
      <c r="G71" t="str">
        <f t="shared" si="8"/>
        <v>a</v>
      </c>
      <c r="H71" t="str">
        <f>VLOOKUP(D71,name!A:C,3,1)</f>
        <v>assets/icons/image013.png</v>
      </c>
    </row>
    <row r="72" spans="1:8" x14ac:dyDescent="0.15">
      <c r="A72" t="s">
        <v>17</v>
      </c>
      <c r="B72">
        <v>2</v>
      </c>
      <c r="C72">
        <v>13</v>
      </c>
      <c r="D72">
        <v>2</v>
      </c>
      <c r="E72" t="str">
        <f>VLOOKUP(D72,name!A:B,2,1)</f>
        <v>Tanaka</v>
      </c>
      <c r="F72" t="s">
        <v>31</v>
      </c>
      <c r="G72" t="str">
        <f t="shared" si="8"/>
        <v>a</v>
      </c>
      <c r="H72" t="str">
        <f>VLOOKUP(D72,name!A:C,3,1)</f>
        <v>assets/icons/image013.png</v>
      </c>
    </row>
    <row r="73" spans="1:8" x14ac:dyDescent="0.15">
      <c r="A73" t="s">
        <v>17</v>
      </c>
      <c r="B73">
        <v>2</v>
      </c>
      <c r="C73">
        <v>14</v>
      </c>
      <c r="D73">
        <v>4</v>
      </c>
      <c r="E73" t="str">
        <f>VLOOKUP(D73,name!A:B,2,1)</f>
        <v>Weber</v>
      </c>
      <c r="F73" t="s">
        <v>44</v>
      </c>
      <c r="G73" t="str">
        <f t="shared" si="8"/>
        <v>a</v>
      </c>
      <c r="H73" t="str">
        <f>VLOOKUP(D73,name!A:C,3,1)</f>
        <v>assets/icons/image016.png</v>
      </c>
    </row>
    <row r="74" spans="1:8" x14ac:dyDescent="0.15">
      <c r="A74" t="s">
        <v>17</v>
      </c>
      <c r="B74">
        <v>2</v>
      </c>
      <c r="C74">
        <v>15</v>
      </c>
      <c r="D74">
        <v>4</v>
      </c>
      <c r="E74" t="str">
        <f>VLOOKUP(D74,name!A:B,2,1)</f>
        <v>Weber</v>
      </c>
      <c r="F74" t="s">
        <v>32</v>
      </c>
      <c r="G74" t="str">
        <f t="shared" si="8"/>
        <v>a</v>
      </c>
      <c r="H74" t="str">
        <f>VLOOKUP(D74,name!A:C,3,1)</f>
        <v>assets/icons/image016.png</v>
      </c>
    </row>
    <row r="75" spans="1:8" x14ac:dyDescent="0.15">
      <c r="A75" t="s">
        <v>17</v>
      </c>
      <c r="B75">
        <v>2</v>
      </c>
      <c r="C75">
        <v>16</v>
      </c>
      <c r="D75">
        <v>4</v>
      </c>
      <c r="E75" t="str">
        <f>VLOOKUP(D75,name!A:B,2,1)</f>
        <v>Weber</v>
      </c>
      <c r="F75" t="s">
        <v>45</v>
      </c>
      <c r="G75" t="str">
        <f t="shared" si="8"/>
        <v>a</v>
      </c>
      <c r="H75" t="str">
        <f>VLOOKUP(D75,name!A:C,3,1)</f>
        <v>assets/icons/image016.png</v>
      </c>
    </row>
    <row r="76" spans="1:8" x14ac:dyDescent="0.15">
      <c r="A76" t="s">
        <v>17</v>
      </c>
      <c r="B76">
        <v>2</v>
      </c>
      <c r="C76">
        <v>17</v>
      </c>
      <c r="D76">
        <v>4</v>
      </c>
      <c r="E76" t="str">
        <f>VLOOKUP(D76,name!A:B,2,1)</f>
        <v>Weber</v>
      </c>
      <c r="F76" t="s">
        <v>33</v>
      </c>
      <c r="G76" t="str">
        <f t="shared" si="8"/>
        <v>a</v>
      </c>
      <c r="H76" t="str">
        <f>VLOOKUP(D76,name!A:C,3,1)</f>
        <v>assets/icons/image016.png</v>
      </c>
    </row>
    <row r="77" spans="1:8" x14ac:dyDescent="0.15">
      <c r="A77" t="s">
        <v>17</v>
      </c>
      <c r="B77">
        <v>2</v>
      </c>
      <c r="C77">
        <v>18</v>
      </c>
      <c r="D77">
        <v>2</v>
      </c>
      <c r="E77" t="str">
        <f>VLOOKUP(D77,name!A:B,2,1)</f>
        <v>Tanaka</v>
      </c>
      <c r="F77" t="s">
        <v>47</v>
      </c>
      <c r="G77" t="str">
        <f t="shared" si="8"/>
        <v>a</v>
      </c>
      <c r="H77" t="str">
        <f>VLOOKUP(D77,name!A:C,3,1)</f>
        <v>assets/icons/image013.png</v>
      </c>
    </row>
    <row r="78" spans="1:8" x14ac:dyDescent="0.15">
      <c r="A78" t="s">
        <v>17</v>
      </c>
      <c r="B78">
        <v>2</v>
      </c>
      <c r="C78">
        <v>19</v>
      </c>
      <c r="D78">
        <v>2</v>
      </c>
      <c r="E78" t="str">
        <f>VLOOKUP(D78,name!A:B,2,1)</f>
        <v>Tanaka</v>
      </c>
      <c r="F78" t="s">
        <v>46</v>
      </c>
      <c r="G78" t="str">
        <f>IF(D78=0,"q",IF(B78=B81,"a","e"))</f>
        <v>a</v>
      </c>
      <c r="H78" t="str">
        <f>VLOOKUP(D78,name!A:C,3,1)</f>
        <v>assets/icons/image013.png</v>
      </c>
    </row>
    <row r="79" spans="1:8" x14ac:dyDescent="0.15">
      <c r="A79" t="s">
        <v>17</v>
      </c>
      <c r="B79">
        <v>2</v>
      </c>
      <c r="C79">
        <v>20</v>
      </c>
      <c r="D79">
        <v>1</v>
      </c>
      <c r="E79" t="str">
        <f>VLOOKUP(D79,name!A:B,2,1)</f>
        <v>Navigator</v>
      </c>
      <c r="F79" t="str">
        <f>"次の"&amp;A79&amp;"を真似してね！"</f>
        <v>次のドイツ語を真似してね！</v>
      </c>
      <c r="G79" t="str">
        <f t="shared" ref="G79" si="9">IF(D79=0,"q",IF(B79=B80,"a","e"))</f>
        <v>a</v>
      </c>
      <c r="H79" t="str">
        <f>VLOOKUP(D79,name!A:C,3,1)</f>
        <v>assets/icons/image014.png</v>
      </c>
    </row>
    <row r="80" spans="1:8" x14ac:dyDescent="0.15">
      <c r="A80" t="s">
        <v>17</v>
      </c>
      <c r="B80">
        <v>2</v>
      </c>
      <c r="C80">
        <v>21</v>
      </c>
      <c r="D80">
        <v>2</v>
      </c>
      <c r="E80" t="str">
        <f>VLOOKUP(D80,name!A:B,2,1)</f>
        <v>Tanaka</v>
      </c>
      <c r="F80" t="s">
        <v>36</v>
      </c>
      <c r="G80" t="str">
        <f t="shared" ref="G80" si="10">IF(D80=0,"q",IF(B80=B81,"a","e"))</f>
        <v>a</v>
      </c>
      <c r="H80" t="str">
        <f>VLOOKUP(D80,name!A:C,3,1)</f>
        <v>assets/icons/image013.png</v>
      </c>
    </row>
    <row r="81" spans="1:8" x14ac:dyDescent="0.15">
      <c r="A81" t="s">
        <v>17</v>
      </c>
      <c r="B81">
        <v>2</v>
      </c>
      <c r="C81">
        <v>22</v>
      </c>
      <c r="D81">
        <v>2</v>
      </c>
      <c r="E81" t="str">
        <f>VLOOKUP(D81,name!A:B,2,1)</f>
        <v>Tanaka</v>
      </c>
      <c r="F81" t="s">
        <v>35</v>
      </c>
      <c r="G81" t="str">
        <f t="shared" si="2"/>
        <v>a</v>
      </c>
      <c r="H81" t="str">
        <f>VLOOKUP(D81,name!A:C,3,1)</f>
        <v>assets/icons/image013.png</v>
      </c>
    </row>
    <row r="82" spans="1:8" x14ac:dyDescent="0.15">
      <c r="A82" t="s">
        <v>17</v>
      </c>
      <c r="B82">
        <v>2</v>
      </c>
      <c r="C82">
        <v>23</v>
      </c>
      <c r="D82">
        <v>0</v>
      </c>
      <c r="E82" t="str">
        <f>VLOOKUP(D82,name!A:B,2,1)</f>
        <v>Player</v>
      </c>
      <c r="F82" t="s">
        <v>35</v>
      </c>
      <c r="G82" t="str">
        <f t="shared" si="2"/>
        <v>q</v>
      </c>
      <c r="H82" t="str">
        <f>VLOOKUP(D82,name!A:C,3,1)</f>
        <v>assets/icons/image326.png</v>
      </c>
    </row>
    <row r="83" spans="1:8" x14ac:dyDescent="0.15">
      <c r="A83" t="s">
        <v>17</v>
      </c>
      <c r="B83">
        <v>2</v>
      </c>
      <c r="C83">
        <v>24</v>
      </c>
      <c r="D83">
        <v>4</v>
      </c>
      <c r="E83" t="str">
        <f>VLOOKUP(D83,name!A:B,2,1)</f>
        <v>Weber</v>
      </c>
      <c r="F83" t="s">
        <v>37</v>
      </c>
      <c r="G83" t="str">
        <f>IF(D83=0,"q",IF(B83=B85,"a","e"))</f>
        <v>a</v>
      </c>
      <c r="H83" t="str">
        <f>VLOOKUP(D83,name!A:C,3,1)</f>
        <v>assets/icons/image016.png</v>
      </c>
    </row>
    <row r="84" spans="1:8" x14ac:dyDescent="0.15">
      <c r="A84" t="s">
        <v>17</v>
      </c>
      <c r="B84">
        <v>2</v>
      </c>
      <c r="C84">
        <v>25</v>
      </c>
      <c r="D84">
        <v>4</v>
      </c>
      <c r="E84" t="str">
        <f>VLOOKUP(D84,name!A:B,2,1)</f>
        <v>Weber</v>
      </c>
      <c r="F84" t="s">
        <v>38</v>
      </c>
      <c r="G84" t="str">
        <f t="shared" ref="G84" si="11">IF(D84=0,"q",IF(B84=B85,"a","e"))</f>
        <v>a</v>
      </c>
      <c r="H84" t="str">
        <f>VLOOKUP(D84,name!A:C,3,1)</f>
        <v>assets/icons/image016.png</v>
      </c>
    </row>
    <row r="85" spans="1:8" x14ac:dyDescent="0.15">
      <c r="A85" t="s">
        <v>17</v>
      </c>
      <c r="B85">
        <v>2</v>
      </c>
      <c r="C85">
        <v>26</v>
      </c>
      <c r="D85">
        <v>0</v>
      </c>
      <c r="E85" t="str">
        <f>VLOOKUP(D85,name!A:B,2,1)</f>
        <v>Player</v>
      </c>
      <c r="F85" t="s">
        <v>38</v>
      </c>
      <c r="G85" t="str">
        <f t="shared" si="2"/>
        <v>q</v>
      </c>
      <c r="H85" t="str">
        <f>VLOOKUP(D85,name!A:C,3,1)</f>
        <v>assets/icons/image326.png</v>
      </c>
    </row>
    <row r="86" spans="1:8" x14ac:dyDescent="0.15">
      <c r="A86" t="s">
        <v>17</v>
      </c>
      <c r="B86">
        <v>2</v>
      </c>
      <c r="C86">
        <v>27</v>
      </c>
      <c r="D86">
        <v>4</v>
      </c>
      <c r="E86" t="str">
        <f>VLOOKUP(D86,name!A:B,2,1)</f>
        <v>Weber</v>
      </c>
      <c r="F86" t="s">
        <v>40</v>
      </c>
      <c r="G86" t="str">
        <f>IF(D86=0,"q",IF(B86=B88,"a","e"))</f>
        <v>a</v>
      </c>
      <c r="H86" t="str">
        <f>VLOOKUP(D86,name!A:C,3,1)</f>
        <v>assets/icons/image016.png</v>
      </c>
    </row>
    <row r="87" spans="1:8" x14ac:dyDescent="0.15">
      <c r="A87" t="s">
        <v>17</v>
      </c>
      <c r="B87">
        <v>2</v>
      </c>
      <c r="C87">
        <v>28</v>
      </c>
      <c r="D87">
        <v>4</v>
      </c>
      <c r="E87" t="str">
        <f>VLOOKUP(D87,name!A:B,2,1)</f>
        <v>Weber</v>
      </c>
      <c r="F87" t="s">
        <v>30</v>
      </c>
      <c r="G87" t="str">
        <f t="shared" ref="G87" si="12">IF(D87=0,"q",IF(B87=B88,"a","e"))</f>
        <v>a</v>
      </c>
      <c r="H87" t="str">
        <f>VLOOKUP(D87,name!A:C,3,1)</f>
        <v>assets/icons/image016.png</v>
      </c>
    </row>
    <row r="88" spans="1:8" x14ac:dyDescent="0.15">
      <c r="A88" t="s">
        <v>17</v>
      </c>
      <c r="B88">
        <v>2</v>
      </c>
      <c r="C88">
        <v>29</v>
      </c>
      <c r="D88">
        <v>0</v>
      </c>
      <c r="E88" t="str">
        <f>VLOOKUP(D88,name!A:B,2,1)</f>
        <v>Player</v>
      </c>
      <c r="F88" t="s">
        <v>30</v>
      </c>
      <c r="G88" t="str">
        <f t="shared" si="2"/>
        <v>q</v>
      </c>
      <c r="H88" t="str">
        <f>VLOOKUP(D88,name!A:C,3,1)</f>
        <v>assets/icons/image326.png</v>
      </c>
    </row>
    <row r="89" spans="1:8" x14ac:dyDescent="0.15">
      <c r="A89" t="s">
        <v>17</v>
      </c>
      <c r="B89">
        <v>2</v>
      </c>
      <c r="C89">
        <v>30</v>
      </c>
      <c r="D89">
        <v>2</v>
      </c>
      <c r="E89" t="str">
        <f>VLOOKUP(D89,name!A:B,2,1)</f>
        <v>Tanaka</v>
      </c>
      <c r="F89" t="s">
        <v>42</v>
      </c>
      <c r="G89" t="str">
        <f>IF(D89=0,"q",IF(B89=B91,"a","e"))</f>
        <v>a</v>
      </c>
      <c r="H89" t="str">
        <f>VLOOKUP(D89,name!A:C,3,1)</f>
        <v>assets/icons/image013.png</v>
      </c>
    </row>
    <row r="90" spans="1:8" x14ac:dyDescent="0.15">
      <c r="A90" t="s">
        <v>17</v>
      </c>
      <c r="B90">
        <v>2</v>
      </c>
      <c r="C90">
        <v>31</v>
      </c>
      <c r="D90">
        <v>2</v>
      </c>
      <c r="E90" t="str">
        <f>VLOOKUP(D90,name!A:B,2,1)</f>
        <v>Tanaka</v>
      </c>
      <c r="F90" t="s">
        <v>41</v>
      </c>
      <c r="G90" t="str">
        <f t="shared" ref="G90" si="13">IF(D90=0,"q",IF(B90=B91,"a","e"))</f>
        <v>a</v>
      </c>
      <c r="H90" t="str">
        <f>VLOOKUP(D90,name!A:C,3,1)</f>
        <v>assets/icons/image013.png</v>
      </c>
    </row>
    <row r="91" spans="1:8" x14ac:dyDescent="0.15">
      <c r="A91" t="s">
        <v>17</v>
      </c>
      <c r="B91">
        <v>2</v>
      </c>
      <c r="C91">
        <v>32</v>
      </c>
      <c r="D91">
        <v>0</v>
      </c>
      <c r="E91" t="str">
        <f>VLOOKUP(D91,name!A:B,2,1)</f>
        <v>Player</v>
      </c>
      <c r="F91" t="s">
        <v>41</v>
      </c>
      <c r="G91" t="str">
        <f t="shared" si="2"/>
        <v>q</v>
      </c>
      <c r="H91" t="str">
        <f>VLOOKUP(D91,name!A:C,3,1)</f>
        <v>assets/icons/image326.png</v>
      </c>
    </row>
    <row r="92" spans="1:8" x14ac:dyDescent="0.15">
      <c r="A92" t="s">
        <v>17</v>
      </c>
      <c r="B92">
        <v>2</v>
      </c>
      <c r="C92">
        <v>33</v>
      </c>
      <c r="D92">
        <v>2</v>
      </c>
      <c r="E92" t="str">
        <f>VLOOKUP(D92,name!A:B,2,1)</f>
        <v>Tanaka</v>
      </c>
      <c r="F92" t="s">
        <v>43</v>
      </c>
      <c r="G92" t="str">
        <f>IF(D92=0,"q",IF(B92=B94,"a","e"))</f>
        <v>a</v>
      </c>
      <c r="H92" t="str">
        <f>VLOOKUP(D92,name!A:C,3,1)</f>
        <v>assets/icons/image013.png</v>
      </c>
    </row>
    <row r="93" spans="1:8" x14ac:dyDescent="0.15">
      <c r="A93" t="s">
        <v>17</v>
      </c>
      <c r="B93">
        <v>2</v>
      </c>
      <c r="C93">
        <v>34</v>
      </c>
      <c r="D93">
        <v>2</v>
      </c>
      <c r="E93" t="str">
        <f>VLOOKUP(D93,name!A:B,2,1)</f>
        <v>Tanaka</v>
      </c>
      <c r="F93" t="s">
        <v>31</v>
      </c>
      <c r="G93" t="str">
        <f t="shared" ref="G93" si="14">IF(D93=0,"q",IF(B93=B94,"a","e"))</f>
        <v>a</v>
      </c>
      <c r="H93" t="str">
        <f>VLOOKUP(D93,name!A:C,3,1)</f>
        <v>assets/icons/image013.png</v>
      </c>
    </row>
    <row r="94" spans="1:8" x14ac:dyDescent="0.15">
      <c r="A94" t="s">
        <v>17</v>
      </c>
      <c r="B94">
        <v>2</v>
      </c>
      <c r="C94">
        <v>35</v>
      </c>
      <c r="D94">
        <v>0</v>
      </c>
      <c r="E94" t="str">
        <f>VLOOKUP(D94,name!A:B,2,1)</f>
        <v>Player</v>
      </c>
      <c r="F94" t="s">
        <v>31</v>
      </c>
      <c r="G94" t="str">
        <f t="shared" si="2"/>
        <v>q</v>
      </c>
      <c r="H94" t="str">
        <f>VLOOKUP(D94,name!A:C,3,1)</f>
        <v>assets/icons/image326.png</v>
      </c>
    </row>
    <row r="95" spans="1:8" x14ac:dyDescent="0.15">
      <c r="A95" t="s">
        <v>17</v>
      </c>
      <c r="B95">
        <v>2</v>
      </c>
      <c r="C95">
        <v>36</v>
      </c>
      <c r="D95">
        <v>4</v>
      </c>
      <c r="E95" t="str">
        <f>VLOOKUP(D95,name!A:B,2,1)</f>
        <v>Weber</v>
      </c>
      <c r="F95" t="s">
        <v>44</v>
      </c>
      <c r="G95" t="str">
        <f>IF(D95=0,"q",IF(B95=B97,"a","e"))</f>
        <v>a</v>
      </c>
      <c r="H95" t="str">
        <f>VLOOKUP(D95,name!A:C,3,1)</f>
        <v>assets/icons/image016.png</v>
      </c>
    </row>
    <row r="96" spans="1:8" x14ac:dyDescent="0.15">
      <c r="A96" t="s">
        <v>17</v>
      </c>
      <c r="B96">
        <v>2</v>
      </c>
      <c r="C96">
        <v>37</v>
      </c>
      <c r="D96">
        <v>4</v>
      </c>
      <c r="E96" t="str">
        <f>VLOOKUP(D96,name!A:B,2,1)</f>
        <v>Weber</v>
      </c>
      <c r="F96" t="s">
        <v>32</v>
      </c>
      <c r="G96" t="str">
        <f t="shared" ref="G96" si="15">IF(D96=0,"q",IF(B96=B97,"a","e"))</f>
        <v>a</v>
      </c>
      <c r="H96" t="str">
        <f>VLOOKUP(D96,name!A:C,3,1)</f>
        <v>assets/icons/image016.png</v>
      </c>
    </row>
    <row r="97" spans="1:8" x14ac:dyDescent="0.15">
      <c r="A97" t="s">
        <v>17</v>
      </c>
      <c r="B97">
        <v>2</v>
      </c>
      <c r="C97">
        <v>38</v>
      </c>
      <c r="D97">
        <v>0</v>
      </c>
      <c r="E97" t="str">
        <f>VLOOKUP(D97,name!A:B,2,1)</f>
        <v>Player</v>
      </c>
      <c r="F97" t="s">
        <v>32</v>
      </c>
      <c r="G97" t="str">
        <f t="shared" si="2"/>
        <v>q</v>
      </c>
      <c r="H97" t="str">
        <f>VLOOKUP(D97,name!A:C,3,1)</f>
        <v>assets/icons/image326.png</v>
      </c>
    </row>
    <row r="98" spans="1:8" x14ac:dyDescent="0.15">
      <c r="A98" t="s">
        <v>17</v>
      </c>
      <c r="B98">
        <v>2</v>
      </c>
      <c r="C98">
        <v>39</v>
      </c>
      <c r="D98">
        <v>4</v>
      </c>
      <c r="E98" t="str">
        <f>VLOOKUP(D98,name!A:B,2,1)</f>
        <v>Weber</v>
      </c>
      <c r="F98" t="s">
        <v>45</v>
      </c>
      <c r="G98" t="str">
        <f>IF(D98=0,"q",IF(B98=B100,"a","e"))</f>
        <v>a</v>
      </c>
      <c r="H98" t="str">
        <f>VLOOKUP(D98,name!A:C,3,1)</f>
        <v>assets/icons/image016.png</v>
      </c>
    </row>
    <row r="99" spans="1:8" x14ac:dyDescent="0.15">
      <c r="A99" t="s">
        <v>17</v>
      </c>
      <c r="B99">
        <v>2</v>
      </c>
      <c r="C99">
        <v>40</v>
      </c>
      <c r="D99">
        <v>4</v>
      </c>
      <c r="E99" t="str">
        <f>VLOOKUP(D99,name!A:B,2,1)</f>
        <v>Weber</v>
      </c>
      <c r="F99" t="s">
        <v>33</v>
      </c>
      <c r="G99" t="str">
        <f t="shared" ref="G99" si="16">IF(D99=0,"q",IF(B99=B100,"a","e"))</f>
        <v>a</v>
      </c>
      <c r="H99" t="str">
        <f>VLOOKUP(D99,name!A:C,3,1)</f>
        <v>assets/icons/image016.png</v>
      </c>
    </row>
    <row r="100" spans="1:8" x14ac:dyDescent="0.15">
      <c r="A100" t="s">
        <v>17</v>
      </c>
      <c r="B100">
        <v>2</v>
      </c>
      <c r="C100">
        <v>41</v>
      </c>
      <c r="D100">
        <v>0</v>
      </c>
      <c r="E100" t="str">
        <f>VLOOKUP(D100,name!A:B,2,1)</f>
        <v>Player</v>
      </c>
      <c r="F100" t="s">
        <v>33</v>
      </c>
      <c r="G100" t="str">
        <f t="shared" si="2"/>
        <v>q</v>
      </c>
      <c r="H100" t="str">
        <f>VLOOKUP(D100,name!A:C,3,1)</f>
        <v>assets/icons/image326.png</v>
      </c>
    </row>
    <row r="101" spans="1:8" x14ac:dyDescent="0.15">
      <c r="A101" t="s">
        <v>17</v>
      </c>
      <c r="B101">
        <v>2</v>
      </c>
      <c r="C101">
        <v>42</v>
      </c>
      <c r="D101">
        <v>2</v>
      </c>
      <c r="E101" t="str">
        <f>VLOOKUP(D101,name!A:B,2,1)</f>
        <v>Tanaka</v>
      </c>
      <c r="F101" t="s">
        <v>47</v>
      </c>
      <c r="G101" t="str">
        <f>IF(D101=0,"q",IF(B101=B103,"a","e"))</f>
        <v>a</v>
      </c>
      <c r="H101" t="str">
        <f>VLOOKUP(D101,name!A:C,3,1)</f>
        <v>assets/icons/image013.png</v>
      </c>
    </row>
    <row r="102" spans="1:8" x14ac:dyDescent="0.15">
      <c r="A102" t="s">
        <v>17</v>
      </c>
      <c r="B102">
        <v>2</v>
      </c>
      <c r="C102">
        <v>43</v>
      </c>
      <c r="D102">
        <v>2</v>
      </c>
      <c r="E102" t="str">
        <f>VLOOKUP(D102,name!A:B,2,1)</f>
        <v>Tanaka</v>
      </c>
      <c r="F102" t="s">
        <v>46</v>
      </c>
      <c r="G102" t="str">
        <f t="shared" ref="G102" si="17">IF(D102=0,"q",IF(B102=B103,"a","e"))</f>
        <v>a</v>
      </c>
      <c r="H102" t="str">
        <f>VLOOKUP(D102,name!A:C,3,1)</f>
        <v>assets/icons/image013.png</v>
      </c>
    </row>
    <row r="103" spans="1:8" x14ac:dyDescent="0.15">
      <c r="A103" t="s">
        <v>17</v>
      </c>
      <c r="B103">
        <v>2</v>
      </c>
      <c r="C103">
        <v>44</v>
      </c>
      <c r="D103">
        <v>0</v>
      </c>
      <c r="E103" t="str">
        <f>VLOOKUP(D103,name!A:B,2,1)</f>
        <v>Player</v>
      </c>
      <c r="F103" t="s">
        <v>46</v>
      </c>
      <c r="G103" t="str">
        <f t="shared" si="2"/>
        <v>q</v>
      </c>
      <c r="H103" t="str">
        <f>VLOOKUP(D103,name!A:C,3,1)</f>
        <v>assets/icons/image326.png</v>
      </c>
    </row>
    <row r="104" spans="1:8" x14ac:dyDescent="0.15">
      <c r="A104" t="s">
        <v>17</v>
      </c>
      <c r="B104">
        <v>2</v>
      </c>
      <c r="C104">
        <v>45</v>
      </c>
      <c r="D104">
        <v>1</v>
      </c>
      <c r="E104" t="str">
        <f>VLOOKUP(D104,name!A:B,2,1)</f>
        <v>Navigator</v>
      </c>
      <c r="F104" t="s">
        <v>26</v>
      </c>
      <c r="G104" t="str">
        <f t="shared" si="2"/>
        <v>a</v>
      </c>
      <c r="H104" t="str">
        <f>VLOOKUP(D104,name!A:C,3,1)</f>
        <v>assets/icons/image014.png</v>
      </c>
    </row>
    <row r="105" spans="1:8" x14ac:dyDescent="0.15">
      <c r="A105" t="s">
        <v>17</v>
      </c>
      <c r="B105">
        <v>2</v>
      </c>
      <c r="C105">
        <v>46</v>
      </c>
      <c r="D105">
        <v>2</v>
      </c>
      <c r="E105" t="str">
        <f>VLOOKUP(D105,name!A:B,2,1)</f>
        <v>Tanaka</v>
      </c>
      <c r="F105" t="s">
        <v>36</v>
      </c>
      <c r="G105" t="str">
        <f t="shared" si="2"/>
        <v>a</v>
      </c>
      <c r="H105" t="str">
        <f>VLOOKUP(D105,name!A:C,3,1)</f>
        <v>assets/icons/image013.png</v>
      </c>
    </row>
    <row r="106" spans="1:8" x14ac:dyDescent="0.15">
      <c r="A106" t="s">
        <v>17</v>
      </c>
      <c r="B106">
        <v>2</v>
      </c>
      <c r="C106">
        <v>47</v>
      </c>
      <c r="D106">
        <v>0</v>
      </c>
      <c r="E106" t="str">
        <f>VLOOKUP(D106,name!A:B,2,1)</f>
        <v>Player</v>
      </c>
      <c r="F106" t="s">
        <v>35</v>
      </c>
      <c r="G106" t="str">
        <f t="shared" si="2"/>
        <v>q</v>
      </c>
      <c r="H106" t="str">
        <f>VLOOKUP(D106,name!A:C,3,1)</f>
        <v>assets/icons/image326.png</v>
      </c>
    </row>
    <row r="107" spans="1:8" x14ac:dyDescent="0.15">
      <c r="A107" t="s">
        <v>17</v>
      </c>
      <c r="B107">
        <v>2</v>
      </c>
      <c r="C107">
        <v>48</v>
      </c>
      <c r="D107">
        <v>4</v>
      </c>
      <c r="E107" t="str">
        <f>VLOOKUP(D107,name!A:B,2,1)</f>
        <v>Weber</v>
      </c>
      <c r="F107" t="s">
        <v>37</v>
      </c>
      <c r="G107" t="str">
        <f t="shared" si="2"/>
        <v>a</v>
      </c>
      <c r="H107" t="str">
        <f>VLOOKUP(D107,name!A:C,3,1)</f>
        <v>assets/icons/image016.png</v>
      </c>
    </row>
    <row r="108" spans="1:8" x14ac:dyDescent="0.15">
      <c r="A108" t="s">
        <v>17</v>
      </c>
      <c r="B108">
        <v>2</v>
      </c>
      <c r="C108">
        <v>49</v>
      </c>
      <c r="D108">
        <v>0</v>
      </c>
      <c r="E108" t="str">
        <f>VLOOKUP(D108,name!A:B,2,1)</f>
        <v>Player</v>
      </c>
      <c r="F108" t="s">
        <v>38</v>
      </c>
      <c r="G108" t="str">
        <f t="shared" si="2"/>
        <v>q</v>
      </c>
      <c r="H108" t="str">
        <f>VLOOKUP(D108,name!A:C,3,1)</f>
        <v>assets/icons/image326.png</v>
      </c>
    </row>
    <row r="109" spans="1:8" x14ac:dyDescent="0.15">
      <c r="A109" t="s">
        <v>17</v>
      </c>
      <c r="B109">
        <v>2</v>
      </c>
      <c r="C109">
        <v>50</v>
      </c>
      <c r="D109">
        <v>4</v>
      </c>
      <c r="E109" t="str">
        <f>VLOOKUP(D109,name!A:B,2,1)</f>
        <v>Weber</v>
      </c>
      <c r="F109" t="s">
        <v>40</v>
      </c>
      <c r="G109" t="str">
        <f t="shared" si="2"/>
        <v>a</v>
      </c>
      <c r="H109" t="str">
        <f>VLOOKUP(D109,name!A:C,3,1)</f>
        <v>assets/icons/image016.png</v>
      </c>
    </row>
    <row r="110" spans="1:8" x14ac:dyDescent="0.15">
      <c r="A110" t="s">
        <v>17</v>
      </c>
      <c r="B110">
        <v>2</v>
      </c>
      <c r="C110">
        <v>51</v>
      </c>
      <c r="D110">
        <v>0</v>
      </c>
      <c r="E110" t="str">
        <f>VLOOKUP(D110,name!A:B,2,1)</f>
        <v>Player</v>
      </c>
      <c r="F110" t="s">
        <v>30</v>
      </c>
      <c r="G110" t="str">
        <f t="shared" si="2"/>
        <v>q</v>
      </c>
      <c r="H110" t="str">
        <f>VLOOKUP(D110,name!A:C,3,1)</f>
        <v>assets/icons/image326.png</v>
      </c>
    </row>
    <row r="111" spans="1:8" x14ac:dyDescent="0.15">
      <c r="A111" t="s">
        <v>17</v>
      </c>
      <c r="B111">
        <v>2</v>
      </c>
      <c r="C111">
        <v>52</v>
      </c>
      <c r="D111">
        <v>2</v>
      </c>
      <c r="E111" t="str">
        <f>VLOOKUP(D111,name!A:B,2,1)</f>
        <v>Tanaka</v>
      </c>
      <c r="F111" t="s">
        <v>42</v>
      </c>
      <c r="G111" t="str">
        <f t="shared" si="2"/>
        <v>a</v>
      </c>
      <c r="H111" t="str">
        <f>VLOOKUP(D111,name!A:C,3,1)</f>
        <v>assets/icons/image013.png</v>
      </c>
    </row>
    <row r="112" spans="1:8" x14ac:dyDescent="0.15">
      <c r="A112" t="s">
        <v>17</v>
      </c>
      <c r="B112">
        <v>2</v>
      </c>
      <c r="C112">
        <v>53</v>
      </c>
      <c r="D112">
        <v>0</v>
      </c>
      <c r="E112" t="str">
        <f>VLOOKUP(D112,name!A:B,2,1)</f>
        <v>Player</v>
      </c>
      <c r="F112" t="s">
        <v>41</v>
      </c>
      <c r="G112" t="str">
        <f t="shared" si="2"/>
        <v>q</v>
      </c>
      <c r="H112" t="str">
        <f>VLOOKUP(D112,name!A:C,3,1)</f>
        <v>assets/icons/image326.png</v>
      </c>
    </row>
    <row r="113" spans="1:8" x14ac:dyDescent="0.15">
      <c r="A113" t="s">
        <v>17</v>
      </c>
      <c r="B113">
        <v>2</v>
      </c>
      <c r="C113">
        <v>54</v>
      </c>
      <c r="D113">
        <v>2</v>
      </c>
      <c r="E113" t="str">
        <f>VLOOKUP(D113,name!A:B,2,1)</f>
        <v>Tanaka</v>
      </c>
      <c r="F113" t="s">
        <v>43</v>
      </c>
      <c r="G113" t="str">
        <f t="shared" si="2"/>
        <v>a</v>
      </c>
      <c r="H113" t="str">
        <f>VLOOKUP(D113,name!A:C,3,1)</f>
        <v>assets/icons/image013.png</v>
      </c>
    </row>
    <row r="114" spans="1:8" x14ac:dyDescent="0.15">
      <c r="A114" t="s">
        <v>17</v>
      </c>
      <c r="B114">
        <v>2</v>
      </c>
      <c r="C114">
        <v>55</v>
      </c>
      <c r="D114">
        <v>0</v>
      </c>
      <c r="E114" t="str">
        <f>VLOOKUP(D114,name!A:B,2,1)</f>
        <v>Player</v>
      </c>
      <c r="F114" t="s">
        <v>31</v>
      </c>
      <c r="G114" t="str">
        <f t="shared" si="2"/>
        <v>q</v>
      </c>
      <c r="H114" t="str">
        <f>VLOOKUP(D114,name!A:C,3,1)</f>
        <v>assets/icons/image326.png</v>
      </c>
    </row>
    <row r="115" spans="1:8" x14ac:dyDescent="0.15">
      <c r="A115" t="s">
        <v>17</v>
      </c>
      <c r="B115">
        <v>2</v>
      </c>
      <c r="C115">
        <v>56</v>
      </c>
      <c r="D115">
        <v>4</v>
      </c>
      <c r="E115" t="str">
        <f>VLOOKUP(D115,name!A:B,2,1)</f>
        <v>Weber</v>
      </c>
      <c r="F115" t="s">
        <v>44</v>
      </c>
      <c r="G115" t="str">
        <f t="shared" si="2"/>
        <v>a</v>
      </c>
      <c r="H115" t="str">
        <f>VLOOKUP(D115,name!A:C,3,1)</f>
        <v>assets/icons/image016.png</v>
      </c>
    </row>
    <row r="116" spans="1:8" x14ac:dyDescent="0.15">
      <c r="A116" t="s">
        <v>17</v>
      </c>
      <c r="B116">
        <v>2</v>
      </c>
      <c r="C116">
        <v>57</v>
      </c>
      <c r="D116">
        <v>0</v>
      </c>
      <c r="E116" t="str">
        <f>VLOOKUP(D116,name!A:B,2,1)</f>
        <v>Player</v>
      </c>
      <c r="F116" t="s">
        <v>32</v>
      </c>
      <c r="G116" t="str">
        <f t="shared" si="2"/>
        <v>q</v>
      </c>
      <c r="H116" t="str">
        <f>VLOOKUP(D116,name!A:C,3,1)</f>
        <v>assets/icons/image326.png</v>
      </c>
    </row>
    <row r="117" spans="1:8" x14ac:dyDescent="0.15">
      <c r="A117" t="s">
        <v>17</v>
      </c>
      <c r="B117">
        <v>2</v>
      </c>
      <c r="C117">
        <v>58</v>
      </c>
      <c r="D117">
        <v>4</v>
      </c>
      <c r="E117" t="str">
        <f>VLOOKUP(D117,name!A:B,2,1)</f>
        <v>Weber</v>
      </c>
      <c r="F117" t="s">
        <v>45</v>
      </c>
      <c r="G117" t="str">
        <f t="shared" si="2"/>
        <v>a</v>
      </c>
      <c r="H117" t="str">
        <f>VLOOKUP(D117,name!A:C,3,1)</f>
        <v>assets/icons/image016.png</v>
      </c>
    </row>
    <row r="118" spans="1:8" x14ac:dyDescent="0.15">
      <c r="A118" t="s">
        <v>17</v>
      </c>
      <c r="B118">
        <v>2</v>
      </c>
      <c r="C118">
        <v>59</v>
      </c>
      <c r="D118">
        <v>0</v>
      </c>
      <c r="E118" t="str">
        <f>VLOOKUP(D118,name!A:B,2,1)</f>
        <v>Player</v>
      </c>
      <c r="F118" t="s">
        <v>33</v>
      </c>
      <c r="G118" t="str">
        <f t="shared" si="2"/>
        <v>q</v>
      </c>
      <c r="H118" t="str">
        <f>VLOOKUP(D118,name!A:C,3,1)</f>
        <v>assets/icons/image326.png</v>
      </c>
    </row>
    <row r="119" spans="1:8" x14ac:dyDescent="0.15">
      <c r="A119" t="s">
        <v>17</v>
      </c>
      <c r="B119">
        <v>2</v>
      </c>
      <c r="C119">
        <v>60</v>
      </c>
      <c r="D119">
        <v>2</v>
      </c>
      <c r="E119" t="str">
        <f>VLOOKUP(D119,name!A:B,2,1)</f>
        <v>Tanaka</v>
      </c>
      <c r="F119" t="s">
        <v>47</v>
      </c>
      <c r="G119" t="str">
        <f t="shared" si="2"/>
        <v>a</v>
      </c>
      <c r="H119" t="str">
        <f>VLOOKUP(D119,name!A:C,3,1)</f>
        <v>assets/icons/image013.png</v>
      </c>
    </row>
    <row r="120" spans="1:8" x14ac:dyDescent="0.15">
      <c r="A120" t="s">
        <v>17</v>
      </c>
      <c r="B120">
        <v>2</v>
      </c>
      <c r="C120">
        <v>61</v>
      </c>
      <c r="D120">
        <v>0</v>
      </c>
      <c r="E120" t="str">
        <f>VLOOKUP(D120,name!A:B,2,1)</f>
        <v>Player</v>
      </c>
      <c r="F120" t="s">
        <v>46</v>
      </c>
      <c r="G120" t="str">
        <f t="shared" si="2"/>
        <v>q</v>
      </c>
      <c r="H120" t="str">
        <f>VLOOKUP(D120,name!A:C,3,1)</f>
        <v>assets/icons/image326.png</v>
      </c>
    </row>
    <row r="121" spans="1:8" x14ac:dyDescent="0.15">
      <c r="A121" t="s">
        <v>17</v>
      </c>
      <c r="B121">
        <v>2</v>
      </c>
      <c r="C121">
        <v>62</v>
      </c>
      <c r="D121">
        <v>1</v>
      </c>
      <c r="E121" t="str">
        <f>VLOOKUP(D121,name!A:B,2,1)</f>
        <v>Navigator</v>
      </c>
      <c r="F121" t="s">
        <v>48</v>
      </c>
      <c r="G121" t="str">
        <f t="shared" si="2"/>
        <v>e</v>
      </c>
      <c r="H121" t="str">
        <f>VLOOKUP(D121,name!A:C,3,1)</f>
        <v>assets/icons/image014.png</v>
      </c>
    </row>
    <row r="122" spans="1:8" x14ac:dyDescent="0.15">
      <c r="A122" t="s">
        <v>51</v>
      </c>
      <c r="B122">
        <v>1</v>
      </c>
      <c r="C122">
        <v>1</v>
      </c>
      <c r="D122">
        <v>1</v>
      </c>
      <c r="E122" t="str">
        <f>VLOOKUP(D122,name!A:B,2,1)</f>
        <v>Navigator</v>
      </c>
      <c r="F122" t="s">
        <v>52</v>
      </c>
      <c r="G122" t="str">
        <f t="shared" ref="G122:G231" si="18">IF(D122=0,"q",IF(B122=B123,"a","e"))</f>
        <v>a</v>
      </c>
      <c r="H122" t="str">
        <f>VLOOKUP(D122,name!A:C,3,1)</f>
        <v>assets/icons/image014.png</v>
      </c>
    </row>
    <row r="123" spans="1:8" x14ac:dyDescent="0.15">
      <c r="A123" t="s">
        <v>51</v>
      </c>
      <c r="B123">
        <v>1</v>
      </c>
      <c r="C123">
        <v>2</v>
      </c>
      <c r="D123">
        <v>1</v>
      </c>
      <c r="E123" t="str">
        <f>VLOOKUP(D123,name!A:B,2,1)</f>
        <v>Navigator</v>
      </c>
      <c r="F123" t="s">
        <v>54</v>
      </c>
      <c r="G123" t="str">
        <f t="shared" si="18"/>
        <v>a</v>
      </c>
      <c r="H123" t="str">
        <f>VLOOKUP(D123,name!A:C,3,1)</f>
        <v>assets/icons/image014.png</v>
      </c>
    </row>
    <row r="124" spans="1:8" ht="40.5" x14ac:dyDescent="0.15">
      <c r="A124" t="s">
        <v>51</v>
      </c>
      <c r="B124">
        <v>1</v>
      </c>
      <c r="C124">
        <v>3</v>
      </c>
      <c r="D124">
        <v>1</v>
      </c>
      <c r="E124" t="str">
        <f>VLOOKUP(D124,name!A:B,2,1)</f>
        <v>Navigator</v>
      </c>
      <c r="F124" s="1" t="str">
        <f>"まずは対話文を流します。その後に、日本語と"&amp;A124&amp;"を一文ずつ流すので"&amp;A124&amp;"を真似して下さい。最後に日本語のみを流すので、"&amp;A124&amp;"で答えてください。"</f>
        <v>まずは対話文を流します。その後に、日本語とフランス語を一文ずつ流すのでフランス語を真似して下さい。最後に日本語のみを流すので、フランス語で答えてください。</v>
      </c>
      <c r="G124" t="str">
        <f t="shared" si="18"/>
        <v>a</v>
      </c>
      <c r="H124" t="str">
        <f>VLOOKUP(D124,name!A:C,3,1)</f>
        <v>assets/icons/image014.png</v>
      </c>
    </row>
    <row r="125" spans="1:8" x14ac:dyDescent="0.15">
      <c r="A125" t="s">
        <v>51</v>
      </c>
      <c r="B125">
        <v>1</v>
      </c>
      <c r="C125">
        <v>4</v>
      </c>
      <c r="D125">
        <v>5</v>
      </c>
      <c r="E125" t="str">
        <f>VLOOKUP(D125,name!A:B,2,1)</f>
        <v>Minako</v>
      </c>
      <c r="F125" t="s">
        <v>57</v>
      </c>
      <c r="G125" t="str">
        <f t="shared" si="18"/>
        <v>a</v>
      </c>
      <c r="H125" t="str">
        <f>VLOOKUP(D125,name!A:C,3,1)</f>
        <v>assets/icons/image086.png</v>
      </c>
    </row>
    <row r="126" spans="1:8" x14ac:dyDescent="0.15">
      <c r="A126" t="s">
        <v>51</v>
      </c>
      <c r="B126">
        <v>1</v>
      </c>
      <c r="C126">
        <v>5</v>
      </c>
      <c r="D126">
        <v>5</v>
      </c>
      <c r="E126" t="str">
        <f>VLOOKUP(D126,name!A:B,2,1)</f>
        <v>Minako</v>
      </c>
      <c r="F126" t="s">
        <v>55</v>
      </c>
      <c r="G126" t="str">
        <f t="shared" si="18"/>
        <v>a</v>
      </c>
      <c r="H126" t="str">
        <f>VLOOKUP(D126,name!A:C,3,1)</f>
        <v>assets/icons/image086.png</v>
      </c>
    </row>
    <row r="127" spans="1:8" x14ac:dyDescent="0.15">
      <c r="A127" t="s">
        <v>51</v>
      </c>
      <c r="B127">
        <v>1</v>
      </c>
      <c r="C127">
        <v>6</v>
      </c>
      <c r="D127">
        <v>6</v>
      </c>
      <c r="E127" t="str">
        <f>VLOOKUP(D127,name!A:B,2,1)</f>
        <v>Céline</v>
      </c>
      <c r="F127" t="s">
        <v>61</v>
      </c>
      <c r="G127" t="str">
        <f t="shared" si="18"/>
        <v>a</v>
      </c>
      <c r="H127" t="str">
        <f>VLOOKUP(D127,name!A:C,3,1)</f>
        <v>assets/icons/image078.png</v>
      </c>
    </row>
    <row r="128" spans="1:8" x14ac:dyDescent="0.15">
      <c r="A128" t="s">
        <v>51</v>
      </c>
      <c r="B128">
        <v>1</v>
      </c>
      <c r="C128">
        <v>7</v>
      </c>
      <c r="D128">
        <v>6</v>
      </c>
      <c r="E128" t="str">
        <f>VLOOKUP(D128,name!A:B,2,1)</f>
        <v>Céline</v>
      </c>
      <c r="F128" t="s">
        <v>58</v>
      </c>
      <c r="G128" t="str">
        <f t="shared" si="18"/>
        <v>a</v>
      </c>
      <c r="H128" t="str">
        <f>VLOOKUP(D128,name!A:C,3,1)</f>
        <v>assets/icons/image078.png</v>
      </c>
    </row>
    <row r="129" spans="1:8" x14ac:dyDescent="0.15">
      <c r="A129" t="s">
        <v>51</v>
      </c>
      <c r="B129">
        <v>1</v>
      </c>
      <c r="C129">
        <v>8</v>
      </c>
      <c r="D129">
        <v>5</v>
      </c>
      <c r="E129" t="str">
        <f>VLOOKUP(D129,name!A:B,2,1)</f>
        <v>Minako</v>
      </c>
      <c r="F129" t="s">
        <v>63</v>
      </c>
      <c r="G129" t="str">
        <f t="shared" si="18"/>
        <v>a</v>
      </c>
      <c r="H129" t="str">
        <f>VLOOKUP(D129,name!A:C,3,1)</f>
        <v>assets/icons/image086.png</v>
      </c>
    </row>
    <row r="130" spans="1:8" x14ac:dyDescent="0.15">
      <c r="A130" t="s">
        <v>51</v>
      </c>
      <c r="B130">
        <v>1</v>
      </c>
      <c r="C130">
        <v>9</v>
      </c>
      <c r="D130">
        <v>5</v>
      </c>
      <c r="E130" t="str">
        <f>VLOOKUP(D130,name!A:B,2,1)</f>
        <v>Minako</v>
      </c>
      <c r="F130" t="s">
        <v>62</v>
      </c>
      <c r="G130" t="str">
        <f t="shared" si="18"/>
        <v>a</v>
      </c>
      <c r="H130" t="str">
        <f>VLOOKUP(D130,name!A:C,3,1)</f>
        <v>assets/icons/image086.png</v>
      </c>
    </row>
    <row r="131" spans="1:8" x14ac:dyDescent="0.15">
      <c r="A131" t="s">
        <v>51</v>
      </c>
      <c r="B131">
        <v>1</v>
      </c>
      <c r="C131">
        <v>10</v>
      </c>
      <c r="D131">
        <v>6</v>
      </c>
      <c r="E131" t="str">
        <f>VLOOKUP(D131,name!A:B,2,1)</f>
        <v>Céline</v>
      </c>
      <c r="F131" t="s">
        <v>64</v>
      </c>
      <c r="G131" t="str">
        <f t="shared" si="18"/>
        <v>a</v>
      </c>
      <c r="H131" t="str">
        <f>VLOOKUP(D131,name!A:C,3,1)</f>
        <v>assets/icons/image078.png</v>
      </c>
    </row>
    <row r="132" spans="1:8" x14ac:dyDescent="0.15">
      <c r="A132" t="s">
        <v>51</v>
      </c>
      <c r="B132">
        <v>1</v>
      </c>
      <c r="C132">
        <v>11</v>
      </c>
      <c r="D132">
        <v>6</v>
      </c>
      <c r="E132" t="str">
        <f>VLOOKUP(D132,name!A:B,2,1)</f>
        <v>Céline</v>
      </c>
      <c r="F132" t="s">
        <v>59</v>
      </c>
      <c r="G132" t="str">
        <f t="shared" si="18"/>
        <v>a</v>
      </c>
      <c r="H132" t="str">
        <f>VLOOKUP(D132,name!A:C,3,1)</f>
        <v>assets/icons/image078.png</v>
      </c>
    </row>
    <row r="133" spans="1:8" x14ac:dyDescent="0.15">
      <c r="A133" t="s">
        <v>51</v>
      </c>
      <c r="B133">
        <v>1</v>
      </c>
      <c r="C133">
        <v>12</v>
      </c>
      <c r="D133">
        <v>6</v>
      </c>
      <c r="E133" t="str">
        <f>VLOOKUP(D133,name!A:B,2,1)</f>
        <v>Céline</v>
      </c>
      <c r="F133" t="s">
        <v>65</v>
      </c>
      <c r="G133" t="str">
        <f t="shared" si="18"/>
        <v>a</v>
      </c>
      <c r="H133" t="str">
        <f>VLOOKUP(D133,name!A:C,3,1)</f>
        <v>assets/icons/image078.png</v>
      </c>
    </row>
    <row r="134" spans="1:8" x14ac:dyDescent="0.15">
      <c r="A134" t="s">
        <v>51</v>
      </c>
      <c r="B134">
        <v>1</v>
      </c>
      <c r="C134">
        <v>13</v>
      </c>
      <c r="D134">
        <v>6</v>
      </c>
      <c r="E134" t="str">
        <f>VLOOKUP(D134,name!A:B,2,1)</f>
        <v>Céline</v>
      </c>
      <c r="F134" t="s">
        <v>53</v>
      </c>
      <c r="G134" t="str">
        <f t="shared" si="18"/>
        <v>a</v>
      </c>
      <c r="H134" t="str">
        <f>VLOOKUP(D134,name!A:C,3,1)</f>
        <v>assets/icons/image078.png</v>
      </c>
    </row>
    <row r="135" spans="1:8" x14ac:dyDescent="0.15">
      <c r="A135" t="s">
        <v>51</v>
      </c>
      <c r="B135">
        <v>1</v>
      </c>
      <c r="C135">
        <v>14</v>
      </c>
      <c r="D135">
        <v>7</v>
      </c>
      <c r="E135" t="str">
        <f>VLOOKUP(D135,name!A:B,2,1)</f>
        <v>Luigi</v>
      </c>
      <c r="F135" t="s">
        <v>68</v>
      </c>
      <c r="G135" t="str">
        <f t="shared" si="18"/>
        <v>a</v>
      </c>
      <c r="H135" t="str">
        <f>VLOOKUP(D135,name!A:C,3,1)</f>
        <v>assets/icons/image023.png</v>
      </c>
    </row>
    <row r="136" spans="1:8" x14ac:dyDescent="0.15">
      <c r="A136" t="s">
        <v>51</v>
      </c>
      <c r="B136">
        <v>1</v>
      </c>
      <c r="C136">
        <v>15</v>
      </c>
      <c r="D136">
        <v>7</v>
      </c>
      <c r="E136" t="str">
        <f>VLOOKUP(D136,name!A:B,2,1)</f>
        <v>Luigi</v>
      </c>
      <c r="F136" t="s">
        <v>66</v>
      </c>
      <c r="G136" t="str">
        <f t="shared" si="18"/>
        <v>a</v>
      </c>
      <c r="H136" t="str">
        <f>VLOOKUP(D136,name!A:C,3,1)</f>
        <v>assets/icons/image023.png</v>
      </c>
    </row>
    <row r="137" spans="1:8" x14ac:dyDescent="0.15">
      <c r="A137" t="s">
        <v>51</v>
      </c>
      <c r="B137">
        <v>1</v>
      </c>
      <c r="C137">
        <v>16</v>
      </c>
      <c r="D137">
        <v>5</v>
      </c>
      <c r="E137" t="str">
        <f>VLOOKUP(D137,name!A:B,2,1)</f>
        <v>Minako</v>
      </c>
      <c r="F137" t="s">
        <v>70</v>
      </c>
      <c r="G137" t="str">
        <f t="shared" si="18"/>
        <v>a</v>
      </c>
      <c r="H137" t="str">
        <f>VLOOKUP(D137,name!A:C,3,1)</f>
        <v>assets/icons/image086.png</v>
      </c>
    </row>
    <row r="138" spans="1:8" x14ac:dyDescent="0.15">
      <c r="A138" t="s">
        <v>51</v>
      </c>
      <c r="B138">
        <v>1</v>
      </c>
      <c r="C138">
        <v>17</v>
      </c>
      <c r="D138">
        <v>5</v>
      </c>
      <c r="E138" t="str">
        <f>VLOOKUP(D138,name!A:B,2,1)</f>
        <v>Minako</v>
      </c>
      <c r="F138" t="s">
        <v>69</v>
      </c>
      <c r="G138" t="str">
        <f t="shared" si="18"/>
        <v>a</v>
      </c>
      <c r="H138" t="str">
        <f>VLOOKUP(D138,name!A:C,3,1)</f>
        <v>assets/icons/image086.png</v>
      </c>
    </row>
    <row r="139" spans="1:8" x14ac:dyDescent="0.15">
      <c r="A139" t="s">
        <v>51</v>
      </c>
      <c r="B139">
        <v>1</v>
      </c>
      <c r="C139">
        <v>18</v>
      </c>
      <c r="D139">
        <v>1</v>
      </c>
      <c r="E139" t="str">
        <f>VLOOKUP(D139,name!A:B,2,1)</f>
        <v>Navigator</v>
      </c>
      <c r="F139" t="str">
        <f>"次の"&amp;A139&amp;"を真似してね！"</f>
        <v>次のフランス語を真似してね！</v>
      </c>
      <c r="G139" t="str">
        <f t="shared" si="18"/>
        <v>a</v>
      </c>
      <c r="H139" t="str">
        <f>VLOOKUP(D139,name!A:C,3,1)</f>
        <v>assets/icons/image014.png</v>
      </c>
    </row>
    <row r="140" spans="1:8" x14ac:dyDescent="0.15">
      <c r="A140" t="s">
        <v>51</v>
      </c>
      <c r="B140">
        <v>1</v>
      </c>
      <c r="C140">
        <v>19</v>
      </c>
      <c r="D140">
        <v>5</v>
      </c>
      <c r="E140" t="str">
        <f>VLOOKUP(D140,name!A:B,2,1)</f>
        <v>Minako</v>
      </c>
      <c r="F140" t="s">
        <v>57</v>
      </c>
      <c r="G140" t="str">
        <f t="shared" si="18"/>
        <v>a</v>
      </c>
      <c r="H140" t="str">
        <f>VLOOKUP(D140,name!A:C,3,1)</f>
        <v>assets/icons/image086.png</v>
      </c>
    </row>
    <row r="141" spans="1:8" x14ac:dyDescent="0.15">
      <c r="A141" t="s">
        <v>51</v>
      </c>
      <c r="B141">
        <v>1</v>
      </c>
      <c r="C141">
        <v>20</v>
      </c>
      <c r="D141">
        <v>5</v>
      </c>
      <c r="E141" t="str">
        <f>VLOOKUP(D141,name!A:B,2,1)</f>
        <v>Minako</v>
      </c>
      <c r="F141" t="s">
        <v>55</v>
      </c>
      <c r="G141" t="str">
        <f t="shared" si="18"/>
        <v>a</v>
      </c>
      <c r="H141" t="str">
        <f>VLOOKUP(D141,name!A:C,3,1)</f>
        <v>assets/icons/image086.png</v>
      </c>
    </row>
    <row r="142" spans="1:8" x14ac:dyDescent="0.15">
      <c r="A142" t="s">
        <v>51</v>
      </c>
      <c r="B142">
        <v>1</v>
      </c>
      <c r="C142">
        <v>21</v>
      </c>
      <c r="D142">
        <v>0</v>
      </c>
      <c r="E142" t="str">
        <f>VLOOKUP(D142,name!A:B,2,1)</f>
        <v>Player</v>
      </c>
      <c r="F142" t="s">
        <v>55</v>
      </c>
      <c r="G142" t="str">
        <f t="shared" si="18"/>
        <v>q</v>
      </c>
      <c r="H142" t="str">
        <f>VLOOKUP(D142,name!A:C,3,1)</f>
        <v>assets/icons/image326.png</v>
      </c>
    </row>
    <row r="143" spans="1:8" x14ac:dyDescent="0.15">
      <c r="A143" t="s">
        <v>51</v>
      </c>
      <c r="B143">
        <v>1</v>
      </c>
      <c r="C143">
        <v>22</v>
      </c>
      <c r="D143">
        <v>6</v>
      </c>
      <c r="E143" t="str">
        <f>VLOOKUP(D143,name!A:B,2,1)</f>
        <v>Céline</v>
      </c>
      <c r="F143" t="s">
        <v>61</v>
      </c>
      <c r="G143" t="str">
        <f t="shared" si="18"/>
        <v>a</v>
      </c>
      <c r="H143" t="str">
        <f>VLOOKUP(D143,name!A:C,3,1)</f>
        <v>assets/icons/image078.png</v>
      </c>
    </row>
    <row r="144" spans="1:8" x14ac:dyDescent="0.15">
      <c r="A144" t="s">
        <v>51</v>
      </c>
      <c r="B144">
        <v>1</v>
      </c>
      <c r="C144">
        <v>23</v>
      </c>
      <c r="D144">
        <v>6</v>
      </c>
      <c r="E144" t="str">
        <f>VLOOKUP(D144,name!A:B,2,1)</f>
        <v>Céline</v>
      </c>
      <c r="F144" t="s">
        <v>58</v>
      </c>
      <c r="G144" t="str">
        <f t="shared" si="18"/>
        <v>a</v>
      </c>
      <c r="H144" t="str">
        <f>VLOOKUP(D144,name!A:C,3,1)</f>
        <v>assets/icons/image078.png</v>
      </c>
    </row>
    <row r="145" spans="1:8" x14ac:dyDescent="0.15">
      <c r="A145" t="s">
        <v>51</v>
      </c>
      <c r="B145">
        <v>1</v>
      </c>
      <c r="C145">
        <v>24</v>
      </c>
      <c r="D145">
        <v>0</v>
      </c>
      <c r="E145" t="str">
        <f>VLOOKUP(D145,name!A:B,2,1)</f>
        <v>Player</v>
      </c>
      <c r="F145" t="s">
        <v>58</v>
      </c>
      <c r="G145" t="str">
        <f t="shared" si="18"/>
        <v>q</v>
      </c>
      <c r="H145" t="str">
        <f>VLOOKUP(D145,name!A:C,3,1)</f>
        <v>assets/icons/image326.png</v>
      </c>
    </row>
    <row r="146" spans="1:8" x14ac:dyDescent="0.15">
      <c r="A146" t="s">
        <v>51</v>
      </c>
      <c r="B146">
        <v>1</v>
      </c>
      <c r="C146">
        <v>25</v>
      </c>
      <c r="D146">
        <v>5</v>
      </c>
      <c r="E146" t="str">
        <f>VLOOKUP(D146,name!A:B,2,1)</f>
        <v>Minako</v>
      </c>
      <c r="F146" t="s">
        <v>63</v>
      </c>
      <c r="G146" t="str">
        <f t="shared" si="18"/>
        <v>a</v>
      </c>
      <c r="H146" t="str">
        <f>VLOOKUP(D146,name!A:C,3,1)</f>
        <v>assets/icons/image086.png</v>
      </c>
    </row>
    <row r="147" spans="1:8" x14ac:dyDescent="0.15">
      <c r="A147" t="s">
        <v>51</v>
      </c>
      <c r="B147">
        <v>1</v>
      </c>
      <c r="C147">
        <v>26</v>
      </c>
      <c r="D147">
        <v>5</v>
      </c>
      <c r="E147" t="str">
        <f>VLOOKUP(D147,name!A:B,2,1)</f>
        <v>Minako</v>
      </c>
      <c r="F147" t="s">
        <v>62</v>
      </c>
      <c r="G147" t="str">
        <f t="shared" si="18"/>
        <v>a</v>
      </c>
      <c r="H147" t="str">
        <f>VLOOKUP(D147,name!A:C,3,1)</f>
        <v>assets/icons/image086.png</v>
      </c>
    </row>
    <row r="148" spans="1:8" x14ac:dyDescent="0.15">
      <c r="A148" t="s">
        <v>51</v>
      </c>
      <c r="B148">
        <v>1</v>
      </c>
      <c r="C148">
        <v>27</v>
      </c>
      <c r="D148">
        <v>0</v>
      </c>
      <c r="E148" t="str">
        <f>VLOOKUP(D148,name!A:B,2,1)</f>
        <v>Player</v>
      </c>
      <c r="F148" t="s">
        <v>62</v>
      </c>
      <c r="G148" t="str">
        <f t="shared" si="18"/>
        <v>q</v>
      </c>
      <c r="H148" t="str">
        <f>VLOOKUP(D148,name!A:C,3,1)</f>
        <v>assets/icons/image326.png</v>
      </c>
    </row>
    <row r="149" spans="1:8" x14ac:dyDescent="0.15">
      <c r="A149" t="s">
        <v>51</v>
      </c>
      <c r="B149">
        <v>1</v>
      </c>
      <c r="C149">
        <v>28</v>
      </c>
      <c r="D149">
        <v>6</v>
      </c>
      <c r="E149" t="str">
        <f>VLOOKUP(D149,name!A:B,2,1)</f>
        <v>Céline</v>
      </c>
      <c r="F149" t="s">
        <v>64</v>
      </c>
      <c r="G149" t="str">
        <f t="shared" si="18"/>
        <v>a</v>
      </c>
      <c r="H149" t="str">
        <f>VLOOKUP(D149,name!A:C,3,1)</f>
        <v>assets/icons/image078.png</v>
      </c>
    </row>
    <row r="150" spans="1:8" x14ac:dyDescent="0.15">
      <c r="A150" t="s">
        <v>51</v>
      </c>
      <c r="B150">
        <v>1</v>
      </c>
      <c r="C150">
        <v>29</v>
      </c>
      <c r="D150">
        <v>6</v>
      </c>
      <c r="E150" t="str">
        <f>VLOOKUP(D150,name!A:B,2,1)</f>
        <v>Céline</v>
      </c>
      <c r="F150" t="s">
        <v>59</v>
      </c>
      <c r="G150" t="str">
        <f t="shared" si="18"/>
        <v>a</v>
      </c>
      <c r="H150" t="str">
        <f>VLOOKUP(D150,name!A:C,3,1)</f>
        <v>assets/icons/image078.png</v>
      </c>
    </row>
    <row r="151" spans="1:8" x14ac:dyDescent="0.15">
      <c r="A151" t="s">
        <v>51</v>
      </c>
      <c r="B151">
        <v>1</v>
      </c>
      <c r="C151">
        <v>30</v>
      </c>
      <c r="D151">
        <v>0</v>
      </c>
      <c r="E151" t="str">
        <f>VLOOKUP(D151,name!A:B,2,1)</f>
        <v>Player</v>
      </c>
      <c r="F151" t="s">
        <v>59</v>
      </c>
      <c r="G151" t="str">
        <f t="shared" si="18"/>
        <v>q</v>
      </c>
      <c r="H151" t="str">
        <f>VLOOKUP(D151,name!A:C,3,1)</f>
        <v>assets/icons/image326.png</v>
      </c>
    </row>
    <row r="152" spans="1:8" x14ac:dyDescent="0.15">
      <c r="A152" t="s">
        <v>51</v>
      </c>
      <c r="B152">
        <v>1</v>
      </c>
      <c r="C152">
        <v>31</v>
      </c>
      <c r="D152">
        <v>6</v>
      </c>
      <c r="E152" t="str">
        <f>VLOOKUP(D152,name!A:B,2,1)</f>
        <v>Céline</v>
      </c>
      <c r="F152" t="s">
        <v>65</v>
      </c>
      <c r="G152" t="str">
        <f t="shared" si="18"/>
        <v>a</v>
      </c>
      <c r="H152" t="str">
        <f>VLOOKUP(D152,name!A:C,3,1)</f>
        <v>assets/icons/image078.png</v>
      </c>
    </row>
    <row r="153" spans="1:8" x14ac:dyDescent="0.15">
      <c r="A153" t="s">
        <v>51</v>
      </c>
      <c r="B153">
        <v>1</v>
      </c>
      <c r="C153">
        <v>32</v>
      </c>
      <c r="D153">
        <v>6</v>
      </c>
      <c r="E153" t="str">
        <f>VLOOKUP(D153,name!A:B,2,1)</f>
        <v>Céline</v>
      </c>
      <c r="F153" t="s">
        <v>53</v>
      </c>
      <c r="G153" t="str">
        <f t="shared" si="18"/>
        <v>a</v>
      </c>
      <c r="H153" t="str">
        <f>VLOOKUP(D153,name!A:C,3,1)</f>
        <v>assets/icons/image078.png</v>
      </c>
    </row>
    <row r="154" spans="1:8" x14ac:dyDescent="0.15">
      <c r="A154" t="s">
        <v>51</v>
      </c>
      <c r="B154">
        <v>1</v>
      </c>
      <c r="C154">
        <v>33</v>
      </c>
      <c r="D154">
        <v>0</v>
      </c>
      <c r="E154" t="str">
        <f>VLOOKUP(D154,name!A:B,2,1)</f>
        <v>Player</v>
      </c>
      <c r="F154" t="s">
        <v>53</v>
      </c>
      <c r="G154" t="str">
        <f t="shared" si="18"/>
        <v>q</v>
      </c>
      <c r="H154" t="str">
        <f>VLOOKUP(D154,name!A:C,3,1)</f>
        <v>assets/icons/image326.png</v>
      </c>
    </row>
    <row r="155" spans="1:8" x14ac:dyDescent="0.15">
      <c r="A155" t="s">
        <v>51</v>
      </c>
      <c r="B155">
        <v>1</v>
      </c>
      <c r="C155">
        <v>34</v>
      </c>
      <c r="D155">
        <v>7</v>
      </c>
      <c r="E155" t="str">
        <f>VLOOKUP(D155,name!A:B,2,1)</f>
        <v>Luigi</v>
      </c>
      <c r="F155" t="s">
        <v>68</v>
      </c>
      <c r="G155" t="str">
        <f t="shared" si="18"/>
        <v>a</v>
      </c>
      <c r="H155" t="str">
        <f>VLOOKUP(D155,name!A:C,3,1)</f>
        <v>assets/icons/image023.png</v>
      </c>
    </row>
    <row r="156" spans="1:8" x14ac:dyDescent="0.15">
      <c r="A156" t="s">
        <v>51</v>
      </c>
      <c r="B156">
        <v>1</v>
      </c>
      <c r="C156">
        <v>35</v>
      </c>
      <c r="D156">
        <v>7</v>
      </c>
      <c r="E156" t="str">
        <f>VLOOKUP(D156,name!A:B,2,1)</f>
        <v>Luigi</v>
      </c>
      <c r="F156" t="s">
        <v>66</v>
      </c>
      <c r="G156" t="str">
        <f t="shared" si="18"/>
        <v>a</v>
      </c>
      <c r="H156" t="str">
        <f>VLOOKUP(D156,name!A:C,3,1)</f>
        <v>assets/icons/image023.png</v>
      </c>
    </row>
    <row r="157" spans="1:8" x14ac:dyDescent="0.15">
      <c r="A157" t="s">
        <v>51</v>
      </c>
      <c r="B157">
        <v>1</v>
      </c>
      <c r="C157">
        <v>36</v>
      </c>
      <c r="D157">
        <v>0</v>
      </c>
      <c r="E157" t="str">
        <f>VLOOKUP(D157,name!A:B,2,1)</f>
        <v>Player</v>
      </c>
      <c r="F157" t="s">
        <v>66</v>
      </c>
      <c r="G157" t="str">
        <f t="shared" si="18"/>
        <v>q</v>
      </c>
      <c r="H157" t="str">
        <f>VLOOKUP(D157,name!A:C,3,1)</f>
        <v>assets/icons/image326.png</v>
      </c>
    </row>
    <row r="158" spans="1:8" x14ac:dyDescent="0.15">
      <c r="A158" t="s">
        <v>51</v>
      </c>
      <c r="B158">
        <v>1</v>
      </c>
      <c r="C158">
        <v>37</v>
      </c>
      <c r="D158">
        <v>5</v>
      </c>
      <c r="E158" t="str">
        <f>VLOOKUP(D158,name!A:B,2,1)</f>
        <v>Minako</v>
      </c>
      <c r="F158" t="s">
        <v>70</v>
      </c>
      <c r="G158" t="str">
        <f t="shared" si="18"/>
        <v>a</v>
      </c>
      <c r="H158" t="str">
        <f>VLOOKUP(D158,name!A:C,3,1)</f>
        <v>assets/icons/image086.png</v>
      </c>
    </row>
    <row r="159" spans="1:8" x14ac:dyDescent="0.15">
      <c r="A159" t="s">
        <v>51</v>
      </c>
      <c r="B159">
        <v>1</v>
      </c>
      <c r="C159">
        <v>38</v>
      </c>
      <c r="D159">
        <v>5</v>
      </c>
      <c r="E159" t="str">
        <f>VLOOKUP(D159,name!A:B,2,1)</f>
        <v>Minako</v>
      </c>
      <c r="F159" t="s">
        <v>69</v>
      </c>
      <c r="G159" t="str">
        <f t="shared" si="18"/>
        <v>a</v>
      </c>
      <c r="H159" t="str">
        <f>VLOOKUP(D159,name!A:C,3,1)</f>
        <v>assets/icons/image086.png</v>
      </c>
    </row>
    <row r="160" spans="1:8" x14ac:dyDescent="0.15">
      <c r="A160" t="s">
        <v>51</v>
      </c>
      <c r="B160">
        <v>1</v>
      </c>
      <c r="C160">
        <v>39</v>
      </c>
      <c r="D160">
        <v>0</v>
      </c>
      <c r="E160" t="str">
        <f>VLOOKUP(D160,name!A:B,2,1)</f>
        <v>Player</v>
      </c>
      <c r="F160" t="s">
        <v>69</v>
      </c>
      <c r="G160" t="str">
        <f t="shared" si="18"/>
        <v>q</v>
      </c>
      <c r="H160" t="str">
        <f>VLOOKUP(D160,name!A:C,3,1)</f>
        <v>assets/icons/image326.png</v>
      </c>
    </row>
    <row r="161" spans="1:8" x14ac:dyDescent="0.15">
      <c r="A161" t="s">
        <v>51</v>
      </c>
      <c r="B161">
        <v>1</v>
      </c>
      <c r="C161">
        <v>40</v>
      </c>
      <c r="D161">
        <v>1</v>
      </c>
      <c r="E161" t="str">
        <f>VLOOKUP(D161,name!A:B,2,1)</f>
        <v>Navigator</v>
      </c>
      <c r="F161" t="s">
        <v>71</v>
      </c>
      <c r="G161" t="str">
        <f t="shared" si="18"/>
        <v>a</v>
      </c>
      <c r="H161" t="str">
        <f>VLOOKUP(D161,name!A:C,3,1)</f>
        <v>assets/icons/image014.png</v>
      </c>
    </row>
    <row r="162" spans="1:8" x14ac:dyDescent="0.15">
      <c r="A162" t="s">
        <v>51</v>
      </c>
      <c r="B162">
        <v>1</v>
      </c>
      <c r="C162">
        <v>41</v>
      </c>
      <c r="D162">
        <v>5</v>
      </c>
      <c r="E162" t="str">
        <f>VLOOKUP(D162,name!A:B,2,1)</f>
        <v>Minako</v>
      </c>
      <c r="F162" t="s">
        <v>57</v>
      </c>
      <c r="G162" t="str">
        <f t="shared" si="18"/>
        <v>a</v>
      </c>
      <c r="H162" t="str">
        <f>VLOOKUP(D162,name!A:C,3,1)</f>
        <v>assets/icons/image086.png</v>
      </c>
    </row>
    <row r="163" spans="1:8" x14ac:dyDescent="0.15">
      <c r="A163" t="s">
        <v>51</v>
      </c>
      <c r="B163">
        <v>1</v>
      </c>
      <c r="C163">
        <v>42</v>
      </c>
      <c r="D163">
        <v>0</v>
      </c>
      <c r="E163" t="str">
        <f>VLOOKUP(D163,name!A:B,2,1)</f>
        <v>Player</v>
      </c>
      <c r="F163" t="s">
        <v>55</v>
      </c>
      <c r="G163" t="str">
        <f t="shared" si="18"/>
        <v>q</v>
      </c>
      <c r="H163" t="str">
        <f>VLOOKUP(D163,name!A:C,3,1)</f>
        <v>assets/icons/image326.png</v>
      </c>
    </row>
    <row r="164" spans="1:8" x14ac:dyDescent="0.15">
      <c r="A164" t="s">
        <v>51</v>
      </c>
      <c r="B164">
        <v>1</v>
      </c>
      <c r="C164">
        <v>43</v>
      </c>
      <c r="D164">
        <v>6</v>
      </c>
      <c r="E164" t="str">
        <f>VLOOKUP(D164,name!A:B,2,1)</f>
        <v>Céline</v>
      </c>
      <c r="F164" t="s">
        <v>61</v>
      </c>
      <c r="G164" t="str">
        <f t="shared" si="18"/>
        <v>a</v>
      </c>
      <c r="H164" t="str">
        <f>VLOOKUP(D164,name!A:C,3,1)</f>
        <v>assets/icons/image078.png</v>
      </c>
    </row>
    <row r="165" spans="1:8" x14ac:dyDescent="0.15">
      <c r="A165" t="s">
        <v>51</v>
      </c>
      <c r="B165">
        <v>1</v>
      </c>
      <c r="C165">
        <v>44</v>
      </c>
      <c r="D165">
        <v>0</v>
      </c>
      <c r="E165" t="str">
        <f>VLOOKUP(D165,name!A:B,2,1)</f>
        <v>Player</v>
      </c>
      <c r="F165" t="s">
        <v>58</v>
      </c>
      <c r="G165" t="str">
        <f t="shared" si="18"/>
        <v>q</v>
      </c>
      <c r="H165" t="str">
        <f>VLOOKUP(D165,name!A:C,3,1)</f>
        <v>assets/icons/image326.png</v>
      </c>
    </row>
    <row r="166" spans="1:8" x14ac:dyDescent="0.15">
      <c r="A166" t="s">
        <v>51</v>
      </c>
      <c r="B166">
        <v>1</v>
      </c>
      <c r="C166">
        <v>45</v>
      </c>
      <c r="D166">
        <v>5</v>
      </c>
      <c r="E166" t="str">
        <f>VLOOKUP(D166,name!A:B,2,1)</f>
        <v>Minako</v>
      </c>
      <c r="F166" t="s">
        <v>63</v>
      </c>
      <c r="G166" t="str">
        <f t="shared" si="18"/>
        <v>a</v>
      </c>
      <c r="H166" t="str">
        <f>VLOOKUP(D166,name!A:C,3,1)</f>
        <v>assets/icons/image086.png</v>
      </c>
    </row>
    <row r="167" spans="1:8" x14ac:dyDescent="0.15">
      <c r="A167" t="s">
        <v>51</v>
      </c>
      <c r="B167">
        <v>1</v>
      </c>
      <c r="C167">
        <v>46</v>
      </c>
      <c r="D167">
        <v>0</v>
      </c>
      <c r="E167" t="str">
        <f>VLOOKUP(D167,name!A:B,2,1)</f>
        <v>Player</v>
      </c>
      <c r="F167" t="s">
        <v>62</v>
      </c>
      <c r="G167" t="str">
        <f t="shared" si="18"/>
        <v>q</v>
      </c>
      <c r="H167" t="str">
        <f>VLOOKUP(D167,name!A:C,3,1)</f>
        <v>assets/icons/image326.png</v>
      </c>
    </row>
    <row r="168" spans="1:8" x14ac:dyDescent="0.15">
      <c r="A168" t="s">
        <v>51</v>
      </c>
      <c r="B168">
        <v>1</v>
      </c>
      <c r="C168">
        <v>47</v>
      </c>
      <c r="D168">
        <v>6</v>
      </c>
      <c r="E168" t="str">
        <f>VLOOKUP(D168,name!A:B,2,1)</f>
        <v>Céline</v>
      </c>
      <c r="F168" t="s">
        <v>64</v>
      </c>
      <c r="G168" t="str">
        <f t="shared" si="18"/>
        <v>a</v>
      </c>
      <c r="H168" t="str">
        <f>VLOOKUP(D168,name!A:C,3,1)</f>
        <v>assets/icons/image078.png</v>
      </c>
    </row>
    <row r="169" spans="1:8" x14ac:dyDescent="0.15">
      <c r="A169" t="s">
        <v>51</v>
      </c>
      <c r="B169">
        <v>1</v>
      </c>
      <c r="C169">
        <v>48</v>
      </c>
      <c r="D169">
        <v>0</v>
      </c>
      <c r="E169" t="str">
        <f>VLOOKUP(D169,name!A:B,2,1)</f>
        <v>Player</v>
      </c>
      <c r="F169" t="s">
        <v>59</v>
      </c>
      <c r="G169" t="str">
        <f t="shared" si="18"/>
        <v>q</v>
      </c>
      <c r="H169" t="str">
        <f>VLOOKUP(D169,name!A:C,3,1)</f>
        <v>assets/icons/image326.png</v>
      </c>
    </row>
    <row r="170" spans="1:8" x14ac:dyDescent="0.15">
      <c r="A170" t="s">
        <v>51</v>
      </c>
      <c r="B170">
        <v>1</v>
      </c>
      <c r="C170">
        <v>49</v>
      </c>
      <c r="D170">
        <v>6</v>
      </c>
      <c r="E170" t="str">
        <f>VLOOKUP(D170,name!A:B,2,1)</f>
        <v>Céline</v>
      </c>
      <c r="F170" t="s">
        <v>65</v>
      </c>
      <c r="G170" t="str">
        <f t="shared" si="18"/>
        <v>a</v>
      </c>
      <c r="H170" t="str">
        <f>VLOOKUP(D170,name!A:C,3,1)</f>
        <v>assets/icons/image078.png</v>
      </c>
    </row>
    <row r="171" spans="1:8" x14ac:dyDescent="0.15">
      <c r="A171" t="s">
        <v>51</v>
      </c>
      <c r="B171">
        <v>1</v>
      </c>
      <c r="C171">
        <v>50</v>
      </c>
      <c r="D171">
        <v>0</v>
      </c>
      <c r="E171" t="str">
        <f>VLOOKUP(D171,name!A:B,2,1)</f>
        <v>Player</v>
      </c>
      <c r="F171" t="s">
        <v>53</v>
      </c>
      <c r="G171" t="str">
        <f t="shared" si="18"/>
        <v>q</v>
      </c>
      <c r="H171" t="str">
        <f>VLOOKUP(D171,name!A:C,3,1)</f>
        <v>assets/icons/image326.png</v>
      </c>
    </row>
    <row r="172" spans="1:8" x14ac:dyDescent="0.15">
      <c r="A172" t="s">
        <v>51</v>
      </c>
      <c r="B172">
        <v>1</v>
      </c>
      <c r="C172">
        <v>51</v>
      </c>
      <c r="D172">
        <v>7</v>
      </c>
      <c r="E172" t="str">
        <f>VLOOKUP(D172,name!A:B,2,1)</f>
        <v>Luigi</v>
      </c>
      <c r="F172" t="s">
        <v>68</v>
      </c>
      <c r="G172" t="str">
        <f t="shared" si="18"/>
        <v>a</v>
      </c>
      <c r="H172" t="str">
        <f>VLOOKUP(D172,name!A:C,3,1)</f>
        <v>assets/icons/image023.png</v>
      </c>
    </row>
    <row r="173" spans="1:8" x14ac:dyDescent="0.15">
      <c r="A173" t="s">
        <v>51</v>
      </c>
      <c r="B173">
        <v>1</v>
      </c>
      <c r="C173">
        <v>52</v>
      </c>
      <c r="D173">
        <v>0</v>
      </c>
      <c r="E173" t="str">
        <f>VLOOKUP(D173,name!A:B,2,1)</f>
        <v>Player</v>
      </c>
      <c r="F173" t="s">
        <v>66</v>
      </c>
      <c r="G173" t="str">
        <f t="shared" si="18"/>
        <v>q</v>
      </c>
      <c r="H173" t="str">
        <f>VLOOKUP(D173,name!A:C,3,1)</f>
        <v>assets/icons/image326.png</v>
      </c>
    </row>
    <row r="174" spans="1:8" x14ac:dyDescent="0.15">
      <c r="A174" t="s">
        <v>51</v>
      </c>
      <c r="B174">
        <v>1</v>
      </c>
      <c r="C174">
        <v>53</v>
      </c>
      <c r="D174">
        <v>5</v>
      </c>
      <c r="E174" t="str">
        <f>VLOOKUP(D174,name!A:B,2,1)</f>
        <v>Minako</v>
      </c>
      <c r="F174" t="s">
        <v>70</v>
      </c>
      <c r="G174" t="str">
        <f t="shared" si="18"/>
        <v>a</v>
      </c>
      <c r="H174" t="str">
        <f>VLOOKUP(D174,name!A:C,3,1)</f>
        <v>assets/icons/image086.png</v>
      </c>
    </row>
    <row r="175" spans="1:8" x14ac:dyDescent="0.15">
      <c r="A175" t="s">
        <v>51</v>
      </c>
      <c r="B175">
        <v>1</v>
      </c>
      <c r="C175">
        <v>54</v>
      </c>
      <c r="D175">
        <v>0</v>
      </c>
      <c r="E175" t="str">
        <f>VLOOKUP(D175,name!A:B,2,1)</f>
        <v>Player</v>
      </c>
      <c r="F175" t="s">
        <v>69</v>
      </c>
      <c r="G175" t="str">
        <f t="shared" si="18"/>
        <v>q</v>
      </c>
      <c r="H175" t="str">
        <f>VLOOKUP(D175,name!A:C,3,1)</f>
        <v>assets/icons/image326.png</v>
      </c>
    </row>
    <row r="176" spans="1:8" x14ac:dyDescent="0.15">
      <c r="A176" t="s">
        <v>51</v>
      </c>
      <c r="B176">
        <v>1</v>
      </c>
      <c r="C176">
        <v>55</v>
      </c>
      <c r="D176">
        <v>1</v>
      </c>
      <c r="E176" t="str">
        <f>VLOOKUP(D176,name!A:B,2,1)</f>
        <v>Navigator</v>
      </c>
      <c r="F176" t="s">
        <v>27</v>
      </c>
      <c r="G176" t="str">
        <f t="shared" si="18"/>
        <v>e</v>
      </c>
      <c r="H176" t="str">
        <f>VLOOKUP(D176,name!A:C,3,1)</f>
        <v>assets/icons/image014.png</v>
      </c>
    </row>
    <row r="177" spans="1:8" x14ac:dyDescent="0.15">
      <c r="A177" t="s">
        <v>51</v>
      </c>
      <c r="B177">
        <v>2</v>
      </c>
      <c r="C177">
        <v>1</v>
      </c>
      <c r="D177">
        <v>1</v>
      </c>
      <c r="E177" t="str">
        <f>VLOOKUP(D177,name!A:B,2,1)</f>
        <v>Navigator</v>
      </c>
      <c r="F177" t="s">
        <v>72</v>
      </c>
      <c r="G177" t="str">
        <f t="shared" si="18"/>
        <v>a</v>
      </c>
      <c r="H177" t="str">
        <f>VLOOKUP(D177,name!A:C,3,1)</f>
        <v>assets/icons/image014.png</v>
      </c>
    </row>
    <row r="178" spans="1:8" x14ac:dyDescent="0.15">
      <c r="A178" t="s">
        <v>51</v>
      </c>
      <c r="B178">
        <v>2</v>
      </c>
      <c r="C178">
        <v>2</v>
      </c>
      <c r="D178">
        <v>1</v>
      </c>
      <c r="E178" t="str">
        <f>VLOOKUP(D178,name!A:B,2,1)</f>
        <v>Navigator</v>
      </c>
      <c r="F178" t="s">
        <v>75</v>
      </c>
      <c r="G178" t="str">
        <f t="shared" si="18"/>
        <v>a</v>
      </c>
      <c r="H178" t="str">
        <f>VLOOKUP(D178,name!A:C,3,1)</f>
        <v>assets/icons/image014.png</v>
      </c>
    </row>
    <row r="179" spans="1:8" ht="40.5" x14ac:dyDescent="0.15">
      <c r="A179" t="s">
        <v>51</v>
      </c>
      <c r="B179">
        <v>2</v>
      </c>
      <c r="C179">
        <v>3</v>
      </c>
      <c r="D179">
        <v>1</v>
      </c>
      <c r="E179" t="str">
        <f>VLOOKUP(D179,name!A:B,2,1)</f>
        <v>Navigator</v>
      </c>
      <c r="F179" s="1" t="str">
        <f>"まずは対話文を流します。その後に、日本語と"&amp;A179&amp;"を一文ずつ流すので"&amp;A179&amp;"を真似して下さい。最後に日本語のみを流すので、"&amp;A179&amp;"で答えてください。"</f>
        <v>まずは対話文を流します。その後に、日本語とフランス語を一文ずつ流すのでフランス語を真似して下さい。最後に日本語のみを流すので、フランス語で答えてください。</v>
      </c>
      <c r="G179" t="str">
        <f t="shared" si="18"/>
        <v>a</v>
      </c>
      <c r="H179" t="str">
        <f>VLOOKUP(D179,name!A:C,3,1)</f>
        <v>assets/icons/image014.png</v>
      </c>
    </row>
    <row r="180" spans="1:8" x14ac:dyDescent="0.15">
      <c r="A180" t="s">
        <v>51</v>
      </c>
      <c r="B180">
        <v>2</v>
      </c>
      <c r="C180">
        <v>4</v>
      </c>
      <c r="D180">
        <v>8</v>
      </c>
      <c r="E180" t="str">
        <f>VLOOKUP(D180,name!A:B,2,1)</f>
        <v>M. Dubois</v>
      </c>
      <c r="F180" t="s">
        <v>78</v>
      </c>
      <c r="G180" t="str">
        <f t="shared" si="18"/>
        <v>a</v>
      </c>
      <c r="H180" t="str">
        <f>VLOOKUP(D180,name!A:C,3,1)</f>
        <v>assets/icons/image033.png</v>
      </c>
    </row>
    <row r="181" spans="1:8" x14ac:dyDescent="0.15">
      <c r="A181" t="s">
        <v>51</v>
      </c>
      <c r="B181">
        <v>2</v>
      </c>
      <c r="C181">
        <v>5</v>
      </c>
      <c r="D181">
        <v>8</v>
      </c>
      <c r="E181" t="str">
        <f>VLOOKUP(D181,name!A:B,2,1)</f>
        <v>M. Dubois</v>
      </c>
      <c r="F181" t="s">
        <v>76</v>
      </c>
      <c r="G181" t="str">
        <f t="shared" si="18"/>
        <v>a</v>
      </c>
      <c r="H181" t="str">
        <f>VLOOKUP(D181,name!A:C,3,1)</f>
        <v>assets/icons/image033.png</v>
      </c>
    </row>
    <row r="182" spans="1:8" x14ac:dyDescent="0.15">
      <c r="A182" t="s">
        <v>51</v>
      </c>
      <c r="B182">
        <v>2</v>
      </c>
      <c r="C182">
        <v>6</v>
      </c>
      <c r="D182">
        <v>5</v>
      </c>
      <c r="E182" t="str">
        <f>VLOOKUP(D182,name!A:B,2,1)</f>
        <v>Minako</v>
      </c>
      <c r="F182" t="s">
        <v>79</v>
      </c>
      <c r="G182" t="str">
        <f t="shared" si="18"/>
        <v>a</v>
      </c>
      <c r="H182" t="str">
        <f>VLOOKUP(D182,name!A:C,3,1)</f>
        <v>assets/icons/image086.png</v>
      </c>
    </row>
    <row r="183" spans="1:8" x14ac:dyDescent="0.15">
      <c r="A183" t="s">
        <v>51</v>
      </c>
      <c r="B183">
        <v>2</v>
      </c>
      <c r="C183">
        <v>7</v>
      </c>
      <c r="D183">
        <v>5</v>
      </c>
      <c r="E183" t="str">
        <f>VLOOKUP(D183,name!A:B,2,1)</f>
        <v>Minako</v>
      </c>
      <c r="F183" t="s">
        <v>73</v>
      </c>
      <c r="G183" t="str">
        <f t="shared" si="18"/>
        <v>a</v>
      </c>
      <c r="H183" t="str">
        <f>VLOOKUP(D183,name!A:C,3,1)</f>
        <v>assets/icons/image086.png</v>
      </c>
    </row>
    <row r="184" spans="1:8" x14ac:dyDescent="0.15">
      <c r="A184" t="s">
        <v>51</v>
      </c>
      <c r="B184">
        <v>2</v>
      </c>
      <c r="C184">
        <v>8</v>
      </c>
      <c r="D184">
        <v>8</v>
      </c>
      <c r="E184" t="str">
        <f>VLOOKUP(D184,name!A:B,2,1)</f>
        <v>M. Dubois</v>
      </c>
      <c r="F184" t="s">
        <v>81</v>
      </c>
      <c r="G184" t="str">
        <f t="shared" si="18"/>
        <v>a</v>
      </c>
      <c r="H184" t="str">
        <f>VLOOKUP(D184,name!A:C,3,1)</f>
        <v>assets/icons/image033.png</v>
      </c>
    </row>
    <row r="185" spans="1:8" x14ac:dyDescent="0.15">
      <c r="A185" t="s">
        <v>51</v>
      </c>
      <c r="B185">
        <v>2</v>
      </c>
      <c r="C185">
        <v>9</v>
      </c>
      <c r="D185">
        <v>8</v>
      </c>
      <c r="E185" t="str">
        <f>VLOOKUP(D185,name!A:B,2,1)</f>
        <v>M. Dubois</v>
      </c>
      <c r="F185" t="s">
        <v>80</v>
      </c>
      <c r="G185" t="str">
        <f t="shared" si="18"/>
        <v>a</v>
      </c>
      <c r="H185" t="str">
        <f>VLOOKUP(D185,name!A:C,3,1)</f>
        <v>assets/icons/image033.png</v>
      </c>
    </row>
    <row r="186" spans="1:8" x14ac:dyDescent="0.15">
      <c r="A186" t="s">
        <v>51</v>
      </c>
      <c r="B186">
        <v>2</v>
      </c>
      <c r="C186">
        <v>10</v>
      </c>
      <c r="D186">
        <v>5</v>
      </c>
      <c r="E186" t="str">
        <f>VLOOKUP(D186,name!A:B,2,1)</f>
        <v>Minako</v>
      </c>
      <c r="F186" t="s">
        <v>82</v>
      </c>
      <c r="G186" t="str">
        <f t="shared" si="18"/>
        <v>a</v>
      </c>
      <c r="H186" t="str">
        <f>VLOOKUP(D186,name!A:C,3,1)</f>
        <v>assets/icons/image086.png</v>
      </c>
    </row>
    <row r="187" spans="1:8" x14ac:dyDescent="0.15">
      <c r="A187" t="s">
        <v>51</v>
      </c>
      <c r="B187">
        <v>2</v>
      </c>
      <c r="C187">
        <v>11</v>
      </c>
      <c r="D187">
        <v>5</v>
      </c>
      <c r="E187" t="str">
        <f>VLOOKUP(D187,name!A:B,2,1)</f>
        <v>Minako</v>
      </c>
      <c r="F187" t="s">
        <v>74</v>
      </c>
      <c r="G187" t="str">
        <f t="shared" si="18"/>
        <v>a</v>
      </c>
      <c r="H187" t="str">
        <f>VLOOKUP(D187,name!A:C,3,1)</f>
        <v>assets/icons/image086.png</v>
      </c>
    </row>
    <row r="188" spans="1:8" x14ac:dyDescent="0.15">
      <c r="A188" t="s">
        <v>51</v>
      </c>
      <c r="B188">
        <v>2</v>
      </c>
      <c r="C188">
        <v>12</v>
      </c>
      <c r="D188">
        <v>8</v>
      </c>
      <c r="E188" t="str">
        <f>VLOOKUP(D188,name!A:B,2,1)</f>
        <v>M. Dubois</v>
      </c>
      <c r="F188" t="s">
        <v>84</v>
      </c>
      <c r="G188" t="str">
        <f t="shared" si="18"/>
        <v>a</v>
      </c>
      <c r="H188" t="str">
        <f>VLOOKUP(D188,name!A:C,3,1)</f>
        <v>assets/icons/image033.png</v>
      </c>
    </row>
    <row r="189" spans="1:8" x14ac:dyDescent="0.15">
      <c r="A189" t="s">
        <v>51</v>
      </c>
      <c r="B189">
        <v>2</v>
      </c>
      <c r="C189">
        <v>13</v>
      </c>
      <c r="D189">
        <v>8</v>
      </c>
      <c r="E189" t="str">
        <f>VLOOKUP(D189,name!A:B,2,1)</f>
        <v>M. Dubois</v>
      </c>
      <c r="F189" t="s">
        <v>83</v>
      </c>
      <c r="G189" t="str">
        <f t="shared" si="18"/>
        <v>a</v>
      </c>
      <c r="H189" t="str">
        <f>VLOOKUP(D189,name!A:C,3,1)</f>
        <v>assets/icons/image033.png</v>
      </c>
    </row>
    <row r="190" spans="1:8" x14ac:dyDescent="0.15">
      <c r="A190" t="s">
        <v>51</v>
      </c>
      <c r="B190">
        <v>2</v>
      </c>
      <c r="C190">
        <v>14</v>
      </c>
      <c r="D190">
        <v>5</v>
      </c>
      <c r="E190" t="str">
        <f>VLOOKUP(D190,name!A:B,2,1)</f>
        <v>Minako</v>
      </c>
      <c r="F190" t="s">
        <v>88</v>
      </c>
      <c r="G190" t="str">
        <f t="shared" si="18"/>
        <v>a</v>
      </c>
      <c r="H190" t="str">
        <f>VLOOKUP(D190,name!A:C,3,1)</f>
        <v>assets/icons/image086.png</v>
      </c>
    </row>
    <row r="191" spans="1:8" x14ac:dyDescent="0.15">
      <c r="A191" t="s">
        <v>51</v>
      </c>
      <c r="B191">
        <v>2</v>
      </c>
      <c r="C191">
        <v>15</v>
      </c>
      <c r="D191">
        <v>5</v>
      </c>
      <c r="E191" t="str">
        <f>VLOOKUP(D191,name!A:B,2,1)</f>
        <v>Minako</v>
      </c>
      <c r="F191" t="s">
        <v>85</v>
      </c>
      <c r="G191" t="str">
        <f t="shared" si="18"/>
        <v>a</v>
      </c>
      <c r="H191" t="str">
        <f>VLOOKUP(D191,name!A:C,3,1)</f>
        <v>assets/icons/image086.png</v>
      </c>
    </row>
    <row r="192" spans="1:8" x14ac:dyDescent="0.15">
      <c r="A192" t="s">
        <v>51</v>
      </c>
      <c r="B192">
        <v>2</v>
      </c>
      <c r="C192">
        <v>16</v>
      </c>
      <c r="D192">
        <v>8</v>
      </c>
      <c r="E192" t="str">
        <f>VLOOKUP(D192,name!A:B,2,1)</f>
        <v>M. Dubois</v>
      </c>
      <c r="F192" t="s">
        <v>87</v>
      </c>
      <c r="G192" t="str">
        <f t="shared" si="18"/>
        <v>a</v>
      </c>
      <c r="H192" t="str">
        <f>VLOOKUP(D192,name!A:C,3,1)</f>
        <v>assets/icons/image033.png</v>
      </c>
    </row>
    <row r="193" spans="1:8" x14ac:dyDescent="0.15">
      <c r="A193" t="s">
        <v>51</v>
      </c>
      <c r="B193">
        <v>2</v>
      </c>
      <c r="C193">
        <v>17</v>
      </c>
      <c r="D193">
        <v>8</v>
      </c>
      <c r="E193" t="str">
        <f>VLOOKUP(D193,name!A:B,2,1)</f>
        <v>M. Dubois</v>
      </c>
      <c r="F193" t="s">
        <v>86</v>
      </c>
      <c r="G193" t="str">
        <f t="shared" si="18"/>
        <v>a</v>
      </c>
      <c r="H193" t="str">
        <f>VLOOKUP(D193,name!A:C,3,1)</f>
        <v>assets/icons/image033.png</v>
      </c>
    </row>
    <row r="194" spans="1:8" x14ac:dyDescent="0.15">
      <c r="A194" t="s">
        <v>51</v>
      </c>
      <c r="B194">
        <v>2</v>
      </c>
      <c r="C194">
        <v>18</v>
      </c>
      <c r="D194">
        <v>1</v>
      </c>
      <c r="E194" t="str">
        <f>VLOOKUP(D194,name!A:B,2,1)</f>
        <v>Navigator</v>
      </c>
      <c r="F194" t="str">
        <f>"次の"&amp;A194&amp;"を真似してね！"</f>
        <v>次のフランス語を真似してね！</v>
      </c>
      <c r="G194" t="str">
        <f t="shared" si="18"/>
        <v>a</v>
      </c>
      <c r="H194" t="str">
        <f>VLOOKUP(D194,name!A:C,3,1)</f>
        <v>assets/icons/image014.png</v>
      </c>
    </row>
    <row r="195" spans="1:8" x14ac:dyDescent="0.15">
      <c r="A195" t="s">
        <v>51</v>
      </c>
      <c r="B195">
        <v>2</v>
      </c>
      <c r="C195">
        <v>19</v>
      </c>
      <c r="D195">
        <v>8</v>
      </c>
      <c r="E195" t="str">
        <f>VLOOKUP(D195,name!A:B,2,1)</f>
        <v>M. Dubois</v>
      </c>
      <c r="F195" t="s">
        <v>78</v>
      </c>
      <c r="G195" t="str">
        <f t="shared" si="18"/>
        <v>a</v>
      </c>
      <c r="H195" t="str">
        <f>VLOOKUP(D195,name!A:C,3,1)</f>
        <v>assets/icons/image033.png</v>
      </c>
    </row>
    <row r="196" spans="1:8" x14ac:dyDescent="0.15">
      <c r="A196" t="s">
        <v>51</v>
      </c>
      <c r="B196">
        <v>2</v>
      </c>
      <c r="C196">
        <v>20</v>
      </c>
      <c r="D196">
        <v>8</v>
      </c>
      <c r="E196" t="str">
        <f>VLOOKUP(D196,name!A:B,2,1)</f>
        <v>M. Dubois</v>
      </c>
      <c r="F196" t="s">
        <v>76</v>
      </c>
      <c r="G196" t="str">
        <f t="shared" si="18"/>
        <v>a</v>
      </c>
      <c r="H196" t="str">
        <f>VLOOKUP(D196,name!A:C,3,1)</f>
        <v>assets/icons/image033.png</v>
      </c>
    </row>
    <row r="197" spans="1:8" x14ac:dyDescent="0.15">
      <c r="A197" t="s">
        <v>51</v>
      </c>
      <c r="B197">
        <v>2</v>
      </c>
      <c r="C197">
        <v>21</v>
      </c>
      <c r="D197">
        <v>0</v>
      </c>
      <c r="E197" t="str">
        <f>VLOOKUP(D197,name!A:B,2,1)</f>
        <v>Player</v>
      </c>
      <c r="F197" t="s">
        <v>76</v>
      </c>
      <c r="G197" t="str">
        <f t="shared" si="18"/>
        <v>q</v>
      </c>
      <c r="H197" t="str">
        <f>VLOOKUP(D197,name!A:C,3,1)</f>
        <v>assets/icons/image326.png</v>
      </c>
    </row>
    <row r="198" spans="1:8" x14ac:dyDescent="0.15">
      <c r="A198" t="s">
        <v>51</v>
      </c>
      <c r="B198">
        <v>2</v>
      </c>
      <c r="C198">
        <v>22</v>
      </c>
      <c r="D198">
        <v>5</v>
      </c>
      <c r="E198" t="str">
        <f>VLOOKUP(D198,name!A:B,2,1)</f>
        <v>Minako</v>
      </c>
      <c r="F198" t="s">
        <v>79</v>
      </c>
      <c r="G198" t="str">
        <f t="shared" si="18"/>
        <v>a</v>
      </c>
      <c r="H198" t="str">
        <f>VLOOKUP(D198,name!A:C,3,1)</f>
        <v>assets/icons/image086.png</v>
      </c>
    </row>
    <row r="199" spans="1:8" x14ac:dyDescent="0.15">
      <c r="A199" t="s">
        <v>51</v>
      </c>
      <c r="B199">
        <v>2</v>
      </c>
      <c r="C199">
        <v>23</v>
      </c>
      <c r="D199">
        <v>5</v>
      </c>
      <c r="E199" t="str">
        <f>VLOOKUP(D199,name!A:B,2,1)</f>
        <v>Minako</v>
      </c>
      <c r="F199" t="s">
        <v>73</v>
      </c>
      <c r="G199" t="str">
        <f t="shared" si="18"/>
        <v>a</v>
      </c>
      <c r="H199" t="str">
        <f>VLOOKUP(D199,name!A:C,3,1)</f>
        <v>assets/icons/image086.png</v>
      </c>
    </row>
    <row r="200" spans="1:8" x14ac:dyDescent="0.15">
      <c r="A200" t="s">
        <v>51</v>
      </c>
      <c r="B200">
        <v>2</v>
      </c>
      <c r="C200">
        <v>24</v>
      </c>
      <c r="D200">
        <v>0</v>
      </c>
      <c r="E200" t="str">
        <f>VLOOKUP(D200,name!A:B,2,1)</f>
        <v>Player</v>
      </c>
      <c r="F200" t="s">
        <v>73</v>
      </c>
      <c r="G200" t="str">
        <f t="shared" si="18"/>
        <v>q</v>
      </c>
      <c r="H200" t="str">
        <f>VLOOKUP(D200,name!A:C,3,1)</f>
        <v>assets/icons/image326.png</v>
      </c>
    </row>
    <row r="201" spans="1:8" x14ac:dyDescent="0.15">
      <c r="A201" t="s">
        <v>51</v>
      </c>
      <c r="B201">
        <v>2</v>
      </c>
      <c r="C201">
        <v>25</v>
      </c>
      <c r="D201">
        <v>8</v>
      </c>
      <c r="E201" t="str">
        <f>VLOOKUP(D201,name!A:B,2,1)</f>
        <v>M. Dubois</v>
      </c>
      <c r="F201" t="s">
        <v>81</v>
      </c>
      <c r="G201" t="str">
        <f t="shared" si="18"/>
        <v>a</v>
      </c>
      <c r="H201" t="str">
        <f>VLOOKUP(D201,name!A:C,3,1)</f>
        <v>assets/icons/image033.png</v>
      </c>
    </row>
    <row r="202" spans="1:8" x14ac:dyDescent="0.15">
      <c r="A202" t="s">
        <v>51</v>
      </c>
      <c r="B202">
        <v>2</v>
      </c>
      <c r="C202">
        <v>26</v>
      </c>
      <c r="D202">
        <v>8</v>
      </c>
      <c r="E202" t="str">
        <f>VLOOKUP(D202,name!A:B,2,1)</f>
        <v>M. Dubois</v>
      </c>
      <c r="F202" t="s">
        <v>80</v>
      </c>
      <c r="G202" t="str">
        <f t="shared" si="18"/>
        <v>a</v>
      </c>
      <c r="H202" t="str">
        <f>VLOOKUP(D202,name!A:C,3,1)</f>
        <v>assets/icons/image033.png</v>
      </c>
    </row>
    <row r="203" spans="1:8" x14ac:dyDescent="0.15">
      <c r="A203" t="s">
        <v>51</v>
      </c>
      <c r="B203">
        <v>2</v>
      </c>
      <c r="C203">
        <v>27</v>
      </c>
      <c r="D203">
        <v>0</v>
      </c>
      <c r="E203" t="str">
        <f>VLOOKUP(D203,name!A:B,2,1)</f>
        <v>Player</v>
      </c>
      <c r="F203" t="s">
        <v>80</v>
      </c>
      <c r="G203" t="str">
        <f t="shared" si="18"/>
        <v>q</v>
      </c>
      <c r="H203" t="str">
        <f>VLOOKUP(D203,name!A:C,3,1)</f>
        <v>assets/icons/image326.png</v>
      </c>
    </row>
    <row r="204" spans="1:8" x14ac:dyDescent="0.15">
      <c r="A204" t="s">
        <v>51</v>
      </c>
      <c r="B204">
        <v>2</v>
      </c>
      <c r="C204">
        <v>28</v>
      </c>
      <c r="D204">
        <v>5</v>
      </c>
      <c r="E204" t="str">
        <f>VLOOKUP(D204,name!A:B,2,1)</f>
        <v>Minako</v>
      </c>
      <c r="F204" t="s">
        <v>82</v>
      </c>
      <c r="G204" t="str">
        <f t="shared" si="18"/>
        <v>a</v>
      </c>
      <c r="H204" t="str">
        <f>VLOOKUP(D204,name!A:C,3,1)</f>
        <v>assets/icons/image086.png</v>
      </c>
    </row>
    <row r="205" spans="1:8" x14ac:dyDescent="0.15">
      <c r="A205" t="s">
        <v>51</v>
      </c>
      <c r="B205">
        <v>2</v>
      </c>
      <c r="C205">
        <v>29</v>
      </c>
      <c r="D205">
        <v>5</v>
      </c>
      <c r="E205" t="str">
        <f>VLOOKUP(D205,name!A:B,2,1)</f>
        <v>Minako</v>
      </c>
      <c r="F205" t="s">
        <v>74</v>
      </c>
      <c r="G205" t="str">
        <f t="shared" si="18"/>
        <v>a</v>
      </c>
      <c r="H205" t="str">
        <f>VLOOKUP(D205,name!A:C,3,1)</f>
        <v>assets/icons/image086.png</v>
      </c>
    </row>
    <row r="206" spans="1:8" x14ac:dyDescent="0.15">
      <c r="A206" t="s">
        <v>51</v>
      </c>
      <c r="B206">
        <v>2</v>
      </c>
      <c r="C206">
        <v>30</v>
      </c>
      <c r="D206">
        <v>0</v>
      </c>
      <c r="E206" t="str">
        <f>VLOOKUP(D206,name!A:B,2,1)</f>
        <v>Player</v>
      </c>
      <c r="F206" t="s">
        <v>74</v>
      </c>
      <c r="G206" t="str">
        <f t="shared" si="18"/>
        <v>q</v>
      </c>
      <c r="H206" t="str">
        <f>VLOOKUP(D206,name!A:C,3,1)</f>
        <v>assets/icons/image326.png</v>
      </c>
    </row>
    <row r="207" spans="1:8" x14ac:dyDescent="0.15">
      <c r="A207" t="s">
        <v>51</v>
      </c>
      <c r="B207">
        <v>2</v>
      </c>
      <c r="C207">
        <v>31</v>
      </c>
      <c r="D207">
        <v>8</v>
      </c>
      <c r="E207" t="str">
        <f>VLOOKUP(D207,name!A:B,2,1)</f>
        <v>M. Dubois</v>
      </c>
      <c r="F207" t="s">
        <v>84</v>
      </c>
      <c r="G207" t="str">
        <f t="shared" si="18"/>
        <v>a</v>
      </c>
      <c r="H207" t="str">
        <f>VLOOKUP(D207,name!A:C,3,1)</f>
        <v>assets/icons/image033.png</v>
      </c>
    </row>
    <row r="208" spans="1:8" x14ac:dyDescent="0.15">
      <c r="A208" t="s">
        <v>51</v>
      </c>
      <c r="B208">
        <v>2</v>
      </c>
      <c r="C208">
        <v>32</v>
      </c>
      <c r="D208">
        <v>8</v>
      </c>
      <c r="E208" t="str">
        <f>VLOOKUP(D208,name!A:B,2,1)</f>
        <v>M. Dubois</v>
      </c>
      <c r="F208" t="s">
        <v>83</v>
      </c>
      <c r="G208" t="str">
        <f t="shared" si="18"/>
        <v>a</v>
      </c>
      <c r="H208" t="str">
        <f>VLOOKUP(D208,name!A:C,3,1)</f>
        <v>assets/icons/image033.png</v>
      </c>
    </row>
    <row r="209" spans="1:8" x14ac:dyDescent="0.15">
      <c r="A209" t="s">
        <v>51</v>
      </c>
      <c r="B209">
        <v>2</v>
      </c>
      <c r="C209">
        <v>33</v>
      </c>
      <c r="D209">
        <v>0</v>
      </c>
      <c r="E209" t="str">
        <f>VLOOKUP(D209,name!A:B,2,1)</f>
        <v>Player</v>
      </c>
      <c r="F209" t="s">
        <v>83</v>
      </c>
      <c r="G209" t="str">
        <f t="shared" si="18"/>
        <v>q</v>
      </c>
      <c r="H209" t="str">
        <f>VLOOKUP(D209,name!A:C,3,1)</f>
        <v>assets/icons/image326.png</v>
      </c>
    </row>
    <row r="210" spans="1:8" x14ac:dyDescent="0.15">
      <c r="A210" t="s">
        <v>51</v>
      </c>
      <c r="B210">
        <v>2</v>
      </c>
      <c r="C210">
        <v>34</v>
      </c>
      <c r="D210">
        <v>5</v>
      </c>
      <c r="E210" t="str">
        <f>VLOOKUP(D210,name!A:B,2,1)</f>
        <v>Minako</v>
      </c>
      <c r="F210" t="s">
        <v>88</v>
      </c>
      <c r="G210" t="str">
        <f t="shared" si="18"/>
        <v>a</v>
      </c>
      <c r="H210" t="str">
        <f>VLOOKUP(D210,name!A:C,3,1)</f>
        <v>assets/icons/image086.png</v>
      </c>
    </row>
    <row r="211" spans="1:8" x14ac:dyDescent="0.15">
      <c r="A211" t="s">
        <v>51</v>
      </c>
      <c r="B211">
        <v>2</v>
      </c>
      <c r="C211">
        <v>35</v>
      </c>
      <c r="D211">
        <v>5</v>
      </c>
      <c r="E211" t="str">
        <f>VLOOKUP(D211,name!A:B,2,1)</f>
        <v>Minako</v>
      </c>
      <c r="F211" t="s">
        <v>85</v>
      </c>
      <c r="G211" t="str">
        <f t="shared" si="18"/>
        <v>a</v>
      </c>
      <c r="H211" t="str">
        <f>VLOOKUP(D211,name!A:C,3,1)</f>
        <v>assets/icons/image086.png</v>
      </c>
    </row>
    <row r="212" spans="1:8" x14ac:dyDescent="0.15">
      <c r="A212" t="s">
        <v>51</v>
      </c>
      <c r="B212">
        <v>2</v>
      </c>
      <c r="C212">
        <v>36</v>
      </c>
      <c r="D212">
        <v>0</v>
      </c>
      <c r="E212" t="str">
        <f>VLOOKUP(D212,name!A:B,2,1)</f>
        <v>Player</v>
      </c>
      <c r="F212" t="s">
        <v>85</v>
      </c>
      <c r="G212" t="str">
        <f t="shared" si="18"/>
        <v>q</v>
      </c>
      <c r="H212" t="str">
        <f>VLOOKUP(D212,name!A:C,3,1)</f>
        <v>assets/icons/image326.png</v>
      </c>
    </row>
    <row r="213" spans="1:8" x14ac:dyDescent="0.15">
      <c r="A213" t="s">
        <v>51</v>
      </c>
      <c r="B213">
        <v>2</v>
      </c>
      <c r="C213">
        <v>37</v>
      </c>
      <c r="D213">
        <v>8</v>
      </c>
      <c r="E213" t="str">
        <f>VLOOKUP(D213,name!A:B,2,1)</f>
        <v>M. Dubois</v>
      </c>
      <c r="F213" t="s">
        <v>87</v>
      </c>
      <c r="G213" t="str">
        <f t="shared" si="18"/>
        <v>a</v>
      </c>
      <c r="H213" t="str">
        <f>VLOOKUP(D213,name!A:C,3,1)</f>
        <v>assets/icons/image033.png</v>
      </c>
    </row>
    <row r="214" spans="1:8" x14ac:dyDescent="0.15">
      <c r="A214" t="s">
        <v>51</v>
      </c>
      <c r="B214">
        <v>2</v>
      </c>
      <c r="C214">
        <v>38</v>
      </c>
      <c r="D214">
        <v>8</v>
      </c>
      <c r="E214" t="str">
        <f>VLOOKUP(D214,name!A:B,2,1)</f>
        <v>M. Dubois</v>
      </c>
      <c r="F214" t="s">
        <v>86</v>
      </c>
      <c r="G214" t="str">
        <f t="shared" si="18"/>
        <v>a</v>
      </c>
      <c r="H214" t="str">
        <f>VLOOKUP(D214,name!A:C,3,1)</f>
        <v>assets/icons/image033.png</v>
      </c>
    </row>
    <row r="215" spans="1:8" x14ac:dyDescent="0.15">
      <c r="A215" t="s">
        <v>51</v>
      </c>
      <c r="B215">
        <v>2</v>
      </c>
      <c r="C215">
        <v>39</v>
      </c>
      <c r="D215">
        <v>0</v>
      </c>
      <c r="E215" t="str">
        <f>VLOOKUP(D215,name!A:B,2,1)</f>
        <v>Player</v>
      </c>
      <c r="F215" t="s">
        <v>86</v>
      </c>
      <c r="G215" t="str">
        <f t="shared" si="18"/>
        <v>q</v>
      </c>
      <c r="H215" t="str">
        <f>VLOOKUP(D215,name!A:C,3,1)</f>
        <v>assets/icons/image326.png</v>
      </c>
    </row>
    <row r="216" spans="1:8" x14ac:dyDescent="0.15">
      <c r="A216" t="s">
        <v>51</v>
      </c>
      <c r="B216">
        <v>2</v>
      </c>
      <c r="C216">
        <v>40</v>
      </c>
      <c r="D216">
        <v>1</v>
      </c>
      <c r="E216" t="str">
        <f>VLOOKUP(D216,name!A:B,2,1)</f>
        <v>Navigator</v>
      </c>
      <c r="F216" t="s">
        <v>71</v>
      </c>
      <c r="G216" t="str">
        <f t="shared" si="18"/>
        <v>a</v>
      </c>
      <c r="H216" t="str">
        <f>VLOOKUP(D216,name!A:C,3,1)</f>
        <v>assets/icons/image014.png</v>
      </c>
    </row>
    <row r="217" spans="1:8" x14ac:dyDescent="0.15">
      <c r="A217" t="s">
        <v>51</v>
      </c>
      <c r="B217">
        <v>2</v>
      </c>
      <c r="C217">
        <v>41</v>
      </c>
      <c r="D217">
        <v>8</v>
      </c>
      <c r="E217" t="str">
        <f>VLOOKUP(D217,name!A:B,2,1)</f>
        <v>M. Dubois</v>
      </c>
      <c r="F217" t="s">
        <v>78</v>
      </c>
      <c r="G217" t="str">
        <f t="shared" si="18"/>
        <v>a</v>
      </c>
      <c r="H217" t="str">
        <f>VLOOKUP(D217,name!A:C,3,1)</f>
        <v>assets/icons/image033.png</v>
      </c>
    </row>
    <row r="218" spans="1:8" x14ac:dyDescent="0.15">
      <c r="A218" t="s">
        <v>51</v>
      </c>
      <c r="B218">
        <v>2</v>
      </c>
      <c r="C218">
        <v>42</v>
      </c>
      <c r="D218">
        <v>0</v>
      </c>
      <c r="E218" t="str">
        <f>VLOOKUP(D218,name!A:B,2,1)</f>
        <v>Player</v>
      </c>
      <c r="F218" t="s">
        <v>76</v>
      </c>
      <c r="G218" t="str">
        <f t="shared" si="18"/>
        <v>q</v>
      </c>
      <c r="H218" t="str">
        <f>VLOOKUP(D218,name!A:C,3,1)</f>
        <v>assets/icons/image326.png</v>
      </c>
    </row>
    <row r="219" spans="1:8" x14ac:dyDescent="0.15">
      <c r="A219" t="s">
        <v>51</v>
      </c>
      <c r="B219">
        <v>2</v>
      </c>
      <c r="C219">
        <v>43</v>
      </c>
      <c r="D219">
        <v>5</v>
      </c>
      <c r="E219" t="str">
        <f>VLOOKUP(D219,name!A:B,2,1)</f>
        <v>Minako</v>
      </c>
      <c r="F219" t="s">
        <v>79</v>
      </c>
      <c r="G219" t="str">
        <f t="shared" si="18"/>
        <v>a</v>
      </c>
      <c r="H219" t="str">
        <f>VLOOKUP(D219,name!A:C,3,1)</f>
        <v>assets/icons/image086.png</v>
      </c>
    </row>
    <row r="220" spans="1:8" x14ac:dyDescent="0.15">
      <c r="A220" t="s">
        <v>51</v>
      </c>
      <c r="B220">
        <v>2</v>
      </c>
      <c r="C220">
        <v>44</v>
      </c>
      <c r="D220">
        <v>0</v>
      </c>
      <c r="E220" t="str">
        <f>VLOOKUP(D220,name!A:B,2,1)</f>
        <v>Player</v>
      </c>
      <c r="F220" t="s">
        <v>73</v>
      </c>
      <c r="G220" t="str">
        <f t="shared" si="18"/>
        <v>q</v>
      </c>
      <c r="H220" t="str">
        <f>VLOOKUP(D220,name!A:C,3,1)</f>
        <v>assets/icons/image326.png</v>
      </c>
    </row>
    <row r="221" spans="1:8" x14ac:dyDescent="0.15">
      <c r="A221" t="s">
        <v>51</v>
      </c>
      <c r="B221">
        <v>2</v>
      </c>
      <c r="C221">
        <v>45</v>
      </c>
      <c r="D221">
        <v>8</v>
      </c>
      <c r="E221" t="str">
        <f>VLOOKUP(D221,name!A:B,2,1)</f>
        <v>M. Dubois</v>
      </c>
      <c r="F221" t="s">
        <v>81</v>
      </c>
      <c r="G221" t="str">
        <f t="shared" si="18"/>
        <v>a</v>
      </c>
      <c r="H221" t="str">
        <f>VLOOKUP(D221,name!A:C,3,1)</f>
        <v>assets/icons/image033.png</v>
      </c>
    </row>
    <row r="222" spans="1:8" x14ac:dyDescent="0.15">
      <c r="A222" t="s">
        <v>51</v>
      </c>
      <c r="B222">
        <v>2</v>
      </c>
      <c r="C222">
        <v>46</v>
      </c>
      <c r="D222">
        <v>0</v>
      </c>
      <c r="E222" t="str">
        <f>VLOOKUP(D222,name!A:B,2,1)</f>
        <v>Player</v>
      </c>
      <c r="F222" t="s">
        <v>80</v>
      </c>
      <c r="G222" t="str">
        <f t="shared" si="18"/>
        <v>q</v>
      </c>
      <c r="H222" t="str">
        <f>VLOOKUP(D222,name!A:C,3,1)</f>
        <v>assets/icons/image326.png</v>
      </c>
    </row>
    <row r="223" spans="1:8" x14ac:dyDescent="0.15">
      <c r="A223" t="s">
        <v>51</v>
      </c>
      <c r="B223">
        <v>2</v>
      </c>
      <c r="C223">
        <v>47</v>
      </c>
      <c r="D223">
        <v>5</v>
      </c>
      <c r="E223" t="str">
        <f>VLOOKUP(D223,name!A:B,2,1)</f>
        <v>Minako</v>
      </c>
      <c r="F223" t="s">
        <v>82</v>
      </c>
      <c r="G223" t="str">
        <f t="shared" si="18"/>
        <v>a</v>
      </c>
      <c r="H223" t="str">
        <f>VLOOKUP(D223,name!A:C,3,1)</f>
        <v>assets/icons/image086.png</v>
      </c>
    </row>
    <row r="224" spans="1:8" x14ac:dyDescent="0.15">
      <c r="A224" t="s">
        <v>51</v>
      </c>
      <c r="B224">
        <v>2</v>
      </c>
      <c r="C224">
        <v>48</v>
      </c>
      <c r="D224">
        <v>0</v>
      </c>
      <c r="E224" t="str">
        <f>VLOOKUP(D224,name!A:B,2,1)</f>
        <v>Player</v>
      </c>
      <c r="F224" t="s">
        <v>74</v>
      </c>
      <c r="G224" t="str">
        <f t="shared" si="18"/>
        <v>q</v>
      </c>
      <c r="H224" t="str">
        <f>VLOOKUP(D224,name!A:C,3,1)</f>
        <v>assets/icons/image326.png</v>
      </c>
    </row>
    <row r="225" spans="1:8" x14ac:dyDescent="0.15">
      <c r="A225" t="s">
        <v>51</v>
      </c>
      <c r="B225">
        <v>2</v>
      </c>
      <c r="C225">
        <v>49</v>
      </c>
      <c r="D225">
        <v>8</v>
      </c>
      <c r="E225" t="str">
        <f>VLOOKUP(D225,name!A:B,2,1)</f>
        <v>M. Dubois</v>
      </c>
      <c r="F225" t="s">
        <v>84</v>
      </c>
      <c r="G225" t="str">
        <f t="shared" si="18"/>
        <v>a</v>
      </c>
      <c r="H225" t="str">
        <f>VLOOKUP(D225,name!A:C,3,1)</f>
        <v>assets/icons/image033.png</v>
      </c>
    </row>
    <row r="226" spans="1:8" x14ac:dyDescent="0.15">
      <c r="A226" t="s">
        <v>51</v>
      </c>
      <c r="B226">
        <v>2</v>
      </c>
      <c r="C226">
        <v>50</v>
      </c>
      <c r="D226">
        <v>0</v>
      </c>
      <c r="E226" t="str">
        <f>VLOOKUP(D226,name!A:B,2,1)</f>
        <v>Player</v>
      </c>
      <c r="F226" t="s">
        <v>83</v>
      </c>
      <c r="G226" t="str">
        <f t="shared" si="18"/>
        <v>q</v>
      </c>
      <c r="H226" t="str">
        <f>VLOOKUP(D226,name!A:C,3,1)</f>
        <v>assets/icons/image326.png</v>
      </c>
    </row>
    <row r="227" spans="1:8" x14ac:dyDescent="0.15">
      <c r="A227" t="s">
        <v>51</v>
      </c>
      <c r="B227">
        <v>2</v>
      </c>
      <c r="C227">
        <v>51</v>
      </c>
      <c r="D227">
        <v>5</v>
      </c>
      <c r="E227" t="str">
        <f>VLOOKUP(D227,name!A:B,2,1)</f>
        <v>Minako</v>
      </c>
      <c r="F227" t="s">
        <v>88</v>
      </c>
      <c r="G227" t="str">
        <f t="shared" si="18"/>
        <v>a</v>
      </c>
      <c r="H227" t="str">
        <f>VLOOKUP(D227,name!A:C,3,1)</f>
        <v>assets/icons/image086.png</v>
      </c>
    </row>
    <row r="228" spans="1:8" x14ac:dyDescent="0.15">
      <c r="A228" t="s">
        <v>51</v>
      </c>
      <c r="B228">
        <v>2</v>
      </c>
      <c r="C228">
        <v>52</v>
      </c>
      <c r="D228">
        <v>0</v>
      </c>
      <c r="E228" t="str">
        <f>VLOOKUP(D228,name!A:B,2,1)</f>
        <v>Player</v>
      </c>
      <c r="F228" t="s">
        <v>85</v>
      </c>
      <c r="G228" t="str">
        <f t="shared" si="18"/>
        <v>q</v>
      </c>
      <c r="H228" t="str">
        <f>VLOOKUP(D228,name!A:C,3,1)</f>
        <v>assets/icons/image326.png</v>
      </c>
    </row>
    <row r="229" spans="1:8" x14ac:dyDescent="0.15">
      <c r="A229" t="s">
        <v>51</v>
      </c>
      <c r="B229">
        <v>2</v>
      </c>
      <c r="C229">
        <v>53</v>
      </c>
      <c r="D229">
        <v>8</v>
      </c>
      <c r="E229" t="str">
        <f>VLOOKUP(D229,name!A:B,2,1)</f>
        <v>M. Dubois</v>
      </c>
      <c r="F229" t="s">
        <v>87</v>
      </c>
      <c r="G229" t="str">
        <f t="shared" si="18"/>
        <v>a</v>
      </c>
      <c r="H229" t="str">
        <f>VLOOKUP(D229,name!A:C,3,1)</f>
        <v>assets/icons/image033.png</v>
      </c>
    </row>
    <row r="230" spans="1:8" x14ac:dyDescent="0.15">
      <c r="A230" t="s">
        <v>51</v>
      </c>
      <c r="B230">
        <v>2</v>
      </c>
      <c r="C230">
        <v>54</v>
      </c>
      <c r="D230">
        <v>0</v>
      </c>
      <c r="E230" t="str">
        <f>VLOOKUP(D230,name!A:B,2,1)</f>
        <v>Player</v>
      </c>
      <c r="F230" t="s">
        <v>86</v>
      </c>
      <c r="G230" t="str">
        <f t="shared" si="18"/>
        <v>q</v>
      </c>
      <c r="H230" t="str">
        <f>VLOOKUP(D230,name!A:C,3,1)</f>
        <v>assets/icons/image326.png</v>
      </c>
    </row>
    <row r="231" spans="1:8" x14ac:dyDescent="0.15">
      <c r="A231" t="s">
        <v>51</v>
      </c>
      <c r="B231">
        <v>2</v>
      </c>
      <c r="C231">
        <v>55</v>
      </c>
      <c r="D231">
        <v>1</v>
      </c>
      <c r="E231" t="str">
        <f>VLOOKUP(D231,name!A:B,2,1)</f>
        <v>Navigator</v>
      </c>
      <c r="F231" t="str">
        <f>"とても良くできました。レッスン"&amp;B231&amp;"はこれで終了です。"</f>
        <v>とても良くできました。レッスン2はこれで終了です。</v>
      </c>
      <c r="G231" t="str">
        <f t="shared" si="18"/>
        <v>e</v>
      </c>
      <c r="H231" t="str">
        <f>VLOOKUP(D231,name!A:C,3,1)</f>
        <v>assets/icons/image014.png</v>
      </c>
    </row>
    <row r="232" spans="1:8" x14ac:dyDescent="0.15">
      <c r="A232" t="s">
        <v>17</v>
      </c>
      <c r="B232">
        <v>3</v>
      </c>
      <c r="C232">
        <v>1</v>
      </c>
      <c r="D232">
        <v>1</v>
      </c>
      <c r="E232" t="str">
        <f>VLOOKUP(D232,name!A:B,2,1)</f>
        <v>Navigator</v>
      </c>
      <c r="F232" t="s">
        <v>105</v>
      </c>
      <c r="G232" t="str">
        <f t="shared" ref="G232" si="19">IF(D232=0,"q",IF(B232=B233,"a","e"))</f>
        <v>a</v>
      </c>
      <c r="H232" t="str">
        <f>VLOOKUP(D232,name!A:C,3,1)</f>
        <v>assets/icons/image014.png</v>
      </c>
    </row>
    <row r="233" spans="1:8" x14ac:dyDescent="0.15">
      <c r="A233" t="s">
        <v>17</v>
      </c>
      <c r="B233">
        <v>3</v>
      </c>
      <c r="C233">
        <v>2</v>
      </c>
      <c r="D233">
        <v>1</v>
      </c>
      <c r="E233" t="str">
        <f>VLOOKUP(D233,name!A:B,2,1)</f>
        <v>Navigator</v>
      </c>
      <c r="F233" t="s">
        <v>111</v>
      </c>
      <c r="G233" t="str">
        <f t="shared" ref="G233:G296" si="20">IF(D233=0,"q",IF(B233=B234,"a","e"))</f>
        <v>a</v>
      </c>
      <c r="H233" t="str">
        <f>VLOOKUP(D233,name!A:C,3,1)</f>
        <v>assets/icons/image014.png</v>
      </c>
    </row>
    <row r="234" spans="1:8" ht="40.5" x14ac:dyDescent="0.15">
      <c r="A234" t="s">
        <v>17</v>
      </c>
      <c r="B234">
        <v>3</v>
      </c>
      <c r="C234">
        <v>3</v>
      </c>
      <c r="D234">
        <v>1</v>
      </c>
      <c r="E234" t="str">
        <f>VLOOKUP(D234,name!A:B,2,1)</f>
        <v>Navigator</v>
      </c>
      <c r="F234" s="1" t="str">
        <f>"まずは対話文を流します。その後に、日本語と"&amp;A234&amp;"を一文ずつ流すので"&amp;A234&amp;"を真似して下さい。最後に日本語のみを流すので、"&amp;A234&amp;"で答えてください。"</f>
        <v>まずは対話文を流します。その後に、日本語とドイツ語を一文ずつ流すのでドイツ語を真似して下さい。最後に日本語のみを流すので、ドイツ語で答えてください。</v>
      </c>
      <c r="G234" t="str">
        <f t="shared" si="20"/>
        <v>a</v>
      </c>
      <c r="H234" t="str">
        <f>VLOOKUP(D234,name!A:C,3,1)</f>
        <v>assets/icons/image014.png</v>
      </c>
    </row>
    <row r="235" spans="1:8" x14ac:dyDescent="0.15">
      <c r="A235" t="s">
        <v>17</v>
      </c>
      <c r="B235">
        <v>3</v>
      </c>
      <c r="C235">
        <v>4</v>
      </c>
      <c r="D235">
        <v>3</v>
      </c>
      <c r="E235" t="str">
        <f>VLOOKUP(D235,name!A:B,2,1)</f>
        <v>Schneider.</v>
      </c>
      <c r="F235" t="s">
        <v>112</v>
      </c>
      <c r="G235" t="str">
        <f t="shared" si="20"/>
        <v>a</v>
      </c>
      <c r="H235" t="str">
        <f>VLOOKUP(D235,name!A:C,3,1)</f>
        <v>assets/icons/image003.png</v>
      </c>
    </row>
    <row r="236" spans="1:8" x14ac:dyDescent="0.15">
      <c r="A236" t="s">
        <v>17</v>
      </c>
      <c r="B236">
        <v>3</v>
      </c>
      <c r="C236">
        <v>5</v>
      </c>
      <c r="D236">
        <v>3</v>
      </c>
      <c r="E236" t="str">
        <f>VLOOKUP(D236,name!A:B,2,1)</f>
        <v>Schneider.</v>
      </c>
      <c r="F236" t="s">
        <v>113</v>
      </c>
      <c r="G236" t="str">
        <f t="shared" si="20"/>
        <v>a</v>
      </c>
      <c r="H236" t="str">
        <f>VLOOKUP(D236,name!A:C,3,1)</f>
        <v>assets/icons/image003.png</v>
      </c>
    </row>
    <row r="237" spans="1:8" x14ac:dyDescent="0.15">
      <c r="A237" t="s">
        <v>17</v>
      </c>
      <c r="B237">
        <v>3</v>
      </c>
      <c r="C237">
        <v>6</v>
      </c>
      <c r="D237">
        <v>2</v>
      </c>
      <c r="E237" t="str">
        <f>VLOOKUP(D237,name!A:B,2,1)</f>
        <v>Tanaka</v>
      </c>
      <c r="F237" t="s">
        <v>117</v>
      </c>
      <c r="G237" t="str">
        <f t="shared" si="20"/>
        <v>a</v>
      </c>
      <c r="H237" t="str">
        <f>VLOOKUP(D237,name!A:C,3,1)</f>
        <v>assets/icons/image013.png</v>
      </c>
    </row>
    <row r="238" spans="1:8" x14ac:dyDescent="0.15">
      <c r="A238" t="s">
        <v>17</v>
      </c>
      <c r="B238">
        <v>3</v>
      </c>
      <c r="C238">
        <v>7</v>
      </c>
      <c r="D238">
        <v>2</v>
      </c>
      <c r="E238" t="str">
        <f>VLOOKUP(D238,name!A:B,2,1)</f>
        <v>Tanaka</v>
      </c>
      <c r="F238" t="s">
        <v>6</v>
      </c>
      <c r="G238" t="str">
        <f t="shared" si="20"/>
        <v>a</v>
      </c>
      <c r="H238" t="str">
        <f>VLOOKUP(D238,name!A:C,3,1)</f>
        <v>assets/icons/image013.png</v>
      </c>
    </row>
    <row r="239" spans="1:8" x14ac:dyDescent="0.15">
      <c r="A239" t="s">
        <v>17</v>
      </c>
      <c r="B239">
        <v>3</v>
      </c>
      <c r="C239">
        <v>8</v>
      </c>
      <c r="D239">
        <v>3</v>
      </c>
      <c r="E239" t="str">
        <f>VLOOKUP(D239,name!A:B,2,1)</f>
        <v>Schneider.</v>
      </c>
      <c r="F239" t="s">
        <v>119</v>
      </c>
      <c r="G239" t="str">
        <f t="shared" si="20"/>
        <v>a</v>
      </c>
      <c r="H239" t="str">
        <f>VLOOKUP(D239,name!A:C,3,1)</f>
        <v>assets/icons/image003.png</v>
      </c>
    </row>
    <row r="240" spans="1:8" x14ac:dyDescent="0.15">
      <c r="A240" t="s">
        <v>17</v>
      </c>
      <c r="B240">
        <v>3</v>
      </c>
      <c r="C240">
        <v>9</v>
      </c>
      <c r="D240">
        <v>3</v>
      </c>
      <c r="E240" t="str">
        <f>VLOOKUP(D240,name!A:B,2,1)</f>
        <v>Schneider.</v>
      </c>
      <c r="F240" t="s">
        <v>118</v>
      </c>
      <c r="G240" t="str">
        <f t="shared" si="20"/>
        <v>a</v>
      </c>
      <c r="H240" t="str">
        <f>VLOOKUP(D240,name!A:C,3,1)</f>
        <v>assets/icons/image003.png</v>
      </c>
    </row>
    <row r="241" spans="1:8" x14ac:dyDescent="0.15">
      <c r="A241" t="s">
        <v>17</v>
      </c>
      <c r="B241">
        <v>3</v>
      </c>
      <c r="C241">
        <v>10</v>
      </c>
      <c r="D241">
        <v>2</v>
      </c>
      <c r="E241" t="str">
        <f>VLOOKUP(D241,name!A:B,2,1)</f>
        <v>Tanaka</v>
      </c>
      <c r="F241" t="s">
        <v>120</v>
      </c>
      <c r="G241" t="str">
        <f t="shared" si="20"/>
        <v>a</v>
      </c>
      <c r="H241" t="str">
        <f>VLOOKUP(D241,name!A:C,3,1)</f>
        <v>assets/icons/image013.png</v>
      </c>
    </row>
    <row r="242" spans="1:8" x14ac:dyDescent="0.15">
      <c r="A242" t="s">
        <v>17</v>
      </c>
      <c r="B242">
        <v>3</v>
      </c>
      <c r="C242">
        <v>11</v>
      </c>
      <c r="D242">
        <v>2</v>
      </c>
      <c r="E242" t="str">
        <f>VLOOKUP(D242,name!A:B,2,1)</f>
        <v>Tanaka</v>
      </c>
      <c r="F242" t="s">
        <v>106</v>
      </c>
      <c r="G242" t="str">
        <f t="shared" si="20"/>
        <v>a</v>
      </c>
      <c r="H242" t="str">
        <f>VLOOKUP(D242,name!A:C,3,1)</f>
        <v>assets/icons/image013.png</v>
      </c>
    </row>
    <row r="243" spans="1:8" x14ac:dyDescent="0.15">
      <c r="A243" t="s">
        <v>17</v>
      </c>
      <c r="B243">
        <v>3</v>
      </c>
      <c r="C243">
        <v>12</v>
      </c>
      <c r="D243">
        <v>2</v>
      </c>
      <c r="E243" t="str">
        <f>VLOOKUP(D243,name!A:B,2,1)</f>
        <v>Tanaka</v>
      </c>
      <c r="F243" t="s">
        <v>121</v>
      </c>
      <c r="G243" t="str">
        <f t="shared" si="20"/>
        <v>a</v>
      </c>
      <c r="H243" t="str">
        <f>VLOOKUP(D243,name!A:C,3,1)</f>
        <v>assets/icons/image013.png</v>
      </c>
    </row>
    <row r="244" spans="1:8" x14ac:dyDescent="0.15">
      <c r="A244" t="s">
        <v>17</v>
      </c>
      <c r="B244">
        <v>3</v>
      </c>
      <c r="C244">
        <v>13</v>
      </c>
      <c r="D244">
        <v>2</v>
      </c>
      <c r="E244" t="str">
        <f>VLOOKUP(D244,name!A:B,2,1)</f>
        <v>Tanaka</v>
      </c>
      <c r="F244" t="s">
        <v>107</v>
      </c>
      <c r="G244" t="str">
        <f t="shared" si="20"/>
        <v>a</v>
      </c>
      <c r="H244" t="str">
        <f>VLOOKUP(D244,name!A:C,3,1)</f>
        <v>assets/icons/image013.png</v>
      </c>
    </row>
    <row r="245" spans="1:8" x14ac:dyDescent="0.15">
      <c r="A245" t="s">
        <v>17</v>
      </c>
      <c r="B245">
        <v>3</v>
      </c>
      <c r="C245">
        <v>14</v>
      </c>
      <c r="D245">
        <v>2</v>
      </c>
      <c r="E245" t="str">
        <f>VLOOKUP(D245,name!A:B,2,1)</f>
        <v>Tanaka</v>
      </c>
      <c r="F245" t="s">
        <v>122</v>
      </c>
      <c r="G245" t="str">
        <f t="shared" si="20"/>
        <v>a</v>
      </c>
      <c r="H245" t="str">
        <f>VLOOKUP(D245,name!A:C,3,1)</f>
        <v>assets/icons/image013.png</v>
      </c>
    </row>
    <row r="246" spans="1:8" x14ac:dyDescent="0.15">
      <c r="A246" t="s">
        <v>17</v>
      </c>
      <c r="B246">
        <v>3</v>
      </c>
      <c r="C246">
        <v>15</v>
      </c>
      <c r="D246">
        <v>2</v>
      </c>
      <c r="E246" t="str">
        <f>VLOOKUP(D246,name!A:B,2,1)</f>
        <v>Tanaka</v>
      </c>
      <c r="F246" t="s">
        <v>108</v>
      </c>
      <c r="G246" t="str">
        <f t="shared" si="20"/>
        <v>a</v>
      </c>
      <c r="H246" t="str">
        <f>VLOOKUP(D246,name!A:C,3,1)</f>
        <v>assets/icons/image013.png</v>
      </c>
    </row>
    <row r="247" spans="1:8" x14ac:dyDescent="0.15">
      <c r="A247" t="s">
        <v>17</v>
      </c>
      <c r="B247">
        <v>3</v>
      </c>
      <c r="C247">
        <v>16</v>
      </c>
      <c r="D247">
        <v>2</v>
      </c>
      <c r="E247" t="str">
        <f>VLOOKUP(D247,name!A:B,2,1)</f>
        <v>Tanaka</v>
      </c>
      <c r="F247" t="s">
        <v>123</v>
      </c>
      <c r="G247" t="str">
        <f t="shared" si="20"/>
        <v>a</v>
      </c>
      <c r="H247" t="str">
        <f>VLOOKUP(D247,name!A:C,3,1)</f>
        <v>assets/icons/image013.png</v>
      </c>
    </row>
    <row r="248" spans="1:8" x14ac:dyDescent="0.15">
      <c r="A248" t="s">
        <v>17</v>
      </c>
      <c r="B248">
        <v>3</v>
      </c>
      <c r="C248">
        <v>17</v>
      </c>
      <c r="D248">
        <v>2</v>
      </c>
      <c r="E248" t="str">
        <f>VLOOKUP(D248,name!A:B,2,1)</f>
        <v>Tanaka</v>
      </c>
      <c r="F248" t="s">
        <v>109</v>
      </c>
      <c r="G248" t="str">
        <f t="shared" si="20"/>
        <v>a</v>
      </c>
      <c r="H248" t="str">
        <f>VLOOKUP(D248,name!A:C,3,1)</f>
        <v>assets/icons/image013.png</v>
      </c>
    </row>
    <row r="249" spans="1:8" x14ac:dyDescent="0.15">
      <c r="A249" t="s">
        <v>17</v>
      </c>
      <c r="B249">
        <v>3</v>
      </c>
      <c r="C249">
        <v>18</v>
      </c>
      <c r="D249">
        <v>9</v>
      </c>
      <c r="E249" t="str">
        <f>VLOOKUP(D249,name!A:B,2,1)</f>
        <v>Bauer</v>
      </c>
      <c r="F249" t="s">
        <v>126</v>
      </c>
      <c r="G249" t="str">
        <f t="shared" si="20"/>
        <v>a</v>
      </c>
      <c r="H249" t="str">
        <f>VLOOKUP(D249,name!A:C,3,1)</f>
        <v>assets/icons/image009.png</v>
      </c>
    </row>
    <row r="250" spans="1:8" x14ac:dyDescent="0.15">
      <c r="A250" t="s">
        <v>17</v>
      </c>
      <c r="B250">
        <v>3</v>
      </c>
      <c r="C250">
        <v>19</v>
      </c>
      <c r="D250">
        <v>9</v>
      </c>
      <c r="E250" t="str">
        <f>VLOOKUP(D250,name!A:B,2,1)</f>
        <v>Bauer</v>
      </c>
      <c r="F250" t="s">
        <v>110</v>
      </c>
      <c r="G250" t="str">
        <f t="shared" si="20"/>
        <v>a</v>
      </c>
      <c r="H250" t="str">
        <f>VLOOKUP(D250,name!A:C,3,1)</f>
        <v>assets/icons/image009.png</v>
      </c>
    </row>
    <row r="251" spans="1:8" x14ac:dyDescent="0.15">
      <c r="A251" t="s">
        <v>17</v>
      </c>
      <c r="B251">
        <v>3</v>
      </c>
      <c r="C251">
        <v>20</v>
      </c>
      <c r="D251">
        <v>3</v>
      </c>
      <c r="E251" t="str">
        <f>VLOOKUP(D251,name!A:B,2,1)</f>
        <v>Schneider.</v>
      </c>
      <c r="F251" t="s">
        <v>128</v>
      </c>
      <c r="G251" t="str">
        <f t="shared" si="20"/>
        <v>a</v>
      </c>
      <c r="H251" t="str">
        <f>VLOOKUP(D251,name!A:C,3,1)</f>
        <v>assets/icons/image003.png</v>
      </c>
    </row>
    <row r="252" spans="1:8" x14ac:dyDescent="0.15">
      <c r="A252" t="s">
        <v>17</v>
      </c>
      <c r="B252">
        <v>3</v>
      </c>
      <c r="C252">
        <v>21</v>
      </c>
      <c r="D252">
        <v>3</v>
      </c>
      <c r="E252" t="str">
        <f>VLOOKUP(D252,name!A:B,2,1)</f>
        <v>Schneider.</v>
      </c>
      <c r="F252" t="s">
        <v>127</v>
      </c>
      <c r="G252" t="str">
        <f t="shared" si="20"/>
        <v>a</v>
      </c>
      <c r="H252" t="str">
        <f>VLOOKUP(D252,name!A:C,3,1)</f>
        <v>assets/icons/image003.png</v>
      </c>
    </row>
    <row r="253" spans="1:8" x14ac:dyDescent="0.15">
      <c r="A253" t="s">
        <v>17</v>
      </c>
      <c r="B253">
        <v>3</v>
      </c>
      <c r="C253">
        <v>22</v>
      </c>
      <c r="D253">
        <v>1</v>
      </c>
      <c r="E253" t="str">
        <f>VLOOKUP(D253,name!A:B,2,1)</f>
        <v>Navigator</v>
      </c>
      <c r="F253" t="str">
        <f>"次の"&amp;A536&amp;"を真似してね！"</f>
        <v>次のを真似してね！</v>
      </c>
      <c r="G253" t="str">
        <f t="shared" si="20"/>
        <v>a</v>
      </c>
      <c r="H253" t="str">
        <f>VLOOKUP(D253,name!A:C,3,1)</f>
        <v>assets/icons/image014.png</v>
      </c>
    </row>
    <row r="254" spans="1:8" x14ac:dyDescent="0.15">
      <c r="A254" t="s">
        <v>17</v>
      </c>
      <c r="B254">
        <v>3</v>
      </c>
      <c r="C254">
        <v>23</v>
      </c>
      <c r="D254">
        <v>3</v>
      </c>
      <c r="E254" t="str">
        <f>VLOOKUP(D254,name!A:B,2,1)</f>
        <v>Schneider.</v>
      </c>
      <c r="F254" t="s">
        <v>112</v>
      </c>
      <c r="G254" t="str">
        <f t="shared" si="20"/>
        <v>a</v>
      </c>
      <c r="H254" t="str">
        <f>VLOOKUP(D254,name!A:C,3,1)</f>
        <v>assets/icons/image003.png</v>
      </c>
    </row>
    <row r="255" spans="1:8" x14ac:dyDescent="0.15">
      <c r="A255" t="s">
        <v>17</v>
      </c>
      <c r="B255">
        <v>3</v>
      </c>
      <c r="C255">
        <v>24</v>
      </c>
      <c r="D255">
        <v>3</v>
      </c>
      <c r="E255" t="str">
        <f>VLOOKUP(D255,name!A:B,2,1)</f>
        <v>Schneider.</v>
      </c>
      <c r="F255" t="s">
        <v>113</v>
      </c>
      <c r="G255" t="str">
        <f t="shared" si="20"/>
        <v>a</v>
      </c>
      <c r="H255" t="str">
        <f>VLOOKUP(D255,name!A:C,3,1)</f>
        <v>assets/icons/image003.png</v>
      </c>
    </row>
    <row r="256" spans="1:8" x14ac:dyDescent="0.15">
      <c r="A256" t="s">
        <v>17</v>
      </c>
      <c r="B256">
        <v>3</v>
      </c>
      <c r="C256">
        <v>25</v>
      </c>
      <c r="D256">
        <v>0</v>
      </c>
      <c r="E256" t="str">
        <f>VLOOKUP(D256,name!A:B,2,1)</f>
        <v>Player</v>
      </c>
      <c r="F256" t="s">
        <v>113</v>
      </c>
      <c r="G256" t="str">
        <f t="shared" si="20"/>
        <v>q</v>
      </c>
      <c r="H256" t="str">
        <f>VLOOKUP(D256,name!A:C,3,1)</f>
        <v>assets/icons/image326.png</v>
      </c>
    </row>
    <row r="257" spans="1:8" x14ac:dyDescent="0.15">
      <c r="A257" t="s">
        <v>17</v>
      </c>
      <c r="B257">
        <v>3</v>
      </c>
      <c r="C257">
        <v>26</v>
      </c>
      <c r="D257">
        <v>2</v>
      </c>
      <c r="E257" t="str">
        <f>VLOOKUP(D257,name!A:B,2,1)</f>
        <v>Tanaka</v>
      </c>
      <c r="F257" t="s">
        <v>117</v>
      </c>
      <c r="G257" t="str">
        <f t="shared" si="20"/>
        <v>a</v>
      </c>
      <c r="H257" t="str">
        <f>VLOOKUP(D257,name!A:C,3,1)</f>
        <v>assets/icons/image013.png</v>
      </c>
    </row>
    <row r="258" spans="1:8" x14ac:dyDescent="0.15">
      <c r="A258" t="s">
        <v>17</v>
      </c>
      <c r="B258">
        <v>3</v>
      </c>
      <c r="C258">
        <v>27</v>
      </c>
      <c r="D258">
        <v>2</v>
      </c>
      <c r="E258" t="str">
        <f>VLOOKUP(D258,name!A:B,2,1)</f>
        <v>Tanaka</v>
      </c>
      <c r="F258" t="s">
        <v>6</v>
      </c>
      <c r="G258" t="str">
        <f t="shared" si="20"/>
        <v>a</v>
      </c>
      <c r="H258" t="str">
        <f>VLOOKUP(D258,name!A:C,3,1)</f>
        <v>assets/icons/image013.png</v>
      </c>
    </row>
    <row r="259" spans="1:8" x14ac:dyDescent="0.15">
      <c r="A259" t="s">
        <v>17</v>
      </c>
      <c r="B259">
        <v>3</v>
      </c>
      <c r="C259">
        <v>28</v>
      </c>
      <c r="D259">
        <v>0</v>
      </c>
      <c r="E259" t="str">
        <f>VLOOKUP(D259,name!A:B,2,1)</f>
        <v>Player</v>
      </c>
      <c r="F259" t="s">
        <v>6</v>
      </c>
      <c r="G259" t="str">
        <f t="shared" si="20"/>
        <v>q</v>
      </c>
      <c r="H259" t="str">
        <f>VLOOKUP(D259,name!A:C,3,1)</f>
        <v>assets/icons/image326.png</v>
      </c>
    </row>
    <row r="260" spans="1:8" x14ac:dyDescent="0.15">
      <c r="A260" t="s">
        <v>17</v>
      </c>
      <c r="B260">
        <v>3</v>
      </c>
      <c r="C260">
        <v>29</v>
      </c>
      <c r="D260">
        <v>3</v>
      </c>
      <c r="E260" t="str">
        <f>VLOOKUP(D260,name!A:B,2,1)</f>
        <v>Schneider.</v>
      </c>
      <c r="F260" t="s">
        <v>119</v>
      </c>
      <c r="G260" t="str">
        <f t="shared" si="20"/>
        <v>a</v>
      </c>
      <c r="H260" t="str">
        <f>VLOOKUP(D260,name!A:C,3,1)</f>
        <v>assets/icons/image003.png</v>
      </c>
    </row>
    <row r="261" spans="1:8" x14ac:dyDescent="0.15">
      <c r="A261" t="s">
        <v>17</v>
      </c>
      <c r="B261">
        <v>3</v>
      </c>
      <c r="C261">
        <v>30</v>
      </c>
      <c r="D261">
        <v>3</v>
      </c>
      <c r="E261" t="str">
        <f>VLOOKUP(D261,name!A:B,2,1)</f>
        <v>Schneider.</v>
      </c>
      <c r="F261" t="s">
        <v>118</v>
      </c>
      <c r="G261" t="str">
        <f t="shared" si="20"/>
        <v>a</v>
      </c>
      <c r="H261" t="str">
        <f>VLOOKUP(D261,name!A:C,3,1)</f>
        <v>assets/icons/image003.png</v>
      </c>
    </row>
    <row r="262" spans="1:8" x14ac:dyDescent="0.15">
      <c r="A262" t="s">
        <v>17</v>
      </c>
      <c r="B262">
        <v>3</v>
      </c>
      <c r="C262">
        <v>31</v>
      </c>
      <c r="D262">
        <v>0</v>
      </c>
      <c r="E262" t="str">
        <f>VLOOKUP(D262,name!A:B,2,1)</f>
        <v>Player</v>
      </c>
      <c r="F262" t="s">
        <v>118</v>
      </c>
      <c r="G262" t="str">
        <f t="shared" si="20"/>
        <v>q</v>
      </c>
      <c r="H262" t="str">
        <f>VLOOKUP(D262,name!A:C,3,1)</f>
        <v>assets/icons/image326.png</v>
      </c>
    </row>
    <row r="263" spans="1:8" x14ac:dyDescent="0.15">
      <c r="A263" t="s">
        <v>17</v>
      </c>
      <c r="B263">
        <v>3</v>
      </c>
      <c r="C263">
        <v>32</v>
      </c>
      <c r="D263">
        <v>2</v>
      </c>
      <c r="E263" t="str">
        <f>VLOOKUP(D263,name!A:B,2,1)</f>
        <v>Tanaka</v>
      </c>
      <c r="F263" t="s">
        <v>120</v>
      </c>
      <c r="G263" t="str">
        <f t="shared" si="20"/>
        <v>a</v>
      </c>
      <c r="H263" t="str">
        <f>VLOOKUP(D263,name!A:C,3,1)</f>
        <v>assets/icons/image013.png</v>
      </c>
    </row>
    <row r="264" spans="1:8" x14ac:dyDescent="0.15">
      <c r="A264" t="s">
        <v>17</v>
      </c>
      <c r="B264">
        <v>3</v>
      </c>
      <c r="C264">
        <v>33</v>
      </c>
      <c r="D264">
        <v>2</v>
      </c>
      <c r="E264" t="str">
        <f>VLOOKUP(D264,name!A:B,2,1)</f>
        <v>Tanaka</v>
      </c>
      <c r="F264" t="s">
        <v>106</v>
      </c>
      <c r="G264" t="str">
        <f t="shared" si="20"/>
        <v>a</v>
      </c>
      <c r="H264" t="str">
        <f>VLOOKUP(D264,name!A:C,3,1)</f>
        <v>assets/icons/image013.png</v>
      </c>
    </row>
    <row r="265" spans="1:8" x14ac:dyDescent="0.15">
      <c r="A265" t="s">
        <v>17</v>
      </c>
      <c r="B265">
        <v>3</v>
      </c>
      <c r="C265">
        <v>34</v>
      </c>
      <c r="D265">
        <v>0</v>
      </c>
      <c r="E265" t="str">
        <f>VLOOKUP(D265,name!A:B,2,1)</f>
        <v>Player</v>
      </c>
      <c r="F265" t="s">
        <v>106</v>
      </c>
      <c r="G265" t="str">
        <f t="shared" si="20"/>
        <v>q</v>
      </c>
      <c r="H265" t="str">
        <f>VLOOKUP(D265,name!A:C,3,1)</f>
        <v>assets/icons/image326.png</v>
      </c>
    </row>
    <row r="266" spans="1:8" x14ac:dyDescent="0.15">
      <c r="A266" t="s">
        <v>17</v>
      </c>
      <c r="B266">
        <v>3</v>
      </c>
      <c r="C266">
        <v>35</v>
      </c>
      <c r="D266">
        <v>2</v>
      </c>
      <c r="E266" t="str">
        <f>VLOOKUP(D266,name!A:B,2,1)</f>
        <v>Tanaka</v>
      </c>
      <c r="F266" t="s">
        <v>121</v>
      </c>
      <c r="G266" t="str">
        <f t="shared" si="20"/>
        <v>a</v>
      </c>
      <c r="H266" t="str">
        <f>VLOOKUP(D266,name!A:C,3,1)</f>
        <v>assets/icons/image013.png</v>
      </c>
    </row>
    <row r="267" spans="1:8" x14ac:dyDescent="0.15">
      <c r="A267" t="s">
        <v>17</v>
      </c>
      <c r="B267">
        <v>3</v>
      </c>
      <c r="C267">
        <v>36</v>
      </c>
      <c r="D267">
        <v>2</v>
      </c>
      <c r="E267" t="str">
        <f>VLOOKUP(D267,name!A:B,2,1)</f>
        <v>Tanaka</v>
      </c>
      <c r="F267" t="s">
        <v>107</v>
      </c>
      <c r="G267" t="str">
        <f t="shared" si="20"/>
        <v>a</v>
      </c>
      <c r="H267" t="str">
        <f>VLOOKUP(D267,name!A:C,3,1)</f>
        <v>assets/icons/image013.png</v>
      </c>
    </row>
    <row r="268" spans="1:8" x14ac:dyDescent="0.15">
      <c r="A268" t="s">
        <v>17</v>
      </c>
      <c r="B268">
        <v>3</v>
      </c>
      <c r="C268">
        <v>37</v>
      </c>
      <c r="D268">
        <v>0</v>
      </c>
      <c r="E268" t="str">
        <f>VLOOKUP(D268,name!A:B,2,1)</f>
        <v>Player</v>
      </c>
      <c r="F268" t="s">
        <v>107</v>
      </c>
      <c r="G268" t="str">
        <f t="shared" si="20"/>
        <v>q</v>
      </c>
      <c r="H268" t="str">
        <f>VLOOKUP(D268,name!A:C,3,1)</f>
        <v>assets/icons/image326.png</v>
      </c>
    </row>
    <row r="269" spans="1:8" x14ac:dyDescent="0.15">
      <c r="A269" t="s">
        <v>17</v>
      </c>
      <c r="B269">
        <v>3</v>
      </c>
      <c r="C269">
        <v>38</v>
      </c>
      <c r="D269">
        <v>2</v>
      </c>
      <c r="E269" t="str">
        <f>VLOOKUP(D269,name!A:B,2,1)</f>
        <v>Tanaka</v>
      </c>
      <c r="F269" t="s">
        <v>122</v>
      </c>
      <c r="G269" t="str">
        <f t="shared" si="20"/>
        <v>a</v>
      </c>
      <c r="H269" t="str">
        <f>VLOOKUP(D269,name!A:C,3,1)</f>
        <v>assets/icons/image013.png</v>
      </c>
    </row>
    <row r="270" spans="1:8" x14ac:dyDescent="0.15">
      <c r="A270" t="s">
        <v>17</v>
      </c>
      <c r="B270">
        <v>3</v>
      </c>
      <c r="C270">
        <v>39</v>
      </c>
      <c r="D270">
        <v>2</v>
      </c>
      <c r="E270" t="str">
        <f>VLOOKUP(D270,name!A:B,2,1)</f>
        <v>Tanaka</v>
      </c>
      <c r="F270" t="s">
        <v>108</v>
      </c>
      <c r="G270" t="str">
        <f t="shared" si="20"/>
        <v>a</v>
      </c>
      <c r="H270" t="str">
        <f>VLOOKUP(D270,name!A:C,3,1)</f>
        <v>assets/icons/image013.png</v>
      </c>
    </row>
    <row r="271" spans="1:8" x14ac:dyDescent="0.15">
      <c r="A271" t="s">
        <v>17</v>
      </c>
      <c r="B271">
        <v>3</v>
      </c>
      <c r="C271">
        <v>40</v>
      </c>
      <c r="D271">
        <v>0</v>
      </c>
      <c r="E271" t="str">
        <f>VLOOKUP(D271,name!A:B,2,1)</f>
        <v>Player</v>
      </c>
      <c r="F271" t="s">
        <v>108</v>
      </c>
      <c r="G271" t="str">
        <f t="shared" si="20"/>
        <v>q</v>
      </c>
      <c r="H271" t="str">
        <f>VLOOKUP(D271,name!A:C,3,1)</f>
        <v>assets/icons/image326.png</v>
      </c>
    </row>
    <row r="272" spans="1:8" x14ac:dyDescent="0.15">
      <c r="A272" t="s">
        <v>17</v>
      </c>
      <c r="B272">
        <v>3</v>
      </c>
      <c r="C272">
        <v>41</v>
      </c>
      <c r="D272">
        <v>2</v>
      </c>
      <c r="E272" t="str">
        <f>VLOOKUP(D272,name!A:B,2,1)</f>
        <v>Tanaka</v>
      </c>
      <c r="F272" t="s">
        <v>123</v>
      </c>
      <c r="G272" t="str">
        <f t="shared" si="20"/>
        <v>a</v>
      </c>
      <c r="H272" t="str">
        <f>VLOOKUP(D272,name!A:C,3,1)</f>
        <v>assets/icons/image013.png</v>
      </c>
    </row>
    <row r="273" spans="1:8" x14ac:dyDescent="0.15">
      <c r="A273" t="s">
        <v>17</v>
      </c>
      <c r="B273">
        <v>3</v>
      </c>
      <c r="C273">
        <v>42</v>
      </c>
      <c r="D273">
        <v>2</v>
      </c>
      <c r="E273" t="str">
        <f>VLOOKUP(D273,name!A:B,2,1)</f>
        <v>Tanaka</v>
      </c>
      <c r="F273" t="s">
        <v>109</v>
      </c>
      <c r="G273" t="str">
        <f t="shared" si="20"/>
        <v>a</v>
      </c>
      <c r="H273" t="str">
        <f>VLOOKUP(D273,name!A:C,3,1)</f>
        <v>assets/icons/image013.png</v>
      </c>
    </row>
    <row r="274" spans="1:8" x14ac:dyDescent="0.15">
      <c r="A274" t="s">
        <v>17</v>
      </c>
      <c r="B274">
        <v>3</v>
      </c>
      <c r="C274">
        <v>43</v>
      </c>
      <c r="D274">
        <v>0</v>
      </c>
      <c r="E274" t="str">
        <f>VLOOKUP(D274,name!A:B,2,1)</f>
        <v>Player</v>
      </c>
      <c r="F274" t="s">
        <v>109</v>
      </c>
      <c r="G274" t="str">
        <f t="shared" si="20"/>
        <v>q</v>
      </c>
      <c r="H274" t="str">
        <f>VLOOKUP(D274,name!A:C,3,1)</f>
        <v>assets/icons/image326.png</v>
      </c>
    </row>
    <row r="275" spans="1:8" x14ac:dyDescent="0.15">
      <c r="A275" t="s">
        <v>17</v>
      </c>
      <c r="B275">
        <v>3</v>
      </c>
      <c r="C275">
        <v>44</v>
      </c>
      <c r="D275">
        <v>9</v>
      </c>
      <c r="E275" t="str">
        <f>VLOOKUP(D275,name!A:B,2,1)</f>
        <v>Bauer</v>
      </c>
      <c r="F275" t="s">
        <v>126</v>
      </c>
      <c r="G275" t="str">
        <f t="shared" si="20"/>
        <v>a</v>
      </c>
      <c r="H275" t="str">
        <f>VLOOKUP(D275,name!A:C,3,1)</f>
        <v>assets/icons/image009.png</v>
      </c>
    </row>
    <row r="276" spans="1:8" x14ac:dyDescent="0.15">
      <c r="A276" t="s">
        <v>17</v>
      </c>
      <c r="B276">
        <v>3</v>
      </c>
      <c r="C276">
        <v>45</v>
      </c>
      <c r="D276">
        <v>9</v>
      </c>
      <c r="E276" t="str">
        <f>VLOOKUP(D276,name!A:B,2,1)</f>
        <v>Bauer</v>
      </c>
      <c r="F276" t="s">
        <v>110</v>
      </c>
      <c r="G276" t="str">
        <f t="shared" si="20"/>
        <v>a</v>
      </c>
      <c r="H276" t="str">
        <f>VLOOKUP(D276,name!A:C,3,1)</f>
        <v>assets/icons/image009.png</v>
      </c>
    </row>
    <row r="277" spans="1:8" x14ac:dyDescent="0.15">
      <c r="A277" t="s">
        <v>17</v>
      </c>
      <c r="B277">
        <v>3</v>
      </c>
      <c r="C277">
        <v>46</v>
      </c>
      <c r="D277">
        <v>0</v>
      </c>
      <c r="E277" t="str">
        <f>VLOOKUP(D277,name!A:B,2,1)</f>
        <v>Player</v>
      </c>
      <c r="F277" t="s">
        <v>110</v>
      </c>
      <c r="G277" t="str">
        <f t="shared" si="20"/>
        <v>q</v>
      </c>
      <c r="H277" t="str">
        <f>VLOOKUP(D277,name!A:C,3,1)</f>
        <v>assets/icons/image326.png</v>
      </c>
    </row>
    <row r="278" spans="1:8" x14ac:dyDescent="0.15">
      <c r="A278" t="s">
        <v>17</v>
      </c>
      <c r="B278">
        <v>3</v>
      </c>
      <c r="C278">
        <v>47</v>
      </c>
      <c r="D278">
        <v>3</v>
      </c>
      <c r="E278" t="str">
        <f>VLOOKUP(D278,name!A:B,2,1)</f>
        <v>Schneider.</v>
      </c>
      <c r="F278" t="s">
        <v>128</v>
      </c>
      <c r="G278" t="str">
        <f t="shared" si="20"/>
        <v>a</v>
      </c>
      <c r="H278" t="str">
        <f>VLOOKUP(D278,name!A:C,3,1)</f>
        <v>assets/icons/image003.png</v>
      </c>
    </row>
    <row r="279" spans="1:8" x14ac:dyDescent="0.15">
      <c r="A279" t="s">
        <v>17</v>
      </c>
      <c r="B279">
        <v>3</v>
      </c>
      <c r="C279">
        <v>48</v>
      </c>
      <c r="D279">
        <v>3</v>
      </c>
      <c r="E279" t="str">
        <f>VLOOKUP(D279,name!A:B,2,1)</f>
        <v>Schneider.</v>
      </c>
      <c r="F279" t="s">
        <v>127</v>
      </c>
      <c r="G279" t="str">
        <f t="shared" si="20"/>
        <v>a</v>
      </c>
      <c r="H279" t="str">
        <f>VLOOKUP(D279,name!A:C,3,1)</f>
        <v>assets/icons/image003.png</v>
      </c>
    </row>
    <row r="280" spans="1:8" x14ac:dyDescent="0.15">
      <c r="A280" t="s">
        <v>17</v>
      </c>
      <c r="B280">
        <v>3</v>
      </c>
      <c r="C280">
        <v>49</v>
      </c>
      <c r="D280">
        <v>0</v>
      </c>
      <c r="E280" t="str">
        <f>VLOOKUP(D280,name!A:B,2,1)</f>
        <v>Player</v>
      </c>
      <c r="F280" t="s">
        <v>127</v>
      </c>
      <c r="G280" t="str">
        <f t="shared" si="20"/>
        <v>q</v>
      </c>
      <c r="H280" t="str">
        <f>VLOOKUP(D280,name!A:C,3,1)</f>
        <v>assets/icons/image326.png</v>
      </c>
    </row>
    <row r="281" spans="1:8" x14ac:dyDescent="0.15">
      <c r="A281" t="s">
        <v>17</v>
      </c>
      <c r="B281">
        <v>3</v>
      </c>
      <c r="C281">
        <v>50</v>
      </c>
      <c r="D281">
        <v>1</v>
      </c>
      <c r="E281" t="str">
        <f>VLOOKUP(D281,name!A:B,2,1)</f>
        <v>Navigator</v>
      </c>
      <c r="F281" t="s">
        <v>71</v>
      </c>
      <c r="G281" t="str">
        <f t="shared" si="20"/>
        <v>a</v>
      </c>
      <c r="H281" t="str">
        <f>VLOOKUP(D281,name!A:C,3,1)</f>
        <v>assets/icons/image014.png</v>
      </c>
    </row>
    <row r="282" spans="1:8" x14ac:dyDescent="0.15">
      <c r="A282" t="s">
        <v>17</v>
      </c>
      <c r="B282">
        <v>3</v>
      </c>
      <c r="C282">
        <v>51</v>
      </c>
      <c r="D282">
        <v>3</v>
      </c>
      <c r="E282" t="str">
        <f>VLOOKUP(D282,name!A:B,2,1)</f>
        <v>Schneider.</v>
      </c>
      <c r="F282" t="s">
        <v>112</v>
      </c>
      <c r="G282" t="str">
        <f t="shared" si="20"/>
        <v>a</v>
      </c>
      <c r="H282" t="str">
        <f>VLOOKUP(D282,name!A:C,3,1)</f>
        <v>assets/icons/image003.png</v>
      </c>
    </row>
    <row r="283" spans="1:8" x14ac:dyDescent="0.15">
      <c r="A283" t="s">
        <v>17</v>
      </c>
      <c r="B283">
        <v>3</v>
      </c>
      <c r="C283">
        <v>52</v>
      </c>
      <c r="D283">
        <v>3</v>
      </c>
      <c r="E283" t="str">
        <f>VLOOKUP(D283,name!A:B,2,1)</f>
        <v>Schneider.</v>
      </c>
      <c r="F283" t="s">
        <v>113</v>
      </c>
      <c r="G283" t="str">
        <f t="shared" si="20"/>
        <v>a</v>
      </c>
      <c r="H283" t="str">
        <f>VLOOKUP(D283,name!A:C,3,1)</f>
        <v>assets/icons/image003.png</v>
      </c>
    </row>
    <row r="284" spans="1:8" x14ac:dyDescent="0.15">
      <c r="A284" t="s">
        <v>17</v>
      </c>
      <c r="B284">
        <v>3</v>
      </c>
      <c r="C284">
        <v>53</v>
      </c>
      <c r="D284">
        <v>2</v>
      </c>
      <c r="E284" t="str">
        <f>VLOOKUP(D284,name!A:B,2,1)</f>
        <v>Tanaka</v>
      </c>
      <c r="F284" t="s">
        <v>117</v>
      </c>
      <c r="G284" t="str">
        <f t="shared" si="20"/>
        <v>a</v>
      </c>
      <c r="H284" t="str">
        <f>VLOOKUP(D284,name!A:C,3,1)</f>
        <v>assets/icons/image013.png</v>
      </c>
    </row>
    <row r="285" spans="1:8" x14ac:dyDescent="0.15">
      <c r="A285" t="s">
        <v>17</v>
      </c>
      <c r="B285">
        <v>3</v>
      </c>
      <c r="C285">
        <v>54</v>
      </c>
      <c r="D285">
        <v>2</v>
      </c>
      <c r="E285" t="str">
        <f>VLOOKUP(D285,name!A:B,2,1)</f>
        <v>Tanaka</v>
      </c>
      <c r="F285" t="s">
        <v>6</v>
      </c>
      <c r="G285" t="str">
        <f t="shared" si="20"/>
        <v>a</v>
      </c>
      <c r="H285" t="str">
        <f>VLOOKUP(D285,name!A:C,3,1)</f>
        <v>assets/icons/image013.png</v>
      </c>
    </row>
    <row r="286" spans="1:8" x14ac:dyDescent="0.15">
      <c r="A286" t="s">
        <v>17</v>
      </c>
      <c r="B286">
        <v>3</v>
      </c>
      <c r="C286">
        <v>55</v>
      </c>
      <c r="D286">
        <v>3</v>
      </c>
      <c r="E286" t="str">
        <f>VLOOKUP(D286,name!A:B,2,1)</f>
        <v>Schneider.</v>
      </c>
      <c r="F286" t="s">
        <v>119</v>
      </c>
      <c r="G286" t="str">
        <f t="shared" si="20"/>
        <v>a</v>
      </c>
      <c r="H286" t="str">
        <f>VLOOKUP(D286,name!A:C,3,1)</f>
        <v>assets/icons/image003.png</v>
      </c>
    </row>
    <row r="287" spans="1:8" x14ac:dyDescent="0.15">
      <c r="A287" t="s">
        <v>17</v>
      </c>
      <c r="B287">
        <v>3</v>
      </c>
      <c r="C287">
        <v>56</v>
      </c>
      <c r="D287">
        <v>3</v>
      </c>
      <c r="E287" t="str">
        <f>VLOOKUP(D287,name!A:B,2,1)</f>
        <v>Schneider.</v>
      </c>
      <c r="F287" t="s">
        <v>118</v>
      </c>
      <c r="G287" t="str">
        <f t="shared" si="20"/>
        <v>a</v>
      </c>
      <c r="H287" t="str">
        <f>VLOOKUP(D287,name!A:C,3,1)</f>
        <v>assets/icons/image003.png</v>
      </c>
    </row>
    <row r="288" spans="1:8" x14ac:dyDescent="0.15">
      <c r="A288" t="s">
        <v>17</v>
      </c>
      <c r="B288">
        <v>3</v>
      </c>
      <c r="C288">
        <v>57</v>
      </c>
      <c r="D288">
        <v>2</v>
      </c>
      <c r="E288" t="str">
        <f>VLOOKUP(D288,name!A:B,2,1)</f>
        <v>Tanaka</v>
      </c>
      <c r="F288" t="s">
        <v>120</v>
      </c>
      <c r="G288" t="str">
        <f t="shared" si="20"/>
        <v>a</v>
      </c>
      <c r="H288" t="str">
        <f>VLOOKUP(D288,name!A:C,3,1)</f>
        <v>assets/icons/image013.png</v>
      </c>
    </row>
    <row r="289" spans="1:12" x14ac:dyDescent="0.15">
      <c r="A289" t="s">
        <v>17</v>
      </c>
      <c r="B289">
        <v>3</v>
      </c>
      <c r="C289">
        <v>58</v>
      </c>
      <c r="D289">
        <v>2</v>
      </c>
      <c r="E289" t="str">
        <f>VLOOKUP(D289,name!A:B,2,1)</f>
        <v>Tanaka</v>
      </c>
      <c r="F289" t="s">
        <v>106</v>
      </c>
      <c r="G289" t="str">
        <f t="shared" si="20"/>
        <v>a</v>
      </c>
      <c r="H289" t="str">
        <f>VLOOKUP(D289,name!A:C,3,1)</f>
        <v>assets/icons/image013.png</v>
      </c>
    </row>
    <row r="290" spans="1:12" x14ac:dyDescent="0.15">
      <c r="A290" t="s">
        <v>17</v>
      </c>
      <c r="B290">
        <v>3</v>
      </c>
      <c r="C290">
        <v>59</v>
      </c>
      <c r="D290">
        <v>2</v>
      </c>
      <c r="E290" t="str">
        <f>VLOOKUP(D290,name!A:B,2,1)</f>
        <v>Tanaka</v>
      </c>
      <c r="F290" t="s">
        <v>121</v>
      </c>
      <c r="G290" t="str">
        <f t="shared" si="20"/>
        <v>a</v>
      </c>
      <c r="H290" t="str">
        <f>VLOOKUP(D290,name!A:C,3,1)</f>
        <v>assets/icons/image013.png</v>
      </c>
    </row>
    <row r="291" spans="1:12" x14ac:dyDescent="0.15">
      <c r="A291" t="s">
        <v>17</v>
      </c>
      <c r="B291">
        <v>3</v>
      </c>
      <c r="C291">
        <v>60</v>
      </c>
      <c r="D291">
        <v>2</v>
      </c>
      <c r="E291" t="str">
        <f>VLOOKUP(D291,name!A:B,2,1)</f>
        <v>Tanaka</v>
      </c>
      <c r="F291" t="s">
        <v>107</v>
      </c>
      <c r="G291" t="str">
        <f t="shared" si="20"/>
        <v>a</v>
      </c>
      <c r="H291" t="str">
        <f>VLOOKUP(D291,name!A:C,3,1)</f>
        <v>assets/icons/image013.png</v>
      </c>
    </row>
    <row r="292" spans="1:12" x14ac:dyDescent="0.15">
      <c r="A292" t="s">
        <v>17</v>
      </c>
      <c r="B292">
        <v>3</v>
      </c>
      <c r="C292">
        <v>61</v>
      </c>
      <c r="D292">
        <v>2</v>
      </c>
      <c r="E292" t="str">
        <f>VLOOKUP(D292,name!A:B,2,1)</f>
        <v>Tanaka</v>
      </c>
      <c r="F292" t="s">
        <v>122</v>
      </c>
      <c r="G292" t="str">
        <f t="shared" si="20"/>
        <v>a</v>
      </c>
      <c r="H292" t="str">
        <f>VLOOKUP(D292,name!A:C,3,1)</f>
        <v>assets/icons/image013.png</v>
      </c>
    </row>
    <row r="293" spans="1:12" x14ac:dyDescent="0.15">
      <c r="A293" t="s">
        <v>17</v>
      </c>
      <c r="B293">
        <v>3</v>
      </c>
      <c r="C293">
        <v>62</v>
      </c>
      <c r="D293">
        <v>2</v>
      </c>
      <c r="E293" t="str">
        <f>VLOOKUP(D293,name!A:B,2,1)</f>
        <v>Tanaka</v>
      </c>
      <c r="F293" t="s">
        <v>108</v>
      </c>
      <c r="G293" t="str">
        <f t="shared" si="20"/>
        <v>a</v>
      </c>
      <c r="H293" t="str">
        <f>VLOOKUP(D293,name!A:C,3,1)</f>
        <v>assets/icons/image013.png</v>
      </c>
    </row>
    <row r="294" spans="1:12" x14ac:dyDescent="0.15">
      <c r="A294" t="s">
        <v>17</v>
      </c>
      <c r="B294">
        <v>3</v>
      </c>
      <c r="C294">
        <v>63</v>
      </c>
      <c r="D294">
        <v>2</v>
      </c>
      <c r="E294" t="str">
        <f>VLOOKUP(D294,name!A:B,2,1)</f>
        <v>Tanaka</v>
      </c>
      <c r="F294" t="s">
        <v>123</v>
      </c>
      <c r="G294" t="str">
        <f t="shared" si="20"/>
        <v>a</v>
      </c>
      <c r="H294" t="str">
        <f>VLOOKUP(D294,name!A:C,3,1)</f>
        <v>assets/icons/image013.png</v>
      </c>
    </row>
    <row r="295" spans="1:12" x14ac:dyDescent="0.15">
      <c r="A295" t="s">
        <v>17</v>
      </c>
      <c r="B295">
        <v>3</v>
      </c>
      <c r="C295">
        <v>64</v>
      </c>
      <c r="D295">
        <v>2</v>
      </c>
      <c r="E295" t="str">
        <f>VLOOKUP(D295,name!A:B,2,1)</f>
        <v>Tanaka</v>
      </c>
      <c r="F295" t="s">
        <v>109</v>
      </c>
      <c r="G295" t="str">
        <f t="shared" si="20"/>
        <v>a</v>
      </c>
      <c r="H295" t="str">
        <f>VLOOKUP(D295,name!A:C,3,1)</f>
        <v>assets/icons/image013.png</v>
      </c>
    </row>
    <row r="296" spans="1:12" x14ac:dyDescent="0.15">
      <c r="A296" t="s">
        <v>17</v>
      </c>
      <c r="B296">
        <v>3</v>
      </c>
      <c r="C296">
        <v>65</v>
      </c>
      <c r="D296">
        <v>9</v>
      </c>
      <c r="E296" t="str">
        <f>VLOOKUP(D296,name!A:B,2,1)</f>
        <v>Bauer</v>
      </c>
      <c r="F296" t="s">
        <v>126</v>
      </c>
      <c r="G296" t="str">
        <f t="shared" si="20"/>
        <v>a</v>
      </c>
      <c r="H296" t="str">
        <f>VLOOKUP(D296,name!A:C,3,1)</f>
        <v>assets/icons/image009.png</v>
      </c>
    </row>
    <row r="297" spans="1:12" x14ac:dyDescent="0.15">
      <c r="A297" t="s">
        <v>17</v>
      </c>
      <c r="B297">
        <v>3</v>
      </c>
      <c r="C297">
        <v>66</v>
      </c>
      <c r="D297">
        <v>9</v>
      </c>
      <c r="E297" t="str">
        <f>VLOOKUP(D297,name!A:B,2,1)</f>
        <v>Bauer</v>
      </c>
      <c r="F297" t="s">
        <v>110</v>
      </c>
      <c r="G297" t="str">
        <f t="shared" ref="G297:G300" si="21">IF(D297=0,"q",IF(B297=B298,"a","e"))</f>
        <v>a</v>
      </c>
      <c r="H297" t="str">
        <f>VLOOKUP(D297,name!A:C,3,1)</f>
        <v>assets/icons/image009.png</v>
      </c>
    </row>
    <row r="298" spans="1:12" x14ac:dyDescent="0.15">
      <c r="A298" t="s">
        <v>17</v>
      </c>
      <c r="B298">
        <v>3</v>
      </c>
      <c r="C298">
        <v>67</v>
      </c>
      <c r="D298">
        <v>3</v>
      </c>
      <c r="E298" t="str">
        <f>VLOOKUP(D298,name!A:B,2,1)</f>
        <v>Schneider.</v>
      </c>
      <c r="F298" t="s">
        <v>128</v>
      </c>
      <c r="G298" t="str">
        <f t="shared" si="21"/>
        <v>a</v>
      </c>
      <c r="H298" t="str">
        <f>VLOOKUP(D298,name!A:C,3,1)</f>
        <v>assets/icons/image003.png</v>
      </c>
    </row>
    <row r="299" spans="1:12" x14ac:dyDescent="0.15">
      <c r="A299" t="s">
        <v>17</v>
      </c>
      <c r="B299">
        <v>3</v>
      </c>
      <c r="C299">
        <v>68</v>
      </c>
      <c r="D299">
        <v>3</v>
      </c>
      <c r="E299" t="str">
        <f>VLOOKUP(D299,name!A:B,2,1)</f>
        <v>Schneider.</v>
      </c>
      <c r="F299" t="s">
        <v>127</v>
      </c>
      <c r="G299" t="str">
        <f t="shared" si="21"/>
        <v>a</v>
      </c>
      <c r="H299" t="str">
        <f>VLOOKUP(D299,name!A:C,3,1)</f>
        <v>assets/icons/image003.png</v>
      </c>
    </row>
    <row r="300" spans="1:12" x14ac:dyDescent="0.15">
      <c r="A300" t="s">
        <v>17</v>
      </c>
      <c r="B300">
        <v>3</v>
      </c>
      <c r="C300">
        <v>69</v>
      </c>
      <c r="D300">
        <v>1</v>
      </c>
      <c r="E300" t="str">
        <f>VLOOKUP(D300,name!A:B,2,1)</f>
        <v>Navigator</v>
      </c>
      <c r="F300" t="str">
        <f>"とても良くできました。レッスン"&amp;B300&amp;"はこれで終了です。"</f>
        <v>とても良くできました。レッスン3はこれで終了です。</v>
      </c>
      <c r="G300" t="str">
        <f t="shared" si="21"/>
        <v>e</v>
      </c>
      <c r="H300" t="str">
        <f>VLOOKUP(D300,name!A:C,3,1)</f>
        <v>assets/icons/image014.png</v>
      </c>
    </row>
    <row r="301" spans="1:12" x14ac:dyDescent="0.15">
      <c r="A301" t="s">
        <v>17</v>
      </c>
      <c r="B301">
        <v>4</v>
      </c>
      <c r="C301">
        <v>1</v>
      </c>
      <c r="D301">
        <v>1</v>
      </c>
      <c r="E301" t="str">
        <f>VLOOKUP(D301,name!A:B,2,1)</f>
        <v>Navigator</v>
      </c>
      <c r="F301" t="s">
        <v>129</v>
      </c>
      <c r="G301" t="str">
        <f t="shared" ref="G301:G349" si="22">IF(D301=0,"q",IF(B301=B302,"a","e"))</f>
        <v>a</v>
      </c>
      <c r="H301" t="str">
        <f>VLOOKUP(D301,name!A:C,3,1)</f>
        <v>assets/icons/image014.png</v>
      </c>
      <c r="L301" s="2"/>
    </row>
    <row r="302" spans="1:12" x14ac:dyDescent="0.15">
      <c r="A302" t="s">
        <v>17</v>
      </c>
      <c r="B302">
        <v>4</v>
      </c>
      <c r="C302">
        <v>2</v>
      </c>
      <c r="D302">
        <v>1</v>
      </c>
      <c r="E302" t="str">
        <f>VLOOKUP(D302,name!A:B,2,1)</f>
        <v>Navigator</v>
      </c>
      <c r="F302" t="s">
        <v>54</v>
      </c>
      <c r="G302" t="str">
        <f t="shared" si="22"/>
        <v>a</v>
      </c>
      <c r="H302" t="str">
        <f>VLOOKUP(D302,name!A:C,3,1)</f>
        <v>assets/icons/image014.png</v>
      </c>
    </row>
    <row r="303" spans="1:12" ht="40.5" x14ac:dyDescent="0.15">
      <c r="A303" t="s">
        <v>17</v>
      </c>
      <c r="B303">
        <v>4</v>
      </c>
      <c r="C303">
        <v>3</v>
      </c>
      <c r="D303">
        <v>1</v>
      </c>
      <c r="E303" t="str">
        <f>VLOOKUP(D303,name!A:B,2,1)</f>
        <v>Navigator</v>
      </c>
      <c r="F303" s="1" t="str">
        <f>"まずは対話文を流します。その後に、日本語と"&amp;A532&amp;"を一文ずつ流すので"&amp;A532&amp;"を真似して下さい。最後に日本語のみを流すので、"&amp;A532&amp;"で答えてください。"</f>
        <v>まずは対話文を流します。その後に、日本語と中国語を一文ずつ流すので中国語を真似して下さい。最後に日本語のみを流すので、中国語で答えてください。</v>
      </c>
      <c r="G303" t="str">
        <f t="shared" si="22"/>
        <v>a</v>
      </c>
      <c r="H303" t="str">
        <f>VLOOKUP(D303,name!A:C,3,1)</f>
        <v>assets/icons/image014.png</v>
      </c>
    </row>
    <row r="304" spans="1:12" x14ac:dyDescent="0.15">
      <c r="A304" t="s">
        <v>17</v>
      </c>
      <c r="B304">
        <v>4</v>
      </c>
      <c r="C304">
        <v>4</v>
      </c>
      <c r="D304">
        <v>3</v>
      </c>
      <c r="E304" t="str">
        <f>VLOOKUP(D304,name!A:B,2,1)</f>
        <v>Schneider.</v>
      </c>
      <c r="F304" t="s">
        <v>131</v>
      </c>
      <c r="G304" t="str">
        <f t="shared" si="22"/>
        <v>a</v>
      </c>
      <c r="H304" t="str">
        <f>VLOOKUP(D304,name!A:C,3,1)</f>
        <v>assets/icons/image003.png</v>
      </c>
    </row>
    <row r="305" spans="1:8" x14ac:dyDescent="0.15">
      <c r="A305" t="s">
        <v>17</v>
      </c>
      <c r="B305">
        <v>4</v>
      </c>
      <c r="C305">
        <v>5</v>
      </c>
      <c r="D305">
        <v>3</v>
      </c>
      <c r="E305" t="str">
        <f>VLOOKUP(D305,name!A:B,2,1)</f>
        <v>Schneider.</v>
      </c>
      <c r="F305" t="s">
        <v>130</v>
      </c>
      <c r="G305" t="str">
        <f t="shared" si="22"/>
        <v>a</v>
      </c>
      <c r="H305" t="str">
        <f>VLOOKUP(D305,name!A:C,3,1)</f>
        <v>assets/icons/image003.png</v>
      </c>
    </row>
    <row r="306" spans="1:8" x14ac:dyDescent="0.15">
      <c r="A306" t="s">
        <v>17</v>
      </c>
      <c r="B306">
        <v>4</v>
      </c>
      <c r="C306">
        <v>6</v>
      </c>
      <c r="D306">
        <v>10</v>
      </c>
      <c r="E306" t="str">
        <f>VLOOKUP(D306,name!A:B,2,1)</f>
        <v>Passantin</v>
      </c>
      <c r="F306" t="s">
        <v>135</v>
      </c>
      <c r="G306" t="str">
        <f t="shared" si="22"/>
        <v>a</v>
      </c>
      <c r="H306" t="str">
        <f>VLOOKUP(D306,name!A:C,3,1)</f>
        <v>assets/icons/image081.png</v>
      </c>
    </row>
    <row r="307" spans="1:8" x14ac:dyDescent="0.15">
      <c r="A307" t="s">
        <v>17</v>
      </c>
      <c r="B307">
        <v>4</v>
      </c>
      <c r="C307">
        <v>7</v>
      </c>
      <c r="D307">
        <v>10</v>
      </c>
      <c r="E307" t="str">
        <f>VLOOKUP(D307,name!A:B,2,1)</f>
        <v>Passantin</v>
      </c>
      <c r="F307" t="s">
        <v>134</v>
      </c>
      <c r="G307" t="str">
        <f t="shared" si="22"/>
        <v>a</v>
      </c>
      <c r="H307" t="str">
        <f>VLOOKUP(D307,name!A:C,3,1)</f>
        <v>assets/icons/image081.png</v>
      </c>
    </row>
    <row r="308" spans="1:8" x14ac:dyDescent="0.15">
      <c r="A308" t="s">
        <v>17</v>
      </c>
      <c r="B308">
        <v>4</v>
      </c>
      <c r="C308">
        <v>8</v>
      </c>
      <c r="D308">
        <v>10</v>
      </c>
      <c r="E308" t="str">
        <f>VLOOKUP(D308,name!A:B,2,1)</f>
        <v>Passantin</v>
      </c>
      <c r="F308" t="s">
        <v>136</v>
      </c>
      <c r="G308" t="str">
        <f t="shared" si="22"/>
        <v>a</v>
      </c>
      <c r="H308" t="str">
        <f>VLOOKUP(D308,name!A:C,3,1)</f>
        <v>assets/icons/image081.png</v>
      </c>
    </row>
    <row r="309" spans="1:8" ht="27" x14ac:dyDescent="0.15">
      <c r="A309" t="s">
        <v>17</v>
      </c>
      <c r="B309">
        <v>4</v>
      </c>
      <c r="C309">
        <v>9</v>
      </c>
      <c r="D309">
        <v>10</v>
      </c>
      <c r="E309" t="str">
        <f>VLOOKUP(D309,name!A:B,2,1)</f>
        <v>Passantin</v>
      </c>
      <c r="F309" s="1" t="s">
        <v>137</v>
      </c>
      <c r="G309" t="str">
        <f t="shared" si="22"/>
        <v>a</v>
      </c>
      <c r="H309" t="str">
        <f>VLOOKUP(D309,name!A:C,3,1)</f>
        <v>assets/icons/image081.png</v>
      </c>
    </row>
    <row r="310" spans="1:8" x14ac:dyDescent="0.15">
      <c r="A310" t="s">
        <v>17</v>
      </c>
      <c r="B310">
        <v>4</v>
      </c>
      <c r="C310">
        <v>10</v>
      </c>
      <c r="D310">
        <v>10</v>
      </c>
      <c r="E310" t="str">
        <f>VLOOKUP(D310,name!A:B,2,1)</f>
        <v>Passantin</v>
      </c>
      <c r="F310" s="1" t="s">
        <v>139</v>
      </c>
      <c r="G310" t="str">
        <f t="shared" si="22"/>
        <v>a</v>
      </c>
      <c r="H310" t="str">
        <f>VLOOKUP(D310,name!A:C,3,1)</f>
        <v>assets/icons/image081.png</v>
      </c>
    </row>
    <row r="311" spans="1:8" x14ac:dyDescent="0.15">
      <c r="A311" t="s">
        <v>17</v>
      </c>
      <c r="B311">
        <v>4</v>
      </c>
      <c r="C311">
        <v>11</v>
      </c>
      <c r="D311">
        <v>10</v>
      </c>
      <c r="E311" t="str">
        <f>VLOOKUP(D311,name!A:B,2,1)</f>
        <v>Passantin</v>
      </c>
      <c r="F311" s="1" t="s">
        <v>138</v>
      </c>
      <c r="G311" t="str">
        <f t="shared" si="22"/>
        <v>a</v>
      </c>
      <c r="H311" t="str">
        <f>VLOOKUP(D311,name!A:C,3,1)</f>
        <v>assets/icons/image081.png</v>
      </c>
    </row>
    <row r="312" spans="1:8" x14ac:dyDescent="0.15">
      <c r="A312" t="s">
        <v>17</v>
      </c>
      <c r="B312">
        <v>4</v>
      </c>
      <c r="C312">
        <v>12</v>
      </c>
      <c r="D312">
        <v>3</v>
      </c>
      <c r="E312" t="str">
        <f>VLOOKUP(D312,name!A:B,2,1)</f>
        <v>Schneider.</v>
      </c>
      <c r="F312" s="1" t="s">
        <v>141</v>
      </c>
      <c r="G312" t="str">
        <f t="shared" si="22"/>
        <v>a</v>
      </c>
      <c r="H312" t="str">
        <f>VLOOKUP(D312,name!A:C,3,1)</f>
        <v>assets/icons/image003.png</v>
      </c>
    </row>
    <row r="313" spans="1:8" x14ac:dyDescent="0.15">
      <c r="A313" t="s">
        <v>17</v>
      </c>
      <c r="B313">
        <v>4</v>
      </c>
      <c r="C313">
        <v>13</v>
      </c>
      <c r="D313">
        <v>3</v>
      </c>
      <c r="E313" t="str">
        <f>VLOOKUP(D313,name!A:B,2,1)</f>
        <v>Schneider.</v>
      </c>
      <c r="F313" s="1" t="s">
        <v>140</v>
      </c>
      <c r="G313" t="str">
        <f t="shared" si="22"/>
        <v>a</v>
      </c>
      <c r="H313" t="str">
        <f>VLOOKUP(D313,name!A:C,3,1)</f>
        <v>assets/icons/image003.png</v>
      </c>
    </row>
    <row r="314" spans="1:8" x14ac:dyDescent="0.15">
      <c r="A314" t="s">
        <v>17</v>
      </c>
      <c r="B314">
        <v>4</v>
      </c>
      <c r="C314">
        <v>14</v>
      </c>
      <c r="D314">
        <v>3</v>
      </c>
      <c r="E314" t="str">
        <f>VLOOKUP(D314,name!A:B,2,1)</f>
        <v>Schneider.</v>
      </c>
      <c r="F314" s="1" t="s">
        <v>143</v>
      </c>
      <c r="G314" t="str">
        <f t="shared" si="22"/>
        <v>a</v>
      </c>
      <c r="H314" t="str">
        <f>VLOOKUP(D314,name!A:C,3,1)</f>
        <v>assets/icons/image003.png</v>
      </c>
    </row>
    <row r="315" spans="1:8" x14ac:dyDescent="0.15">
      <c r="A315" t="s">
        <v>17</v>
      </c>
      <c r="B315">
        <v>4</v>
      </c>
      <c r="C315">
        <v>15</v>
      </c>
      <c r="D315">
        <v>3</v>
      </c>
      <c r="E315" t="str">
        <f>VLOOKUP(D315,name!A:B,2,1)</f>
        <v>Schneider.</v>
      </c>
      <c r="F315" s="1" t="s">
        <v>142</v>
      </c>
      <c r="G315" t="str">
        <f t="shared" si="22"/>
        <v>a</v>
      </c>
      <c r="H315" t="str">
        <f>VLOOKUP(D315,name!A:C,3,1)</f>
        <v>assets/icons/image003.png</v>
      </c>
    </row>
    <row r="316" spans="1:8" x14ac:dyDescent="0.15">
      <c r="A316" t="s">
        <v>17</v>
      </c>
      <c r="B316">
        <v>4</v>
      </c>
      <c r="C316">
        <v>16</v>
      </c>
      <c r="D316">
        <v>10</v>
      </c>
      <c r="E316" t="str">
        <f>VLOOKUP(D316,name!A:B,2,1)</f>
        <v>Passantin</v>
      </c>
      <c r="F316" s="1" t="s">
        <v>145</v>
      </c>
      <c r="G316" t="str">
        <f t="shared" si="22"/>
        <v>a</v>
      </c>
      <c r="H316" t="str">
        <f>VLOOKUP(D316,name!A:C,3,1)</f>
        <v>assets/icons/image081.png</v>
      </c>
    </row>
    <row r="317" spans="1:8" x14ac:dyDescent="0.15">
      <c r="A317" t="s">
        <v>17</v>
      </c>
      <c r="B317">
        <v>4</v>
      </c>
      <c r="C317">
        <v>17</v>
      </c>
      <c r="D317">
        <v>10</v>
      </c>
      <c r="E317" t="str">
        <f>VLOOKUP(D317,name!A:B,2,1)</f>
        <v>Passantin</v>
      </c>
      <c r="F317" s="1" t="s">
        <v>144</v>
      </c>
      <c r="G317" t="str">
        <f t="shared" si="22"/>
        <v>a</v>
      </c>
      <c r="H317" t="str">
        <f>VLOOKUP(D317,name!A:C,3,1)</f>
        <v>assets/icons/image081.png</v>
      </c>
    </row>
    <row r="318" spans="1:8" x14ac:dyDescent="0.15">
      <c r="A318" t="s">
        <v>17</v>
      </c>
      <c r="B318">
        <v>4</v>
      </c>
      <c r="C318">
        <v>18</v>
      </c>
      <c r="D318">
        <v>3</v>
      </c>
      <c r="E318" t="str">
        <f>VLOOKUP(D318,name!A:B,2,1)</f>
        <v>Schneider.</v>
      </c>
      <c r="F318" s="1" t="s">
        <v>147</v>
      </c>
      <c r="G318" t="str">
        <f t="shared" si="22"/>
        <v>a</v>
      </c>
      <c r="H318" t="str">
        <f>VLOOKUP(D318,name!A:C,3,1)</f>
        <v>assets/icons/image003.png</v>
      </c>
    </row>
    <row r="319" spans="1:8" x14ac:dyDescent="0.15">
      <c r="A319" t="s">
        <v>17</v>
      </c>
      <c r="B319">
        <v>4</v>
      </c>
      <c r="C319">
        <v>19</v>
      </c>
      <c r="D319">
        <v>3</v>
      </c>
      <c r="E319" t="str">
        <f>VLOOKUP(D319,name!A:B,2,1)</f>
        <v>Schneider.</v>
      </c>
      <c r="F319" s="1" t="s">
        <v>146</v>
      </c>
      <c r="G319" t="str">
        <f t="shared" si="22"/>
        <v>a</v>
      </c>
      <c r="H319" t="str">
        <f>VLOOKUP(D319,name!A:C,3,1)</f>
        <v>assets/icons/image003.png</v>
      </c>
    </row>
    <row r="320" spans="1:8" x14ac:dyDescent="0.15">
      <c r="A320" t="s">
        <v>17</v>
      </c>
      <c r="B320">
        <v>4</v>
      </c>
      <c r="C320">
        <v>20</v>
      </c>
      <c r="D320">
        <v>10</v>
      </c>
      <c r="E320" t="str">
        <f>VLOOKUP(D320,name!A:B,2,1)</f>
        <v>Passantin</v>
      </c>
      <c r="F320" s="1" t="s">
        <v>149</v>
      </c>
      <c r="G320" t="str">
        <f t="shared" si="22"/>
        <v>a</v>
      </c>
      <c r="H320" t="str">
        <f>VLOOKUP(D320,name!A:C,3,1)</f>
        <v>assets/icons/image081.png</v>
      </c>
    </row>
    <row r="321" spans="1:8" x14ac:dyDescent="0.15">
      <c r="A321" t="s">
        <v>17</v>
      </c>
      <c r="B321">
        <v>4</v>
      </c>
      <c r="C321">
        <v>21</v>
      </c>
      <c r="D321">
        <v>10</v>
      </c>
      <c r="E321" t="str">
        <f>VLOOKUP(D321,name!A:B,2,1)</f>
        <v>Passantin</v>
      </c>
      <c r="F321" s="1" t="s">
        <v>148</v>
      </c>
      <c r="G321" t="str">
        <f t="shared" si="22"/>
        <v>a</v>
      </c>
      <c r="H321" t="str">
        <f>VLOOKUP(D321,name!A:C,3,1)</f>
        <v>assets/icons/image081.png</v>
      </c>
    </row>
    <row r="322" spans="1:8" x14ac:dyDescent="0.15">
      <c r="A322" t="s">
        <v>17</v>
      </c>
      <c r="B322">
        <v>4</v>
      </c>
      <c r="C322">
        <v>22</v>
      </c>
      <c r="D322">
        <v>3</v>
      </c>
      <c r="E322" t="str">
        <f>VLOOKUP(D322,name!A:B,2,1)</f>
        <v>Schneider.</v>
      </c>
      <c r="F322" s="1" t="s">
        <v>151</v>
      </c>
      <c r="G322" t="str">
        <f t="shared" si="22"/>
        <v>a</v>
      </c>
      <c r="H322" t="str">
        <f>VLOOKUP(D322,name!A:C,3,1)</f>
        <v>assets/icons/image003.png</v>
      </c>
    </row>
    <row r="323" spans="1:8" x14ac:dyDescent="0.15">
      <c r="A323" t="s">
        <v>17</v>
      </c>
      <c r="B323">
        <v>4</v>
      </c>
      <c r="C323">
        <v>23</v>
      </c>
      <c r="D323">
        <v>3</v>
      </c>
      <c r="E323" t="str">
        <f>VLOOKUP(D323,name!A:B,2,1)</f>
        <v>Schneider.</v>
      </c>
      <c r="F323" s="1" t="s">
        <v>150</v>
      </c>
      <c r="G323" t="str">
        <f t="shared" si="22"/>
        <v>a</v>
      </c>
      <c r="H323" t="str">
        <f>VLOOKUP(D323,name!A:C,3,1)</f>
        <v>assets/icons/image003.png</v>
      </c>
    </row>
    <row r="324" spans="1:8" x14ac:dyDescent="0.15">
      <c r="A324" t="s">
        <v>17</v>
      </c>
      <c r="B324">
        <v>4</v>
      </c>
      <c r="C324">
        <v>24</v>
      </c>
      <c r="D324">
        <v>1</v>
      </c>
      <c r="E324" t="str">
        <f>VLOOKUP(D324,name!A:B,2,1)</f>
        <v>Navigator</v>
      </c>
      <c r="F324" t="str">
        <f>"次の"&amp;A535&amp;"を真似してね！"</f>
        <v>次のを真似してね！</v>
      </c>
      <c r="G324" t="str">
        <f t="shared" si="22"/>
        <v>a</v>
      </c>
      <c r="H324" t="str">
        <f>VLOOKUP(D324,name!A:C,3,1)</f>
        <v>assets/icons/image014.png</v>
      </c>
    </row>
    <row r="325" spans="1:8" x14ac:dyDescent="0.15">
      <c r="A325" t="s">
        <v>17</v>
      </c>
      <c r="B325">
        <v>4</v>
      </c>
      <c r="C325">
        <v>25</v>
      </c>
      <c r="D325">
        <v>3</v>
      </c>
      <c r="E325" t="str">
        <f>VLOOKUP(D325,name!A:B,2,1)</f>
        <v>Schneider.</v>
      </c>
      <c r="F325" t="s">
        <v>131</v>
      </c>
      <c r="G325" t="str">
        <f t="shared" si="22"/>
        <v>a</v>
      </c>
      <c r="H325" t="str">
        <f>VLOOKUP(D325,name!A:C,3,1)</f>
        <v>assets/icons/image003.png</v>
      </c>
    </row>
    <row r="326" spans="1:8" x14ac:dyDescent="0.15">
      <c r="A326" t="s">
        <v>17</v>
      </c>
      <c r="B326">
        <v>4</v>
      </c>
      <c r="C326">
        <v>26</v>
      </c>
      <c r="D326">
        <v>3</v>
      </c>
      <c r="E326" t="str">
        <f>VLOOKUP(D326,name!A:B,2,1)</f>
        <v>Schneider.</v>
      </c>
      <c r="F326" t="s">
        <v>130</v>
      </c>
      <c r="G326" t="str">
        <f t="shared" si="22"/>
        <v>a</v>
      </c>
      <c r="H326" t="str">
        <f>VLOOKUP(D326,name!A:C,3,1)</f>
        <v>assets/icons/image003.png</v>
      </c>
    </row>
    <row r="327" spans="1:8" x14ac:dyDescent="0.15">
      <c r="A327" t="s">
        <v>17</v>
      </c>
      <c r="B327">
        <v>4</v>
      </c>
      <c r="C327">
        <v>27</v>
      </c>
      <c r="D327">
        <v>0</v>
      </c>
      <c r="E327" t="str">
        <f>VLOOKUP(D327,name!A:B,2,1)</f>
        <v>Player</v>
      </c>
      <c r="F327" t="s">
        <v>130</v>
      </c>
      <c r="G327" t="str">
        <f t="shared" si="22"/>
        <v>q</v>
      </c>
      <c r="H327" t="str">
        <f>VLOOKUP(D327,name!A:C,3,1)</f>
        <v>assets/icons/image326.png</v>
      </c>
    </row>
    <row r="328" spans="1:8" x14ac:dyDescent="0.15">
      <c r="A328" t="s">
        <v>17</v>
      </c>
      <c r="B328">
        <v>4</v>
      </c>
      <c r="C328">
        <v>28</v>
      </c>
      <c r="D328">
        <v>10</v>
      </c>
      <c r="E328" t="str">
        <f>VLOOKUP(D328,name!A:B,2,1)</f>
        <v>Passantin</v>
      </c>
      <c r="F328" t="s">
        <v>135</v>
      </c>
      <c r="G328" t="str">
        <f t="shared" si="22"/>
        <v>a</v>
      </c>
      <c r="H328" t="str">
        <f>VLOOKUP(D328,name!A:C,3,1)</f>
        <v>assets/icons/image081.png</v>
      </c>
    </row>
    <row r="329" spans="1:8" x14ac:dyDescent="0.15">
      <c r="A329" t="s">
        <v>17</v>
      </c>
      <c r="B329">
        <v>4</v>
      </c>
      <c r="C329">
        <v>29</v>
      </c>
      <c r="D329">
        <v>10</v>
      </c>
      <c r="E329" t="str">
        <f>VLOOKUP(D329,name!A:B,2,1)</f>
        <v>Passantin</v>
      </c>
      <c r="F329" t="s">
        <v>134</v>
      </c>
      <c r="G329" t="str">
        <f t="shared" si="22"/>
        <v>a</v>
      </c>
      <c r="H329" t="str">
        <f>VLOOKUP(D329,name!A:C,3,1)</f>
        <v>assets/icons/image081.png</v>
      </c>
    </row>
    <row r="330" spans="1:8" x14ac:dyDescent="0.15">
      <c r="A330" t="s">
        <v>17</v>
      </c>
      <c r="B330">
        <v>4</v>
      </c>
      <c r="C330">
        <v>30</v>
      </c>
      <c r="D330">
        <v>0</v>
      </c>
      <c r="E330" t="str">
        <f>VLOOKUP(D330,name!A:B,2,1)</f>
        <v>Player</v>
      </c>
      <c r="F330" t="s">
        <v>134</v>
      </c>
      <c r="G330" t="str">
        <f t="shared" si="22"/>
        <v>q</v>
      </c>
      <c r="H330" t="str">
        <f>VLOOKUP(D330,name!A:C,3,1)</f>
        <v>assets/icons/image326.png</v>
      </c>
    </row>
    <row r="331" spans="1:8" x14ac:dyDescent="0.15">
      <c r="A331" t="s">
        <v>17</v>
      </c>
      <c r="B331">
        <v>4</v>
      </c>
      <c r="C331">
        <v>31</v>
      </c>
      <c r="D331">
        <v>10</v>
      </c>
      <c r="E331" t="str">
        <f>VLOOKUP(D331,name!A:B,2,1)</f>
        <v>Passantin</v>
      </c>
      <c r="F331" t="s">
        <v>136</v>
      </c>
      <c r="G331" t="str">
        <f t="shared" si="22"/>
        <v>a</v>
      </c>
      <c r="H331" t="str">
        <f>VLOOKUP(D331,name!A:C,3,1)</f>
        <v>assets/icons/image081.png</v>
      </c>
    </row>
    <row r="332" spans="1:8" ht="27" x14ac:dyDescent="0.15">
      <c r="A332" t="s">
        <v>17</v>
      </c>
      <c r="B332">
        <v>4</v>
      </c>
      <c r="C332">
        <v>32</v>
      </c>
      <c r="D332">
        <v>10</v>
      </c>
      <c r="E332" t="str">
        <f>VLOOKUP(D332,name!A:B,2,1)</f>
        <v>Passantin</v>
      </c>
      <c r="F332" s="1" t="s">
        <v>137</v>
      </c>
      <c r="G332" t="str">
        <f t="shared" si="22"/>
        <v>a</v>
      </c>
      <c r="H332" t="str">
        <f>VLOOKUP(D332,name!A:C,3,1)</f>
        <v>assets/icons/image081.png</v>
      </c>
    </row>
    <row r="333" spans="1:8" ht="27" x14ac:dyDescent="0.15">
      <c r="A333" t="s">
        <v>17</v>
      </c>
      <c r="B333">
        <v>4</v>
      </c>
      <c r="C333">
        <v>33</v>
      </c>
      <c r="D333">
        <v>0</v>
      </c>
      <c r="E333" t="str">
        <f>VLOOKUP(D333,name!A:B,2,1)</f>
        <v>Player</v>
      </c>
      <c r="F333" s="1" t="s">
        <v>137</v>
      </c>
      <c r="G333" t="str">
        <f t="shared" si="22"/>
        <v>q</v>
      </c>
      <c r="H333" t="str">
        <f>VLOOKUP(D333,name!A:C,3,1)</f>
        <v>assets/icons/image326.png</v>
      </c>
    </row>
    <row r="334" spans="1:8" x14ac:dyDescent="0.15">
      <c r="A334" t="s">
        <v>17</v>
      </c>
      <c r="B334">
        <v>4</v>
      </c>
      <c r="C334">
        <v>34</v>
      </c>
      <c r="D334">
        <v>10</v>
      </c>
      <c r="E334" t="str">
        <f>VLOOKUP(D334,name!A:B,2,1)</f>
        <v>Passantin</v>
      </c>
      <c r="F334" s="1" t="s">
        <v>139</v>
      </c>
      <c r="G334" t="str">
        <f t="shared" si="22"/>
        <v>a</v>
      </c>
      <c r="H334" t="str">
        <f>VLOOKUP(D334,name!A:C,3,1)</f>
        <v>assets/icons/image081.png</v>
      </c>
    </row>
    <row r="335" spans="1:8" x14ac:dyDescent="0.15">
      <c r="A335" t="s">
        <v>17</v>
      </c>
      <c r="B335">
        <v>4</v>
      </c>
      <c r="C335">
        <v>35</v>
      </c>
      <c r="D335">
        <v>10</v>
      </c>
      <c r="E335" t="str">
        <f>VLOOKUP(D335,name!A:B,2,1)</f>
        <v>Passantin</v>
      </c>
      <c r="F335" s="1" t="s">
        <v>138</v>
      </c>
      <c r="G335" t="str">
        <f t="shared" si="22"/>
        <v>a</v>
      </c>
      <c r="H335" t="str">
        <f>VLOOKUP(D335,name!A:C,3,1)</f>
        <v>assets/icons/image081.png</v>
      </c>
    </row>
    <row r="336" spans="1:8" x14ac:dyDescent="0.15">
      <c r="A336" t="s">
        <v>17</v>
      </c>
      <c r="B336">
        <v>4</v>
      </c>
      <c r="C336">
        <v>36</v>
      </c>
      <c r="D336">
        <v>0</v>
      </c>
      <c r="E336" t="str">
        <f>VLOOKUP(D336,name!A:B,2,1)</f>
        <v>Player</v>
      </c>
      <c r="F336" s="1" t="s">
        <v>138</v>
      </c>
      <c r="G336" t="str">
        <f t="shared" si="22"/>
        <v>q</v>
      </c>
      <c r="H336" t="str">
        <f>VLOOKUP(D336,name!A:C,3,1)</f>
        <v>assets/icons/image326.png</v>
      </c>
    </row>
    <row r="337" spans="1:12" x14ac:dyDescent="0.15">
      <c r="A337" t="s">
        <v>17</v>
      </c>
      <c r="B337">
        <v>4</v>
      </c>
      <c r="C337">
        <v>37</v>
      </c>
      <c r="D337">
        <v>3</v>
      </c>
      <c r="E337" t="str">
        <f>VLOOKUP(D337,name!A:B,2,1)</f>
        <v>Schneider.</v>
      </c>
      <c r="F337" s="1" t="s">
        <v>141</v>
      </c>
      <c r="G337" t="str">
        <f t="shared" si="22"/>
        <v>a</v>
      </c>
      <c r="H337" t="str">
        <f>VLOOKUP(D337,name!A:C,3,1)</f>
        <v>assets/icons/image003.png</v>
      </c>
    </row>
    <row r="338" spans="1:12" x14ac:dyDescent="0.15">
      <c r="A338" t="s">
        <v>17</v>
      </c>
      <c r="B338">
        <v>4</v>
      </c>
      <c r="C338">
        <v>38</v>
      </c>
      <c r="D338">
        <v>3</v>
      </c>
      <c r="E338" t="str">
        <f>VLOOKUP(D338,name!A:B,2,1)</f>
        <v>Schneider.</v>
      </c>
      <c r="F338" s="1" t="s">
        <v>140</v>
      </c>
      <c r="G338" t="str">
        <f t="shared" si="22"/>
        <v>a</v>
      </c>
      <c r="H338" t="str">
        <f>VLOOKUP(D338,name!A:C,3,1)</f>
        <v>assets/icons/image003.png</v>
      </c>
    </row>
    <row r="339" spans="1:12" x14ac:dyDescent="0.15">
      <c r="A339" t="s">
        <v>17</v>
      </c>
      <c r="B339">
        <v>4</v>
      </c>
      <c r="C339">
        <v>39</v>
      </c>
      <c r="D339">
        <v>0</v>
      </c>
      <c r="E339" t="str">
        <f>VLOOKUP(D339,name!A:B,2,1)</f>
        <v>Player</v>
      </c>
      <c r="F339" s="1" t="s">
        <v>140</v>
      </c>
      <c r="G339" t="str">
        <f t="shared" si="22"/>
        <v>q</v>
      </c>
      <c r="H339" t="str">
        <f>VLOOKUP(D339,name!A:C,3,1)</f>
        <v>assets/icons/image326.png</v>
      </c>
    </row>
    <row r="340" spans="1:12" x14ac:dyDescent="0.15">
      <c r="A340" t="s">
        <v>17</v>
      </c>
      <c r="B340">
        <v>4</v>
      </c>
      <c r="C340">
        <v>40</v>
      </c>
      <c r="D340">
        <v>3</v>
      </c>
      <c r="E340" t="str">
        <f>VLOOKUP(D340,name!A:B,2,1)</f>
        <v>Schneider.</v>
      </c>
      <c r="F340" s="1" t="s">
        <v>143</v>
      </c>
      <c r="G340" t="str">
        <f t="shared" si="22"/>
        <v>a</v>
      </c>
      <c r="H340" t="str">
        <f>VLOOKUP(D340,name!A:C,3,1)</f>
        <v>assets/icons/image003.png</v>
      </c>
    </row>
    <row r="341" spans="1:12" x14ac:dyDescent="0.15">
      <c r="A341" t="s">
        <v>17</v>
      </c>
      <c r="B341">
        <v>4</v>
      </c>
      <c r="C341">
        <v>41</v>
      </c>
      <c r="D341">
        <v>3</v>
      </c>
      <c r="E341" t="str">
        <f>VLOOKUP(D341,name!A:B,2,1)</f>
        <v>Schneider.</v>
      </c>
      <c r="F341" s="1" t="s">
        <v>142</v>
      </c>
      <c r="G341" t="str">
        <f t="shared" si="22"/>
        <v>a</v>
      </c>
      <c r="H341" t="str">
        <f>VLOOKUP(D341,name!A:C,3,1)</f>
        <v>assets/icons/image003.png</v>
      </c>
    </row>
    <row r="342" spans="1:12" x14ac:dyDescent="0.15">
      <c r="A342" t="s">
        <v>17</v>
      </c>
      <c r="B342">
        <v>4</v>
      </c>
      <c r="C342">
        <v>42</v>
      </c>
      <c r="D342">
        <v>0</v>
      </c>
      <c r="E342" t="str">
        <f>VLOOKUP(D342,name!A:B,2,1)</f>
        <v>Player</v>
      </c>
      <c r="F342" s="1" t="s">
        <v>142</v>
      </c>
      <c r="G342" t="str">
        <f t="shared" si="22"/>
        <v>q</v>
      </c>
      <c r="H342" t="str">
        <f>VLOOKUP(D342,name!A:C,3,1)</f>
        <v>assets/icons/image326.png</v>
      </c>
    </row>
    <row r="343" spans="1:12" x14ac:dyDescent="0.15">
      <c r="A343" t="s">
        <v>17</v>
      </c>
      <c r="B343">
        <v>4</v>
      </c>
      <c r="C343">
        <v>43</v>
      </c>
      <c r="D343">
        <v>10</v>
      </c>
      <c r="E343" t="str">
        <f>VLOOKUP(D343,name!A:B,2,1)</f>
        <v>Passantin</v>
      </c>
      <c r="F343" s="1" t="s">
        <v>145</v>
      </c>
      <c r="G343" t="str">
        <f t="shared" si="22"/>
        <v>a</v>
      </c>
      <c r="H343" t="str">
        <f>VLOOKUP(D343,name!A:C,3,1)</f>
        <v>assets/icons/image081.png</v>
      </c>
    </row>
    <row r="344" spans="1:12" x14ac:dyDescent="0.15">
      <c r="A344" t="s">
        <v>17</v>
      </c>
      <c r="B344">
        <v>4</v>
      </c>
      <c r="C344">
        <v>44</v>
      </c>
      <c r="D344">
        <v>10</v>
      </c>
      <c r="E344" t="str">
        <f>VLOOKUP(D344,name!A:B,2,1)</f>
        <v>Passantin</v>
      </c>
      <c r="F344" s="1" t="s">
        <v>144</v>
      </c>
      <c r="G344" t="str">
        <f t="shared" si="22"/>
        <v>a</v>
      </c>
      <c r="H344" t="str">
        <f>VLOOKUP(D344,name!A:C,3,1)</f>
        <v>assets/icons/image081.png</v>
      </c>
    </row>
    <row r="345" spans="1:12" x14ac:dyDescent="0.15">
      <c r="A345" t="s">
        <v>17</v>
      </c>
      <c r="B345">
        <v>4</v>
      </c>
      <c r="C345">
        <v>45</v>
      </c>
      <c r="D345">
        <v>0</v>
      </c>
      <c r="E345" t="str">
        <f>VLOOKUP(D345,name!A:B,2,1)</f>
        <v>Player</v>
      </c>
      <c r="F345" s="1" t="s">
        <v>144</v>
      </c>
      <c r="G345" t="str">
        <f t="shared" si="22"/>
        <v>q</v>
      </c>
      <c r="H345" t="str">
        <f>VLOOKUP(D345,name!A:C,3,1)</f>
        <v>assets/icons/image326.png</v>
      </c>
    </row>
    <row r="346" spans="1:12" x14ac:dyDescent="0.15">
      <c r="A346" t="s">
        <v>17</v>
      </c>
      <c r="B346">
        <v>4</v>
      </c>
      <c r="C346">
        <v>46</v>
      </c>
      <c r="D346">
        <v>3</v>
      </c>
      <c r="E346" t="str">
        <f>VLOOKUP(D346,name!A:B,2,1)</f>
        <v>Schneider.</v>
      </c>
      <c r="F346" s="1" t="s">
        <v>147</v>
      </c>
      <c r="G346" t="str">
        <f t="shared" si="22"/>
        <v>a</v>
      </c>
      <c r="H346" t="str">
        <f>VLOOKUP(D346,name!A:C,3,1)</f>
        <v>assets/icons/image003.png</v>
      </c>
    </row>
    <row r="347" spans="1:12" x14ac:dyDescent="0.15">
      <c r="A347" t="s">
        <v>17</v>
      </c>
      <c r="B347">
        <v>4</v>
      </c>
      <c r="C347">
        <v>47</v>
      </c>
      <c r="D347">
        <v>3</v>
      </c>
      <c r="E347" t="str">
        <f>VLOOKUP(D347,name!A:B,2,1)</f>
        <v>Schneider.</v>
      </c>
      <c r="F347" s="1" t="s">
        <v>146</v>
      </c>
      <c r="G347" t="str">
        <f t="shared" si="22"/>
        <v>a</v>
      </c>
      <c r="H347" t="str">
        <f>VLOOKUP(D347,name!A:C,3,1)</f>
        <v>assets/icons/image003.png</v>
      </c>
    </row>
    <row r="348" spans="1:12" x14ac:dyDescent="0.15">
      <c r="A348" t="s">
        <v>17</v>
      </c>
      <c r="B348">
        <v>4</v>
      </c>
      <c r="C348">
        <v>48</v>
      </c>
      <c r="D348">
        <v>0</v>
      </c>
      <c r="E348" t="str">
        <f>VLOOKUP(D348,name!A:B,2,1)</f>
        <v>Player</v>
      </c>
      <c r="F348" s="1" t="s">
        <v>146</v>
      </c>
      <c r="G348" t="str">
        <f t="shared" si="22"/>
        <v>q</v>
      </c>
      <c r="H348" t="str">
        <f>VLOOKUP(D348,name!A:C,3,1)</f>
        <v>assets/icons/image326.png</v>
      </c>
    </row>
    <row r="349" spans="1:12" x14ac:dyDescent="0.15">
      <c r="A349" t="s">
        <v>17</v>
      </c>
      <c r="B349">
        <v>4</v>
      </c>
      <c r="C349">
        <v>49</v>
      </c>
      <c r="D349">
        <v>10</v>
      </c>
      <c r="E349" t="str">
        <f>VLOOKUP(D349,name!A:B,2,1)</f>
        <v>Passantin</v>
      </c>
      <c r="F349" s="1" t="s">
        <v>149</v>
      </c>
      <c r="G349" t="str">
        <f t="shared" si="22"/>
        <v>a</v>
      </c>
      <c r="H349" t="str">
        <f>VLOOKUP(D349,name!A:C,3,1)</f>
        <v>assets/icons/image081.png</v>
      </c>
    </row>
    <row r="350" spans="1:12" x14ac:dyDescent="0.15">
      <c r="A350" t="s">
        <v>17</v>
      </c>
      <c r="B350">
        <v>4</v>
      </c>
      <c r="C350">
        <v>50</v>
      </c>
      <c r="D350">
        <v>10</v>
      </c>
      <c r="E350" t="str">
        <f>VLOOKUP(D350,name!A:B,2,1)</f>
        <v>Passantin</v>
      </c>
      <c r="F350" s="1" t="s">
        <v>148</v>
      </c>
      <c r="G350" t="str">
        <f t="shared" ref="G350:G413" si="23">IF(D350=0,"q",IF(B350=B351,"a","e"))</f>
        <v>a</v>
      </c>
      <c r="H350" t="str">
        <f>VLOOKUP(D350,name!A:C,3,1)</f>
        <v>assets/icons/image081.png</v>
      </c>
    </row>
    <row r="351" spans="1:12" x14ac:dyDescent="0.15">
      <c r="A351" t="s">
        <v>17</v>
      </c>
      <c r="B351">
        <v>4</v>
      </c>
      <c r="C351">
        <v>51</v>
      </c>
      <c r="D351">
        <v>0</v>
      </c>
      <c r="E351" t="str">
        <f>VLOOKUP(D351,name!A:B,2,1)</f>
        <v>Player</v>
      </c>
      <c r="F351" s="1" t="s">
        <v>148</v>
      </c>
      <c r="G351" t="str">
        <f t="shared" si="23"/>
        <v>q</v>
      </c>
      <c r="H351" t="str">
        <f>VLOOKUP(D351,name!A:C,3,1)</f>
        <v>assets/icons/image326.png</v>
      </c>
    </row>
    <row r="352" spans="1:12" x14ac:dyDescent="0.15">
      <c r="A352" t="s">
        <v>17</v>
      </c>
      <c r="B352">
        <v>4</v>
      </c>
      <c r="C352">
        <v>52</v>
      </c>
      <c r="D352">
        <v>3</v>
      </c>
      <c r="E352" t="str">
        <f>VLOOKUP(D352,name!A:B,2,1)</f>
        <v>Schneider.</v>
      </c>
      <c r="F352" s="1" t="s">
        <v>151</v>
      </c>
      <c r="G352" t="str">
        <f t="shared" si="23"/>
        <v>a</v>
      </c>
      <c r="H352" t="str">
        <f>VLOOKUP(D352,name!A:C,3,1)</f>
        <v>assets/icons/image003.png</v>
      </c>
      <c r="L352" s="1"/>
    </row>
    <row r="353" spans="1:12" x14ac:dyDescent="0.15">
      <c r="A353" t="s">
        <v>17</v>
      </c>
      <c r="B353">
        <v>4</v>
      </c>
      <c r="C353">
        <v>53</v>
      </c>
      <c r="D353">
        <v>3</v>
      </c>
      <c r="E353" t="str">
        <f>VLOOKUP(D353,name!A:B,2,1)</f>
        <v>Schneider.</v>
      </c>
      <c r="F353" s="1" t="s">
        <v>150</v>
      </c>
      <c r="G353" t="str">
        <f t="shared" si="23"/>
        <v>a</v>
      </c>
      <c r="H353" t="str">
        <f>VLOOKUP(D353,name!A:C,3,1)</f>
        <v>assets/icons/image003.png</v>
      </c>
      <c r="L353" s="1"/>
    </row>
    <row r="354" spans="1:12" x14ac:dyDescent="0.15">
      <c r="A354" t="s">
        <v>17</v>
      </c>
      <c r="B354">
        <v>4</v>
      </c>
      <c r="C354">
        <v>54</v>
      </c>
      <c r="D354">
        <v>0</v>
      </c>
      <c r="E354" t="str">
        <f>VLOOKUP(D354,name!A:B,2,1)</f>
        <v>Player</v>
      </c>
      <c r="F354" s="1" t="s">
        <v>150</v>
      </c>
      <c r="G354" t="str">
        <f t="shared" si="23"/>
        <v>q</v>
      </c>
      <c r="H354" t="str">
        <f>VLOOKUP(D354,name!A:C,3,1)</f>
        <v>assets/icons/image326.png</v>
      </c>
      <c r="L354" s="1"/>
    </row>
    <row r="355" spans="1:12" x14ac:dyDescent="0.15">
      <c r="A355" t="s">
        <v>17</v>
      </c>
      <c r="B355">
        <v>4</v>
      </c>
      <c r="C355">
        <v>55</v>
      </c>
      <c r="D355">
        <v>1</v>
      </c>
      <c r="E355" t="str">
        <f>VLOOKUP(D355,name!A:B,2,1)</f>
        <v>Navigator</v>
      </c>
      <c r="F355" t="str">
        <f>"次の日本語を"&amp;A355&amp;"に訳して答えてね！"</f>
        <v>次の日本語をドイツ語に訳して答えてね！</v>
      </c>
      <c r="G355" t="str">
        <f t="shared" si="23"/>
        <v>a</v>
      </c>
      <c r="H355" t="str">
        <f>VLOOKUP(D355,name!A:C,3,1)</f>
        <v>assets/icons/image014.png</v>
      </c>
      <c r="L355" s="1"/>
    </row>
    <row r="356" spans="1:12" x14ac:dyDescent="0.15">
      <c r="A356" t="s">
        <v>17</v>
      </c>
      <c r="B356">
        <v>4</v>
      </c>
      <c r="C356">
        <v>56</v>
      </c>
      <c r="D356">
        <v>3</v>
      </c>
      <c r="E356" t="str">
        <f>VLOOKUP(D356,name!A:B,2,1)</f>
        <v>Schneider.</v>
      </c>
      <c r="F356" t="s">
        <v>131</v>
      </c>
      <c r="G356" t="str">
        <f t="shared" si="23"/>
        <v>a</v>
      </c>
      <c r="H356" t="str">
        <f>VLOOKUP(D356,name!A:C,3,1)</f>
        <v>assets/icons/image003.png</v>
      </c>
    </row>
    <row r="357" spans="1:12" x14ac:dyDescent="0.15">
      <c r="A357" t="s">
        <v>17</v>
      </c>
      <c r="B357">
        <v>4</v>
      </c>
      <c r="C357">
        <v>57</v>
      </c>
      <c r="D357">
        <v>0</v>
      </c>
      <c r="E357" t="str">
        <f>VLOOKUP(D357,name!A:B,2,1)</f>
        <v>Player</v>
      </c>
      <c r="F357" t="s">
        <v>130</v>
      </c>
      <c r="G357" t="str">
        <f t="shared" si="23"/>
        <v>q</v>
      </c>
      <c r="H357" t="str">
        <f>VLOOKUP(D357,name!A:C,3,1)</f>
        <v>assets/icons/image326.png</v>
      </c>
    </row>
    <row r="358" spans="1:12" x14ac:dyDescent="0.15">
      <c r="A358" t="s">
        <v>17</v>
      </c>
      <c r="B358">
        <v>4</v>
      </c>
      <c r="C358">
        <v>58</v>
      </c>
      <c r="D358">
        <v>10</v>
      </c>
      <c r="E358" t="str">
        <f>VLOOKUP(D358,name!A:B,2,1)</f>
        <v>Passantin</v>
      </c>
      <c r="F358" t="s">
        <v>135</v>
      </c>
      <c r="G358" t="str">
        <f t="shared" si="23"/>
        <v>a</v>
      </c>
      <c r="H358" t="str">
        <f>VLOOKUP(D358,name!A:C,3,1)</f>
        <v>assets/icons/image081.png</v>
      </c>
    </row>
    <row r="359" spans="1:12" x14ac:dyDescent="0.15">
      <c r="A359" t="s">
        <v>17</v>
      </c>
      <c r="B359">
        <v>4</v>
      </c>
      <c r="C359">
        <v>59</v>
      </c>
      <c r="D359">
        <v>0</v>
      </c>
      <c r="E359" t="str">
        <f>VLOOKUP(D359,name!A:B,2,1)</f>
        <v>Player</v>
      </c>
      <c r="F359" t="s">
        <v>134</v>
      </c>
      <c r="G359" t="str">
        <f t="shared" si="23"/>
        <v>q</v>
      </c>
      <c r="H359" t="str">
        <f>VLOOKUP(D359,name!A:C,3,1)</f>
        <v>assets/icons/image326.png</v>
      </c>
    </row>
    <row r="360" spans="1:12" x14ac:dyDescent="0.15">
      <c r="A360" t="s">
        <v>17</v>
      </c>
      <c r="B360">
        <v>4</v>
      </c>
      <c r="C360">
        <v>60</v>
      </c>
      <c r="D360">
        <v>10</v>
      </c>
      <c r="E360" t="str">
        <f>VLOOKUP(D360,name!A:B,2,1)</f>
        <v>Passantin</v>
      </c>
      <c r="F360" t="s">
        <v>136</v>
      </c>
      <c r="G360" t="str">
        <f t="shared" si="23"/>
        <v>a</v>
      </c>
      <c r="H360" t="str">
        <f>VLOOKUP(D360,name!A:C,3,1)</f>
        <v>assets/icons/image081.png</v>
      </c>
    </row>
    <row r="361" spans="1:12" ht="27" x14ac:dyDescent="0.15">
      <c r="A361" t="s">
        <v>17</v>
      </c>
      <c r="B361">
        <v>4</v>
      </c>
      <c r="C361">
        <v>61</v>
      </c>
      <c r="D361">
        <v>0</v>
      </c>
      <c r="E361" t="str">
        <f>VLOOKUP(D361,name!A:B,2,1)</f>
        <v>Player</v>
      </c>
      <c r="F361" s="1" t="s">
        <v>137</v>
      </c>
      <c r="G361" t="str">
        <f t="shared" si="23"/>
        <v>q</v>
      </c>
      <c r="H361" t="str">
        <f>VLOOKUP(D361,name!A:C,3,1)</f>
        <v>assets/icons/image326.png</v>
      </c>
    </row>
    <row r="362" spans="1:12" x14ac:dyDescent="0.15">
      <c r="A362" t="s">
        <v>17</v>
      </c>
      <c r="B362">
        <v>4</v>
      </c>
      <c r="C362">
        <v>62</v>
      </c>
      <c r="D362">
        <v>10</v>
      </c>
      <c r="E362" t="str">
        <f>VLOOKUP(D362,name!A:B,2,1)</f>
        <v>Passantin</v>
      </c>
      <c r="F362" s="1" t="s">
        <v>139</v>
      </c>
      <c r="G362" t="str">
        <f t="shared" si="23"/>
        <v>a</v>
      </c>
      <c r="H362" t="str">
        <f>VLOOKUP(D362,name!A:C,3,1)</f>
        <v>assets/icons/image081.png</v>
      </c>
    </row>
    <row r="363" spans="1:12" x14ac:dyDescent="0.15">
      <c r="A363" t="s">
        <v>17</v>
      </c>
      <c r="B363">
        <v>4</v>
      </c>
      <c r="C363">
        <v>63</v>
      </c>
      <c r="D363">
        <v>0</v>
      </c>
      <c r="E363" t="str">
        <f>VLOOKUP(D363,name!A:B,2,1)</f>
        <v>Player</v>
      </c>
      <c r="F363" s="1" t="s">
        <v>138</v>
      </c>
      <c r="G363" t="str">
        <f t="shared" si="23"/>
        <v>q</v>
      </c>
      <c r="H363" t="str">
        <f>VLOOKUP(D363,name!A:C,3,1)</f>
        <v>assets/icons/image326.png</v>
      </c>
    </row>
    <row r="364" spans="1:12" x14ac:dyDescent="0.15">
      <c r="A364" t="s">
        <v>17</v>
      </c>
      <c r="B364">
        <v>4</v>
      </c>
      <c r="C364">
        <v>64</v>
      </c>
      <c r="D364">
        <v>3</v>
      </c>
      <c r="E364" t="str">
        <f>VLOOKUP(D364,name!A:B,2,1)</f>
        <v>Schneider.</v>
      </c>
      <c r="F364" s="1" t="s">
        <v>141</v>
      </c>
      <c r="G364" t="str">
        <f t="shared" si="23"/>
        <v>a</v>
      </c>
      <c r="H364" t="str">
        <f>VLOOKUP(D364,name!A:C,3,1)</f>
        <v>assets/icons/image003.png</v>
      </c>
    </row>
    <row r="365" spans="1:12" x14ac:dyDescent="0.15">
      <c r="A365" t="s">
        <v>17</v>
      </c>
      <c r="B365">
        <v>4</v>
      </c>
      <c r="C365">
        <v>65</v>
      </c>
      <c r="D365">
        <v>0</v>
      </c>
      <c r="E365" t="str">
        <f>VLOOKUP(D365,name!A:B,2,1)</f>
        <v>Player</v>
      </c>
      <c r="F365" s="1" t="s">
        <v>140</v>
      </c>
      <c r="G365" t="str">
        <f t="shared" si="23"/>
        <v>q</v>
      </c>
      <c r="H365" t="str">
        <f>VLOOKUP(D365,name!A:C,3,1)</f>
        <v>assets/icons/image326.png</v>
      </c>
    </row>
    <row r="366" spans="1:12" x14ac:dyDescent="0.15">
      <c r="A366" t="s">
        <v>17</v>
      </c>
      <c r="B366">
        <v>4</v>
      </c>
      <c r="C366">
        <v>66</v>
      </c>
      <c r="D366">
        <v>3</v>
      </c>
      <c r="E366" t="str">
        <f>VLOOKUP(D366,name!A:B,2,1)</f>
        <v>Schneider.</v>
      </c>
      <c r="F366" s="1" t="s">
        <v>156</v>
      </c>
      <c r="G366" t="str">
        <f t="shared" si="23"/>
        <v>a</v>
      </c>
      <c r="H366" t="str">
        <f>VLOOKUP(D366,name!A:C,3,1)</f>
        <v>assets/icons/image003.png</v>
      </c>
    </row>
    <row r="367" spans="1:12" x14ac:dyDescent="0.15">
      <c r="A367" t="s">
        <v>17</v>
      </c>
      <c r="B367">
        <v>4</v>
      </c>
      <c r="C367">
        <v>67</v>
      </c>
      <c r="D367">
        <v>0</v>
      </c>
      <c r="E367" t="str">
        <f>VLOOKUP(D367,name!A:B,2,1)</f>
        <v>Player</v>
      </c>
      <c r="F367" s="1" t="s">
        <v>142</v>
      </c>
      <c r="G367" t="str">
        <f t="shared" si="23"/>
        <v>q</v>
      </c>
      <c r="H367" t="str">
        <f>VLOOKUP(D367,name!A:C,3,1)</f>
        <v>assets/icons/image326.png</v>
      </c>
    </row>
    <row r="368" spans="1:12" x14ac:dyDescent="0.15">
      <c r="A368" t="s">
        <v>17</v>
      </c>
      <c r="B368">
        <v>4</v>
      </c>
      <c r="C368">
        <v>68</v>
      </c>
      <c r="D368">
        <v>10</v>
      </c>
      <c r="E368" t="str">
        <f>VLOOKUP(D368,name!A:B,2,1)</f>
        <v>Passantin</v>
      </c>
      <c r="F368" s="1" t="s">
        <v>157</v>
      </c>
      <c r="G368" t="str">
        <f t="shared" si="23"/>
        <v>a</v>
      </c>
      <c r="H368" t="str">
        <f>VLOOKUP(D368,name!A:C,3,1)</f>
        <v>assets/icons/image081.png</v>
      </c>
    </row>
    <row r="369" spans="1:12" x14ac:dyDescent="0.15">
      <c r="A369" t="s">
        <v>17</v>
      </c>
      <c r="B369">
        <v>4</v>
      </c>
      <c r="C369">
        <v>69</v>
      </c>
      <c r="D369">
        <v>0</v>
      </c>
      <c r="E369" t="str">
        <f>VLOOKUP(D369,name!A:B,2,1)</f>
        <v>Player</v>
      </c>
      <c r="F369" s="1" t="s">
        <v>144</v>
      </c>
      <c r="G369" t="str">
        <f t="shared" si="23"/>
        <v>q</v>
      </c>
      <c r="H369" t="str">
        <f>VLOOKUP(D369,name!A:C,3,1)</f>
        <v>assets/icons/image326.png</v>
      </c>
    </row>
    <row r="370" spans="1:12" x14ac:dyDescent="0.15">
      <c r="A370" t="s">
        <v>17</v>
      </c>
      <c r="B370">
        <v>4</v>
      </c>
      <c r="C370">
        <v>70</v>
      </c>
      <c r="D370">
        <v>3</v>
      </c>
      <c r="E370" t="str">
        <f>VLOOKUP(D370,name!A:B,2,1)</f>
        <v>Schneider.</v>
      </c>
      <c r="F370" s="1" t="s">
        <v>147</v>
      </c>
      <c r="G370" t="str">
        <f t="shared" si="23"/>
        <v>a</v>
      </c>
      <c r="H370" t="str">
        <f>VLOOKUP(D370,name!A:C,3,1)</f>
        <v>assets/icons/image003.png</v>
      </c>
    </row>
    <row r="371" spans="1:12" x14ac:dyDescent="0.15">
      <c r="A371" t="s">
        <v>17</v>
      </c>
      <c r="B371">
        <v>4</v>
      </c>
      <c r="C371">
        <v>71</v>
      </c>
      <c r="D371">
        <v>0</v>
      </c>
      <c r="E371" t="str">
        <f>VLOOKUP(D371,name!A:B,2,1)</f>
        <v>Player</v>
      </c>
      <c r="F371" s="1" t="s">
        <v>146</v>
      </c>
      <c r="G371" t="str">
        <f t="shared" si="23"/>
        <v>q</v>
      </c>
      <c r="H371" t="str">
        <f>VLOOKUP(D371,name!A:C,3,1)</f>
        <v>assets/icons/image326.png</v>
      </c>
    </row>
    <row r="372" spans="1:12" x14ac:dyDescent="0.15">
      <c r="A372" t="s">
        <v>17</v>
      </c>
      <c r="B372">
        <v>4</v>
      </c>
      <c r="C372">
        <v>72</v>
      </c>
      <c r="D372">
        <v>10</v>
      </c>
      <c r="E372" t="str">
        <f>VLOOKUP(D372,name!A:B,2,1)</f>
        <v>Passantin</v>
      </c>
      <c r="F372" s="1" t="s">
        <v>149</v>
      </c>
      <c r="G372" t="str">
        <f t="shared" si="23"/>
        <v>a</v>
      </c>
      <c r="H372" t="str">
        <f>VLOOKUP(D372,name!A:C,3,1)</f>
        <v>assets/icons/image081.png</v>
      </c>
    </row>
    <row r="373" spans="1:12" x14ac:dyDescent="0.15">
      <c r="A373" t="s">
        <v>17</v>
      </c>
      <c r="B373">
        <v>4</v>
      </c>
      <c r="C373">
        <v>73</v>
      </c>
      <c r="D373">
        <v>0</v>
      </c>
      <c r="E373" t="str">
        <f>VLOOKUP(D373,name!A:B,2,1)</f>
        <v>Player</v>
      </c>
      <c r="F373" s="1" t="s">
        <v>148</v>
      </c>
      <c r="G373" t="str">
        <f t="shared" si="23"/>
        <v>q</v>
      </c>
      <c r="H373" t="str">
        <f>VLOOKUP(D373,name!A:C,3,1)</f>
        <v>assets/icons/image326.png</v>
      </c>
    </row>
    <row r="374" spans="1:12" x14ac:dyDescent="0.15">
      <c r="A374" t="s">
        <v>17</v>
      </c>
      <c r="B374">
        <v>4</v>
      </c>
      <c r="C374">
        <v>74</v>
      </c>
      <c r="D374">
        <v>3</v>
      </c>
      <c r="E374" t="str">
        <f>VLOOKUP(D374,name!A:B,2,1)</f>
        <v>Schneider.</v>
      </c>
      <c r="F374" s="1" t="s">
        <v>151</v>
      </c>
      <c r="G374" t="str">
        <f t="shared" si="23"/>
        <v>a</v>
      </c>
      <c r="H374" t="str">
        <f>VLOOKUP(D374,name!A:C,3,1)</f>
        <v>assets/icons/image003.png</v>
      </c>
    </row>
    <row r="375" spans="1:12" x14ac:dyDescent="0.15">
      <c r="A375" t="s">
        <v>17</v>
      </c>
      <c r="B375">
        <v>4</v>
      </c>
      <c r="C375">
        <v>75</v>
      </c>
      <c r="D375">
        <v>0</v>
      </c>
      <c r="E375" t="str">
        <f>VLOOKUP(D375,name!A:B,2,1)</f>
        <v>Player</v>
      </c>
      <c r="F375" s="1" t="s">
        <v>150</v>
      </c>
      <c r="G375" t="str">
        <f t="shared" si="23"/>
        <v>q</v>
      </c>
      <c r="H375" t="str">
        <f>VLOOKUP(D375,name!A:C,3,1)</f>
        <v>assets/icons/image326.png</v>
      </c>
    </row>
    <row r="376" spans="1:12" x14ac:dyDescent="0.15">
      <c r="A376" t="s">
        <v>17</v>
      </c>
      <c r="B376">
        <v>4</v>
      </c>
      <c r="C376">
        <v>76</v>
      </c>
      <c r="D376">
        <v>1</v>
      </c>
      <c r="E376" t="str">
        <f>VLOOKUP(D376,name!A:B,2,1)</f>
        <v>Navigator</v>
      </c>
      <c r="F376" t="str">
        <f>"とても良くできました。レッスン"&amp;B376&amp;"はこれで終了です。"</f>
        <v>とても良くできました。レッスン4はこれで終了です。</v>
      </c>
      <c r="G376" t="str">
        <f t="shared" si="23"/>
        <v>e</v>
      </c>
      <c r="H376" t="str">
        <f>VLOOKUP(D376,name!A:C,3,1)</f>
        <v>assets/icons/image014.png</v>
      </c>
      <c r="L376" s="1"/>
    </row>
    <row r="377" spans="1:12" x14ac:dyDescent="0.15">
      <c r="A377" t="s">
        <v>17</v>
      </c>
      <c r="B377">
        <v>5</v>
      </c>
      <c r="C377">
        <v>1</v>
      </c>
      <c r="D377">
        <v>1</v>
      </c>
      <c r="E377" t="str">
        <f>VLOOKUP(D377,name!A:B,2,1)</f>
        <v>Navigator</v>
      </c>
      <c r="F377" t="s">
        <v>152</v>
      </c>
      <c r="G377" t="str">
        <f t="shared" si="23"/>
        <v>a</v>
      </c>
      <c r="H377" t="str">
        <f>VLOOKUP(D377,name!A:C,3,1)</f>
        <v>assets/icons/image014.png</v>
      </c>
      <c r="L377" s="1"/>
    </row>
    <row r="378" spans="1:12" x14ac:dyDescent="0.15">
      <c r="A378" t="s">
        <v>17</v>
      </c>
      <c r="B378">
        <v>5</v>
      </c>
      <c r="C378">
        <v>2</v>
      </c>
      <c r="D378">
        <v>1</v>
      </c>
      <c r="E378" t="str">
        <f>VLOOKUP(D378,name!A:B,2,1)</f>
        <v>Navigator</v>
      </c>
      <c r="F378" t="str">
        <f>"レッスン"&amp;B378</f>
        <v>レッスン5</v>
      </c>
      <c r="G378" t="str">
        <f t="shared" si="23"/>
        <v>a</v>
      </c>
      <c r="H378" t="str">
        <f>VLOOKUP(D378,name!A:C,3,1)</f>
        <v>assets/icons/image014.png</v>
      </c>
      <c r="L378" s="1"/>
    </row>
    <row r="379" spans="1:12" ht="40.5" x14ac:dyDescent="0.15">
      <c r="A379" t="s">
        <v>17</v>
      </c>
      <c r="B379">
        <v>5</v>
      </c>
      <c r="C379">
        <v>3</v>
      </c>
      <c r="D379">
        <v>1</v>
      </c>
      <c r="E379" t="str">
        <f>VLOOKUP(D379,name!A:B,2,1)</f>
        <v>Navigator</v>
      </c>
      <c r="F379" s="1" t="str">
        <f>"まずは対話文を流します。その後に、日本語と"&amp;A546&amp;"を一文ずつ流すので"&amp;A546&amp;"を真似して下さい。最後に日本語のみを流すので、"&amp;A546&amp;"で答えてください。"</f>
        <v>まずは対話文を流します。その後に、日本語とを一文ずつ流すのでを真似して下さい。最後に日本語のみを流すので、で答えてください。</v>
      </c>
      <c r="G379" t="str">
        <f t="shared" si="23"/>
        <v>a</v>
      </c>
      <c r="H379" t="str">
        <f>VLOOKUP(D379,name!A:C,3,1)</f>
        <v>assets/icons/image014.png</v>
      </c>
    </row>
    <row r="380" spans="1:12" ht="27" x14ac:dyDescent="0.15">
      <c r="A380" t="s">
        <v>17</v>
      </c>
      <c r="B380">
        <v>5</v>
      </c>
      <c r="C380">
        <v>4</v>
      </c>
      <c r="D380">
        <v>3</v>
      </c>
      <c r="E380" t="str">
        <f>VLOOKUP(D380,name!A:B,2,1)</f>
        <v>Schneider.</v>
      </c>
      <c r="F380" s="1" t="s">
        <v>158</v>
      </c>
      <c r="G380" t="str">
        <f t="shared" si="23"/>
        <v>a</v>
      </c>
      <c r="H380" t="str">
        <f>VLOOKUP(D380,name!A:C,3,1)</f>
        <v>assets/icons/image003.png</v>
      </c>
    </row>
    <row r="381" spans="1:12" ht="27" x14ac:dyDescent="0.15">
      <c r="A381" t="s">
        <v>17</v>
      </c>
      <c r="B381">
        <v>5</v>
      </c>
      <c r="C381">
        <v>5</v>
      </c>
      <c r="D381">
        <v>3</v>
      </c>
      <c r="E381" t="str">
        <f>VLOOKUP(D381,name!A:B,2,1)</f>
        <v>Schneider.</v>
      </c>
      <c r="F381" s="1" t="s">
        <v>153</v>
      </c>
      <c r="G381" t="str">
        <f t="shared" si="23"/>
        <v>a</v>
      </c>
      <c r="H381" t="str">
        <f>VLOOKUP(D381,name!A:C,3,1)</f>
        <v>assets/icons/image003.png</v>
      </c>
    </row>
    <row r="382" spans="1:12" ht="27" x14ac:dyDescent="0.15">
      <c r="A382" t="s">
        <v>17</v>
      </c>
      <c r="B382">
        <v>5</v>
      </c>
      <c r="C382">
        <v>6</v>
      </c>
      <c r="D382">
        <v>4</v>
      </c>
      <c r="E382" t="str">
        <f>VLOOKUP(D382,name!A:B,2,1)</f>
        <v>Weber</v>
      </c>
      <c r="F382" s="1" t="s">
        <v>155</v>
      </c>
      <c r="G382" t="str">
        <f t="shared" si="23"/>
        <v>a</v>
      </c>
      <c r="H382" t="str">
        <f>VLOOKUP(D382,name!A:C,3,1)</f>
        <v>assets/icons/image016.png</v>
      </c>
    </row>
    <row r="383" spans="1:12" ht="27" x14ac:dyDescent="0.15">
      <c r="A383" t="s">
        <v>17</v>
      </c>
      <c r="B383">
        <v>5</v>
      </c>
      <c r="C383">
        <v>7</v>
      </c>
      <c r="D383">
        <v>4</v>
      </c>
      <c r="E383" t="str">
        <f>VLOOKUP(D383,name!A:B,2,1)</f>
        <v>Weber</v>
      </c>
      <c r="F383" s="1" t="s">
        <v>154</v>
      </c>
      <c r="G383" t="str">
        <f t="shared" si="23"/>
        <v>a</v>
      </c>
      <c r="H383" t="str">
        <f>VLOOKUP(D383,name!A:C,3,1)</f>
        <v>assets/icons/image016.png</v>
      </c>
    </row>
    <row r="384" spans="1:12" x14ac:dyDescent="0.15">
      <c r="A384" t="s">
        <v>17</v>
      </c>
      <c r="B384">
        <v>5</v>
      </c>
      <c r="C384">
        <v>8</v>
      </c>
      <c r="D384">
        <v>4</v>
      </c>
      <c r="E384" t="str">
        <f>VLOOKUP(D384,name!A:B,2,1)</f>
        <v>Weber</v>
      </c>
      <c r="F384" s="1" t="s">
        <v>160</v>
      </c>
      <c r="G384" t="str">
        <f t="shared" si="23"/>
        <v>a</v>
      </c>
      <c r="H384" t="str">
        <f>VLOOKUP(D384,name!A:C,3,1)</f>
        <v>assets/icons/image016.png</v>
      </c>
    </row>
    <row r="385" spans="1:12" x14ac:dyDescent="0.15">
      <c r="A385" t="s">
        <v>17</v>
      </c>
      <c r="B385">
        <v>5</v>
      </c>
      <c r="C385">
        <v>9</v>
      </c>
      <c r="D385">
        <v>4</v>
      </c>
      <c r="E385" t="str">
        <f>VLOOKUP(D385,name!A:B,2,1)</f>
        <v>Weber</v>
      </c>
      <c r="F385" s="1" t="s">
        <v>159</v>
      </c>
      <c r="G385" t="str">
        <f t="shared" si="23"/>
        <v>a</v>
      </c>
      <c r="H385" t="str">
        <f>VLOOKUP(D385,name!A:C,3,1)</f>
        <v>assets/icons/image016.png</v>
      </c>
    </row>
    <row r="386" spans="1:12" x14ac:dyDescent="0.15">
      <c r="A386" t="s">
        <v>17</v>
      </c>
      <c r="B386">
        <v>5</v>
      </c>
      <c r="C386">
        <v>10</v>
      </c>
      <c r="D386">
        <v>3</v>
      </c>
      <c r="E386" t="str">
        <f>VLOOKUP(D386,name!A:B,2,1)</f>
        <v>Schneider.</v>
      </c>
      <c r="F386" s="1" t="s">
        <v>162</v>
      </c>
      <c r="G386" t="str">
        <f t="shared" si="23"/>
        <v>a</v>
      </c>
      <c r="H386" t="str">
        <f>VLOOKUP(D386,name!A:C,3,1)</f>
        <v>assets/icons/image003.png</v>
      </c>
    </row>
    <row r="387" spans="1:12" x14ac:dyDescent="0.15">
      <c r="A387" t="s">
        <v>17</v>
      </c>
      <c r="B387">
        <v>5</v>
      </c>
      <c r="C387">
        <v>11</v>
      </c>
      <c r="D387">
        <v>3</v>
      </c>
      <c r="E387" t="str">
        <f>VLOOKUP(D387,name!A:B,2,1)</f>
        <v>Schneider.</v>
      </c>
      <c r="F387" s="1" t="s">
        <v>161</v>
      </c>
      <c r="G387" t="str">
        <f t="shared" si="23"/>
        <v>a</v>
      </c>
      <c r="H387" t="str">
        <f>VLOOKUP(D387,name!A:C,3,1)</f>
        <v>assets/icons/image003.png</v>
      </c>
    </row>
    <row r="388" spans="1:12" x14ac:dyDescent="0.15">
      <c r="A388" t="s">
        <v>17</v>
      </c>
      <c r="B388">
        <v>5</v>
      </c>
      <c r="C388">
        <v>12</v>
      </c>
      <c r="D388">
        <v>4</v>
      </c>
      <c r="E388" t="str">
        <f>VLOOKUP(D388,name!A:B,2,1)</f>
        <v>Weber</v>
      </c>
      <c r="F388" s="1" t="s">
        <v>164</v>
      </c>
      <c r="G388" t="str">
        <f t="shared" si="23"/>
        <v>a</v>
      </c>
      <c r="H388" t="str">
        <f>VLOOKUP(D388,name!A:C,3,1)</f>
        <v>assets/icons/image016.png</v>
      </c>
    </row>
    <row r="389" spans="1:12" x14ac:dyDescent="0.15">
      <c r="A389" t="s">
        <v>17</v>
      </c>
      <c r="B389">
        <v>5</v>
      </c>
      <c r="C389">
        <v>13</v>
      </c>
      <c r="D389">
        <v>4</v>
      </c>
      <c r="E389" t="str">
        <f>VLOOKUP(D389,name!A:B,2,1)</f>
        <v>Weber</v>
      </c>
      <c r="F389" s="1" t="s">
        <v>163</v>
      </c>
      <c r="G389" t="str">
        <f t="shared" si="23"/>
        <v>a</v>
      </c>
      <c r="H389" t="str">
        <f>VLOOKUP(D389,name!A:C,3,1)</f>
        <v>assets/icons/image016.png</v>
      </c>
    </row>
    <row r="390" spans="1:12" x14ac:dyDescent="0.15">
      <c r="A390" t="s">
        <v>17</v>
      </c>
      <c r="B390">
        <v>5</v>
      </c>
      <c r="C390">
        <v>14</v>
      </c>
      <c r="D390">
        <v>4</v>
      </c>
      <c r="E390" t="str">
        <f>VLOOKUP(D390,name!A:B,2,1)</f>
        <v>Weber</v>
      </c>
      <c r="F390" s="1" t="s">
        <v>166</v>
      </c>
      <c r="G390" t="str">
        <f t="shared" si="23"/>
        <v>a</v>
      </c>
      <c r="H390" t="str">
        <f>VLOOKUP(D390,name!A:C,3,1)</f>
        <v>assets/icons/image016.png</v>
      </c>
    </row>
    <row r="391" spans="1:12" x14ac:dyDescent="0.15">
      <c r="A391" t="s">
        <v>17</v>
      </c>
      <c r="B391">
        <v>5</v>
      </c>
      <c r="C391">
        <v>15</v>
      </c>
      <c r="D391">
        <v>4</v>
      </c>
      <c r="E391" t="str">
        <f>VLOOKUP(D391,name!A:B,2,1)</f>
        <v>Weber</v>
      </c>
      <c r="F391" s="1" t="s">
        <v>165</v>
      </c>
      <c r="G391" t="str">
        <f t="shared" si="23"/>
        <v>a</v>
      </c>
      <c r="H391" t="str">
        <f>VLOOKUP(D391,name!A:C,3,1)</f>
        <v>assets/icons/image016.png</v>
      </c>
    </row>
    <row r="392" spans="1:12" x14ac:dyDescent="0.15">
      <c r="A392" t="s">
        <v>17</v>
      </c>
      <c r="B392">
        <v>5</v>
      </c>
      <c r="C392">
        <v>16</v>
      </c>
      <c r="D392">
        <v>3</v>
      </c>
      <c r="E392" t="str">
        <f>VLOOKUP(D392,name!A:B,2,1)</f>
        <v>Schneider.</v>
      </c>
      <c r="F392" s="1" t="s">
        <v>168</v>
      </c>
      <c r="G392" t="str">
        <f t="shared" si="23"/>
        <v>a</v>
      </c>
      <c r="H392" t="str">
        <f>VLOOKUP(D392,name!A:C,3,1)</f>
        <v>assets/icons/image003.png</v>
      </c>
    </row>
    <row r="393" spans="1:12" x14ac:dyDescent="0.15">
      <c r="A393" t="s">
        <v>17</v>
      </c>
      <c r="B393">
        <v>5</v>
      </c>
      <c r="C393">
        <v>17</v>
      </c>
      <c r="D393">
        <v>3</v>
      </c>
      <c r="E393" t="str">
        <f>VLOOKUP(D393,name!A:B,2,1)</f>
        <v>Schneider.</v>
      </c>
      <c r="F393" s="1" t="s">
        <v>167</v>
      </c>
      <c r="G393" t="str">
        <f t="shared" si="23"/>
        <v>a</v>
      </c>
      <c r="H393" t="str">
        <f>VLOOKUP(D393,name!A:C,3,1)</f>
        <v>assets/icons/image003.png</v>
      </c>
    </row>
    <row r="394" spans="1:12" x14ac:dyDescent="0.15">
      <c r="A394" t="s">
        <v>17</v>
      </c>
      <c r="B394">
        <v>5</v>
      </c>
      <c r="C394">
        <v>18</v>
      </c>
      <c r="D394">
        <v>3</v>
      </c>
      <c r="E394" t="str">
        <f>VLOOKUP(D394,name!A:B,2,1)</f>
        <v>Schneider.</v>
      </c>
      <c r="F394" s="1" t="s">
        <v>170</v>
      </c>
      <c r="G394" t="str">
        <f t="shared" si="23"/>
        <v>a</v>
      </c>
      <c r="H394" t="str">
        <f>VLOOKUP(D394,name!A:C,3,1)</f>
        <v>assets/icons/image003.png</v>
      </c>
    </row>
    <row r="395" spans="1:12" x14ac:dyDescent="0.15">
      <c r="A395" t="s">
        <v>17</v>
      </c>
      <c r="B395">
        <v>5</v>
      </c>
      <c r="C395">
        <v>19</v>
      </c>
      <c r="D395">
        <v>3</v>
      </c>
      <c r="E395" t="str">
        <f>VLOOKUP(D395,name!A:B,2,1)</f>
        <v>Schneider.</v>
      </c>
      <c r="F395" s="1" t="s">
        <v>169</v>
      </c>
      <c r="G395" t="str">
        <f t="shared" si="23"/>
        <v>a</v>
      </c>
      <c r="H395" t="str">
        <f>VLOOKUP(D395,name!A:C,3,1)</f>
        <v>assets/icons/image003.png</v>
      </c>
    </row>
    <row r="396" spans="1:12" x14ac:dyDescent="0.15">
      <c r="A396" t="s">
        <v>17</v>
      </c>
      <c r="B396">
        <v>5</v>
      </c>
      <c r="C396">
        <v>20</v>
      </c>
      <c r="D396">
        <v>1</v>
      </c>
      <c r="E396" t="str">
        <f>VLOOKUP(D396,name!A:B,2,1)</f>
        <v>Navigator</v>
      </c>
      <c r="F396" t="str">
        <f>"次の"&amp;A549&amp;"を真似してね！"</f>
        <v>次のを真似してね！</v>
      </c>
      <c r="G396" t="str">
        <f t="shared" si="23"/>
        <v>a</v>
      </c>
      <c r="H396" t="str">
        <f>VLOOKUP(D396,name!A:C,3,1)</f>
        <v>assets/icons/image014.png</v>
      </c>
      <c r="L396" s="1"/>
    </row>
    <row r="397" spans="1:12" ht="27" x14ac:dyDescent="0.15">
      <c r="A397" t="s">
        <v>17</v>
      </c>
      <c r="B397">
        <v>5</v>
      </c>
      <c r="C397">
        <v>21</v>
      </c>
      <c r="D397">
        <v>3</v>
      </c>
      <c r="E397" t="str">
        <f>VLOOKUP(D397,name!A:B,2,1)</f>
        <v>Schneider.</v>
      </c>
      <c r="F397" s="1" t="s">
        <v>158</v>
      </c>
      <c r="G397" t="str">
        <f t="shared" si="23"/>
        <v>a</v>
      </c>
      <c r="H397" t="str">
        <f>VLOOKUP(D397,name!A:C,3,1)</f>
        <v>assets/icons/image003.png</v>
      </c>
    </row>
    <row r="398" spans="1:12" ht="27" x14ac:dyDescent="0.15">
      <c r="A398" t="s">
        <v>17</v>
      </c>
      <c r="B398">
        <v>5</v>
      </c>
      <c r="C398">
        <v>22</v>
      </c>
      <c r="D398">
        <v>3</v>
      </c>
      <c r="E398" t="str">
        <f>VLOOKUP(D398,name!A:B,2,1)</f>
        <v>Schneider.</v>
      </c>
      <c r="F398" s="1" t="s">
        <v>153</v>
      </c>
      <c r="G398" t="str">
        <f t="shared" si="23"/>
        <v>a</v>
      </c>
      <c r="H398" t="str">
        <f>VLOOKUP(D398,name!A:C,3,1)</f>
        <v>assets/icons/image003.png</v>
      </c>
    </row>
    <row r="399" spans="1:12" ht="27" x14ac:dyDescent="0.15">
      <c r="A399" t="s">
        <v>17</v>
      </c>
      <c r="B399">
        <v>5</v>
      </c>
      <c r="C399">
        <v>23</v>
      </c>
      <c r="D399">
        <v>0</v>
      </c>
      <c r="E399" t="str">
        <f>VLOOKUP(D399,name!A:B,2,1)</f>
        <v>Player</v>
      </c>
      <c r="F399" s="1" t="s">
        <v>153</v>
      </c>
      <c r="G399" t="str">
        <f t="shared" si="23"/>
        <v>q</v>
      </c>
      <c r="H399" t="str">
        <f>VLOOKUP(D399,name!A:C,3,1)</f>
        <v>assets/icons/image326.png</v>
      </c>
    </row>
    <row r="400" spans="1:12" ht="27" x14ac:dyDescent="0.15">
      <c r="A400" t="s">
        <v>17</v>
      </c>
      <c r="B400">
        <v>5</v>
      </c>
      <c r="C400">
        <v>24</v>
      </c>
      <c r="D400">
        <v>4</v>
      </c>
      <c r="E400" t="str">
        <f>VLOOKUP(D400,name!A:B,2,1)</f>
        <v>Weber</v>
      </c>
      <c r="F400" s="1" t="s">
        <v>155</v>
      </c>
      <c r="G400" t="str">
        <f t="shared" si="23"/>
        <v>a</v>
      </c>
      <c r="H400" t="str">
        <f>VLOOKUP(D400,name!A:C,3,1)</f>
        <v>assets/icons/image016.png</v>
      </c>
    </row>
    <row r="401" spans="1:8" ht="27" x14ac:dyDescent="0.15">
      <c r="A401" t="s">
        <v>17</v>
      </c>
      <c r="B401">
        <v>5</v>
      </c>
      <c r="C401">
        <v>25</v>
      </c>
      <c r="D401">
        <v>4</v>
      </c>
      <c r="E401" t="str">
        <f>VLOOKUP(D401,name!A:B,2,1)</f>
        <v>Weber</v>
      </c>
      <c r="F401" s="1" t="s">
        <v>154</v>
      </c>
      <c r="G401" t="str">
        <f t="shared" si="23"/>
        <v>a</v>
      </c>
      <c r="H401" t="str">
        <f>VLOOKUP(D401,name!A:C,3,1)</f>
        <v>assets/icons/image016.png</v>
      </c>
    </row>
    <row r="402" spans="1:8" ht="27" x14ac:dyDescent="0.15">
      <c r="A402" t="s">
        <v>17</v>
      </c>
      <c r="B402">
        <v>5</v>
      </c>
      <c r="C402">
        <v>26</v>
      </c>
      <c r="D402">
        <v>0</v>
      </c>
      <c r="E402" t="str">
        <f>VLOOKUP(D402,name!A:B,2,1)</f>
        <v>Player</v>
      </c>
      <c r="F402" s="1" t="s">
        <v>154</v>
      </c>
      <c r="G402" t="str">
        <f t="shared" si="23"/>
        <v>q</v>
      </c>
      <c r="H402" t="str">
        <f>VLOOKUP(D402,name!A:C,3,1)</f>
        <v>assets/icons/image326.png</v>
      </c>
    </row>
    <row r="403" spans="1:8" x14ac:dyDescent="0.15">
      <c r="A403" t="s">
        <v>17</v>
      </c>
      <c r="B403">
        <v>5</v>
      </c>
      <c r="C403">
        <v>27</v>
      </c>
      <c r="D403">
        <v>4</v>
      </c>
      <c r="E403" t="str">
        <f>VLOOKUP(D403,name!A:B,2,1)</f>
        <v>Weber</v>
      </c>
      <c r="F403" s="1" t="s">
        <v>160</v>
      </c>
      <c r="G403" t="str">
        <f t="shared" si="23"/>
        <v>a</v>
      </c>
      <c r="H403" t="str">
        <f>VLOOKUP(D403,name!A:C,3,1)</f>
        <v>assets/icons/image016.png</v>
      </c>
    </row>
    <row r="404" spans="1:8" x14ac:dyDescent="0.15">
      <c r="A404" t="s">
        <v>17</v>
      </c>
      <c r="B404">
        <v>5</v>
      </c>
      <c r="C404">
        <v>28</v>
      </c>
      <c r="D404">
        <v>4</v>
      </c>
      <c r="E404" t="str">
        <f>VLOOKUP(D404,name!A:B,2,1)</f>
        <v>Weber</v>
      </c>
      <c r="F404" s="1" t="s">
        <v>159</v>
      </c>
      <c r="G404" t="str">
        <f t="shared" si="23"/>
        <v>a</v>
      </c>
      <c r="H404" t="str">
        <f>VLOOKUP(D404,name!A:C,3,1)</f>
        <v>assets/icons/image016.png</v>
      </c>
    </row>
    <row r="405" spans="1:8" x14ac:dyDescent="0.15">
      <c r="A405" t="s">
        <v>17</v>
      </c>
      <c r="B405">
        <v>5</v>
      </c>
      <c r="C405">
        <v>29</v>
      </c>
      <c r="D405">
        <v>0</v>
      </c>
      <c r="E405" t="str">
        <f>VLOOKUP(D405,name!A:B,2,1)</f>
        <v>Player</v>
      </c>
      <c r="F405" s="1" t="s">
        <v>159</v>
      </c>
      <c r="G405" t="str">
        <f t="shared" si="23"/>
        <v>q</v>
      </c>
      <c r="H405" t="str">
        <f>VLOOKUP(D405,name!A:C,3,1)</f>
        <v>assets/icons/image326.png</v>
      </c>
    </row>
    <row r="406" spans="1:8" x14ac:dyDescent="0.15">
      <c r="A406" t="s">
        <v>17</v>
      </c>
      <c r="B406">
        <v>5</v>
      </c>
      <c r="C406">
        <v>30</v>
      </c>
      <c r="D406">
        <v>3</v>
      </c>
      <c r="E406" t="str">
        <f>VLOOKUP(D406,name!A:B,2,1)</f>
        <v>Schneider.</v>
      </c>
      <c r="F406" s="1" t="s">
        <v>162</v>
      </c>
      <c r="G406" t="str">
        <f t="shared" si="23"/>
        <v>a</v>
      </c>
      <c r="H406" t="str">
        <f>VLOOKUP(D406,name!A:C,3,1)</f>
        <v>assets/icons/image003.png</v>
      </c>
    </row>
    <row r="407" spans="1:8" x14ac:dyDescent="0.15">
      <c r="A407" t="s">
        <v>17</v>
      </c>
      <c r="B407">
        <v>5</v>
      </c>
      <c r="C407">
        <v>31</v>
      </c>
      <c r="D407">
        <v>3</v>
      </c>
      <c r="E407" t="str">
        <f>VLOOKUP(D407,name!A:B,2,1)</f>
        <v>Schneider.</v>
      </c>
      <c r="F407" s="1" t="s">
        <v>161</v>
      </c>
      <c r="G407" t="str">
        <f t="shared" si="23"/>
        <v>a</v>
      </c>
      <c r="H407" t="str">
        <f>VLOOKUP(D407,name!A:C,3,1)</f>
        <v>assets/icons/image003.png</v>
      </c>
    </row>
    <row r="408" spans="1:8" x14ac:dyDescent="0.15">
      <c r="A408" t="s">
        <v>17</v>
      </c>
      <c r="B408">
        <v>5</v>
      </c>
      <c r="C408">
        <v>32</v>
      </c>
      <c r="D408">
        <v>0</v>
      </c>
      <c r="E408" t="str">
        <f>VLOOKUP(D408,name!A:B,2,1)</f>
        <v>Player</v>
      </c>
      <c r="F408" s="1" t="s">
        <v>161</v>
      </c>
      <c r="G408" t="str">
        <f t="shared" si="23"/>
        <v>q</v>
      </c>
      <c r="H408" t="str">
        <f>VLOOKUP(D408,name!A:C,3,1)</f>
        <v>assets/icons/image326.png</v>
      </c>
    </row>
    <row r="409" spans="1:8" x14ac:dyDescent="0.15">
      <c r="A409" t="s">
        <v>17</v>
      </c>
      <c r="B409">
        <v>5</v>
      </c>
      <c r="C409">
        <v>33</v>
      </c>
      <c r="D409">
        <v>4</v>
      </c>
      <c r="E409" t="str">
        <f>VLOOKUP(D409,name!A:B,2,1)</f>
        <v>Weber</v>
      </c>
      <c r="F409" s="1" t="s">
        <v>164</v>
      </c>
      <c r="G409" t="str">
        <f t="shared" si="23"/>
        <v>a</v>
      </c>
      <c r="H409" t="str">
        <f>VLOOKUP(D409,name!A:C,3,1)</f>
        <v>assets/icons/image016.png</v>
      </c>
    </row>
    <row r="410" spans="1:8" x14ac:dyDescent="0.15">
      <c r="A410" t="s">
        <v>17</v>
      </c>
      <c r="B410">
        <v>5</v>
      </c>
      <c r="C410">
        <v>34</v>
      </c>
      <c r="D410">
        <v>4</v>
      </c>
      <c r="E410" t="str">
        <f>VLOOKUP(D410,name!A:B,2,1)</f>
        <v>Weber</v>
      </c>
      <c r="F410" s="1" t="s">
        <v>163</v>
      </c>
      <c r="G410" t="str">
        <f t="shared" si="23"/>
        <v>a</v>
      </c>
      <c r="H410" t="str">
        <f>VLOOKUP(D410,name!A:C,3,1)</f>
        <v>assets/icons/image016.png</v>
      </c>
    </row>
    <row r="411" spans="1:8" x14ac:dyDescent="0.15">
      <c r="A411" t="s">
        <v>17</v>
      </c>
      <c r="B411">
        <v>5</v>
      </c>
      <c r="C411">
        <v>35</v>
      </c>
      <c r="D411">
        <v>0</v>
      </c>
      <c r="E411" t="str">
        <f>VLOOKUP(D411,name!A:B,2,1)</f>
        <v>Player</v>
      </c>
      <c r="F411" s="1" t="s">
        <v>163</v>
      </c>
      <c r="G411" t="str">
        <f t="shared" si="23"/>
        <v>q</v>
      </c>
      <c r="H411" t="str">
        <f>VLOOKUP(D411,name!A:C,3,1)</f>
        <v>assets/icons/image326.png</v>
      </c>
    </row>
    <row r="412" spans="1:8" x14ac:dyDescent="0.15">
      <c r="A412" t="s">
        <v>17</v>
      </c>
      <c r="B412">
        <v>5</v>
      </c>
      <c r="C412">
        <v>36</v>
      </c>
      <c r="D412">
        <v>4</v>
      </c>
      <c r="E412" t="str">
        <f>VLOOKUP(D412,name!A:B,2,1)</f>
        <v>Weber</v>
      </c>
      <c r="F412" s="1" t="s">
        <v>166</v>
      </c>
      <c r="G412" t="str">
        <f t="shared" si="23"/>
        <v>a</v>
      </c>
      <c r="H412" t="str">
        <f>VLOOKUP(D412,name!A:C,3,1)</f>
        <v>assets/icons/image016.png</v>
      </c>
    </row>
    <row r="413" spans="1:8" x14ac:dyDescent="0.15">
      <c r="A413" t="s">
        <v>17</v>
      </c>
      <c r="B413">
        <v>5</v>
      </c>
      <c r="C413">
        <v>37</v>
      </c>
      <c r="D413">
        <v>4</v>
      </c>
      <c r="E413" t="str">
        <f>VLOOKUP(D413,name!A:B,2,1)</f>
        <v>Weber</v>
      </c>
      <c r="F413" s="1" t="s">
        <v>165</v>
      </c>
      <c r="G413" t="str">
        <f t="shared" si="23"/>
        <v>a</v>
      </c>
      <c r="H413" t="str">
        <f>VLOOKUP(D413,name!A:C,3,1)</f>
        <v>assets/icons/image016.png</v>
      </c>
    </row>
    <row r="414" spans="1:8" x14ac:dyDescent="0.15">
      <c r="A414" t="s">
        <v>17</v>
      </c>
      <c r="B414">
        <v>5</v>
      </c>
      <c r="C414">
        <v>38</v>
      </c>
      <c r="D414">
        <v>0</v>
      </c>
      <c r="E414" t="str">
        <f>VLOOKUP(D414,name!A:B,2,1)</f>
        <v>Player</v>
      </c>
      <c r="F414" s="1" t="s">
        <v>165</v>
      </c>
      <c r="G414" t="str">
        <f t="shared" ref="G414:G437" si="24">IF(D414=0,"q",IF(B414=B415,"a","e"))</f>
        <v>q</v>
      </c>
      <c r="H414" t="str">
        <f>VLOOKUP(D414,name!A:C,3,1)</f>
        <v>assets/icons/image326.png</v>
      </c>
    </row>
    <row r="415" spans="1:8" x14ac:dyDescent="0.15">
      <c r="A415" t="s">
        <v>17</v>
      </c>
      <c r="B415">
        <v>5</v>
      </c>
      <c r="C415">
        <v>39</v>
      </c>
      <c r="D415">
        <v>3</v>
      </c>
      <c r="E415" t="str">
        <f>VLOOKUP(D415,name!A:B,2,1)</f>
        <v>Schneider.</v>
      </c>
      <c r="F415" s="1" t="s">
        <v>168</v>
      </c>
      <c r="G415" t="str">
        <f t="shared" si="24"/>
        <v>a</v>
      </c>
      <c r="H415" t="str">
        <f>VLOOKUP(D415,name!A:C,3,1)</f>
        <v>assets/icons/image003.png</v>
      </c>
    </row>
    <row r="416" spans="1:8" x14ac:dyDescent="0.15">
      <c r="A416" t="s">
        <v>17</v>
      </c>
      <c r="B416">
        <v>5</v>
      </c>
      <c r="C416">
        <v>40</v>
      </c>
      <c r="D416">
        <v>3</v>
      </c>
      <c r="E416" t="str">
        <f>VLOOKUP(D416,name!A:B,2,1)</f>
        <v>Schneider.</v>
      </c>
      <c r="F416" s="1" t="s">
        <v>167</v>
      </c>
      <c r="G416" t="str">
        <f t="shared" si="24"/>
        <v>a</v>
      </c>
      <c r="H416" t="str">
        <f>VLOOKUP(D416,name!A:C,3,1)</f>
        <v>assets/icons/image003.png</v>
      </c>
    </row>
    <row r="417" spans="1:12" x14ac:dyDescent="0.15">
      <c r="A417" t="s">
        <v>17</v>
      </c>
      <c r="B417">
        <v>5</v>
      </c>
      <c r="C417">
        <v>41</v>
      </c>
      <c r="D417">
        <v>0</v>
      </c>
      <c r="E417" t="str">
        <f>VLOOKUP(D417,name!A:B,2,1)</f>
        <v>Player</v>
      </c>
      <c r="F417" s="1" t="s">
        <v>167</v>
      </c>
      <c r="G417" t="str">
        <f t="shared" si="24"/>
        <v>q</v>
      </c>
      <c r="H417" t="str">
        <f>VLOOKUP(D417,name!A:C,3,1)</f>
        <v>assets/icons/image326.png</v>
      </c>
    </row>
    <row r="418" spans="1:12" x14ac:dyDescent="0.15">
      <c r="A418" t="s">
        <v>17</v>
      </c>
      <c r="B418">
        <v>5</v>
      </c>
      <c r="C418">
        <v>42</v>
      </c>
      <c r="D418">
        <v>3</v>
      </c>
      <c r="E418" t="str">
        <f>VLOOKUP(D418,name!A:B,2,1)</f>
        <v>Schneider.</v>
      </c>
      <c r="F418" s="1" t="s">
        <v>170</v>
      </c>
      <c r="G418" t="str">
        <f t="shared" si="24"/>
        <v>a</v>
      </c>
      <c r="H418" t="str">
        <f>VLOOKUP(D418,name!A:C,3,1)</f>
        <v>assets/icons/image003.png</v>
      </c>
    </row>
    <row r="419" spans="1:12" x14ac:dyDescent="0.15">
      <c r="A419" t="s">
        <v>17</v>
      </c>
      <c r="B419">
        <v>5</v>
      </c>
      <c r="C419">
        <v>43</v>
      </c>
      <c r="D419">
        <v>3</v>
      </c>
      <c r="E419" t="str">
        <f>VLOOKUP(D419,name!A:B,2,1)</f>
        <v>Schneider.</v>
      </c>
      <c r="F419" s="1" t="s">
        <v>169</v>
      </c>
      <c r="G419" t="str">
        <f t="shared" si="24"/>
        <v>a</v>
      </c>
      <c r="H419" t="str">
        <f>VLOOKUP(D419,name!A:C,3,1)</f>
        <v>assets/icons/image003.png</v>
      </c>
    </row>
    <row r="420" spans="1:12" x14ac:dyDescent="0.15">
      <c r="A420" t="s">
        <v>17</v>
      </c>
      <c r="B420">
        <v>5</v>
      </c>
      <c r="C420">
        <v>44</v>
      </c>
      <c r="D420">
        <v>0</v>
      </c>
      <c r="E420" t="str">
        <f>VLOOKUP(D420,name!A:B,2,1)</f>
        <v>Player</v>
      </c>
      <c r="F420" s="1" t="s">
        <v>169</v>
      </c>
      <c r="G420" t="str">
        <f t="shared" si="24"/>
        <v>q</v>
      </c>
      <c r="H420" t="str">
        <f>VLOOKUP(D420,name!A:C,3,1)</f>
        <v>assets/icons/image326.png</v>
      </c>
    </row>
    <row r="421" spans="1:12" x14ac:dyDescent="0.15">
      <c r="A421" t="s">
        <v>17</v>
      </c>
      <c r="B421">
        <v>5</v>
      </c>
      <c r="C421">
        <v>45</v>
      </c>
      <c r="D421">
        <v>1</v>
      </c>
      <c r="E421" t="str">
        <f>VLOOKUP(D421,name!A:B,2,1)</f>
        <v>Navigator</v>
      </c>
      <c r="F421" t="str">
        <f>"次の日本語を"&amp;A421&amp;"に訳して答えてね！"</f>
        <v>次の日本語をドイツ語に訳して答えてね！</v>
      </c>
      <c r="G421" t="str">
        <f t="shared" si="24"/>
        <v>a</v>
      </c>
      <c r="H421" t="str">
        <f>VLOOKUP(D421,name!A:C,3,1)</f>
        <v>assets/icons/image014.png</v>
      </c>
      <c r="L421" s="1"/>
    </row>
    <row r="422" spans="1:12" ht="27" x14ac:dyDescent="0.15">
      <c r="A422" t="s">
        <v>17</v>
      </c>
      <c r="B422">
        <v>5</v>
      </c>
      <c r="C422">
        <v>46</v>
      </c>
      <c r="D422">
        <v>3</v>
      </c>
      <c r="E422" t="str">
        <f>VLOOKUP(D422,name!A:B,2,1)</f>
        <v>Schneider.</v>
      </c>
      <c r="F422" s="1" t="s">
        <v>158</v>
      </c>
      <c r="G422" t="str">
        <f t="shared" si="24"/>
        <v>a</v>
      </c>
      <c r="H422" t="str">
        <f>VLOOKUP(D422,name!A:C,3,1)</f>
        <v>assets/icons/image003.png</v>
      </c>
    </row>
    <row r="423" spans="1:12" ht="27" x14ac:dyDescent="0.15">
      <c r="A423" t="s">
        <v>17</v>
      </c>
      <c r="B423">
        <v>5</v>
      </c>
      <c r="C423">
        <v>47</v>
      </c>
      <c r="D423">
        <v>0</v>
      </c>
      <c r="E423" t="str">
        <f>VLOOKUP(D423,name!A:B,2,1)</f>
        <v>Player</v>
      </c>
      <c r="F423" s="1" t="s">
        <v>153</v>
      </c>
      <c r="G423" t="str">
        <f t="shared" si="24"/>
        <v>q</v>
      </c>
      <c r="H423" t="str">
        <f>VLOOKUP(D423,name!A:C,3,1)</f>
        <v>assets/icons/image326.png</v>
      </c>
    </row>
    <row r="424" spans="1:12" ht="27" x14ac:dyDescent="0.15">
      <c r="A424" t="s">
        <v>17</v>
      </c>
      <c r="B424">
        <v>5</v>
      </c>
      <c r="C424">
        <v>48</v>
      </c>
      <c r="D424">
        <v>4</v>
      </c>
      <c r="E424" t="str">
        <f>VLOOKUP(D424,name!A:B,2,1)</f>
        <v>Weber</v>
      </c>
      <c r="F424" s="1" t="s">
        <v>155</v>
      </c>
      <c r="G424" t="str">
        <f t="shared" si="24"/>
        <v>a</v>
      </c>
      <c r="H424" t="str">
        <f>VLOOKUP(D424,name!A:C,3,1)</f>
        <v>assets/icons/image016.png</v>
      </c>
    </row>
    <row r="425" spans="1:12" ht="27" x14ac:dyDescent="0.15">
      <c r="A425" t="s">
        <v>17</v>
      </c>
      <c r="B425">
        <v>5</v>
      </c>
      <c r="C425">
        <v>49</v>
      </c>
      <c r="D425">
        <v>0</v>
      </c>
      <c r="E425" t="str">
        <f>VLOOKUP(D425,name!A:B,2,1)</f>
        <v>Player</v>
      </c>
      <c r="F425" s="1" t="s">
        <v>154</v>
      </c>
      <c r="G425" t="str">
        <f t="shared" si="24"/>
        <v>q</v>
      </c>
      <c r="H425" t="str">
        <f>VLOOKUP(D425,name!A:C,3,1)</f>
        <v>assets/icons/image326.png</v>
      </c>
    </row>
    <row r="426" spans="1:12" x14ac:dyDescent="0.15">
      <c r="A426" t="s">
        <v>17</v>
      </c>
      <c r="B426">
        <v>5</v>
      </c>
      <c r="C426">
        <v>50</v>
      </c>
      <c r="D426">
        <v>4</v>
      </c>
      <c r="E426" t="str">
        <f>VLOOKUP(D426,name!A:B,2,1)</f>
        <v>Weber</v>
      </c>
      <c r="F426" s="1" t="s">
        <v>160</v>
      </c>
      <c r="G426" t="str">
        <f t="shared" si="24"/>
        <v>a</v>
      </c>
      <c r="H426" t="str">
        <f>VLOOKUP(D426,name!A:C,3,1)</f>
        <v>assets/icons/image016.png</v>
      </c>
    </row>
    <row r="427" spans="1:12" x14ac:dyDescent="0.15">
      <c r="A427" t="s">
        <v>17</v>
      </c>
      <c r="B427">
        <v>5</v>
      </c>
      <c r="C427">
        <v>51</v>
      </c>
      <c r="D427">
        <v>0</v>
      </c>
      <c r="E427" t="str">
        <f>VLOOKUP(D427,name!A:B,2,1)</f>
        <v>Player</v>
      </c>
      <c r="F427" s="1" t="s">
        <v>159</v>
      </c>
      <c r="G427" t="str">
        <f t="shared" si="24"/>
        <v>q</v>
      </c>
      <c r="H427" t="str">
        <f>VLOOKUP(D427,name!A:C,3,1)</f>
        <v>assets/icons/image326.png</v>
      </c>
    </row>
    <row r="428" spans="1:12" x14ac:dyDescent="0.15">
      <c r="A428" t="s">
        <v>17</v>
      </c>
      <c r="B428">
        <v>5</v>
      </c>
      <c r="C428">
        <v>52</v>
      </c>
      <c r="D428">
        <v>3</v>
      </c>
      <c r="E428" t="str">
        <f>VLOOKUP(D428,name!A:B,2,1)</f>
        <v>Schneider.</v>
      </c>
      <c r="F428" s="1" t="s">
        <v>162</v>
      </c>
      <c r="G428" t="str">
        <f t="shared" si="24"/>
        <v>a</v>
      </c>
      <c r="H428" t="str">
        <f>VLOOKUP(D428,name!A:C,3,1)</f>
        <v>assets/icons/image003.png</v>
      </c>
    </row>
    <row r="429" spans="1:12" x14ac:dyDescent="0.15">
      <c r="A429" t="s">
        <v>17</v>
      </c>
      <c r="B429">
        <v>5</v>
      </c>
      <c r="C429">
        <v>53</v>
      </c>
      <c r="D429">
        <v>0</v>
      </c>
      <c r="E429" t="str">
        <f>VLOOKUP(D429,name!A:B,2,1)</f>
        <v>Player</v>
      </c>
      <c r="F429" s="1" t="s">
        <v>161</v>
      </c>
      <c r="G429" t="str">
        <f t="shared" si="24"/>
        <v>q</v>
      </c>
      <c r="H429" t="str">
        <f>VLOOKUP(D429,name!A:C,3,1)</f>
        <v>assets/icons/image326.png</v>
      </c>
    </row>
    <row r="430" spans="1:12" x14ac:dyDescent="0.15">
      <c r="A430" t="s">
        <v>17</v>
      </c>
      <c r="B430">
        <v>5</v>
      </c>
      <c r="C430">
        <v>54</v>
      </c>
      <c r="D430">
        <v>4</v>
      </c>
      <c r="E430" t="str">
        <f>VLOOKUP(D430,name!A:B,2,1)</f>
        <v>Weber</v>
      </c>
      <c r="F430" s="1" t="s">
        <v>164</v>
      </c>
      <c r="G430" t="str">
        <f t="shared" si="24"/>
        <v>a</v>
      </c>
      <c r="H430" t="str">
        <f>VLOOKUP(D430,name!A:C,3,1)</f>
        <v>assets/icons/image016.png</v>
      </c>
    </row>
    <row r="431" spans="1:12" x14ac:dyDescent="0.15">
      <c r="A431" t="s">
        <v>17</v>
      </c>
      <c r="B431">
        <v>5</v>
      </c>
      <c r="C431">
        <v>55</v>
      </c>
      <c r="D431">
        <v>0</v>
      </c>
      <c r="E431" t="str">
        <f>VLOOKUP(D431,name!A:B,2,1)</f>
        <v>Player</v>
      </c>
      <c r="F431" s="1" t="s">
        <v>163</v>
      </c>
      <c r="G431" t="str">
        <f t="shared" si="24"/>
        <v>q</v>
      </c>
      <c r="H431" t="str">
        <f>VLOOKUP(D431,name!A:C,3,1)</f>
        <v>assets/icons/image326.png</v>
      </c>
    </row>
    <row r="432" spans="1:12" x14ac:dyDescent="0.15">
      <c r="A432" t="s">
        <v>17</v>
      </c>
      <c r="B432">
        <v>5</v>
      </c>
      <c r="C432">
        <v>56</v>
      </c>
      <c r="D432">
        <v>4</v>
      </c>
      <c r="E432" t="str">
        <f>VLOOKUP(D432,name!A:B,2,1)</f>
        <v>Weber</v>
      </c>
      <c r="F432" s="1" t="s">
        <v>166</v>
      </c>
      <c r="G432" t="str">
        <f t="shared" si="24"/>
        <v>a</v>
      </c>
      <c r="H432" t="str">
        <f>VLOOKUP(D432,name!A:C,3,1)</f>
        <v>assets/icons/image016.png</v>
      </c>
    </row>
    <row r="433" spans="1:8" x14ac:dyDescent="0.15">
      <c r="A433" t="s">
        <v>17</v>
      </c>
      <c r="B433">
        <v>5</v>
      </c>
      <c r="C433">
        <v>57</v>
      </c>
      <c r="D433">
        <v>0</v>
      </c>
      <c r="E433" t="str">
        <f>VLOOKUP(D433,name!A:B,2,1)</f>
        <v>Player</v>
      </c>
      <c r="F433" s="1" t="s">
        <v>165</v>
      </c>
      <c r="G433" t="str">
        <f t="shared" si="24"/>
        <v>q</v>
      </c>
      <c r="H433" t="str">
        <f>VLOOKUP(D433,name!A:C,3,1)</f>
        <v>assets/icons/image326.png</v>
      </c>
    </row>
    <row r="434" spans="1:8" x14ac:dyDescent="0.15">
      <c r="A434" t="s">
        <v>17</v>
      </c>
      <c r="B434">
        <v>5</v>
      </c>
      <c r="C434">
        <v>58</v>
      </c>
      <c r="D434">
        <v>3</v>
      </c>
      <c r="E434" t="str">
        <f>VLOOKUP(D434,name!A:B,2,1)</f>
        <v>Schneider.</v>
      </c>
      <c r="F434" s="1" t="s">
        <v>168</v>
      </c>
      <c r="G434" t="str">
        <f t="shared" si="24"/>
        <v>a</v>
      </c>
      <c r="H434" t="str">
        <f>VLOOKUP(D434,name!A:C,3,1)</f>
        <v>assets/icons/image003.png</v>
      </c>
    </row>
    <row r="435" spans="1:8" x14ac:dyDescent="0.15">
      <c r="A435" t="s">
        <v>17</v>
      </c>
      <c r="B435">
        <v>5</v>
      </c>
      <c r="C435">
        <v>59</v>
      </c>
      <c r="D435">
        <v>0</v>
      </c>
      <c r="E435" t="str">
        <f>VLOOKUP(D435,name!A:B,2,1)</f>
        <v>Player</v>
      </c>
      <c r="F435" s="1" t="s">
        <v>167</v>
      </c>
      <c r="G435" t="str">
        <f t="shared" si="24"/>
        <v>q</v>
      </c>
      <c r="H435" t="str">
        <f>VLOOKUP(D435,name!A:C,3,1)</f>
        <v>assets/icons/image326.png</v>
      </c>
    </row>
    <row r="436" spans="1:8" x14ac:dyDescent="0.15">
      <c r="A436" t="s">
        <v>17</v>
      </c>
      <c r="B436">
        <v>5</v>
      </c>
      <c r="C436">
        <v>60</v>
      </c>
      <c r="D436">
        <v>3</v>
      </c>
      <c r="E436" t="str">
        <f>VLOOKUP(D436,name!A:B,2,1)</f>
        <v>Schneider.</v>
      </c>
      <c r="F436" s="1" t="s">
        <v>170</v>
      </c>
      <c r="G436" t="str">
        <f t="shared" si="24"/>
        <v>a</v>
      </c>
      <c r="H436" t="str">
        <f>VLOOKUP(D436,name!A:C,3,1)</f>
        <v>assets/icons/image003.png</v>
      </c>
    </row>
    <row r="437" spans="1:8" x14ac:dyDescent="0.15">
      <c r="A437" t="s">
        <v>17</v>
      </c>
      <c r="B437">
        <v>5</v>
      </c>
      <c r="C437">
        <v>61</v>
      </c>
      <c r="D437">
        <v>0</v>
      </c>
      <c r="E437" t="str">
        <f>VLOOKUP(D437,name!A:B,2,1)</f>
        <v>Player</v>
      </c>
      <c r="F437" s="1" t="s">
        <v>169</v>
      </c>
      <c r="G437" t="str">
        <f t="shared" si="24"/>
        <v>q</v>
      </c>
      <c r="H437" t="str">
        <f>VLOOKUP(D437,name!A:C,3,1)</f>
        <v>assets/icons/image326.png</v>
      </c>
    </row>
    <row r="438" spans="1:8" x14ac:dyDescent="0.15">
      <c r="A438" t="s">
        <v>17</v>
      </c>
      <c r="B438">
        <v>5</v>
      </c>
      <c r="C438">
        <v>62</v>
      </c>
      <c r="D438">
        <v>1</v>
      </c>
      <c r="E438" t="str">
        <f>VLOOKUP(D438,name!A:B,2,1)</f>
        <v>Navigator</v>
      </c>
      <c r="F438" t="str">
        <f>"とても良くできました。レッスン"&amp;A438&amp;"はこれで終了です。"</f>
        <v>とても良くできました。レッスンドイツ語はこれで終了です。</v>
      </c>
      <c r="G438" t="str">
        <f t="shared" ref="G438:G439" si="25">IF(D438=0,"q",IF(B438=B439,"a","e"))</f>
        <v>e</v>
      </c>
      <c r="H438" t="str">
        <f>VLOOKUP(D438,name!A:C,3,1)</f>
        <v>assets/icons/image014.png</v>
      </c>
    </row>
    <row r="439" spans="1:8" x14ac:dyDescent="0.15">
      <c r="A439" t="s">
        <v>171</v>
      </c>
      <c r="B439">
        <v>1</v>
      </c>
      <c r="C439">
        <v>1</v>
      </c>
      <c r="D439">
        <v>1</v>
      </c>
      <c r="E439" t="str">
        <f>VLOOKUP(D439,name!A:B,2,1)</f>
        <v>Navigator</v>
      </c>
      <c r="F439" t="str">
        <f>"レッスン"&amp;B439</f>
        <v>レッスン1</v>
      </c>
      <c r="G439" t="str">
        <f t="shared" si="25"/>
        <v>a</v>
      </c>
      <c r="H439" t="str">
        <f>VLOOKUP(D439,name!A:C,3,1)</f>
        <v>assets/icons/image014.png</v>
      </c>
    </row>
    <row r="440" spans="1:8" ht="40.5" x14ac:dyDescent="0.15">
      <c r="A440" t="s">
        <v>171</v>
      </c>
      <c r="B440">
        <v>1</v>
      </c>
      <c r="C440">
        <v>2</v>
      </c>
      <c r="D440">
        <v>1</v>
      </c>
      <c r="E440" t="str">
        <f>VLOOKUP(D440,name!A:B,2,1)</f>
        <v>Navigator</v>
      </c>
      <c r="F440" s="1" t="str">
        <f>"まずは対話文を流します。その後に、日本語と"&amp;A555&amp;"を一文ずつ流すので"&amp;A555&amp;"を真似して下さい。最後に日本語のみを流すので、"&amp;A555&amp;"で答えてください。"</f>
        <v>まずは対話文を流します。その後に、日本語とを一文ずつ流すのでを真似して下さい。最後に日本語のみを流すので、で答えてください。</v>
      </c>
      <c r="G440" t="str">
        <f t="shared" ref="G440:G457" si="26">IF(D440=0,"q",IF(B440=B441,"a","e"))</f>
        <v>a</v>
      </c>
      <c r="H440" t="str">
        <f>VLOOKUP(D440,name!A:C,3,1)</f>
        <v>assets/icons/image014.png</v>
      </c>
    </row>
    <row r="441" spans="1:8" x14ac:dyDescent="0.15">
      <c r="A441" t="s">
        <v>171</v>
      </c>
      <c r="B441">
        <v>1</v>
      </c>
      <c r="C441">
        <v>3</v>
      </c>
      <c r="D441">
        <v>11</v>
      </c>
      <c r="E441" t="str">
        <f>VLOOKUP(D441,name!A:B,2,1)</f>
        <v>李明</v>
      </c>
      <c r="F441" s="3" t="s">
        <v>176</v>
      </c>
      <c r="G441" t="str">
        <f t="shared" si="26"/>
        <v>a</v>
      </c>
      <c r="H441" t="str">
        <f>VLOOKUP(D441,name!A:C,3,1)</f>
        <v>assets/icons/image144.png</v>
      </c>
    </row>
    <row r="442" spans="1:8" x14ac:dyDescent="0.15">
      <c r="A442" t="s">
        <v>171</v>
      </c>
      <c r="B442">
        <v>1</v>
      </c>
      <c r="C442">
        <v>4</v>
      </c>
      <c r="D442">
        <v>11</v>
      </c>
      <c r="E442" t="str">
        <f>VLOOKUP(D442,name!A:B,2,1)</f>
        <v>李明</v>
      </c>
      <c r="F442" s="3" t="s">
        <v>183</v>
      </c>
      <c r="G442" t="str">
        <f t="shared" si="26"/>
        <v>a</v>
      </c>
      <c r="H442" t="str">
        <f>VLOOKUP(D442,name!A:C,3,1)</f>
        <v>assets/icons/image144.png</v>
      </c>
    </row>
    <row r="443" spans="1:8" x14ac:dyDescent="0.15">
      <c r="A443" t="s">
        <v>171</v>
      </c>
      <c r="B443">
        <v>1</v>
      </c>
      <c r="C443">
        <v>5</v>
      </c>
      <c r="D443">
        <v>12</v>
      </c>
      <c r="E443" t="str">
        <f>VLOOKUP(D443,name!A:B,2,1)</f>
        <v>鈴木</v>
      </c>
      <c r="F443" s="3" t="s">
        <v>177</v>
      </c>
      <c r="G443" t="str">
        <f t="shared" si="26"/>
        <v>a</v>
      </c>
      <c r="H443" t="str">
        <f>VLOOKUP(D443,name!A:C,3,1)</f>
        <v>assets/icons/image037.png</v>
      </c>
    </row>
    <row r="444" spans="1:8" x14ac:dyDescent="0.15">
      <c r="A444" t="s">
        <v>171</v>
      </c>
      <c r="B444">
        <v>1</v>
      </c>
      <c r="C444">
        <v>6</v>
      </c>
      <c r="D444">
        <v>12</v>
      </c>
      <c r="E444" t="str">
        <f>VLOOKUP(D444,name!A:B,2,1)</f>
        <v>鈴木</v>
      </c>
      <c r="F444" s="3" t="s">
        <v>184</v>
      </c>
      <c r="G444" t="str">
        <f t="shared" si="26"/>
        <v>a</v>
      </c>
      <c r="H444" t="str">
        <f>VLOOKUP(D444,name!A:C,3,1)</f>
        <v>assets/icons/image037.png</v>
      </c>
    </row>
    <row r="445" spans="1:8" x14ac:dyDescent="0.15">
      <c r="A445" t="s">
        <v>171</v>
      </c>
      <c r="B445">
        <v>1</v>
      </c>
      <c r="C445">
        <v>7</v>
      </c>
      <c r="D445">
        <v>12</v>
      </c>
      <c r="E445" t="str">
        <f>VLOOKUP(D445,name!A:B,2,1)</f>
        <v>鈴木</v>
      </c>
      <c r="F445" s="3" t="s">
        <v>178</v>
      </c>
      <c r="G445" t="str">
        <f t="shared" si="26"/>
        <v>a</v>
      </c>
      <c r="H445" t="str">
        <f>VLOOKUP(D445,name!A:C,3,1)</f>
        <v>assets/icons/image037.png</v>
      </c>
    </row>
    <row r="446" spans="1:8" x14ac:dyDescent="0.15">
      <c r="A446" t="s">
        <v>171</v>
      </c>
      <c r="B446">
        <v>1</v>
      </c>
      <c r="C446">
        <v>8</v>
      </c>
      <c r="D446">
        <v>12</v>
      </c>
      <c r="E446" t="str">
        <f>VLOOKUP(D446,name!A:B,2,1)</f>
        <v>鈴木</v>
      </c>
      <c r="F446" s="3" t="s">
        <v>185</v>
      </c>
      <c r="G446" t="str">
        <f t="shared" si="26"/>
        <v>a</v>
      </c>
      <c r="H446" t="str">
        <f>VLOOKUP(D446,name!A:C,3,1)</f>
        <v>assets/icons/image037.png</v>
      </c>
    </row>
    <row r="447" spans="1:8" x14ac:dyDescent="0.15">
      <c r="A447" t="s">
        <v>171</v>
      </c>
      <c r="B447">
        <v>1</v>
      </c>
      <c r="C447">
        <v>9</v>
      </c>
      <c r="D447">
        <v>11</v>
      </c>
      <c r="E447" t="str">
        <f>VLOOKUP(D447,name!A:B,2,1)</f>
        <v>李明</v>
      </c>
      <c r="F447" s="3" t="s">
        <v>180</v>
      </c>
      <c r="G447" t="str">
        <f t="shared" si="26"/>
        <v>a</v>
      </c>
      <c r="H447" t="str">
        <f>VLOOKUP(D447,name!A:C,3,1)</f>
        <v>assets/icons/image144.png</v>
      </c>
    </row>
    <row r="448" spans="1:8" x14ac:dyDescent="0.15">
      <c r="A448" t="s">
        <v>171</v>
      </c>
      <c r="B448">
        <v>1</v>
      </c>
      <c r="C448">
        <v>10</v>
      </c>
      <c r="D448">
        <v>11</v>
      </c>
      <c r="E448" t="str">
        <f>VLOOKUP(D448,name!A:B,2,1)</f>
        <v>李明</v>
      </c>
      <c r="F448" s="3" t="s">
        <v>179</v>
      </c>
      <c r="G448" t="str">
        <f t="shared" si="26"/>
        <v>a</v>
      </c>
      <c r="H448" t="str">
        <f>VLOOKUP(D448,name!A:C,3,1)</f>
        <v>assets/icons/image144.png</v>
      </c>
    </row>
    <row r="449" spans="1:8" x14ac:dyDescent="0.15">
      <c r="A449" t="s">
        <v>171</v>
      </c>
      <c r="B449">
        <v>1</v>
      </c>
      <c r="C449">
        <v>11</v>
      </c>
      <c r="D449">
        <v>12</v>
      </c>
      <c r="E449" t="str">
        <f>VLOOKUP(D449,name!A:B,2,1)</f>
        <v>鈴木</v>
      </c>
      <c r="F449" s="3" t="s">
        <v>181</v>
      </c>
      <c r="G449" t="str">
        <f t="shared" si="26"/>
        <v>a</v>
      </c>
      <c r="H449" t="str">
        <f>VLOOKUP(D449,name!A:C,3,1)</f>
        <v>assets/icons/image037.png</v>
      </c>
    </row>
    <row r="450" spans="1:8" x14ac:dyDescent="0.15">
      <c r="A450" t="s">
        <v>171</v>
      </c>
      <c r="B450">
        <v>1</v>
      </c>
      <c r="C450">
        <v>12</v>
      </c>
      <c r="D450">
        <v>12</v>
      </c>
      <c r="E450" t="str">
        <f>VLOOKUP(D450,name!A:B,2,1)</f>
        <v>鈴木</v>
      </c>
      <c r="F450" s="3" t="s">
        <v>182</v>
      </c>
      <c r="G450" t="str">
        <f t="shared" si="26"/>
        <v>a</v>
      </c>
      <c r="H450" t="str">
        <f>VLOOKUP(D450,name!A:C,3,1)</f>
        <v>assets/icons/image037.png</v>
      </c>
    </row>
    <row r="451" spans="1:8" x14ac:dyDescent="0.15">
      <c r="A451" t="s">
        <v>171</v>
      </c>
      <c r="B451">
        <v>1</v>
      </c>
      <c r="C451">
        <v>13</v>
      </c>
      <c r="D451">
        <v>11</v>
      </c>
      <c r="E451" t="str">
        <f>VLOOKUP(D451,name!A:B,2,1)</f>
        <v>李明</v>
      </c>
      <c r="F451" s="3" t="s">
        <v>187</v>
      </c>
      <c r="G451" t="str">
        <f t="shared" si="26"/>
        <v>a</v>
      </c>
      <c r="H451" t="str">
        <f>VLOOKUP(D451,name!A:C,3,1)</f>
        <v>assets/icons/image144.png</v>
      </c>
    </row>
    <row r="452" spans="1:8" x14ac:dyDescent="0.15">
      <c r="A452" t="s">
        <v>171</v>
      </c>
      <c r="B452">
        <v>1</v>
      </c>
      <c r="C452">
        <v>14</v>
      </c>
      <c r="D452">
        <v>11</v>
      </c>
      <c r="E452" t="str">
        <f>VLOOKUP(D452,name!A:B,2,1)</f>
        <v>李明</v>
      </c>
      <c r="F452" s="3" t="s">
        <v>186</v>
      </c>
      <c r="G452" t="str">
        <f t="shared" si="26"/>
        <v>a</v>
      </c>
      <c r="H452" t="str">
        <f>VLOOKUP(D452,name!A:C,3,1)</f>
        <v>assets/icons/image144.png</v>
      </c>
    </row>
    <row r="453" spans="1:8" x14ac:dyDescent="0.15">
      <c r="A453" t="s">
        <v>171</v>
      </c>
      <c r="B453">
        <v>1</v>
      </c>
      <c r="C453">
        <v>15</v>
      </c>
      <c r="D453">
        <v>1</v>
      </c>
      <c r="E453" t="str">
        <f>VLOOKUP(D453,name!A:B,2,1)</f>
        <v>Navigator</v>
      </c>
      <c r="F453" t="str">
        <f>"次の"&amp;A558&amp;"を真似してね！"</f>
        <v>次のを真似してね！</v>
      </c>
      <c r="G453" t="str">
        <f t="shared" si="26"/>
        <v>a</v>
      </c>
      <c r="H453" t="str">
        <f>VLOOKUP(D453,name!A:C,3,1)</f>
        <v>assets/icons/image014.png</v>
      </c>
    </row>
    <row r="454" spans="1:8" x14ac:dyDescent="0.15">
      <c r="A454" t="s">
        <v>171</v>
      </c>
      <c r="B454">
        <v>1</v>
      </c>
      <c r="C454">
        <v>16</v>
      </c>
      <c r="D454">
        <v>11</v>
      </c>
      <c r="E454" t="str">
        <f>VLOOKUP(D454,name!A:B,2,1)</f>
        <v>李明</v>
      </c>
      <c r="F454" s="3" t="s">
        <v>176</v>
      </c>
      <c r="G454" t="str">
        <f t="shared" si="26"/>
        <v>a</v>
      </c>
      <c r="H454" t="str">
        <f>VLOOKUP(D454,name!A:C,3,1)</f>
        <v>assets/icons/image144.png</v>
      </c>
    </row>
    <row r="455" spans="1:8" x14ac:dyDescent="0.15">
      <c r="A455" t="s">
        <v>171</v>
      </c>
      <c r="B455">
        <v>1</v>
      </c>
      <c r="C455">
        <v>17</v>
      </c>
      <c r="D455">
        <v>11</v>
      </c>
      <c r="E455" t="str">
        <f>VLOOKUP(D455,name!A:B,2,1)</f>
        <v>李明</v>
      </c>
      <c r="F455" s="3" t="s">
        <v>183</v>
      </c>
      <c r="G455" t="str">
        <f t="shared" si="26"/>
        <v>a</v>
      </c>
      <c r="H455" t="str">
        <f>VLOOKUP(D455,name!A:C,3,1)</f>
        <v>assets/icons/image144.png</v>
      </c>
    </row>
    <row r="456" spans="1:8" x14ac:dyDescent="0.15">
      <c r="A456" t="s">
        <v>171</v>
      </c>
      <c r="B456">
        <v>1</v>
      </c>
      <c r="C456">
        <v>18</v>
      </c>
      <c r="D456">
        <v>0</v>
      </c>
      <c r="E456" t="str">
        <f>VLOOKUP(D456,name!A:B,2,1)</f>
        <v>Player</v>
      </c>
      <c r="F456" s="3" t="s">
        <v>183</v>
      </c>
      <c r="G456" t="str">
        <f t="shared" si="26"/>
        <v>q</v>
      </c>
      <c r="H456" t="str">
        <f>VLOOKUP(D456,name!A:C,3,1)</f>
        <v>assets/icons/image326.png</v>
      </c>
    </row>
    <row r="457" spans="1:8" x14ac:dyDescent="0.15">
      <c r="A457" t="s">
        <v>171</v>
      </c>
      <c r="B457">
        <v>1</v>
      </c>
      <c r="C457">
        <v>19</v>
      </c>
      <c r="D457">
        <v>12</v>
      </c>
      <c r="E457" t="str">
        <f>VLOOKUP(D457,name!A:B,2,1)</f>
        <v>鈴木</v>
      </c>
      <c r="F457" s="3" t="s">
        <v>177</v>
      </c>
      <c r="G457" t="str">
        <f t="shared" si="26"/>
        <v>a</v>
      </c>
      <c r="H457" t="str">
        <f>VLOOKUP(D457,name!A:C,3,1)</f>
        <v>assets/icons/image037.png</v>
      </c>
    </row>
    <row r="458" spans="1:8" x14ac:dyDescent="0.15">
      <c r="A458" t="s">
        <v>171</v>
      </c>
      <c r="B458">
        <v>1</v>
      </c>
      <c r="C458">
        <v>20</v>
      </c>
      <c r="D458">
        <v>12</v>
      </c>
      <c r="E458" t="str">
        <f>VLOOKUP(D458,name!A:B,2,1)</f>
        <v>鈴木</v>
      </c>
      <c r="F458" s="3" t="s">
        <v>184</v>
      </c>
      <c r="G458" t="str">
        <f t="shared" ref="G458:G485" si="27">IF(D458=0,"q",IF(B458=B459,"a","e"))</f>
        <v>a</v>
      </c>
      <c r="H458" t="str">
        <f>VLOOKUP(D458,name!A:C,3,1)</f>
        <v>assets/icons/image037.png</v>
      </c>
    </row>
    <row r="459" spans="1:8" x14ac:dyDescent="0.15">
      <c r="A459" t="s">
        <v>171</v>
      </c>
      <c r="B459">
        <v>1</v>
      </c>
      <c r="C459">
        <v>21</v>
      </c>
      <c r="D459">
        <v>0</v>
      </c>
      <c r="E459" t="str">
        <f>VLOOKUP(D459,name!A:B,2,1)</f>
        <v>Player</v>
      </c>
      <c r="F459" s="3" t="s">
        <v>184</v>
      </c>
      <c r="G459" t="str">
        <f t="shared" si="27"/>
        <v>q</v>
      </c>
      <c r="H459" t="str">
        <f>VLOOKUP(D459,name!A:C,3,1)</f>
        <v>assets/icons/image326.png</v>
      </c>
    </row>
    <row r="460" spans="1:8" x14ac:dyDescent="0.15">
      <c r="A460" t="s">
        <v>171</v>
      </c>
      <c r="B460">
        <v>1</v>
      </c>
      <c r="C460">
        <v>22</v>
      </c>
      <c r="D460">
        <v>12</v>
      </c>
      <c r="E460" t="str">
        <f>VLOOKUP(D460,name!A:B,2,1)</f>
        <v>鈴木</v>
      </c>
      <c r="F460" s="3" t="s">
        <v>178</v>
      </c>
      <c r="G460" t="str">
        <f t="shared" si="27"/>
        <v>a</v>
      </c>
      <c r="H460" t="str">
        <f>VLOOKUP(D460,name!A:C,3,1)</f>
        <v>assets/icons/image037.png</v>
      </c>
    </row>
    <row r="461" spans="1:8" x14ac:dyDescent="0.15">
      <c r="A461" t="s">
        <v>171</v>
      </c>
      <c r="B461">
        <v>1</v>
      </c>
      <c r="C461">
        <v>23</v>
      </c>
      <c r="D461">
        <v>12</v>
      </c>
      <c r="E461" t="str">
        <f>VLOOKUP(D461,name!A:B,2,1)</f>
        <v>鈴木</v>
      </c>
      <c r="F461" s="3" t="s">
        <v>185</v>
      </c>
      <c r="G461" t="str">
        <f t="shared" si="27"/>
        <v>a</v>
      </c>
      <c r="H461" t="str">
        <f>VLOOKUP(D461,name!A:C,3,1)</f>
        <v>assets/icons/image037.png</v>
      </c>
    </row>
    <row r="462" spans="1:8" x14ac:dyDescent="0.15">
      <c r="A462" t="s">
        <v>171</v>
      </c>
      <c r="B462">
        <v>1</v>
      </c>
      <c r="C462">
        <v>24</v>
      </c>
      <c r="D462">
        <v>0</v>
      </c>
      <c r="E462" t="str">
        <f>VLOOKUP(D462,name!A:B,2,1)</f>
        <v>Player</v>
      </c>
      <c r="F462" s="3" t="s">
        <v>185</v>
      </c>
      <c r="G462" t="str">
        <f t="shared" si="27"/>
        <v>q</v>
      </c>
      <c r="H462" t="str">
        <f>VLOOKUP(D462,name!A:C,3,1)</f>
        <v>assets/icons/image326.png</v>
      </c>
    </row>
    <row r="463" spans="1:8" x14ac:dyDescent="0.15">
      <c r="A463" t="s">
        <v>171</v>
      </c>
      <c r="B463">
        <v>1</v>
      </c>
      <c r="C463">
        <v>25</v>
      </c>
      <c r="D463">
        <v>11</v>
      </c>
      <c r="E463" t="str">
        <f>VLOOKUP(D463,name!A:B,2,1)</f>
        <v>李明</v>
      </c>
      <c r="F463" s="3" t="s">
        <v>180</v>
      </c>
      <c r="G463" t="str">
        <f t="shared" si="27"/>
        <v>a</v>
      </c>
      <c r="H463" t="str">
        <f>VLOOKUP(D463,name!A:C,3,1)</f>
        <v>assets/icons/image144.png</v>
      </c>
    </row>
    <row r="464" spans="1:8" x14ac:dyDescent="0.15">
      <c r="A464" t="s">
        <v>171</v>
      </c>
      <c r="B464">
        <v>1</v>
      </c>
      <c r="C464">
        <v>26</v>
      </c>
      <c r="D464">
        <v>11</v>
      </c>
      <c r="E464" t="str">
        <f>VLOOKUP(D464,name!A:B,2,1)</f>
        <v>李明</v>
      </c>
      <c r="F464" s="3" t="s">
        <v>179</v>
      </c>
      <c r="G464" t="str">
        <f t="shared" si="27"/>
        <v>a</v>
      </c>
      <c r="H464" t="str">
        <f>VLOOKUP(D464,name!A:C,3,1)</f>
        <v>assets/icons/image144.png</v>
      </c>
    </row>
    <row r="465" spans="1:8" x14ac:dyDescent="0.15">
      <c r="A465" t="s">
        <v>171</v>
      </c>
      <c r="B465">
        <v>1</v>
      </c>
      <c r="C465">
        <v>27</v>
      </c>
      <c r="D465">
        <v>0</v>
      </c>
      <c r="E465" t="str">
        <f>VLOOKUP(D465,name!A:B,2,1)</f>
        <v>Player</v>
      </c>
      <c r="F465" s="3" t="s">
        <v>179</v>
      </c>
      <c r="G465" t="str">
        <f t="shared" si="27"/>
        <v>q</v>
      </c>
      <c r="H465" t="str">
        <f>VLOOKUP(D465,name!A:C,3,1)</f>
        <v>assets/icons/image326.png</v>
      </c>
    </row>
    <row r="466" spans="1:8" x14ac:dyDescent="0.15">
      <c r="A466" t="s">
        <v>171</v>
      </c>
      <c r="B466">
        <v>1</v>
      </c>
      <c r="C466">
        <v>28</v>
      </c>
      <c r="D466">
        <v>12</v>
      </c>
      <c r="E466" t="str">
        <f>VLOOKUP(D466,name!A:B,2,1)</f>
        <v>鈴木</v>
      </c>
      <c r="F466" s="3" t="s">
        <v>181</v>
      </c>
      <c r="G466" t="str">
        <f t="shared" si="27"/>
        <v>a</v>
      </c>
      <c r="H466" t="str">
        <f>VLOOKUP(D466,name!A:C,3,1)</f>
        <v>assets/icons/image037.png</v>
      </c>
    </row>
    <row r="467" spans="1:8" x14ac:dyDescent="0.15">
      <c r="A467" t="s">
        <v>171</v>
      </c>
      <c r="B467">
        <v>1</v>
      </c>
      <c r="C467">
        <v>29</v>
      </c>
      <c r="D467">
        <v>12</v>
      </c>
      <c r="E467" t="str">
        <f>VLOOKUP(D467,name!A:B,2,1)</f>
        <v>鈴木</v>
      </c>
      <c r="F467" s="3" t="s">
        <v>182</v>
      </c>
      <c r="G467" t="str">
        <f t="shared" si="27"/>
        <v>a</v>
      </c>
      <c r="H467" t="str">
        <f>VLOOKUP(D467,name!A:C,3,1)</f>
        <v>assets/icons/image037.png</v>
      </c>
    </row>
    <row r="468" spans="1:8" x14ac:dyDescent="0.15">
      <c r="A468" t="s">
        <v>171</v>
      </c>
      <c r="B468">
        <v>1</v>
      </c>
      <c r="C468">
        <v>30</v>
      </c>
      <c r="D468">
        <v>0</v>
      </c>
      <c r="E468" t="str">
        <f>VLOOKUP(D468,name!A:B,2,1)</f>
        <v>Player</v>
      </c>
      <c r="F468" s="3" t="s">
        <v>182</v>
      </c>
      <c r="G468" t="str">
        <f t="shared" si="27"/>
        <v>q</v>
      </c>
      <c r="H468" t="str">
        <f>VLOOKUP(D468,name!A:C,3,1)</f>
        <v>assets/icons/image326.png</v>
      </c>
    </row>
    <row r="469" spans="1:8" x14ac:dyDescent="0.15">
      <c r="A469" t="s">
        <v>171</v>
      </c>
      <c r="B469">
        <v>1</v>
      </c>
      <c r="C469">
        <v>31</v>
      </c>
      <c r="D469">
        <v>11</v>
      </c>
      <c r="E469" t="str">
        <f>VLOOKUP(D469,name!A:B,2,1)</f>
        <v>李明</v>
      </c>
      <c r="F469" s="3" t="s">
        <v>187</v>
      </c>
      <c r="G469" t="str">
        <f t="shared" si="27"/>
        <v>a</v>
      </c>
      <c r="H469" t="str">
        <f>VLOOKUP(D469,name!A:C,3,1)</f>
        <v>assets/icons/image144.png</v>
      </c>
    </row>
    <row r="470" spans="1:8" x14ac:dyDescent="0.15">
      <c r="A470" t="s">
        <v>171</v>
      </c>
      <c r="B470">
        <v>1</v>
      </c>
      <c r="C470">
        <v>32</v>
      </c>
      <c r="D470">
        <v>11</v>
      </c>
      <c r="E470" t="str">
        <f>VLOOKUP(D470,name!A:B,2,1)</f>
        <v>李明</v>
      </c>
      <c r="F470" s="3" t="s">
        <v>186</v>
      </c>
      <c r="G470" t="str">
        <f t="shared" si="27"/>
        <v>a</v>
      </c>
      <c r="H470" t="str">
        <f>VLOOKUP(D470,name!A:C,3,1)</f>
        <v>assets/icons/image144.png</v>
      </c>
    </row>
    <row r="471" spans="1:8" x14ac:dyDescent="0.15">
      <c r="A471" t="s">
        <v>171</v>
      </c>
      <c r="B471">
        <v>1</v>
      </c>
      <c r="C471">
        <v>33</v>
      </c>
      <c r="D471">
        <v>0</v>
      </c>
      <c r="E471" t="str">
        <f>VLOOKUP(D471,name!A:B,2,1)</f>
        <v>Player</v>
      </c>
      <c r="F471" s="3" t="s">
        <v>186</v>
      </c>
      <c r="G471" t="str">
        <f t="shared" si="27"/>
        <v>q</v>
      </c>
      <c r="H471" t="str">
        <f>VLOOKUP(D471,name!A:C,3,1)</f>
        <v>assets/icons/image326.png</v>
      </c>
    </row>
    <row r="472" spans="1:8" x14ac:dyDescent="0.15">
      <c r="A472" t="s">
        <v>171</v>
      </c>
      <c r="B472">
        <v>1</v>
      </c>
      <c r="C472">
        <v>34</v>
      </c>
      <c r="D472">
        <v>1</v>
      </c>
      <c r="E472" t="str">
        <f>VLOOKUP(D472,name!A:B,2,1)</f>
        <v>Navigator</v>
      </c>
      <c r="F472" t="str">
        <f>"次の日本語を"&amp;A472&amp;"に訳して答えてね！"</f>
        <v>次の日本語を中国語に訳して答えてね！</v>
      </c>
      <c r="G472" t="str">
        <f t="shared" si="27"/>
        <v>a</v>
      </c>
      <c r="H472" t="str">
        <f>VLOOKUP(D472,name!A:C,3,1)</f>
        <v>assets/icons/image014.png</v>
      </c>
    </row>
    <row r="473" spans="1:8" x14ac:dyDescent="0.15">
      <c r="A473" t="s">
        <v>171</v>
      </c>
      <c r="B473">
        <v>1</v>
      </c>
      <c r="C473">
        <v>35</v>
      </c>
      <c r="D473">
        <v>11</v>
      </c>
      <c r="E473" t="str">
        <f>VLOOKUP(D473,name!A:B,2,1)</f>
        <v>李明</v>
      </c>
      <c r="F473" s="3" t="s">
        <v>176</v>
      </c>
      <c r="G473" t="str">
        <f t="shared" si="27"/>
        <v>a</v>
      </c>
      <c r="H473" t="str">
        <f>VLOOKUP(D473,name!A:C,3,1)</f>
        <v>assets/icons/image144.png</v>
      </c>
    </row>
    <row r="474" spans="1:8" x14ac:dyDescent="0.15">
      <c r="A474" t="s">
        <v>171</v>
      </c>
      <c r="B474">
        <v>1</v>
      </c>
      <c r="C474">
        <v>36</v>
      </c>
      <c r="D474">
        <v>0</v>
      </c>
      <c r="E474" t="str">
        <f>VLOOKUP(D474,name!A:B,2,1)</f>
        <v>Player</v>
      </c>
      <c r="F474" s="3" t="s">
        <v>183</v>
      </c>
      <c r="G474" t="str">
        <f t="shared" si="27"/>
        <v>q</v>
      </c>
      <c r="H474" t="str">
        <f>VLOOKUP(D474,name!A:C,3,1)</f>
        <v>assets/icons/image326.png</v>
      </c>
    </row>
    <row r="475" spans="1:8" x14ac:dyDescent="0.15">
      <c r="A475" t="s">
        <v>171</v>
      </c>
      <c r="B475">
        <v>1</v>
      </c>
      <c r="C475">
        <v>37</v>
      </c>
      <c r="D475">
        <v>12</v>
      </c>
      <c r="E475" t="str">
        <f>VLOOKUP(D475,name!A:B,2,1)</f>
        <v>鈴木</v>
      </c>
      <c r="F475" s="3" t="s">
        <v>177</v>
      </c>
      <c r="G475" t="str">
        <f t="shared" si="27"/>
        <v>a</v>
      </c>
      <c r="H475" t="str">
        <f>VLOOKUP(D475,name!A:C,3,1)</f>
        <v>assets/icons/image037.png</v>
      </c>
    </row>
    <row r="476" spans="1:8" x14ac:dyDescent="0.15">
      <c r="A476" t="s">
        <v>171</v>
      </c>
      <c r="B476">
        <v>1</v>
      </c>
      <c r="C476">
        <v>38</v>
      </c>
      <c r="D476">
        <v>0</v>
      </c>
      <c r="E476" t="str">
        <f>VLOOKUP(D476,name!A:B,2,1)</f>
        <v>Player</v>
      </c>
      <c r="F476" s="3" t="s">
        <v>184</v>
      </c>
      <c r="G476" t="str">
        <f t="shared" si="27"/>
        <v>q</v>
      </c>
      <c r="H476" t="str">
        <f>VLOOKUP(D476,name!A:C,3,1)</f>
        <v>assets/icons/image326.png</v>
      </c>
    </row>
    <row r="477" spans="1:8" x14ac:dyDescent="0.15">
      <c r="A477" t="s">
        <v>171</v>
      </c>
      <c r="B477">
        <v>1</v>
      </c>
      <c r="C477">
        <v>39</v>
      </c>
      <c r="D477">
        <v>12</v>
      </c>
      <c r="E477" t="str">
        <f>VLOOKUP(D477,name!A:B,2,1)</f>
        <v>鈴木</v>
      </c>
      <c r="F477" s="3" t="s">
        <v>178</v>
      </c>
      <c r="G477" t="str">
        <f t="shared" si="27"/>
        <v>a</v>
      </c>
      <c r="H477" t="str">
        <f>VLOOKUP(D477,name!A:C,3,1)</f>
        <v>assets/icons/image037.png</v>
      </c>
    </row>
    <row r="478" spans="1:8" x14ac:dyDescent="0.15">
      <c r="A478" t="s">
        <v>171</v>
      </c>
      <c r="B478">
        <v>1</v>
      </c>
      <c r="C478">
        <v>40</v>
      </c>
      <c r="D478">
        <v>0</v>
      </c>
      <c r="E478" t="str">
        <f>VLOOKUP(D478,name!A:B,2,1)</f>
        <v>Player</v>
      </c>
      <c r="F478" s="3" t="s">
        <v>185</v>
      </c>
      <c r="G478" t="str">
        <f t="shared" si="27"/>
        <v>q</v>
      </c>
      <c r="H478" t="str">
        <f>VLOOKUP(D478,name!A:C,3,1)</f>
        <v>assets/icons/image326.png</v>
      </c>
    </row>
    <row r="479" spans="1:8" x14ac:dyDescent="0.15">
      <c r="A479" t="s">
        <v>171</v>
      </c>
      <c r="B479">
        <v>1</v>
      </c>
      <c r="C479">
        <v>41</v>
      </c>
      <c r="D479">
        <v>11</v>
      </c>
      <c r="E479" t="str">
        <f>VLOOKUP(D479,name!A:B,2,1)</f>
        <v>李明</v>
      </c>
      <c r="F479" s="3" t="s">
        <v>180</v>
      </c>
      <c r="G479" t="str">
        <f t="shared" si="27"/>
        <v>a</v>
      </c>
      <c r="H479" t="str">
        <f>VLOOKUP(D479,name!A:C,3,1)</f>
        <v>assets/icons/image144.png</v>
      </c>
    </row>
    <row r="480" spans="1:8" x14ac:dyDescent="0.15">
      <c r="A480" t="s">
        <v>171</v>
      </c>
      <c r="B480">
        <v>1</v>
      </c>
      <c r="C480">
        <v>42</v>
      </c>
      <c r="D480">
        <v>0</v>
      </c>
      <c r="E480" t="str">
        <f>VLOOKUP(D480,name!A:B,2,1)</f>
        <v>Player</v>
      </c>
      <c r="F480" s="3" t="s">
        <v>179</v>
      </c>
      <c r="G480" t="str">
        <f t="shared" si="27"/>
        <v>q</v>
      </c>
      <c r="H480" t="str">
        <f>VLOOKUP(D480,name!A:C,3,1)</f>
        <v>assets/icons/image326.png</v>
      </c>
    </row>
    <row r="481" spans="1:8" x14ac:dyDescent="0.15">
      <c r="A481" t="s">
        <v>171</v>
      </c>
      <c r="B481">
        <v>1</v>
      </c>
      <c r="C481">
        <v>43</v>
      </c>
      <c r="D481">
        <v>12</v>
      </c>
      <c r="E481" t="str">
        <f>VLOOKUP(D481,name!A:B,2,1)</f>
        <v>鈴木</v>
      </c>
      <c r="F481" s="3" t="s">
        <v>181</v>
      </c>
      <c r="G481" t="str">
        <f t="shared" si="27"/>
        <v>a</v>
      </c>
      <c r="H481" t="str">
        <f>VLOOKUP(D481,name!A:C,3,1)</f>
        <v>assets/icons/image037.png</v>
      </c>
    </row>
    <row r="482" spans="1:8" x14ac:dyDescent="0.15">
      <c r="A482" t="s">
        <v>171</v>
      </c>
      <c r="B482">
        <v>1</v>
      </c>
      <c r="C482">
        <v>44</v>
      </c>
      <c r="D482">
        <v>0</v>
      </c>
      <c r="E482" t="str">
        <f>VLOOKUP(D482,name!A:B,2,1)</f>
        <v>Player</v>
      </c>
      <c r="F482" s="3" t="s">
        <v>182</v>
      </c>
      <c r="G482" t="str">
        <f t="shared" si="27"/>
        <v>q</v>
      </c>
      <c r="H482" t="str">
        <f>VLOOKUP(D482,name!A:C,3,1)</f>
        <v>assets/icons/image326.png</v>
      </c>
    </row>
    <row r="483" spans="1:8" x14ac:dyDescent="0.15">
      <c r="A483" t="s">
        <v>171</v>
      </c>
      <c r="B483">
        <v>1</v>
      </c>
      <c r="C483">
        <v>45</v>
      </c>
      <c r="D483">
        <v>11</v>
      </c>
      <c r="E483" t="str">
        <f>VLOOKUP(D483,name!A:B,2,1)</f>
        <v>李明</v>
      </c>
      <c r="F483" s="3" t="s">
        <v>187</v>
      </c>
      <c r="G483" t="str">
        <f t="shared" si="27"/>
        <v>a</v>
      </c>
      <c r="H483" t="str">
        <f>VLOOKUP(D483,name!A:C,3,1)</f>
        <v>assets/icons/image144.png</v>
      </c>
    </row>
    <row r="484" spans="1:8" x14ac:dyDescent="0.15">
      <c r="A484" t="s">
        <v>171</v>
      </c>
      <c r="B484">
        <v>1</v>
      </c>
      <c r="C484">
        <v>46</v>
      </c>
      <c r="D484">
        <v>0</v>
      </c>
      <c r="E484" t="str">
        <f>VLOOKUP(D484,name!A:B,2,1)</f>
        <v>Player</v>
      </c>
      <c r="F484" s="3" t="s">
        <v>186</v>
      </c>
      <c r="G484" t="str">
        <f t="shared" si="27"/>
        <v>q</v>
      </c>
      <c r="H484" t="str">
        <f>VLOOKUP(D484,name!A:C,3,1)</f>
        <v>assets/icons/image326.png</v>
      </c>
    </row>
    <row r="485" spans="1:8" x14ac:dyDescent="0.15">
      <c r="A485" t="s">
        <v>171</v>
      </c>
      <c r="B485">
        <v>1</v>
      </c>
      <c r="C485">
        <v>47</v>
      </c>
      <c r="D485">
        <v>1</v>
      </c>
      <c r="E485" t="str">
        <f>VLOOKUP(D485,name!A:B,2,1)</f>
        <v>Navigator</v>
      </c>
      <c r="F485" t="str">
        <f>"とても良くできました。レッスン"&amp;B485&amp;"はこれで終了です。"</f>
        <v>とても良くできました。レッスン1はこれで終了です。</v>
      </c>
      <c r="G485" t="str">
        <f t="shared" si="27"/>
        <v>e</v>
      </c>
      <c r="H485" t="str">
        <f>VLOOKUP(D485,name!A:C,3,1)</f>
        <v>assets/icons/image014.png</v>
      </c>
    </row>
    <row r="486" spans="1:8" x14ac:dyDescent="0.15">
      <c r="A486" t="s">
        <v>171</v>
      </c>
      <c r="B486">
        <v>2</v>
      </c>
      <c r="C486">
        <v>1</v>
      </c>
      <c r="D486">
        <v>1</v>
      </c>
      <c r="E486" t="str">
        <f>VLOOKUP(D486,name!A:B,2,1)</f>
        <v>Navigator</v>
      </c>
      <c r="F486" t="str">
        <f>"レッスン"&amp;B486</f>
        <v>レッスン2</v>
      </c>
      <c r="G486" t="str">
        <f t="shared" ref="G486:G532" si="28">IF(D486=0,"q",IF(B486=B487,"a","e"))</f>
        <v>a</v>
      </c>
      <c r="H486" t="str">
        <f>VLOOKUP(D486,name!A:C,3,1)</f>
        <v>assets/icons/image014.png</v>
      </c>
    </row>
    <row r="487" spans="1:8" ht="40.5" x14ac:dyDescent="0.15">
      <c r="A487" t="s">
        <v>171</v>
      </c>
      <c r="B487">
        <v>2</v>
      </c>
      <c r="C487">
        <v>2</v>
      </c>
      <c r="D487">
        <v>1</v>
      </c>
      <c r="E487" t="str">
        <f>VLOOKUP(D487,name!A:B,2,1)</f>
        <v>Navigator</v>
      </c>
      <c r="F487" s="1" t="str">
        <f>"まずは対話文を流します。その後に、日本語と"&amp;A563&amp;"を一文ずつ流すので"&amp;A563&amp;"を真似して下さい。最後に日本語のみを流すので、"&amp;A563&amp;"で答えてください。"</f>
        <v>まずは対話文を流します。その後に、日本語とを一文ずつ流すのでを真似して下さい。最後に日本語のみを流すので、で答えてください。</v>
      </c>
      <c r="G487" t="str">
        <f t="shared" si="28"/>
        <v>a</v>
      </c>
      <c r="H487" t="str">
        <f>VLOOKUP(D487,name!A:C,3,1)</f>
        <v>assets/icons/image014.png</v>
      </c>
    </row>
    <row r="488" spans="1:8" x14ac:dyDescent="0.15">
      <c r="A488" t="s">
        <v>171</v>
      </c>
      <c r="B488">
        <v>2</v>
      </c>
      <c r="C488">
        <v>3</v>
      </c>
      <c r="D488">
        <v>11</v>
      </c>
      <c r="E488" t="str">
        <f>VLOOKUP(D488,name!A:B,2,1)</f>
        <v>李明</v>
      </c>
      <c r="F488" t="s">
        <v>189</v>
      </c>
      <c r="G488" t="str">
        <f t="shared" si="28"/>
        <v>a</v>
      </c>
      <c r="H488" t="str">
        <f>VLOOKUP(D488,name!A:C,3,1)</f>
        <v>assets/icons/image144.png</v>
      </c>
    </row>
    <row r="489" spans="1:8" x14ac:dyDescent="0.15">
      <c r="A489" t="s">
        <v>171</v>
      </c>
      <c r="B489">
        <v>2</v>
      </c>
      <c r="C489">
        <v>4</v>
      </c>
      <c r="D489">
        <v>11</v>
      </c>
      <c r="E489" t="str">
        <f>VLOOKUP(D489,name!A:B,2,1)</f>
        <v>李明</v>
      </c>
      <c r="F489" t="s">
        <v>190</v>
      </c>
      <c r="G489" t="str">
        <f t="shared" si="28"/>
        <v>a</v>
      </c>
      <c r="H489" t="str">
        <f>VLOOKUP(D489,name!A:C,3,1)</f>
        <v>assets/icons/image144.png</v>
      </c>
    </row>
    <row r="490" spans="1:8" x14ac:dyDescent="0.15">
      <c r="A490" t="s">
        <v>171</v>
      </c>
      <c r="B490">
        <v>2</v>
      </c>
      <c r="C490">
        <v>5</v>
      </c>
      <c r="D490">
        <v>12</v>
      </c>
      <c r="E490" t="str">
        <f>VLOOKUP(D490,name!A:B,2,1)</f>
        <v>鈴木</v>
      </c>
      <c r="F490" s="3" t="s">
        <v>192</v>
      </c>
      <c r="G490" t="str">
        <f t="shared" si="28"/>
        <v>a</v>
      </c>
      <c r="H490" t="str">
        <f>VLOOKUP(D490,name!A:C,3,1)</f>
        <v>assets/icons/image037.png</v>
      </c>
    </row>
    <row r="491" spans="1:8" x14ac:dyDescent="0.15">
      <c r="A491" t="s">
        <v>171</v>
      </c>
      <c r="B491">
        <v>2</v>
      </c>
      <c r="C491">
        <v>6</v>
      </c>
      <c r="D491">
        <v>12</v>
      </c>
      <c r="E491" t="str">
        <f>VLOOKUP(D491,name!A:B,2,1)</f>
        <v>鈴木</v>
      </c>
      <c r="F491" s="3" t="s">
        <v>191</v>
      </c>
      <c r="G491" t="str">
        <f t="shared" si="28"/>
        <v>a</v>
      </c>
      <c r="H491" t="str">
        <f>VLOOKUP(D491,name!A:C,3,1)</f>
        <v>assets/icons/image037.png</v>
      </c>
    </row>
    <row r="492" spans="1:8" x14ac:dyDescent="0.15">
      <c r="A492" t="s">
        <v>171</v>
      </c>
      <c r="B492">
        <v>2</v>
      </c>
      <c r="C492">
        <v>7</v>
      </c>
      <c r="D492">
        <v>11</v>
      </c>
      <c r="E492" t="str">
        <f>VLOOKUP(D492,name!A:B,2,1)</f>
        <v>李明</v>
      </c>
      <c r="F492" s="3" t="s">
        <v>194</v>
      </c>
      <c r="G492" t="str">
        <f t="shared" si="28"/>
        <v>a</v>
      </c>
      <c r="H492" t="str">
        <f>VLOOKUP(D492,name!A:C,3,1)</f>
        <v>assets/icons/image144.png</v>
      </c>
    </row>
    <row r="493" spans="1:8" x14ac:dyDescent="0.15">
      <c r="A493" t="s">
        <v>171</v>
      </c>
      <c r="B493">
        <v>2</v>
      </c>
      <c r="C493">
        <v>8</v>
      </c>
      <c r="D493">
        <v>11</v>
      </c>
      <c r="E493" t="str">
        <f>VLOOKUP(D493,name!A:B,2,1)</f>
        <v>李明</v>
      </c>
      <c r="F493" s="3" t="s">
        <v>193</v>
      </c>
      <c r="G493" t="str">
        <f t="shared" si="28"/>
        <v>a</v>
      </c>
      <c r="H493" t="str">
        <f>VLOOKUP(D493,name!A:C,3,1)</f>
        <v>assets/icons/image144.png</v>
      </c>
    </row>
    <row r="494" spans="1:8" x14ac:dyDescent="0.15">
      <c r="A494" t="s">
        <v>171</v>
      </c>
      <c r="B494">
        <v>2</v>
      </c>
      <c r="C494">
        <v>9</v>
      </c>
      <c r="D494">
        <v>12</v>
      </c>
      <c r="E494" t="str">
        <f>VLOOKUP(D494,name!A:B,2,1)</f>
        <v>鈴木</v>
      </c>
      <c r="F494" s="3" t="s">
        <v>196</v>
      </c>
      <c r="G494" t="str">
        <f t="shared" si="28"/>
        <v>a</v>
      </c>
      <c r="H494" t="str">
        <f>VLOOKUP(D494,name!A:C,3,1)</f>
        <v>assets/icons/image037.png</v>
      </c>
    </row>
    <row r="495" spans="1:8" x14ac:dyDescent="0.15">
      <c r="A495" t="s">
        <v>171</v>
      </c>
      <c r="B495">
        <v>2</v>
      </c>
      <c r="C495">
        <v>10</v>
      </c>
      <c r="D495">
        <v>12</v>
      </c>
      <c r="E495" t="str">
        <f>VLOOKUP(D495,name!A:B,2,1)</f>
        <v>鈴木</v>
      </c>
      <c r="F495" s="3" t="s">
        <v>195</v>
      </c>
      <c r="G495" t="str">
        <f t="shared" si="28"/>
        <v>a</v>
      </c>
      <c r="H495" t="str">
        <f>VLOOKUP(D495,name!A:C,3,1)</f>
        <v>assets/icons/image037.png</v>
      </c>
    </row>
    <row r="496" spans="1:8" x14ac:dyDescent="0.15">
      <c r="A496" t="s">
        <v>171</v>
      </c>
      <c r="B496">
        <v>2</v>
      </c>
      <c r="C496">
        <v>11</v>
      </c>
      <c r="D496">
        <v>11</v>
      </c>
      <c r="E496" t="str">
        <f>VLOOKUP(D496,name!A:B,2,1)</f>
        <v>李明</v>
      </c>
      <c r="F496" s="3" t="s">
        <v>198</v>
      </c>
      <c r="G496" t="str">
        <f t="shared" si="28"/>
        <v>a</v>
      </c>
      <c r="H496" t="str">
        <f>VLOOKUP(D496,name!A:C,3,1)</f>
        <v>assets/icons/image144.png</v>
      </c>
    </row>
    <row r="497" spans="1:12" x14ac:dyDescent="0.15">
      <c r="A497" t="s">
        <v>171</v>
      </c>
      <c r="B497">
        <v>2</v>
      </c>
      <c r="C497">
        <v>12</v>
      </c>
      <c r="D497">
        <v>11</v>
      </c>
      <c r="E497" t="str">
        <f>VLOOKUP(D497,name!A:B,2,1)</f>
        <v>李明</v>
      </c>
      <c r="F497" s="3" t="s">
        <v>197</v>
      </c>
      <c r="G497" t="str">
        <f t="shared" si="28"/>
        <v>a</v>
      </c>
      <c r="H497" t="str">
        <f>VLOOKUP(D497,name!A:C,3,1)</f>
        <v>assets/icons/image144.png</v>
      </c>
    </row>
    <row r="498" spans="1:12" x14ac:dyDescent="0.15">
      <c r="A498" t="s">
        <v>171</v>
      </c>
      <c r="B498">
        <v>2</v>
      </c>
      <c r="C498">
        <v>13</v>
      </c>
      <c r="D498">
        <v>12</v>
      </c>
      <c r="E498" t="str">
        <f>VLOOKUP(D498,name!A:B,2,1)</f>
        <v>鈴木</v>
      </c>
      <c r="F498" s="3" t="s">
        <v>200</v>
      </c>
      <c r="G498" t="str">
        <f t="shared" si="28"/>
        <v>a</v>
      </c>
      <c r="H498" t="str">
        <f>VLOOKUP(D498,name!A:C,3,1)</f>
        <v>assets/icons/image037.png</v>
      </c>
    </row>
    <row r="499" spans="1:12" x14ac:dyDescent="0.15">
      <c r="A499" t="s">
        <v>171</v>
      </c>
      <c r="B499">
        <v>2</v>
      </c>
      <c r="C499">
        <v>14</v>
      </c>
      <c r="D499">
        <v>12</v>
      </c>
      <c r="E499" t="str">
        <f>VLOOKUP(D499,name!A:B,2,1)</f>
        <v>鈴木</v>
      </c>
      <c r="F499" s="3" t="s">
        <v>199</v>
      </c>
      <c r="G499" t="str">
        <f t="shared" si="28"/>
        <v>a</v>
      </c>
      <c r="H499" t="str">
        <f>VLOOKUP(D499,name!A:C,3,1)</f>
        <v>assets/icons/image037.png</v>
      </c>
    </row>
    <row r="500" spans="1:12" x14ac:dyDescent="0.15">
      <c r="A500" t="s">
        <v>171</v>
      </c>
      <c r="B500">
        <v>2</v>
      </c>
      <c r="C500">
        <v>15</v>
      </c>
      <c r="D500">
        <v>1</v>
      </c>
      <c r="E500" t="str">
        <f>VLOOKUP(D500,name!A:B,2,1)</f>
        <v>Navigator</v>
      </c>
      <c r="F500" t="str">
        <f>"次の"&amp;A566&amp;"を真似してね！"</f>
        <v>次のを真似してね！</v>
      </c>
      <c r="G500" t="str">
        <f t="shared" si="28"/>
        <v>a</v>
      </c>
      <c r="H500" t="str">
        <f>VLOOKUP(D500,name!A:C,3,1)</f>
        <v>assets/icons/image014.png</v>
      </c>
      <c r="L500" s="4"/>
    </row>
    <row r="501" spans="1:12" x14ac:dyDescent="0.15">
      <c r="A501" t="s">
        <v>171</v>
      </c>
      <c r="B501">
        <v>2</v>
      </c>
      <c r="C501">
        <v>16</v>
      </c>
      <c r="D501">
        <v>11</v>
      </c>
      <c r="E501" t="str">
        <f>VLOOKUP(D501,name!A:B,2,1)</f>
        <v>李明</v>
      </c>
      <c r="F501" t="s">
        <v>189</v>
      </c>
      <c r="G501" t="str">
        <f t="shared" si="28"/>
        <v>a</v>
      </c>
      <c r="H501" t="str">
        <f>VLOOKUP(D501,name!A:C,3,1)</f>
        <v>assets/icons/image144.png</v>
      </c>
    </row>
    <row r="502" spans="1:12" x14ac:dyDescent="0.15">
      <c r="A502" t="s">
        <v>171</v>
      </c>
      <c r="B502">
        <v>2</v>
      </c>
      <c r="C502">
        <v>17</v>
      </c>
      <c r="D502">
        <v>11</v>
      </c>
      <c r="E502" t="str">
        <f>VLOOKUP(D502,name!A:B,2,1)</f>
        <v>李明</v>
      </c>
      <c r="F502" t="s">
        <v>190</v>
      </c>
      <c r="G502" t="str">
        <f t="shared" si="28"/>
        <v>a</v>
      </c>
      <c r="H502" t="str">
        <f>VLOOKUP(D502,name!A:C,3,1)</f>
        <v>assets/icons/image144.png</v>
      </c>
    </row>
    <row r="503" spans="1:12" x14ac:dyDescent="0.15">
      <c r="A503" t="s">
        <v>171</v>
      </c>
      <c r="B503">
        <v>2</v>
      </c>
      <c r="C503">
        <v>18</v>
      </c>
      <c r="D503">
        <v>0</v>
      </c>
      <c r="E503" t="str">
        <f>VLOOKUP(D503,name!A:B,2,1)</f>
        <v>Player</v>
      </c>
      <c r="F503" t="s">
        <v>190</v>
      </c>
      <c r="G503" t="str">
        <f t="shared" si="28"/>
        <v>q</v>
      </c>
      <c r="H503" t="str">
        <f>VLOOKUP(D503,name!A:C,3,1)</f>
        <v>assets/icons/image326.png</v>
      </c>
    </row>
    <row r="504" spans="1:12" x14ac:dyDescent="0.15">
      <c r="A504" t="s">
        <v>171</v>
      </c>
      <c r="B504">
        <v>2</v>
      </c>
      <c r="C504">
        <v>19</v>
      </c>
      <c r="D504">
        <v>12</v>
      </c>
      <c r="E504" t="str">
        <f>VLOOKUP(D504,name!A:B,2,1)</f>
        <v>鈴木</v>
      </c>
      <c r="F504" s="3" t="s">
        <v>192</v>
      </c>
      <c r="G504" t="str">
        <f t="shared" si="28"/>
        <v>a</v>
      </c>
      <c r="H504" t="str">
        <f>VLOOKUP(D504,name!A:C,3,1)</f>
        <v>assets/icons/image037.png</v>
      </c>
    </row>
    <row r="505" spans="1:12" x14ac:dyDescent="0.15">
      <c r="A505" t="s">
        <v>171</v>
      </c>
      <c r="B505">
        <v>2</v>
      </c>
      <c r="C505">
        <v>20</v>
      </c>
      <c r="D505">
        <v>12</v>
      </c>
      <c r="E505" t="str">
        <f>VLOOKUP(D505,name!A:B,2,1)</f>
        <v>鈴木</v>
      </c>
      <c r="F505" s="3" t="s">
        <v>191</v>
      </c>
      <c r="G505" t="str">
        <f t="shared" si="28"/>
        <v>a</v>
      </c>
      <c r="H505" t="str">
        <f>VLOOKUP(D505,name!A:C,3,1)</f>
        <v>assets/icons/image037.png</v>
      </c>
    </row>
    <row r="506" spans="1:12" x14ac:dyDescent="0.15">
      <c r="A506" t="s">
        <v>171</v>
      </c>
      <c r="B506">
        <v>2</v>
      </c>
      <c r="C506">
        <v>21</v>
      </c>
      <c r="D506">
        <v>0</v>
      </c>
      <c r="E506" t="str">
        <f>VLOOKUP(D506,name!A:B,2,1)</f>
        <v>Player</v>
      </c>
      <c r="F506" s="3" t="s">
        <v>191</v>
      </c>
      <c r="G506" t="str">
        <f t="shared" si="28"/>
        <v>q</v>
      </c>
      <c r="H506" t="str">
        <f>VLOOKUP(D506,name!A:C,3,1)</f>
        <v>assets/icons/image326.png</v>
      </c>
    </row>
    <row r="507" spans="1:12" x14ac:dyDescent="0.15">
      <c r="A507" t="s">
        <v>171</v>
      </c>
      <c r="B507">
        <v>2</v>
      </c>
      <c r="C507">
        <v>22</v>
      </c>
      <c r="D507">
        <v>11</v>
      </c>
      <c r="E507" t="str">
        <f>VLOOKUP(D507,name!A:B,2,1)</f>
        <v>李明</v>
      </c>
      <c r="F507" s="3" t="s">
        <v>194</v>
      </c>
      <c r="G507" t="str">
        <f t="shared" si="28"/>
        <v>a</v>
      </c>
      <c r="H507" t="str">
        <f>VLOOKUP(D507,name!A:C,3,1)</f>
        <v>assets/icons/image144.png</v>
      </c>
    </row>
    <row r="508" spans="1:12" x14ac:dyDescent="0.15">
      <c r="A508" t="s">
        <v>171</v>
      </c>
      <c r="B508">
        <v>2</v>
      </c>
      <c r="C508">
        <v>23</v>
      </c>
      <c r="D508">
        <v>11</v>
      </c>
      <c r="E508" t="str">
        <f>VLOOKUP(D508,name!A:B,2,1)</f>
        <v>李明</v>
      </c>
      <c r="F508" s="3" t="s">
        <v>193</v>
      </c>
      <c r="G508" t="str">
        <f t="shared" si="28"/>
        <v>a</v>
      </c>
      <c r="H508" t="str">
        <f>VLOOKUP(D508,name!A:C,3,1)</f>
        <v>assets/icons/image144.png</v>
      </c>
    </row>
    <row r="509" spans="1:12" x14ac:dyDescent="0.15">
      <c r="A509" t="s">
        <v>171</v>
      </c>
      <c r="B509">
        <v>2</v>
      </c>
      <c r="C509">
        <v>24</v>
      </c>
      <c r="D509">
        <v>0</v>
      </c>
      <c r="E509" t="str">
        <f>VLOOKUP(D509,name!A:B,2,1)</f>
        <v>Player</v>
      </c>
      <c r="F509" s="3" t="s">
        <v>193</v>
      </c>
      <c r="G509" t="str">
        <f t="shared" si="28"/>
        <v>q</v>
      </c>
      <c r="H509" t="str">
        <f>VLOOKUP(D509,name!A:C,3,1)</f>
        <v>assets/icons/image326.png</v>
      </c>
    </row>
    <row r="510" spans="1:12" x14ac:dyDescent="0.15">
      <c r="A510" t="s">
        <v>171</v>
      </c>
      <c r="B510">
        <v>2</v>
      </c>
      <c r="C510">
        <v>25</v>
      </c>
      <c r="D510">
        <v>12</v>
      </c>
      <c r="E510" t="str">
        <f>VLOOKUP(D510,name!A:B,2,1)</f>
        <v>鈴木</v>
      </c>
      <c r="F510" s="3" t="s">
        <v>196</v>
      </c>
      <c r="G510" t="str">
        <f t="shared" si="28"/>
        <v>a</v>
      </c>
      <c r="H510" t="str">
        <f>VLOOKUP(D510,name!A:C,3,1)</f>
        <v>assets/icons/image037.png</v>
      </c>
    </row>
    <row r="511" spans="1:12" x14ac:dyDescent="0.15">
      <c r="A511" t="s">
        <v>171</v>
      </c>
      <c r="B511">
        <v>2</v>
      </c>
      <c r="C511">
        <v>26</v>
      </c>
      <c r="D511">
        <v>12</v>
      </c>
      <c r="E511" t="str">
        <f>VLOOKUP(D511,name!A:B,2,1)</f>
        <v>鈴木</v>
      </c>
      <c r="F511" s="3" t="s">
        <v>195</v>
      </c>
      <c r="G511" t="str">
        <f t="shared" si="28"/>
        <v>a</v>
      </c>
      <c r="H511" t="str">
        <f>VLOOKUP(D511,name!A:C,3,1)</f>
        <v>assets/icons/image037.png</v>
      </c>
    </row>
    <row r="512" spans="1:12" x14ac:dyDescent="0.15">
      <c r="A512" t="s">
        <v>171</v>
      </c>
      <c r="B512">
        <v>2</v>
      </c>
      <c r="C512">
        <v>27</v>
      </c>
      <c r="D512">
        <v>0</v>
      </c>
      <c r="E512" t="str">
        <f>VLOOKUP(D512,name!A:B,2,1)</f>
        <v>Player</v>
      </c>
      <c r="F512" s="3" t="s">
        <v>195</v>
      </c>
      <c r="G512" t="str">
        <f t="shared" si="28"/>
        <v>q</v>
      </c>
      <c r="H512" t="str">
        <f>VLOOKUP(D512,name!A:C,3,1)</f>
        <v>assets/icons/image326.png</v>
      </c>
    </row>
    <row r="513" spans="1:8" x14ac:dyDescent="0.15">
      <c r="A513" t="s">
        <v>171</v>
      </c>
      <c r="B513">
        <v>2</v>
      </c>
      <c r="C513">
        <v>28</v>
      </c>
      <c r="D513">
        <v>11</v>
      </c>
      <c r="E513" t="str">
        <f>VLOOKUP(D513,name!A:B,2,1)</f>
        <v>李明</v>
      </c>
      <c r="F513" s="3" t="s">
        <v>198</v>
      </c>
      <c r="G513" t="str">
        <f t="shared" si="28"/>
        <v>a</v>
      </c>
      <c r="H513" t="str">
        <f>VLOOKUP(D513,name!A:C,3,1)</f>
        <v>assets/icons/image144.png</v>
      </c>
    </row>
    <row r="514" spans="1:8" x14ac:dyDescent="0.15">
      <c r="A514" t="s">
        <v>171</v>
      </c>
      <c r="B514">
        <v>2</v>
      </c>
      <c r="C514">
        <v>29</v>
      </c>
      <c r="D514">
        <v>11</v>
      </c>
      <c r="E514" t="str">
        <f>VLOOKUP(D514,name!A:B,2,1)</f>
        <v>李明</v>
      </c>
      <c r="F514" s="3" t="s">
        <v>197</v>
      </c>
      <c r="G514" t="str">
        <f t="shared" si="28"/>
        <v>a</v>
      </c>
      <c r="H514" t="str">
        <f>VLOOKUP(D514,name!A:C,3,1)</f>
        <v>assets/icons/image144.png</v>
      </c>
    </row>
    <row r="515" spans="1:8" x14ac:dyDescent="0.15">
      <c r="A515" t="s">
        <v>171</v>
      </c>
      <c r="B515">
        <v>2</v>
      </c>
      <c r="C515">
        <v>30</v>
      </c>
      <c r="D515">
        <v>0</v>
      </c>
      <c r="E515" t="str">
        <f>VLOOKUP(D515,name!A:B,2,1)</f>
        <v>Player</v>
      </c>
      <c r="F515" s="3" t="s">
        <v>197</v>
      </c>
      <c r="G515" t="str">
        <f t="shared" si="28"/>
        <v>q</v>
      </c>
      <c r="H515" t="str">
        <f>VLOOKUP(D515,name!A:C,3,1)</f>
        <v>assets/icons/image326.png</v>
      </c>
    </row>
    <row r="516" spans="1:8" x14ac:dyDescent="0.15">
      <c r="A516" t="s">
        <v>171</v>
      </c>
      <c r="B516">
        <v>2</v>
      </c>
      <c r="C516">
        <v>31</v>
      </c>
      <c r="D516">
        <v>12</v>
      </c>
      <c r="E516" t="str">
        <f>VLOOKUP(D516,name!A:B,2,1)</f>
        <v>鈴木</v>
      </c>
      <c r="F516" s="3" t="s">
        <v>200</v>
      </c>
      <c r="G516" t="str">
        <f t="shared" si="28"/>
        <v>a</v>
      </c>
      <c r="H516" t="str">
        <f>VLOOKUP(D516,name!A:C,3,1)</f>
        <v>assets/icons/image037.png</v>
      </c>
    </row>
    <row r="517" spans="1:8" x14ac:dyDescent="0.15">
      <c r="A517" t="s">
        <v>171</v>
      </c>
      <c r="B517">
        <v>2</v>
      </c>
      <c r="C517">
        <v>32</v>
      </c>
      <c r="D517">
        <v>12</v>
      </c>
      <c r="E517" t="str">
        <f>VLOOKUP(D517,name!A:B,2,1)</f>
        <v>鈴木</v>
      </c>
      <c r="F517" s="3" t="s">
        <v>199</v>
      </c>
      <c r="G517" t="str">
        <f t="shared" si="28"/>
        <v>a</v>
      </c>
      <c r="H517" t="str">
        <f>VLOOKUP(D517,name!A:C,3,1)</f>
        <v>assets/icons/image037.png</v>
      </c>
    </row>
    <row r="518" spans="1:8" x14ac:dyDescent="0.15">
      <c r="A518" t="s">
        <v>171</v>
      </c>
      <c r="B518">
        <v>2</v>
      </c>
      <c r="C518">
        <v>33</v>
      </c>
      <c r="D518">
        <v>0</v>
      </c>
      <c r="E518" t="str">
        <f>VLOOKUP(D518,name!A:B,2,1)</f>
        <v>Player</v>
      </c>
      <c r="F518" s="3" t="s">
        <v>199</v>
      </c>
      <c r="G518" t="str">
        <f t="shared" si="28"/>
        <v>q</v>
      </c>
      <c r="H518" t="str">
        <f>VLOOKUP(D518,name!A:C,3,1)</f>
        <v>assets/icons/image326.png</v>
      </c>
    </row>
    <row r="519" spans="1:8" x14ac:dyDescent="0.15">
      <c r="A519" t="s">
        <v>171</v>
      </c>
      <c r="B519">
        <v>2</v>
      </c>
      <c r="C519">
        <v>34</v>
      </c>
      <c r="D519">
        <v>1</v>
      </c>
      <c r="E519" t="str">
        <f>VLOOKUP(D519,name!A:B,2,1)</f>
        <v>Navigator</v>
      </c>
      <c r="F519" t="str">
        <f>"次の日本語を"&amp;A519&amp;"に訳して答えてね！"</f>
        <v>次の日本語を中国語に訳して答えてね！</v>
      </c>
      <c r="G519" t="str">
        <f t="shared" si="28"/>
        <v>a</v>
      </c>
      <c r="H519" t="str">
        <f>VLOOKUP(D519,name!A:C,3,1)</f>
        <v>assets/icons/image014.png</v>
      </c>
    </row>
    <row r="520" spans="1:8" x14ac:dyDescent="0.15">
      <c r="A520" t="s">
        <v>171</v>
      </c>
      <c r="B520">
        <v>2</v>
      </c>
      <c r="C520">
        <v>35</v>
      </c>
      <c r="D520">
        <v>11</v>
      </c>
      <c r="E520" t="str">
        <f>VLOOKUP(D520,name!A:B,2,1)</f>
        <v>李明</v>
      </c>
      <c r="F520" t="s">
        <v>189</v>
      </c>
      <c r="G520" t="str">
        <f t="shared" si="28"/>
        <v>a</v>
      </c>
      <c r="H520" t="str">
        <f>VLOOKUP(D520,name!A:C,3,1)</f>
        <v>assets/icons/image144.png</v>
      </c>
    </row>
    <row r="521" spans="1:8" x14ac:dyDescent="0.15">
      <c r="A521" t="s">
        <v>171</v>
      </c>
      <c r="B521">
        <v>2</v>
      </c>
      <c r="C521">
        <v>36</v>
      </c>
      <c r="D521">
        <v>0</v>
      </c>
      <c r="E521" t="str">
        <f>VLOOKUP(D521,name!A:B,2,1)</f>
        <v>Player</v>
      </c>
      <c r="F521" t="s">
        <v>190</v>
      </c>
      <c r="G521" t="str">
        <f t="shared" si="28"/>
        <v>q</v>
      </c>
      <c r="H521" t="str">
        <f>VLOOKUP(D521,name!A:C,3,1)</f>
        <v>assets/icons/image326.png</v>
      </c>
    </row>
    <row r="522" spans="1:8" x14ac:dyDescent="0.15">
      <c r="A522" t="s">
        <v>171</v>
      </c>
      <c r="B522">
        <v>2</v>
      </c>
      <c r="C522">
        <v>37</v>
      </c>
      <c r="D522">
        <v>12</v>
      </c>
      <c r="E522" t="str">
        <f>VLOOKUP(D522,name!A:B,2,1)</f>
        <v>鈴木</v>
      </c>
      <c r="F522" s="3" t="s">
        <v>192</v>
      </c>
      <c r="G522" t="str">
        <f t="shared" si="28"/>
        <v>a</v>
      </c>
      <c r="H522" t="str">
        <f>VLOOKUP(D522,name!A:C,3,1)</f>
        <v>assets/icons/image037.png</v>
      </c>
    </row>
    <row r="523" spans="1:8" x14ac:dyDescent="0.15">
      <c r="A523" t="s">
        <v>171</v>
      </c>
      <c r="B523">
        <v>2</v>
      </c>
      <c r="C523">
        <v>38</v>
      </c>
      <c r="D523">
        <v>0</v>
      </c>
      <c r="E523" t="str">
        <f>VLOOKUP(D523,name!A:B,2,1)</f>
        <v>Player</v>
      </c>
      <c r="F523" s="3" t="s">
        <v>191</v>
      </c>
      <c r="G523" t="str">
        <f t="shared" si="28"/>
        <v>q</v>
      </c>
      <c r="H523" t="str">
        <f>VLOOKUP(D523,name!A:C,3,1)</f>
        <v>assets/icons/image326.png</v>
      </c>
    </row>
    <row r="524" spans="1:8" x14ac:dyDescent="0.15">
      <c r="A524" t="s">
        <v>171</v>
      </c>
      <c r="B524">
        <v>2</v>
      </c>
      <c r="C524">
        <v>39</v>
      </c>
      <c r="D524">
        <v>11</v>
      </c>
      <c r="E524" t="str">
        <f>VLOOKUP(D524,name!A:B,2,1)</f>
        <v>李明</v>
      </c>
      <c r="F524" s="3" t="s">
        <v>194</v>
      </c>
      <c r="G524" t="str">
        <f t="shared" si="28"/>
        <v>a</v>
      </c>
      <c r="H524" t="str">
        <f>VLOOKUP(D524,name!A:C,3,1)</f>
        <v>assets/icons/image144.png</v>
      </c>
    </row>
    <row r="525" spans="1:8" x14ac:dyDescent="0.15">
      <c r="A525" t="s">
        <v>171</v>
      </c>
      <c r="B525">
        <v>2</v>
      </c>
      <c r="C525">
        <v>40</v>
      </c>
      <c r="D525">
        <v>0</v>
      </c>
      <c r="E525" t="str">
        <f>VLOOKUP(D525,name!A:B,2,1)</f>
        <v>Player</v>
      </c>
      <c r="F525" s="3" t="s">
        <v>193</v>
      </c>
      <c r="G525" t="str">
        <f t="shared" si="28"/>
        <v>q</v>
      </c>
      <c r="H525" t="str">
        <f>VLOOKUP(D525,name!A:C,3,1)</f>
        <v>assets/icons/image326.png</v>
      </c>
    </row>
    <row r="526" spans="1:8" x14ac:dyDescent="0.15">
      <c r="A526" t="s">
        <v>171</v>
      </c>
      <c r="B526">
        <v>2</v>
      </c>
      <c r="C526">
        <v>41</v>
      </c>
      <c r="D526">
        <v>12</v>
      </c>
      <c r="E526" t="str">
        <f>VLOOKUP(D526,name!A:B,2,1)</f>
        <v>鈴木</v>
      </c>
      <c r="F526" s="3" t="s">
        <v>196</v>
      </c>
      <c r="G526" t="str">
        <f t="shared" si="28"/>
        <v>a</v>
      </c>
      <c r="H526" t="str">
        <f>VLOOKUP(D526,name!A:C,3,1)</f>
        <v>assets/icons/image037.png</v>
      </c>
    </row>
    <row r="527" spans="1:8" x14ac:dyDescent="0.15">
      <c r="A527" t="s">
        <v>171</v>
      </c>
      <c r="B527">
        <v>2</v>
      </c>
      <c r="C527">
        <v>42</v>
      </c>
      <c r="D527">
        <v>0</v>
      </c>
      <c r="E527" t="str">
        <f>VLOOKUP(D527,name!A:B,2,1)</f>
        <v>Player</v>
      </c>
      <c r="F527" s="3" t="s">
        <v>195</v>
      </c>
      <c r="G527" t="str">
        <f t="shared" si="28"/>
        <v>q</v>
      </c>
      <c r="H527" t="str">
        <f>VLOOKUP(D527,name!A:C,3,1)</f>
        <v>assets/icons/image326.png</v>
      </c>
    </row>
    <row r="528" spans="1:8" x14ac:dyDescent="0.15">
      <c r="A528" t="s">
        <v>171</v>
      </c>
      <c r="B528">
        <v>2</v>
      </c>
      <c r="C528">
        <v>43</v>
      </c>
      <c r="D528">
        <v>11</v>
      </c>
      <c r="E528" t="str">
        <f>VLOOKUP(D528,name!A:B,2,1)</f>
        <v>李明</v>
      </c>
      <c r="F528" s="3" t="s">
        <v>198</v>
      </c>
      <c r="G528" t="str">
        <f t="shared" si="28"/>
        <v>a</v>
      </c>
      <c r="H528" t="str">
        <f>VLOOKUP(D528,name!A:C,3,1)</f>
        <v>assets/icons/image144.png</v>
      </c>
    </row>
    <row r="529" spans="1:8" x14ac:dyDescent="0.15">
      <c r="A529" t="s">
        <v>171</v>
      </c>
      <c r="B529">
        <v>2</v>
      </c>
      <c r="C529">
        <v>44</v>
      </c>
      <c r="D529">
        <v>0</v>
      </c>
      <c r="E529" t="str">
        <f>VLOOKUP(D529,name!A:B,2,1)</f>
        <v>Player</v>
      </c>
      <c r="F529" s="3" t="s">
        <v>197</v>
      </c>
      <c r="G529" t="str">
        <f t="shared" si="28"/>
        <v>q</v>
      </c>
      <c r="H529" t="str">
        <f>VLOOKUP(D529,name!A:C,3,1)</f>
        <v>assets/icons/image326.png</v>
      </c>
    </row>
    <row r="530" spans="1:8" x14ac:dyDescent="0.15">
      <c r="A530" t="s">
        <v>171</v>
      </c>
      <c r="B530">
        <v>2</v>
      </c>
      <c r="C530">
        <v>45</v>
      </c>
      <c r="D530">
        <v>12</v>
      </c>
      <c r="E530" t="str">
        <f>VLOOKUP(D530,name!A:B,2,1)</f>
        <v>鈴木</v>
      </c>
      <c r="F530" s="3" t="s">
        <v>200</v>
      </c>
      <c r="G530" t="str">
        <f t="shared" si="28"/>
        <v>a</v>
      </c>
      <c r="H530" t="str">
        <f>VLOOKUP(D530,name!A:C,3,1)</f>
        <v>assets/icons/image037.png</v>
      </c>
    </row>
    <row r="531" spans="1:8" x14ac:dyDescent="0.15">
      <c r="A531" t="s">
        <v>171</v>
      </c>
      <c r="B531">
        <v>2</v>
      </c>
      <c r="C531">
        <v>46</v>
      </c>
      <c r="D531">
        <v>0</v>
      </c>
      <c r="E531" t="str">
        <f>VLOOKUP(D531,name!A:B,2,1)</f>
        <v>Player</v>
      </c>
      <c r="F531" s="3" t="s">
        <v>199</v>
      </c>
      <c r="G531" t="str">
        <f t="shared" si="28"/>
        <v>q</v>
      </c>
      <c r="H531" t="str">
        <f>VLOOKUP(D531,name!A:C,3,1)</f>
        <v>assets/icons/image326.png</v>
      </c>
    </row>
    <row r="532" spans="1:8" x14ac:dyDescent="0.15">
      <c r="A532" t="s">
        <v>171</v>
      </c>
      <c r="B532">
        <v>2</v>
      </c>
      <c r="C532">
        <v>47</v>
      </c>
      <c r="D532">
        <v>1</v>
      </c>
      <c r="E532" t="str">
        <f>VLOOKUP(D532,name!A:B,2,1)</f>
        <v>Navigator</v>
      </c>
      <c r="F532" t="str">
        <f>"とても良くできました。レッスン"&amp;B532&amp;"はこれで終了です。"</f>
        <v>とても良くできました。レッスン2はこれで終了です。</v>
      </c>
      <c r="G532" t="str">
        <f t="shared" si="28"/>
        <v>e</v>
      </c>
      <c r="H532" t="str">
        <f>VLOOKUP(D532,name!A:C,3,1)</f>
        <v>assets/icons/image014.png</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21" operator="containsText" id="{354324D1-2780-4CFA-8138-08D349C6EA0B}">
            <xm:f>NOT(ISERROR(SEARCH($G$4,G1)))</xm:f>
            <xm:f>$G$4</xm:f>
            <x14:dxf>
              <font>
                <color auto="1"/>
              </font>
              <fill>
                <patternFill>
                  <bgColor rgb="FFFFC000"/>
                </patternFill>
              </fill>
            </x14:dxf>
          </x14:cfRule>
          <xm:sqref>G1:H1 G232:G1048576</xm:sqref>
        </x14:conditionalFormatting>
        <x14:conditionalFormatting xmlns:xm="http://schemas.microsoft.com/office/excel/2006/main">
          <x14:cfRule type="containsText" priority="219" operator="containsText" id="{807D1296-1C7D-453D-B9F9-71514F68095C}">
            <xm:f>NOT(ISERROR(SEARCH($G$4,G2)))</xm:f>
            <xm:f>$G$4</xm:f>
            <x14:dxf>
              <font>
                <color auto="1"/>
              </font>
              <fill>
                <patternFill>
                  <bgColor rgb="FFFFC000"/>
                </patternFill>
              </fill>
            </x14:dxf>
          </x14:cfRule>
          <xm:sqref>G2:G25 G27:G28 G30:G31 G33:G34 G36:G37 G39:G40 G81:G83 G85:G86 G88:G89 G91:G92 G94:G95 G97:G98 G100:G101 G42:G62 G103:G231</xm:sqref>
        </x14:conditionalFormatting>
        <x14:conditionalFormatting xmlns:xm="http://schemas.microsoft.com/office/excel/2006/main">
          <x14:cfRule type="containsText" priority="216" operator="containsText" id="{4DB2C1D5-D689-421B-A49B-B06137D92345}">
            <xm:f>NOT(ISERROR(SEARCH($G$4,G26)))</xm:f>
            <xm:f>$G$4</xm:f>
            <x14:dxf>
              <font>
                <color auto="1"/>
              </font>
              <fill>
                <patternFill>
                  <bgColor rgb="FFFFC000"/>
                </patternFill>
              </fill>
            </x14:dxf>
          </x14:cfRule>
          <xm:sqref>G26</xm:sqref>
        </x14:conditionalFormatting>
        <x14:conditionalFormatting xmlns:xm="http://schemas.microsoft.com/office/excel/2006/main">
          <x14:cfRule type="containsText" priority="215" operator="containsText" id="{CA52CB93-1BEC-4D1B-B2A2-3E5D521CD7F5}">
            <xm:f>NOT(ISERROR(SEARCH($G$4,G29)))</xm:f>
            <xm:f>$G$4</xm:f>
            <x14:dxf>
              <font>
                <color auto="1"/>
              </font>
              <fill>
                <patternFill>
                  <bgColor rgb="FFFFC000"/>
                </patternFill>
              </fill>
            </x14:dxf>
          </x14:cfRule>
          <xm:sqref>G29</xm:sqref>
        </x14:conditionalFormatting>
        <x14:conditionalFormatting xmlns:xm="http://schemas.microsoft.com/office/excel/2006/main">
          <x14:cfRule type="containsText" priority="214" operator="containsText" id="{903DD42B-249B-4565-9539-2CD2B235B309}">
            <xm:f>NOT(ISERROR(SEARCH($G$4,G32)))</xm:f>
            <xm:f>$G$4</xm:f>
            <x14:dxf>
              <font>
                <color auto="1"/>
              </font>
              <fill>
                <patternFill>
                  <bgColor rgb="FFFFC000"/>
                </patternFill>
              </fill>
            </x14:dxf>
          </x14:cfRule>
          <xm:sqref>G32</xm:sqref>
        </x14:conditionalFormatting>
        <x14:conditionalFormatting xmlns:xm="http://schemas.microsoft.com/office/excel/2006/main">
          <x14:cfRule type="containsText" priority="213" operator="containsText" id="{EE3E1BC3-9D65-49B5-BE1D-85776CA461C9}">
            <xm:f>NOT(ISERROR(SEARCH($G$4,G35)))</xm:f>
            <xm:f>$G$4</xm:f>
            <x14:dxf>
              <font>
                <color auto="1"/>
              </font>
              <fill>
                <patternFill>
                  <bgColor rgb="FFFFC000"/>
                </patternFill>
              </fill>
            </x14:dxf>
          </x14:cfRule>
          <xm:sqref>G35</xm:sqref>
        </x14:conditionalFormatting>
        <x14:conditionalFormatting xmlns:xm="http://schemas.microsoft.com/office/excel/2006/main">
          <x14:cfRule type="containsText" priority="212" operator="containsText" id="{ACE53536-E65C-435E-8DE6-E6FB6232B59E}">
            <xm:f>NOT(ISERROR(SEARCH($G$4,G38)))</xm:f>
            <xm:f>$G$4</xm:f>
            <x14:dxf>
              <font>
                <color auto="1"/>
              </font>
              <fill>
                <patternFill>
                  <bgColor rgb="FFFFC000"/>
                </patternFill>
              </fill>
            </x14:dxf>
          </x14:cfRule>
          <xm:sqref>G38</xm:sqref>
        </x14:conditionalFormatting>
        <x14:conditionalFormatting xmlns:xm="http://schemas.microsoft.com/office/excel/2006/main">
          <x14:cfRule type="containsText" priority="211" operator="containsText" id="{1E82CE4E-40F5-4DCD-A735-86ACB2F788EB}">
            <xm:f>NOT(ISERROR(SEARCH($G$4,G41)))</xm:f>
            <xm:f>$G$4</xm:f>
            <x14:dxf>
              <font>
                <color auto="1"/>
              </font>
              <fill>
                <patternFill>
                  <bgColor rgb="FFFFC000"/>
                </patternFill>
              </fill>
            </x14:dxf>
          </x14:cfRule>
          <xm:sqref>G41</xm:sqref>
        </x14:conditionalFormatting>
        <x14:conditionalFormatting xmlns:xm="http://schemas.microsoft.com/office/excel/2006/main">
          <x14:cfRule type="containsText" priority="210" operator="containsText" id="{5E701B0F-95E0-48B9-863C-52906A2D7107}">
            <xm:f>NOT(ISERROR(SEARCH($G$4,G63)))</xm:f>
            <xm:f>$G$4</xm:f>
            <x14:dxf>
              <font>
                <color auto="1"/>
              </font>
              <fill>
                <patternFill>
                  <bgColor rgb="FFFFC000"/>
                </patternFill>
              </fill>
            </x14:dxf>
          </x14:cfRule>
          <xm:sqref>G63:G78</xm:sqref>
        </x14:conditionalFormatting>
        <x14:conditionalFormatting xmlns:xm="http://schemas.microsoft.com/office/excel/2006/main">
          <x14:cfRule type="containsText" priority="209" operator="containsText" id="{3A33C096-635F-4325-87B8-4C1158E00076}">
            <xm:f>NOT(ISERROR(SEARCH($G$4,G80)))</xm:f>
            <xm:f>$G$4</xm:f>
            <x14:dxf>
              <font>
                <color auto="1"/>
              </font>
              <fill>
                <patternFill>
                  <bgColor rgb="FFFFC000"/>
                </patternFill>
              </fill>
            </x14:dxf>
          </x14:cfRule>
          <xm:sqref>G80</xm:sqref>
        </x14:conditionalFormatting>
        <x14:conditionalFormatting xmlns:xm="http://schemas.microsoft.com/office/excel/2006/main">
          <x14:cfRule type="containsText" priority="208" operator="containsText" id="{ACD9E6D8-5264-472D-8F30-A88CCA0D8DDB}">
            <xm:f>NOT(ISERROR(SEARCH($G$4,G84)))</xm:f>
            <xm:f>$G$4</xm:f>
            <x14:dxf>
              <font>
                <color auto="1"/>
              </font>
              <fill>
                <patternFill>
                  <bgColor rgb="FFFFC000"/>
                </patternFill>
              </fill>
            </x14:dxf>
          </x14:cfRule>
          <xm:sqref>G84</xm:sqref>
        </x14:conditionalFormatting>
        <x14:conditionalFormatting xmlns:xm="http://schemas.microsoft.com/office/excel/2006/main">
          <x14:cfRule type="containsText" priority="207" operator="containsText" id="{158BA709-8D85-4428-B29E-67B9FAA550C7}">
            <xm:f>NOT(ISERROR(SEARCH($G$4,G87)))</xm:f>
            <xm:f>$G$4</xm:f>
            <x14:dxf>
              <font>
                <color auto="1"/>
              </font>
              <fill>
                <patternFill>
                  <bgColor rgb="FFFFC000"/>
                </patternFill>
              </fill>
            </x14:dxf>
          </x14:cfRule>
          <xm:sqref>G87</xm:sqref>
        </x14:conditionalFormatting>
        <x14:conditionalFormatting xmlns:xm="http://schemas.microsoft.com/office/excel/2006/main">
          <x14:cfRule type="containsText" priority="206" operator="containsText" id="{62DAB80A-9D3C-4FE1-98BE-3896B2116194}">
            <xm:f>NOT(ISERROR(SEARCH($G$4,G90)))</xm:f>
            <xm:f>$G$4</xm:f>
            <x14:dxf>
              <font>
                <color auto="1"/>
              </font>
              <fill>
                <patternFill>
                  <bgColor rgb="FFFFC000"/>
                </patternFill>
              </fill>
            </x14:dxf>
          </x14:cfRule>
          <xm:sqref>G90</xm:sqref>
        </x14:conditionalFormatting>
        <x14:conditionalFormatting xmlns:xm="http://schemas.microsoft.com/office/excel/2006/main">
          <x14:cfRule type="containsText" priority="205" operator="containsText" id="{4A39C228-AFAA-4C78-A3E9-D809479E4066}">
            <xm:f>NOT(ISERROR(SEARCH($G$4,G93)))</xm:f>
            <xm:f>$G$4</xm:f>
            <x14:dxf>
              <font>
                <color auto="1"/>
              </font>
              <fill>
                <patternFill>
                  <bgColor rgb="FFFFC000"/>
                </patternFill>
              </fill>
            </x14:dxf>
          </x14:cfRule>
          <xm:sqref>G93</xm:sqref>
        </x14:conditionalFormatting>
        <x14:conditionalFormatting xmlns:xm="http://schemas.microsoft.com/office/excel/2006/main">
          <x14:cfRule type="containsText" priority="204" operator="containsText" id="{EA39A8F4-0F02-47EC-98D5-ED55BCE8BC65}">
            <xm:f>NOT(ISERROR(SEARCH($G$4,G96)))</xm:f>
            <xm:f>$G$4</xm:f>
            <x14:dxf>
              <font>
                <color auto="1"/>
              </font>
              <fill>
                <patternFill>
                  <bgColor rgb="FFFFC000"/>
                </patternFill>
              </fill>
            </x14:dxf>
          </x14:cfRule>
          <xm:sqref>G96</xm:sqref>
        </x14:conditionalFormatting>
        <x14:conditionalFormatting xmlns:xm="http://schemas.microsoft.com/office/excel/2006/main">
          <x14:cfRule type="containsText" priority="203" operator="containsText" id="{BDBBD8A6-AF05-452C-AE92-0C1B32640488}">
            <xm:f>NOT(ISERROR(SEARCH($G$4,G99)))</xm:f>
            <xm:f>$G$4</xm:f>
            <x14:dxf>
              <font>
                <color auto="1"/>
              </font>
              <fill>
                <patternFill>
                  <bgColor rgb="FFFFC000"/>
                </patternFill>
              </fill>
            </x14:dxf>
          </x14:cfRule>
          <xm:sqref>G99</xm:sqref>
        </x14:conditionalFormatting>
        <x14:conditionalFormatting xmlns:xm="http://schemas.microsoft.com/office/excel/2006/main">
          <x14:cfRule type="containsText" priority="202" operator="containsText" id="{43720B61-B770-40FB-9EA8-8C4322E7DEE5}">
            <xm:f>NOT(ISERROR(SEARCH($G$4,G102)))</xm:f>
            <xm:f>$G$4</xm:f>
            <x14:dxf>
              <font>
                <color auto="1"/>
              </font>
              <fill>
                <patternFill>
                  <bgColor rgb="FFFFC000"/>
                </patternFill>
              </fill>
            </x14:dxf>
          </x14:cfRule>
          <xm:sqref>G102</xm:sqref>
        </x14:conditionalFormatting>
        <x14:conditionalFormatting xmlns:xm="http://schemas.microsoft.com/office/excel/2006/main">
          <x14:cfRule type="containsText" priority="200" operator="containsText" id="{5B503C96-D546-4EC7-B2A7-5807EF43B518}">
            <xm:f>NOT(ISERROR(SEARCH($G$4,G79)))</xm:f>
            <xm:f>$G$4</xm:f>
            <x14:dxf>
              <font>
                <color auto="1"/>
              </font>
              <fill>
                <patternFill>
                  <bgColor rgb="FFFFC000"/>
                </patternFill>
              </fill>
            </x14:dxf>
          </x14:cfRule>
          <xm:sqref>G79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workbookViewId="0">
      <selection activeCell="A19" sqref="A19"/>
    </sheetView>
  </sheetViews>
  <sheetFormatPr defaultRowHeight="13.5" x14ac:dyDescent="0.15"/>
  <sheetData>
    <row r="1" spans="1:3" x14ac:dyDescent="0.15">
      <c r="A1" t="s">
        <v>13</v>
      </c>
      <c r="B1" t="s">
        <v>14</v>
      </c>
      <c r="C1" t="s">
        <v>188</v>
      </c>
    </row>
    <row r="2" spans="1:3" x14ac:dyDescent="0.15">
      <c r="A2">
        <v>0</v>
      </c>
      <c r="B2" t="s">
        <v>116</v>
      </c>
      <c r="C2" t="s">
        <v>94</v>
      </c>
    </row>
    <row r="3" spans="1:3" x14ac:dyDescent="0.15">
      <c r="A3">
        <v>1</v>
      </c>
      <c r="B3" t="s">
        <v>115</v>
      </c>
      <c r="C3" t="s">
        <v>95</v>
      </c>
    </row>
    <row r="4" spans="1:3" x14ac:dyDescent="0.15">
      <c r="A4">
        <v>2</v>
      </c>
      <c r="B4" t="s">
        <v>114</v>
      </c>
      <c r="C4" t="s">
        <v>96</v>
      </c>
    </row>
    <row r="5" spans="1:3" x14ac:dyDescent="0.15">
      <c r="A5">
        <v>3</v>
      </c>
      <c r="B5" t="s">
        <v>16</v>
      </c>
      <c r="C5" t="s">
        <v>97</v>
      </c>
    </row>
    <row r="6" spans="1:3" x14ac:dyDescent="0.15">
      <c r="A6">
        <v>4</v>
      </c>
      <c r="B6" t="s">
        <v>39</v>
      </c>
      <c r="C6" t="s">
        <v>98</v>
      </c>
    </row>
    <row r="7" spans="1:3" x14ac:dyDescent="0.15">
      <c r="A7">
        <v>5</v>
      </c>
      <c r="B7" t="s">
        <v>56</v>
      </c>
      <c r="C7" t="s">
        <v>99</v>
      </c>
    </row>
    <row r="8" spans="1:3" x14ac:dyDescent="0.15">
      <c r="A8">
        <v>6</v>
      </c>
      <c r="B8" t="s">
        <v>60</v>
      </c>
      <c r="C8" t="s">
        <v>100</v>
      </c>
    </row>
    <row r="9" spans="1:3" x14ac:dyDescent="0.15">
      <c r="A9">
        <v>7</v>
      </c>
      <c r="B9" t="s">
        <v>67</v>
      </c>
      <c r="C9" t="s">
        <v>101</v>
      </c>
    </row>
    <row r="10" spans="1:3" x14ac:dyDescent="0.15">
      <c r="A10">
        <v>8</v>
      </c>
      <c r="B10" t="s">
        <v>77</v>
      </c>
      <c r="C10" t="s">
        <v>102</v>
      </c>
    </row>
    <row r="11" spans="1:3" x14ac:dyDescent="0.15">
      <c r="A11">
        <v>9</v>
      </c>
      <c r="B11" t="s">
        <v>124</v>
      </c>
      <c r="C11" t="s">
        <v>125</v>
      </c>
    </row>
    <row r="12" spans="1:3" x14ac:dyDescent="0.15">
      <c r="A12">
        <v>10</v>
      </c>
      <c r="B12" t="s">
        <v>132</v>
      </c>
      <c r="C12" t="s">
        <v>133</v>
      </c>
    </row>
    <row r="13" spans="1:3" x14ac:dyDescent="0.15">
      <c r="A13">
        <v>11</v>
      </c>
      <c r="B13" t="s">
        <v>172</v>
      </c>
      <c r="C13" t="s">
        <v>173</v>
      </c>
    </row>
    <row r="14" spans="1:3" x14ac:dyDescent="0.15">
      <c r="A14">
        <v>12</v>
      </c>
      <c r="B14" t="s">
        <v>174</v>
      </c>
      <c r="C14" t="s">
        <v>175</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49</v>
      </c>
      <c r="B2" t="s">
        <v>50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F9"/>
  <sheetViews>
    <sheetView workbookViewId="0">
      <selection activeCell="D2" sqref="D2:F9"/>
    </sheetView>
  </sheetViews>
  <sheetFormatPr defaultRowHeight="13.5" x14ac:dyDescent="0.15"/>
  <cols>
    <col min="6" max="6" width="41.75" customWidth="1"/>
  </cols>
  <sheetData>
    <row r="1" spans="4:6" x14ac:dyDescent="0.15">
      <c r="D1">
        <v>1</v>
      </c>
      <c r="E1" t="str">
        <f>VLOOKUP(D1,name!A:B,2,1)</f>
        <v>Navigator</v>
      </c>
      <c r="F1" t="s">
        <v>52</v>
      </c>
    </row>
    <row r="2" spans="4:6" x14ac:dyDescent="0.15">
      <c r="D2">
        <v>1</v>
      </c>
      <c r="E2" t="str">
        <f>VLOOKUP(D2,name!A:B,2,1)</f>
        <v>Navigator</v>
      </c>
      <c r="F2" t="str">
        <f>"レッスン"&amp;B2</f>
        <v>レッスン</v>
      </c>
    </row>
    <row r="3" spans="4:6" ht="40.5" x14ac:dyDescent="0.15">
      <c r="D3">
        <v>1</v>
      </c>
      <c r="E3" t="str">
        <f>VLOOKUP(D3,name!A:B,2,1)</f>
        <v>Navigator</v>
      </c>
      <c r="F3" s="1" t="str">
        <f>"まずは対話文を流します。その後に、日本語と"&amp;A40&amp;"を一文ずつ流すので"&amp;A40&amp;"を真似して下さい。最後に日本語のみを流すので、"&amp;A40&amp;"で答えてください。"</f>
        <v>まずは対話文を流します。その後に、日本語とを一文ずつ流すのでを真似して下さい。最後に日本語のみを流すので、で答えてください。</v>
      </c>
    </row>
    <row r="4" spans="4:6" x14ac:dyDescent="0.15">
      <c r="E4" t="str">
        <f>VLOOKUP(D4,name!A:B,2,1)</f>
        <v>Player</v>
      </c>
    </row>
    <row r="5" spans="4:6" x14ac:dyDescent="0.15">
      <c r="D5">
        <v>1</v>
      </c>
      <c r="E5" t="str">
        <f>VLOOKUP(D5,name!A:B,2,1)</f>
        <v>Navigator</v>
      </c>
      <c r="F5" t="str">
        <f>"次の"&amp;A43&amp;"を真似してね！"</f>
        <v>次のを真似してね！</v>
      </c>
    </row>
    <row r="6" spans="4:6" x14ac:dyDescent="0.15">
      <c r="E6" t="str">
        <f>VLOOKUP(D6,name!A:B,2,1)</f>
        <v>Player</v>
      </c>
    </row>
    <row r="7" spans="4:6" x14ac:dyDescent="0.15">
      <c r="D7">
        <v>1</v>
      </c>
      <c r="E7" t="str">
        <f>VLOOKUP(D7,name!A:B,2,1)</f>
        <v>Navigator</v>
      </c>
      <c r="F7" t="str">
        <f>"次の日本語を"&amp;A7&amp;"に訳して答えてね！"</f>
        <v>次の日本語をに訳して答えてね！</v>
      </c>
    </row>
    <row r="8" spans="4:6" x14ac:dyDescent="0.15">
      <c r="E8" t="str">
        <f>VLOOKUP(D8,name!A:B,2,1)</f>
        <v>Player</v>
      </c>
    </row>
    <row r="9" spans="4:6" x14ac:dyDescent="0.15">
      <c r="D9">
        <v>1</v>
      </c>
      <c r="E9" t="str">
        <f>VLOOKUP(D9,name!A:B,2,1)</f>
        <v>Navigator</v>
      </c>
      <c r="F9" t="str">
        <f>"とても良くできました。レッスン"&amp;B9&amp;"はこれで終了です。"</f>
        <v>とても良くできました。レッスンはこれで終了です。</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talk</vt:lpstr>
      <vt:lpstr>name</vt:lpstr>
      <vt:lpstr>img</vt:lpstr>
      <vt:lpstr>templete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2022-12-16T18:13:05Z</dcterms:modified>
</cp:coreProperties>
</file>