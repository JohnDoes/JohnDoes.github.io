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真樹\Desktop\JohnDoes.github.io\assets\"/>
    </mc:Choice>
  </mc:AlternateContent>
  <bookViews>
    <workbookView xWindow="0" yWindow="0" windowWidth="11970" windowHeight="8985"/>
  </bookViews>
  <sheets>
    <sheet name="talk" sheetId="1" r:id="rId1"/>
    <sheet name="lng" sheetId="5" r:id="rId2"/>
    <sheet name="name" sheetId="2" r:id="rId3"/>
    <sheet name="img" sheetId="3" r:id="rId4"/>
    <sheet name="templete" sheetId="4" r:id="rId5"/>
  </sheets>
  <functionGroups builtInGroupCount="18"/>
  <externalReferences>
    <externalReference r:id="rId6"/>
  </externalReferences>
  <definedNames>
    <definedName name="_xlnm._FilterDatabase" localSheetId="0" hidden="1">talk!$A$1:$L$1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163" i="1" l="1"/>
  <c r="H1163" i="1"/>
  <c r="G1164" i="1"/>
  <c r="H1164" i="1"/>
  <c r="G1165" i="1"/>
  <c r="H1165" i="1"/>
  <c r="G1166" i="1"/>
  <c r="H1166" i="1"/>
  <c r="G1167" i="1"/>
  <c r="H1167" i="1"/>
  <c r="G1168" i="1"/>
  <c r="H1168" i="1"/>
  <c r="G1169" i="1"/>
  <c r="H1169" i="1"/>
  <c r="G1170" i="1"/>
  <c r="H1170" i="1"/>
  <c r="G1171" i="1"/>
  <c r="H1171" i="1"/>
  <c r="G1172" i="1"/>
  <c r="H1172" i="1"/>
  <c r="G1173" i="1"/>
  <c r="H1173" i="1"/>
  <c r="G1174" i="1"/>
  <c r="H1174" i="1"/>
  <c r="G1175" i="1"/>
  <c r="H1175" i="1"/>
  <c r="G1176" i="1"/>
  <c r="H1176" i="1"/>
  <c r="G1177" i="1"/>
  <c r="H1177" i="1"/>
  <c r="G1178" i="1"/>
  <c r="H1178" i="1"/>
  <c r="G1179" i="1"/>
  <c r="H1179" i="1"/>
  <c r="G1180" i="1"/>
  <c r="H1180" i="1"/>
  <c r="G1181" i="1"/>
  <c r="H1181" i="1"/>
  <c r="G1182" i="1"/>
  <c r="H1182" i="1"/>
  <c r="G1183" i="1"/>
  <c r="H1183" i="1"/>
  <c r="G1184" i="1"/>
  <c r="H1184" i="1"/>
  <c r="G1185" i="1"/>
  <c r="H1185" i="1"/>
  <c r="G1186" i="1"/>
  <c r="H1186" i="1"/>
  <c r="G1187" i="1"/>
  <c r="H1187" i="1"/>
  <c r="G1188" i="1"/>
  <c r="H1188" i="1"/>
  <c r="G1189" i="1"/>
  <c r="H1189" i="1"/>
  <c r="G1190" i="1"/>
  <c r="H1190" i="1"/>
  <c r="G1191" i="1"/>
  <c r="H1191" i="1"/>
  <c r="G1192" i="1"/>
  <c r="H1192" i="1"/>
  <c r="G1193" i="1"/>
  <c r="H1193" i="1"/>
  <c r="G1194" i="1"/>
  <c r="H1194" i="1"/>
  <c r="G1195" i="1"/>
  <c r="H1195" i="1"/>
  <c r="G1196" i="1"/>
  <c r="H1196" i="1"/>
  <c r="G1197" i="1"/>
  <c r="H1197" i="1"/>
  <c r="G1198" i="1"/>
  <c r="H1198" i="1"/>
  <c r="G1199" i="1"/>
  <c r="H1199" i="1"/>
  <c r="G1200" i="1"/>
  <c r="H1200" i="1"/>
  <c r="G1201" i="1"/>
  <c r="H1201" i="1"/>
  <c r="G1202" i="1"/>
  <c r="H1202" i="1"/>
  <c r="G1203" i="1"/>
  <c r="H1203" i="1"/>
  <c r="G1204" i="1"/>
  <c r="H1204" i="1"/>
  <c r="G1205" i="1"/>
  <c r="H1205" i="1"/>
  <c r="G1206" i="1"/>
  <c r="H1206" i="1"/>
  <c r="G1207" i="1"/>
  <c r="H1207" i="1"/>
  <c r="G1208" i="1"/>
  <c r="H1208" i="1"/>
  <c r="G1209" i="1"/>
  <c r="H1209" i="1"/>
  <c r="G1210" i="1"/>
  <c r="H1210" i="1"/>
  <c r="G1211" i="1"/>
  <c r="H1211" i="1"/>
  <c r="G1212" i="1"/>
  <c r="H1212" i="1"/>
  <c r="G1213" i="1"/>
  <c r="H1213" i="1"/>
  <c r="G1214" i="1"/>
  <c r="H1214" i="1"/>
  <c r="G1215" i="1"/>
  <c r="H1215" i="1"/>
  <c r="G1216" i="1"/>
  <c r="H1216" i="1"/>
  <c r="G1217" i="1"/>
  <c r="H1217" i="1"/>
  <c r="G1218" i="1"/>
  <c r="H1218" i="1"/>
  <c r="G1219" i="1"/>
  <c r="H1219" i="1"/>
  <c r="G1220" i="1"/>
  <c r="H1220" i="1"/>
  <c r="G1221" i="1"/>
  <c r="H1221" i="1"/>
  <c r="G1222" i="1"/>
  <c r="H1222" i="1"/>
  <c r="G1223" i="1"/>
  <c r="H1223" i="1"/>
  <c r="G1224" i="1"/>
  <c r="H1224" i="1"/>
  <c r="G1225" i="1"/>
  <c r="H1225" i="1"/>
  <c r="G1226" i="1"/>
  <c r="H1226" i="1"/>
  <c r="G1227" i="1"/>
  <c r="H1227" i="1"/>
  <c r="G1228" i="1"/>
  <c r="H1228" i="1"/>
  <c r="G1229" i="1"/>
  <c r="H1229" i="1"/>
  <c r="G1230" i="1"/>
  <c r="H1230" i="1"/>
  <c r="G1231" i="1"/>
  <c r="H1231" i="1"/>
  <c r="G1232" i="1"/>
  <c r="H1232" i="1"/>
  <c r="G1233" i="1"/>
  <c r="H1233" i="1"/>
  <c r="G1234" i="1"/>
  <c r="H1234" i="1"/>
  <c r="G1235" i="1"/>
  <c r="H1235" i="1"/>
  <c r="G1236" i="1"/>
  <c r="H1236" i="1"/>
  <c r="G1237" i="1"/>
  <c r="H1237" i="1"/>
  <c r="G1238" i="1"/>
  <c r="H1238" i="1"/>
  <c r="G1239" i="1"/>
  <c r="H1239" i="1"/>
  <c r="G1240" i="1"/>
  <c r="H1240" i="1"/>
  <c r="G1241" i="1"/>
  <c r="H1241" i="1"/>
  <c r="G1242" i="1"/>
  <c r="H1242" i="1"/>
  <c r="G1243" i="1"/>
  <c r="H1243" i="1"/>
  <c r="G1244" i="1"/>
  <c r="H1244" i="1"/>
  <c r="G1245" i="1"/>
  <c r="H1245" i="1"/>
  <c r="G1246" i="1"/>
  <c r="H1246" i="1"/>
  <c r="G1247" i="1"/>
  <c r="H1247" i="1"/>
  <c r="G1248" i="1"/>
  <c r="H1248" i="1"/>
  <c r="G1249" i="1"/>
  <c r="H1249" i="1"/>
  <c r="G1250" i="1"/>
  <c r="H1250" i="1"/>
  <c r="G1251" i="1"/>
  <c r="H1251" i="1"/>
  <c r="G1252" i="1"/>
  <c r="H1252" i="1"/>
  <c r="G1253" i="1"/>
  <c r="H1253" i="1"/>
  <c r="G1254" i="1"/>
  <c r="H1254" i="1"/>
  <c r="G1255" i="1"/>
  <c r="H1255" i="1"/>
  <c r="G1256" i="1"/>
  <c r="H1256" i="1"/>
  <c r="G1257" i="1"/>
  <c r="H1257" i="1"/>
  <c r="G1258" i="1"/>
  <c r="H1258" i="1"/>
  <c r="G1259" i="1"/>
  <c r="H1259" i="1"/>
  <c r="G1260" i="1"/>
  <c r="H1260" i="1"/>
  <c r="G1261" i="1"/>
  <c r="H1261" i="1"/>
  <c r="G1262" i="1"/>
  <c r="H1262" i="1"/>
  <c r="G1263" i="1"/>
  <c r="H1263" i="1"/>
  <c r="G1264" i="1"/>
  <c r="H1264" i="1"/>
  <c r="G1265" i="1"/>
  <c r="H1265" i="1"/>
  <c r="G1266" i="1"/>
  <c r="H1266" i="1"/>
  <c r="G1267" i="1"/>
  <c r="H1267" i="1"/>
  <c r="G1268" i="1"/>
  <c r="H1268" i="1"/>
  <c r="G1269" i="1"/>
  <c r="H1269" i="1"/>
  <c r="G1270" i="1"/>
  <c r="H1270" i="1"/>
  <c r="G1271" i="1"/>
  <c r="H1271" i="1"/>
  <c r="G1272" i="1"/>
  <c r="H1272" i="1"/>
  <c r="G1273" i="1"/>
  <c r="H1273" i="1"/>
  <c r="G1274" i="1"/>
  <c r="H1274" i="1"/>
  <c r="G1275" i="1"/>
  <c r="H1275" i="1"/>
  <c r="G1276" i="1"/>
  <c r="H1276" i="1"/>
  <c r="G1277" i="1"/>
  <c r="H1277" i="1"/>
  <c r="G1278" i="1"/>
  <c r="H1278" i="1"/>
  <c r="G1279" i="1"/>
  <c r="H1279" i="1"/>
  <c r="G1280" i="1"/>
  <c r="H1280" i="1"/>
  <c r="G1281" i="1"/>
  <c r="H1281" i="1"/>
  <c r="G1282" i="1"/>
  <c r="H1282" i="1"/>
  <c r="G1283" i="1"/>
  <c r="H1283" i="1"/>
  <c r="G1284" i="1"/>
  <c r="H1284" i="1"/>
  <c r="G1285" i="1"/>
  <c r="H1285" i="1"/>
  <c r="G1286" i="1"/>
  <c r="H1286" i="1"/>
  <c r="G1287" i="1"/>
  <c r="H1287" i="1"/>
  <c r="G1288" i="1"/>
  <c r="H1288" i="1"/>
  <c r="G1289" i="1"/>
  <c r="H1289" i="1"/>
  <c r="G1290" i="1"/>
  <c r="H1290" i="1"/>
  <c r="G1291" i="1"/>
  <c r="H1291" i="1"/>
  <c r="G1292" i="1"/>
  <c r="H1292" i="1"/>
  <c r="G1293" i="1"/>
  <c r="H1293" i="1"/>
  <c r="G1294" i="1"/>
  <c r="H1294" i="1"/>
  <c r="G1295" i="1"/>
  <c r="H1295" i="1"/>
  <c r="G1296" i="1"/>
  <c r="H1296" i="1"/>
  <c r="G1297" i="1"/>
  <c r="H1297" i="1"/>
  <c r="G1298" i="1"/>
  <c r="H1298" i="1"/>
  <c r="G1299" i="1"/>
  <c r="H1299" i="1"/>
  <c r="G1300" i="1"/>
  <c r="H1300" i="1"/>
  <c r="G1301" i="1"/>
  <c r="H1301" i="1"/>
  <c r="G1302" i="1"/>
  <c r="H1302" i="1"/>
  <c r="G1303" i="1"/>
  <c r="H1303" i="1"/>
  <c r="G1304" i="1"/>
  <c r="H1304" i="1"/>
  <c r="G1305" i="1"/>
  <c r="H1305" i="1"/>
  <c r="G1306" i="1"/>
  <c r="H1306" i="1"/>
  <c r="G1307" i="1"/>
  <c r="H1307" i="1"/>
  <c r="G1308" i="1"/>
  <c r="H1308" i="1"/>
  <c r="G1309" i="1"/>
  <c r="H1309" i="1"/>
  <c r="G1310" i="1"/>
  <c r="H1310" i="1"/>
  <c r="G1311" i="1"/>
  <c r="H1311" i="1"/>
  <c r="G1312" i="1"/>
  <c r="H1312" i="1"/>
  <c r="G1313" i="1"/>
  <c r="H1313" i="1"/>
  <c r="G1314" i="1"/>
  <c r="H1314" i="1"/>
  <c r="G1315" i="1"/>
  <c r="H1315" i="1"/>
  <c r="G1316" i="1"/>
  <c r="H1316" i="1"/>
  <c r="G1317" i="1"/>
  <c r="H1317" i="1"/>
  <c r="G1318" i="1"/>
  <c r="H1318" i="1"/>
  <c r="G1319" i="1"/>
  <c r="H1319" i="1"/>
  <c r="G1320" i="1"/>
  <c r="H1320" i="1"/>
  <c r="G1321" i="1"/>
  <c r="H1321" i="1"/>
  <c r="G1322" i="1"/>
  <c r="H1322" i="1"/>
  <c r="G1323" i="1"/>
  <c r="H1323" i="1"/>
  <c r="G1324" i="1"/>
  <c r="H1324" i="1"/>
  <c r="G1325" i="1"/>
  <c r="H1325" i="1"/>
  <c r="G1326" i="1"/>
  <c r="H1326" i="1"/>
  <c r="G1327" i="1"/>
  <c r="H1327" i="1"/>
  <c r="G1328" i="1"/>
  <c r="H1328" i="1"/>
  <c r="G1329" i="1"/>
  <c r="H1329" i="1"/>
  <c r="G1330" i="1"/>
  <c r="H1330" i="1"/>
  <c r="G1331" i="1"/>
  <c r="H1331" i="1"/>
  <c r="G1332" i="1"/>
  <c r="H1332" i="1"/>
  <c r="G1333" i="1"/>
  <c r="H1333" i="1"/>
  <c r="G1334" i="1"/>
  <c r="H1334" i="1"/>
  <c r="G1335" i="1"/>
  <c r="H1335" i="1"/>
  <c r="G1336" i="1"/>
  <c r="H1336" i="1"/>
  <c r="G1337" i="1"/>
  <c r="H1337" i="1"/>
  <c r="G1338" i="1"/>
  <c r="H1338" i="1"/>
  <c r="G1339" i="1"/>
  <c r="H1339" i="1"/>
  <c r="G1340" i="1"/>
  <c r="H1340" i="1"/>
  <c r="G1341" i="1"/>
  <c r="H1341" i="1"/>
  <c r="G1342" i="1"/>
  <c r="H1342" i="1"/>
  <c r="G1343" i="1"/>
  <c r="H1343" i="1"/>
  <c r="G1344" i="1"/>
  <c r="H1344" i="1"/>
  <c r="G1345" i="1"/>
  <c r="H1345" i="1"/>
  <c r="G1346" i="1"/>
  <c r="H1346" i="1"/>
  <c r="G1347" i="1"/>
  <c r="H1347" i="1"/>
  <c r="G1348" i="1"/>
  <c r="H1348" i="1"/>
  <c r="G1349" i="1"/>
  <c r="H1349" i="1"/>
  <c r="G1350" i="1"/>
  <c r="H1350" i="1"/>
  <c r="G1351" i="1"/>
  <c r="H1351" i="1"/>
  <c r="G1352" i="1"/>
  <c r="H1352" i="1"/>
  <c r="G1353" i="1"/>
  <c r="H1353" i="1"/>
  <c r="G1354" i="1"/>
  <c r="H1354" i="1"/>
  <c r="G1355" i="1"/>
  <c r="H1355" i="1"/>
  <c r="G1356" i="1"/>
  <c r="H1356" i="1"/>
  <c r="G1357" i="1"/>
  <c r="H1357" i="1"/>
  <c r="G1358" i="1"/>
  <c r="H1358" i="1"/>
  <c r="G1359" i="1"/>
  <c r="H1359" i="1"/>
  <c r="G1360" i="1"/>
  <c r="H1360" i="1"/>
  <c r="G1361" i="1"/>
  <c r="H1361" i="1"/>
  <c r="G1362" i="1"/>
  <c r="H1362" i="1"/>
  <c r="G1363" i="1"/>
  <c r="H1363" i="1"/>
  <c r="G1364" i="1"/>
  <c r="H1364" i="1"/>
  <c r="G1365" i="1"/>
  <c r="H1365" i="1"/>
  <c r="G1366" i="1"/>
  <c r="H1366" i="1"/>
  <c r="G1367" i="1"/>
  <c r="H1367" i="1"/>
  <c r="G1368" i="1"/>
  <c r="H1368" i="1"/>
  <c r="G1369" i="1"/>
  <c r="H1369" i="1"/>
  <c r="G1370" i="1"/>
  <c r="H1370" i="1"/>
  <c r="G1371" i="1"/>
  <c r="H1371" i="1"/>
  <c r="G1372" i="1"/>
  <c r="H1372" i="1"/>
  <c r="G1373" i="1"/>
  <c r="H1373" i="1"/>
  <c r="G1374" i="1"/>
  <c r="H1374" i="1"/>
  <c r="G1375" i="1"/>
  <c r="H1375" i="1"/>
  <c r="G1376" i="1"/>
  <c r="H1376" i="1"/>
  <c r="G1377" i="1"/>
  <c r="H1377" i="1"/>
  <c r="G1378" i="1"/>
  <c r="H1378" i="1"/>
  <c r="G1379" i="1"/>
  <c r="H1379" i="1"/>
  <c r="G1380" i="1"/>
  <c r="H1380" i="1"/>
  <c r="G1381" i="1"/>
  <c r="H1381" i="1"/>
  <c r="G1382" i="1"/>
  <c r="H1382" i="1"/>
  <c r="G1383" i="1"/>
  <c r="H1383" i="1"/>
  <c r="G1384" i="1"/>
  <c r="H1384" i="1"/>
  <c r="G1385" i="1"/>
  <c r="H1385" i="1"/>
  <c r="G1386" i="1"/>
  <c r="H1386" i="1"/>
  <c r="G1387" i="1"/>
  <c r="H1387" i="1"/>
  <c r="G1388" i="1"/>
  <c r="H1388" i="1"/>
  <c r="G1389" i="1"/>
  <c r="H1389" i="1"/>
  <c r="G1390" i="1"/>
  <c r="H1390" i="1"/>
  <c r="G1391" i="1"/>
  <c r="H1391" i="1"/>
  <c r="G1392" i="1"/>
  <c r="H1392" i="1"/>
  <c r="G1393" i="1"/>
  <c r="H1393" i="1"/>
  <c r="G1394" i="1"/>
  <c r="H1394" i="1"/>
  <c r="G1395" i="1"/>
  <c r="H1395" i="1"/>
  <c r="G1396" i="1"/>
  <c r="H1396" i="1"/>
  <c r="G1397" i="1"/>
  <c r="H1397" i="1"/>
  <c r="G1398" i="1"/>
  <c r="H1398" i="1"/>
  <c r="G1399" i="1"/>
  <c r="H1399" i="1"/>
  <c r="G1400" i="1"/>
  <c r="H1400" i="1"/>
  <c r="G1401" i="1"/>
  <c r="H1401" i="1"/>
  <c r="G1402" i="1"/>
  <c r="H1402" i="1"/>
  <c r="G1403" i="1"/>
  <c r="H1403" i="1"/>
  <c r="G1404" i="1"/>
  <c r="H1404" i="1"/>
  <c r="G1405" i="1"/>
  <c r="H1405" i="1"/>
  <c r="G1406" i="1"/>
  <c r="H1406" i="1"/>
  <c r="G1407" i="1"/>
  <c r="H1407" i="1"/>
  <c r="G1408" i="1"/>
  <c r="H1408" i="1"/>
  <c r="G1409" i="1"/>
  <c r="H1409" i="1"/>
  <c r="G1410" i="1"/>
  <c r="H1410" i="1"/>
  <c r="G1411" i="1"/>
  <c r="H1411" i="1"/>
  <c r="G1412" i="1"/>
  <c r="H1412" i="1"/>
  <c r="G1413" i="1"/>
  <c r="H1413" i="1"/>
  <c r="G1414" i="1"/>
  <c r="H1414" i="1"/>
  <c r="G1415" i="1"/>
  <c r="H1415" i="1"/>
  <c r="G1416" i="1"/>
  <c r="H1416" i="1"/>
  <c r="G1417" i="1"/>
  <c r="H1417" i="1"/>
  <c r="G1418" i="1"/>
  <c r="H1418" i="1"/>
  <c r="G1419" i="1"/>
  <c r="H1419" i="1"/>
  <c r="G1420" i="1"/>
  <c r="H1420" i="1"/>
  <c r="G1421" i="1"/>
  <c r="H1421" i="1"/>
  <c r="G1422" i="1"/>
  <c r="H1422" i="1"/>
  <c r="G1423" i="1"/>
  <c r="H1423" i="1"/>
  <c r="G1424" i="1"/>
  <c r="H1424" i="1"/>
  <c r="G1425" i="1"/>
  <c r="H1425" i="1"/>
  <c r="G1426" i="1"/>
  <c r="H1426" i="1"/>
  <c r="G1427" i="1"/>
  <c r="H1427" i="1"/>
  <c r="G1428" i="1"/>
  <c r="H1428" i="1"/>
  <c r="G1429" i="1"/>
  <c r="H1429" i="1"/>
  <c r="G1430" i="1"/>
  <c r="H1430" i="1"/>
  <c r="G1431" i="1"/>
  <c r="H1431" i="1"/>
  <c r="G1432" i="1"/>
  <c r="H1432" i="1"/>
  <c r="G1433" i="1"/>
  <c r="H1433" i="1"/>
  <c r="G1434" i="1"/>
  <c r="H1434" i="1"/>
  <c r="G1435" i="1"/>
  <c r="H1435" i="1"/>
  <c r="G1436" i="1"/>
  <c r="H1436" i="1"/>
  <c r="G1437" i="1"/>
  <c r="H1437" i="1"/>
  <c r="G1438" i="1"/>
  <c r="H1438" i="1"/>
  <c r="G1439" i="1"/>
  <c r="H1439" i="1"/>
  <c r="G1440" i="1"/>
  <c r="H1440" i="1"/>
  <c r="G1441" i="1"/>
  <c r="H1441" i="1"/>
  <c r="G1442" i="1"/>
  <c r="H1442" i="1"/>
  <c r="G1443" i="1"/>
  <c r="H1443" i="1"/>
  <c r="G1444" i="1"/>
  <c r="H1444" i="1"/>
  <c r="G1445" i="1"/>
  <c r="H1445" i="1"/>
  <c r="G1446" i="1"/>
  <c r="H1446" i="1"/>
  <c r="G1447" i="1"/>
  <c r="H1447" i="1"/>
  <c r="G1448" i="1"/>
  <c r="H1448" i="1"/>
  <c r="G1449" i="1"/>
  <c r="H1449" i="1"/>
  <c r="G1450" i="1"/>
  <c r="H1450" i="1"/>
  <c r="G1451" i="1"/>
  <c r="H1451" i="1"/>
  <c r="G1452" i="1"/>
  <c r="H1452" i="1"/>
  <c r="G1453" i="1"/>
  <c r="H1453" i="1"/>
  <c r="G1454" i="1"/>
  <c r="H1454" i="1"/>
  <c r="G1455" i="1"/>
  <c r="H1455" i="1"/>
  <c r="G1456" i="1"/>
  <c r="H1456" i="1"/>
  <c r="G1457" i="1"/>
  <c r="H1457" i="1"/>
  <c r="G1458" i="1"/>
  <c r="H1458" i="1"/>
  <c r="G1459" i="1"/>
  <c r="H1459" i="1"/>
  <c r="G1460" i="1"/>
  <c r="H1460" i="1"/>
  <c r="G1461" i="1"/>
  <c r="H1461" i="1"/>
  <c r="G1462" i="1"/>
  <c r="H1462" i="1"/>
  <c r="G1463" i="1"/>
  <c r="H1463" i="1"/>
  <c r="G1464" i="1"/>
  <c r="H1464" i="1"/>
  <c r="G1465" i="1"/>
  <c r="H1465" i="1"/>
  <c r="G1466" i="1"/>
  <c r="H1466" i="1"/>
  <c r="G1467" i="1"/>
  <c r="H1467" i="1"/>
  <c r="G1468" i="1"/>
  <c r="H1468" i="1"/>
  <c r="G1469" i="1"/>
  <c r="H1469" i="1"/>
  <c r="G1470" i="1"/>
  <c r="H1470" i="1"/>
  <c r="G1471" i="1"/>
  <c r="H1471" i="1"/>
  <c r="G1472" i="1"/>
  <c r="H1472" i="1"/>
  <c r="G1473" i="1"/>
  <c r="H1473" i="1"/>
  <c r="G1474" i="1"/>
  <c r="H1474" i="1"/>
  <c r="G1475" i="1"/>
  <c r="H1475" i="1"/>
  <c r="G1476" i="1"/>
  <c r="H1476" i="1"/>
  <c r="G1477" i="1"/>
  <c r="H1477" i="1"/>
  <c r="G1478" i="1"/>
  <c r="H1478" i="1"/>
  <c r="G1479" i="1"/>
  <c r="H1479" i="1"/>
  <c r="G1480" i="1"/>
  <c r="H1480" i="1"/>
  <c r="G1481" i="1"/>
  <c r="H1481" i="1"/>
  <c r="G1482" i="1"/>
  <c r="H1482" i="1"/>
  <c r="G1483" i="1"/>
  <c r="H1483" i="1"/>
  <c r="G1484" i="1"/>
  <c r="H1484" i="1"/>
  <c r="G1485" i="1"/>
  <c r="H1485" i="1"/>
  <c r="G1486" i="1"/>
  <c r="H1486" i="1"/>
  <c r="G1487" i="1"/>
  <c r="H1487" i="1"/>
  <c r="G1488" i="1"/>
  <c r="H1488" i="1"/>
  <c r="G1489" i="1"/>
  <c r="H1489" i="1"/>
  <c r="G1490" i="1"/>
  <c r="H1490" i="1"/>
  <c r="G1491" i="1"/>
  <c r="H1491" i="1"/>
  <c r="G1492" i="1"/>
  <c r="H1492" i="1"/>
  <c r="G1493" i="1"/>
  <c r="H1493" i="1"/>
  <c r="G1494" i="1"/>
  <c r="H1494" i="1"/>
  <c r="G1495" i="1"/>
  <c r="H1495" i="1"/>
  <c r="G1496" i="1"/>
  <c r="H1496" i="1"/>
  <c r="G1497" i="1"/>
  <c r="H1497" i="1"/>
  <c r="G1498" i="1"/>
  <c r="H1498" i="1"/>
  <c r="G1499" i="1"/>
  <c r="H1499" i="1"/>
  <c r="G1500" i="1"/>
  <c r="H1500" i="1"/>
  <c r="G1501" i="1"/>
  <c r="H1501" i="1"/>
  <c r="G1502" i="1"/>
  <c r="H1502" i="1"/>
  <c r="G1503" i="1"/>
  <c r="H1503" i="1"/>
  <c r="G1504" i="1"/>
  <c r="H1504" i="1"/>
  <c r="G1505" i="1"/>
  <c r="H1505" i="1"/>
  <c r="G1506" i="1"/>
  <c r="H1506" i="1"/>
  <c r="G1507" i="1"/>
  <c r="H1507" i="1"/>
  <c r="G1508" i="1"/>
  <c r="H1508" i="1"/>
  <c r="G1509" i="1"/>
  <c r="H1509" i="1"/>
  <c r="G1510" i="1"/>
  <c r="H1510" i="1"/>
  <c r="G1511" i="1"/>
  <c r="H1511" i="1"/>
  <c r="G1512" i="1"/>
  <c r="H1512" i="1"/>
  <c r="G1513" i="1"/>
  <c r="H1513" i="1"/>
  <c r="G1514" i="1"/>
  <c r="H1514" i="1"/>
  <c r="G1515" i="1"/>
  <c r="H1515" i="1"/>
  <c r="G1516" i="1"/>
  <c r="H1516" i="1"/>
  <c r="G1517" i="1"/>
  <c r="H1517" i="1"/>
  <c r="G1518" i="1"/>
  <c r="H1518" i="1"/>
  <c r="G1519" i="1"/>
  <c r="H1519" i="1"/>
  <c r="G1520" i="1"/>
  <c r="H1520" i="1"/>
  <c r="G1521" i="1"/>
  <c r="H1521" i="1"/>
  <c r="G1522" i="1"/>
  <c r="H1522" i="1"/>
  <c r="G1523" i="1"/>
  <c r="H1523" i="1"/>
  <c r="G1524" i="1"/>
  <c r="H1524" i="1"/>
  <c r="G1525" i="1"/>
  <c r="H1525" i="1"/>
  <c r="G1526" i="1"/>
  <c r="H1526" i="1"/>
  <c r="G1527" i="1"/>
  <c r="H1527" i="1"/>
  <c r="G1528" i="1"/>
  <c r="H1528" i="1"/>
  <c r="G1529" i="1"/>
  <c r="H1529" i="1"/>
  <c r="G1530" i="1"/>
  <c r="H1530" i="1"/>
  <c r="G1531" i="1"/>
  <c r="H1531" i="1"/>
  <c r="G1532" i="1"/>
  <c r="H1532" i="1"/>
  <c r="G1533" i="1"/>
  <c r="H1533" i="1"/>
  <c r="G1534" i="1"/>
  <c r="H1534" i="1"/>
  <c r="G1535" i="1"/>
  <c r="H1535" i="1"/>
  <c r="G1536" i="1"/>
  <c r="H1536" i="1"/>
  <c r="G1537" i="1"/>
  <c r="H1537" i="1"/>
  <c r="G1538" i="1"/>
  <c r="H1538" i="1"/>
  <c r="G1539" i="1"/>
  <c r="H1539" i="1"/>
  <c r="G1540" i="1"/>
  <c r="H1540" i="1"/>
  <c r="G1541" i="1"/>
  <c r="H1541" i="1"/>
  <c r="G1542" i="1"/>
  <c r="H1542" i="1"/>
  <c r="G1543" i="1"/>
  <c r="H1543" i="1"/>
  <c r="G1544" i="1"/>
  <c r="H1544" i="1"/>
  <c r="G1545" i="1"/>
  <c r="H1545" i="1"/>
  <c r="G1546" i="1"/>
  <c r="H1546" i="1"/>
  <c r="G1547" i="1"/>
  <c r="H1547" i="1"/>
  <c r="G415" i="1"/>
  <c r="H415" i="1"/>
  <c r="G416" i="1"/>
  <c r="H416" i="1"/>
  <c r="G417" i="1"/>
  <c r="H417" i="1"/>
  <c r="G418" i="1"/>
  <c r="H418" i="1"/>
  <c r="G419" i="1"/>
  <c r="H419" i="1"/>
  <c r="G420" i="1"/>
  <c r="H420" i="1"/>
  <c r="G421" i="1"/>
  <c r="H421" i="1"/>
  <c r="G422" i="1"/>
  <c r="H422" i="1"/>
  <c r="G423" i="1"/>
  <c r="H423" i="1"/>
  <c r="G424" i="1"/>
  <c r="H424" i="1"/>
  <c r="G425" i="1"/>
  <c r="H425" i="1"/>
  <c r="G426" i="1"/>
  <c r="H426" i="1"/>
  <c r="G427" i="1"/>
  <c r="H427" i="1"/>
  <c r="G428" i="1"/>
  <c r="H428" i="1"/>
  <c r="G429" i="1"/>
  <c r="H429" i="1"/>
  <c r="G430" i="1"/>
  <c r="H430" i="1"/>
  <c r="G431" i="1"/>
  <c r="H431" i="1"/>
  <c r="G432" i="1"/>
  <c r="H432" i="1"/>
  <c r="G433" i="1"/>
  <c r="H433" i="1"/>
  <c r="G434" i="1"/>
  <c r="H434" i="1"/>
  <c r="G435" i="1"/>
  <c r="H435" i="1"/>
  <c r="G436" i="1"/>
  <c r="H436" i="1"/>
  <c r="G437" i="1"/>
  <c r="H437" i="1"/>
  <c r="G438" i="1"/>
  <c r="H438" i="1"/>
  <c r="G439" i="1"/>
  <c r="H439" i="1"/>
  <c r="G440" i="1"/>
  <c r="H440" i="1"/>
  <c r="G441" i="1"/>
  <c r="H441" i="1"/>
  <c r="G442" i="1"/>
  <c r="H442" i="1"/>
  <c r="G443" i="1"/>
  <c r="H443" i="1"/>
  <c r="G444" i="1"/>
  <c r="H444" i="1"/>
  <c r="G445" i="1"/>
  <c r="H445" i="1"/>
  <c r="G446" i="1"/>
  <c r="H446" i="1"/>
  <c r="G447" i="1"/>
  <c r="H447" i="1"/>
  <c r="G448" i="1"/>
  <c r="H448" i="1"/>
  <c r="G449" i="1"/>
  <c r="H449" i="1"/>
  <c r="G450" i="1"/>
  <c r="H450" i="1"/>
  <c r="G451" i="1"/>
  <c r="H451" i="1"/>
  <c r="G452" i="1"/>
  <c r="H452" i="1"/>
  <c r="G453" i="1"/>
  <c r="H453" i="1"/>
  <c r="G454" i="1"/>
  <c r="H454" i="1"/>
  <c r="G455" i="1"/>
  <c r="H455" i="1"/>
  <c r="G456" i="1"/>
  <c r="H456" i="1"/>
  <c r="G457" i="1"/>
  <c r="H457" i="1"/>
  <c r="G458" i="1"/>
  <c r="H458" i="1"/>
  <c r="G459" i="1"/>
  <c r="H459" i="1"/>
  <c r="G460" i="1"/>
  <c r="H460" i="1"/>
  <c r="G461" i="1"/>
  <c r="H461" i="1"/>
  <c r="G462" i="1"/>
  <c r="H462" i="1"/>
  <c r="G463" i="1"/>
  <c r="H463" i="1"/>
  <c r="G464" i="1"/>
  <c r="H464" i="1"/>
  <c r="G465" i="1"/>
  <c r="H465" i="1"/>
  <c r="G466" i="1"/>
  <c r="H466" i="1"/>
  <c r="G467" i="1"/>
  <c r="H467" i="1"/>
  <c r="G468" i="1"/>
  <c r="H468" i="1"/>
  <c r="G469" i="1"/>
  <c r="H469" i="1"/>
  <c r="G470" i="1"/>
  <c r="H470" i="1"/>
  <c r="G471" i="1"/>
  <c r="H471" i="1"/>
  <c r="G472" i="1"/>
  <c r="H472" i="1"/>
  <c r="G473" i="1"/>
  <c r="H473" i="1"/>
  <c r="G474" i="1"/>
  <c r="H474" i="1"/>
  <c r="G475" i="1"/>
  <c r="H475" i="1"/>
  <c r="G476" i="1"/>
  <c r="H476" i="1"/>
  <c r="G477" i="1"/>
  <c r="H477" i="1"/>
  <c r="G478" i="1"/>
  <c r="H478" i="1"/>
  <c r="G479" i="1"/>
  <c r="H479" i="1"/>
  <c r="G480" i="1"/>
  <c r="H480" i="1"/>
  <c r="G481" i="1"/>
  <c r="H481" i="1"/>
  <c r="G482" i="1"/>
  <c r="H482" i="1"/>
  <c r="G483" i="1"/>
  <c r="H483" i="1"/>
  <c r="G484" i="1"/>
  <c r="H484" i="1"/>
  <c r="G485" i="1"/>
  <c r="H485" i="1"/>
  <c r="G486" i="1"/>
  <c r="H486" i="1"/>
  <c r="G487" i="1"/>
  <c r="H487" i="1"/>
  <c r="G488" i="1"/>
  <c r="H488" i="1"/>
  <c r="G489" i="1"/>
  <c r="H489" i="1"/>
  <c r="G490" i="1"/>
  <c r="H490" i="1"/>
  <c r="G491" i="1"/>
  <c r="H491" i="1"/>
  <c r="G492" i="1"/>
  <c r="H492" i="1"/>
  <c r="G493" i="1"/>
  <c r="H493" i="1"/>
  <c r="G494" i="1"/>
  <c r="H494" i="1"/>
  <c r="G495" i="1"/>
  <c r="H495" i="1"/>
  <c r="G496" i="1"/>
  <c r="H496" i="1"/>
  <c r="G497" i="1"/>
  <c r="H497" i="1"/>
  <c r="G498" i="1"/>
  <c r="H498" i="1"/>
  <c r="G499" i="1"/>
  <c r="H499" i="1"/>
  <c r="G500" i="1"/>
  <c r="H500" i="1"/>
  <c r="G501" i="1"/>
  <c r="H501" i="1"/>
  <c r="G502" i="1"/>
  <c r="H502" i="1"/>
  <c r="G503" i="1"/>
  <c r="H503" i="1"/>
  <c r="G504" i="1"/>
  <c r="H504" i="1"/>
  <c r="G505" i="1"/>
  <c r="H505" i="1"/>
  <c r="G506" i="1"/>
  <c r="H506" i="1"/>
  <c r="G507" i="1"/>
  <c r="H507" i="1"/>
  <c r="G508" i="1"/>
  <c r="H508" i="1"/>
  <c r="G509" i="1"/>
  <c r="H509" i="1"/>
  <c r="G510" i="1"/>
  <c r="H510" i="1"/>
  <c r="G511" i="1"/>
  <c r="H511" i="1"/>
  <c r="G512" i="1"/>
  <c r="H512" i="1"/>
  <c r="G513" i="1"/>
  <c r="H513" i="1"/>
  <c r="G514" i="1"/>
  <c r="H514" i="1"/>
  <c r="G515" i="1"/>
  <c r="H515" i="1"/>
  <c r="G516" i="1"/>
  <c r="H516" i="1"/>
  <c r="G517" i="1"/>
  <c r="H517" i="1"/>
  <c r="G518" i="1"/>
  <c r="H518" i="1"/>
  <c r="G519" i="1"/>
  <c r="H519" i="1"/>
  <c r="G520" i="1"/>
  <c r="H520" i="1"/>
  <c r="G521" i="1"/>
  <c r="H521" i="1"/>
  <c r="G522" i="1"/>
  <c r="H522" i="1"/>
  <c r="G523" i="1"/>
  <c r="H523" i="1"/>
  <c r="G524" i="1"/>
  <c r="H524" i="1"/>
  <c r="G525" i="1"/>
  <c r="H525" i="1"/>
  <c r="G526" i="1"/>
  <c r="H526" i="1"/>
  <c r="G527" i="1"/>
  <c r="H527" i="1"/>
  <c r="G528" i="1"/>
  <c r="H528" i="1"/>
  <c r="G529" i="1"/>
  <c r="H529" i="1"/>
  <c r="G530" i="1"/>
  <c r="H530" i="1"/>
  <c r="G531" i="1"/>
  <c r="H531" i="1"/>
  <c r="G532" i="1"/>
  <c r="H532" i="1"/>
  <c r="G533" i="1"/>
  <c r="H533" i="1"/>
  <c r="G534" i="1"/>
  <c r="H534" i="1"/>
  <c r="G535" i="1"/>
  <c r="H535" i="1"/>
  <c r="G536" i="1"/>
  <c r="H536" i="1"/>
  <c r="G537" i="1"/>
  <c r="H537" i="1"/>
  <c r="G538" i="1"/>
  <c r="H538" i="1"/>
  <c r="G539" i="1"/>
  <c r="H539" i="1"/>
  <c r="G540" i="1"/>
  <c r="H540" i="1"/>
  <c r="G541" i="1"/>
  <c r="H541" i="1"/>
  <c r="G542" i="1"/>
  <c r="H542" i="1"/>
  <c r="G543" i="1"/>
  <c r="H543" i="1"/>
  <c r="G544" i="1"/>
  <c r="H544" i="1"/>
  <c r="G545" i="1"/>
  <c r="H545" i="1"/>
  <c r="G546" i="1"/>
  <c r="H546" i="1"/>
  <c r="G547" i="1"/>
  <c r="H547" i="1"/>
  <c r="G548" i="1"/>
  <c r="H548" i="1"/>
  <c r="G549" i="1"/>
  <c r="H549" i="1"/>
  <c r="G550" i="1"/>
  <c r="H550" i="1"/>
  <c r="G551" i="1"/>
  <c r="H551" i="1"/>
  <c r="G552" i="1"/>
  <c r="H552" i="1"/>
  <c r="G553" i="1"/>
  <c r="H553" i="1"/>
  <c r="G554" i="1"/>
  <c r="H554" i="1"/>
  <c r="G555" i="1"/>
  <c r="H555" i="1"/>
  <c r="G556" i="1"/>
  <c r="H556" i="1"/>
  <c r="G557" i="1"/>
  <c r="H557" i="1"/>
  <c r="G558" i="1"/>
  <c r="H558" i="1"/>
  <c r="G559" i="1"/>
  <c r="H559" i="1"/>
  <c r="G560" i="1"/>
  <c r="H560" i="1"/>
  <c r="G561" i="1"/>
  <c r="H561" i="1"/>
  <c r="G562" i="1"/>
  <c r="H562" i="1"/>
  <c r="G563" i="1"/>
  <c r="H563" i="1"/>
  <c r="G564" i="1"/>
  <c r="H564" i="1"/>
  <c r="G565" i="1"/>
  <c r="H565" i="1"/>
  <c r="G566" i="1"/>
  <c r="H566" i="1"/>
  <c r="G567" i="1"/>
  <c r="H567" i="1"/>
  <c r="G568" i="1"/>
  <c r="H568" i="1"/>
  <c r="G569" i="1"/>
  <c r="H569" i="1"/>
  <c r="G570" i="1"/>
  <c r="H570" i="1"/>
  <c r="G571" i="1"/>
  <c r="H571" i="1"/>
  <c r="G572" i="1"/>
  <c r="H572" i="1"/>
  <c r="G573" i="1"/>
  <c r="H573" i="1"/>
  <c r="G574" i="1"/>
  <c r="H574" i="1"/>
  <c r="G575" i="1"/>
  <c r="H575" i="1"/>
  <c r="G576" i="1"/>
  <c r="H576" i="1"/>
  <c r="G577" i="1"/>
  <c r="H577" i="1"/>
  <c r="G578" i="1"/>
  <c r="H578" i="1"/>
  <c r="G579" i="1"/>
  <c r="H579" i="1"/>
  <c r="G580" i="1"/>
  <c r="H580" i="1"/>
  <c r="G581" i="1"/>
  <c r="H581" i="1"/>
  <c r="G582" i="1"/>
  <c r="H582" i="1"/>
  <c r="G583" i="1"/>
  <c r="H583" i="1"/>
  <c r="G584" i="1"/>
  <c r="H584" i="1"/>
  <c r="G585" i="1"/>
  <c r="H585" i="1"/>
  <c r="G586" i="1"/>
  <c r="H586" i="1"/>
  <c r="G587" i="1"/>
  <c r="H587" i="1"/>
  <c r="G588" i="1"/>
  <c r="H588" i="1"/>
  <c r="G589" i="1"/>
  <c r="H589" i="1"/>
  <c r="G590" i="1"/>
  <c r="H590" i="1"/>
  <c r="G591" i="1"/>
  <c r="H591" i="1"/>
  <c r="G592" i="1"/>
  <c r="H592" i="1"/>
  <c r="G593" i="1"/>
  <c r="H593" i="1"/>
  <c r="G594" i="1"/>
  <c r="H594" i="1"/>
  <c r="G595" i="1"/>
  <c r="H595" i="1"/>
  <c r="G596" i="1"/>
  <c r="H596" i="1"/>
  <c r="G597" i="1"/>
  <c r="H597" i="1"/>
  <c r="G598" i="1"/>
  <c r="H598" i="1"/>
  <c r="G599" i="1"/>
  <c r="H599" i="1"/>
  <c r="G600" i="1"/>
  <c r="H600" i="1"/>
  <c r="G601" i="1"/>
  <c r="H601" i="1"/>
  <c r="G602" i="1"/>
  <c r="H602" i="1"/>
  <c r="G603" i="1"/>
  <c r="H603" i="1"/>
  <c r="G604" i="1"/>
  <c r="H604" i="1"/>
  <c r="G605" i="1"/>
  <c r="H605" i="1"/>
  <c r="G606" i="1"/>
  <c r="H606" i="1"/>
  <c r="G607" i="1"/>
  <c r="H607" i="1"/>
  <c r="G608" i="1"/>
  <c r="H608" i="1"/>
  <c r="G609" i="1"/>
  <c r="H609" i="1"/>
  <c r="G610" i="1"/>
  <c r="H610" i="1"/>
  <c r="G611" i="1"/>
  <c r="H611" i="1"/>
  <c r="G612" i="1"/>
  <c r="H612" i="1"/>
  <c r="G613" i="1"/>
  <c r="H613" i="1"/>
  <c r="G614" i="1"/>
  <c r="H614" i="1"/>
  <c r="G615" i="1"/>
  <c r="H615" i="1"/>
  <c r="G616" i="1"/>
  <c r="H616" i="1"/>
  <c r="G617" i="1"/>
  <c r="H617" i="1"/>
  <c r="G618" i="1"/>
  <c r="H618" i="1"/>
  <c r="G619" i="1"/>
  <c r="H619" i="1"/>
  <c r="G620" i="1"/>
  <c r="H620" i="1"/>
  <c r="G621" i="1"/>
  <c r="H621" i="1"/>
  <c r="G622" i="1"/>
  <c r="H622" i="1"/>
  <c r="G623" i="1"/>
  <c r="H623" i="1"/>
  <c r="G624" i="1"/>
  <c r="H624" i="1"/>
  <c r="G625" i="1"/>
  <c r="H625" i="1"/>
  <c r="G626" i="1"/>
  <c r="H626" i="1"/>
  <c r="G627" i="1"/>
  <c r="H627" i="1"/>
  <c r="G628" i="1"/>
  <c r="H628" i="1"/>
  <c r="G629" i="1"/>
  <c r="H629" i="1"/>
  <c r="G630" i="1"/>
  <c r="H630" i="1"/>
  <c r="G631" i="1"/>
  <c r="H631" i="1"/>
  <c r="G632" i="1"/>
  <c r="H632" i="1"/>
  <c r="G633" i="1"/>
  <c r="H633" i="1"/>
  <c r="G634" i="1"/>
  <c r="H634" i="1"/>
  <c r="G635" i="1"/>
  <c r="H635" i="1"/>
  <c r="G636" i="1"/>
  <c r="H636" i="1"/>
  <c r="G637" i="1"/>
  <c r="H637" i="1"/>
  <c r="G638" i="1"/>
  <c r="H638" i="1"/>
  <c r="G639" i="1"/>
  <c r="H639" i="1"/>
  <c r="G640" i="1"/>
  <c r="H640" i="1"/>
  <c r="G641" i="1"/>
  <c r="H641" i="1"/>
  <c r="G642" i="1"/>
  <c r="H642" i="1"/>
  <c r="G643" i="1"/>
  <c r="H643" i="1"/>
  <c r="G644" i="1"/>
  <c r="H644" i="1"/>
  <c r="G645" i="1"/>
  <c r="H645" i="1"/>
  <c r="G646" i="1"/>
  <c r="H646" i="1"/>
  <c r="G647" i="1"/>
  <c r="H647" i="1"/>
  <c r="G648" i="1"/>
  <c r="H648" i="1"/>
  <c r="G649" i="1"/>
  <c r="H649" i="1"/>
  <c r="G650" i="1"/>
  <c r="H650" i="1"/>
  <c r="G651" i="1"/>
  <c r="H651" i="1"/>
  <c r="G652" i="1"/>
  <c r="H652" i="1"/>
  <c r="G653" i="1"/>
  <c r="H653" i="1"/>
  <c r="G654" i="1"/>
  <c r="H654" i="1"/>
  <c r="G655" i="1"/>
  <c r="H655" i="1"/>
  <c r="G656" i="1"/>
  <c r="H656" i="1"/>
  <c r="G657" i="1"/>
  <c r="H657" i="1"/>
  <c r="G658" i="1"/>
  <c r="H658" i="1"/>
  <c r="G659" i="1"/>
  <c r="H659" i="1"/>
  <c r="G660" i="1"/>
  <c r="H660" i="1"/>
  <c r="G661" i="1"/>
  <c r="H661" i="1"/>
  <c r="G662" i="1"/>
  <c r="H662" i="1"/>
  <c r="G663" i="1"/>
  <c r="H663" i="1"/>
  <c r="G664" i="1"/>
  <c r="H664" i="1"/>
  <c r="G665" i="1"/>
  <c r="H665" i="1"/>
  <c r="G666" i="1"/>
  <c r="H666" i="1"/>
  <c r="G667" i="1"/>
  <c r="H667" i="1"/>
  <c r="G668" i="1"/>
  <c r="H668" i="1"/>
  <c r="G669" i="1"/>
  <c r="H669" i="1"/>
  <c r="G670" i="1"/>
  <c r="H670" i="1"/>
  <c r="G671" i="1"/>
  <c r="H671" i="1"/>
  <c r="G672" i="1"/>
  <c r="H672" i="1"/>
  <c r="G673" i="1"/>
  <c r="H673" i="1"/>
  <c r="G674" i="1"/>
  <c r="H674" i="1"/>
  <c r="G675" i="1"/>
  <c r="H675" i="1"/>
  <c r="G676" i="1"/>
  <c r="H676" i="1"/>
  <c r="G677" i="1"/>
  <c r="H677" i="1"/>
  <c r="G678" i="1"/>
  <c r="H678" i="1"/>
  <c r="G679" i="1"/>
  <c r="H679" i="1"/>
  <c r="G680" i="1"/>
  <c r="H680" i="1"/>
  <c r="G681" i="1"/>
  <c r="H681" i="1"/>
  <c r="G682" i="1"/>
  <c r="H682" i="1"/>
  <c r="G683" i="1"/>
  <c r="H683" i="1"/>
  <c r="G684" i="1"/>
  <c r="H684" i="1"/>
  <c r="G685" i="1"/>
  <c r="H685" i="1"/>
  <c r="G686" i="1"/>
  <c r="H686" i="1"/>
  <c r="G687" i="1"/>
  <c r="H687" i="1"/>
  <c r="G688" i="1"/>
  <c r="H688" i="1"/>
  <c r="G689" i="1"/>
  <c r="H689" i="1"/>
  <c r="G690" i="1"/>
  <c r="H690" i="1"/>
  <c r="G691" i="1"/>
  <c r="H691" i="1"/>
  <c r="G692" i="1"/>
  <c r="H692" i="1"/>
  <c r="G693" i="1"/>
  <c r="H693" i="1"/>
  <c r="G694" i="1"/>
  <c r="H694" i="1"/>
  <c r="G695" i="1"/>
  <c r="H695" i="1"/>
  <c r="G696" i="1"/>
  <c r="H696" i="1"/>
  <c r="G697" i="1"/>
  <c r="H697" i="1"/>
  <c r="G698" i="1"/>
  <c r="H698" i="1"/>
  <c r="G699" i="1"/>
  <c r="H699" i="1"/>
  <c r="G700" i="1"/>
  <c r="H700" i="1"/>
  <c r="G701" i="1"/>
  <c r="H701" i="1"/>
  <c r="G702" i="1"/>
  <c r="H702" i="1"/>
  <c r="G703" i="1"/>
  <c r="H703" i="1"/>
  <c r="G704" i="1"/>
  <c r="H704" i="1"/>
  <c r="G705" i="1"/>
  <c r="H705" i="1"/>
  <c r="G706" i="1"/>
  <c r="H706" i="1"/>
  <c r="G707" i="1"/>
  <c r="H707" i="1"/>
  <c r="G708" i="1"/>
  <c r="H708" i="1"/>
  <c r="G709" i="1"/>
  <c r="H709" i="1"/>
  <c r="G710" i="1"/>
  <c r="H710" i="1"/>
  <c r="G711" i="1"/>
  <c r="H711" i="1"/>
  <c r="G712" i="1"/>
  <c r="H712" i="1"/>
  <c r="G713" i="1"/>
  <c r="H713" i="1"/>
  <c r="G714" i="1"/>
  <c r="H714" i="1"/>
  <c r="G715" i="1"/>
  <c r="H715" i="1"/>
  <c r="G716" i="1"/>
  <c r="H716" i="1"/>
  <c r="G717" i="1"/>
  <c r="H717" i="1"/>
  <c r="G718" i="1"/>
  <c r="H718" i="1"/>
  <c r="G719" i="1"/>
  <c r="H719" i="1"/>
  <c r="G720" i="1"/>
  <c r="H720" i="1"/>
  <c r="G721" i="1"/>
  <c r="H721" i="1"/>
  <c r="G722" i="1"/>
  <c r="H722" i="1"/>
  <c r="G723" i="1"/>
  <c r="H723" i="1"/>
  <c r="G724" i="1"/>
  <c r="H724" i="1"/>
  <c r="G725" i="1"/>
  <c r="H725" i="1"/>
  <c r="G726" i="1"/>
  <c r="H726" i="1"/>
  <c r="G727" i="1"/>
  <c r="H727" i="1"/>
  <c r="G728" i="1"/>
  <c r="H728" i="1"/>
  <c r="G729" i="1"/>
  <c r="H729" i="1"/>
  <c r="G730" i="1"/>
  <c r="H730" i="1"/>
  <c r="G731" i="1"/>
  <c r="H731" i="1"/>
  <c r="G732" i="1"/>
  <c r="H732" i="1"/>
  <c r="G733" i="1"/>
  <c r="H733" i="1"/>
  <c r="G734" i="1"/>
  <c r="H734" i="1"/>
  <c r="G735" i="1"/>
  <c r="H735" i="1"/>
  <c r="G736" i="1"/>
  <c r="H736" i="1"/>
  <c r="G737" i="1"/>
  <c r="H737" i="1"/>
  <c r="G738" i="1"/>
  <c r="H738" i="1"/>
  <c r="G739" i="1"/>
  <c r="H739" i="1"/>
  <c r="G740" i="1"/>
  <c r="H740" i="1"/>
  <c r="G741" i="1"/>
  <c r="H741" i="1"/>
  <c r="G742" i="1"/>
  <c r="H742" i="1"/>
  <c r="G743" i="1"/>
  <c r="H743" i="1"/>
  <c r="G744" i="1"/>
  <c r="H744" i="1"/>
  <c r="G745" i="1"/>
  <c r="H745" i="1"/>
  <c r="G746" i="1"/>
  <c r="H746" i="1"/>
  <c r="G747" i="1"/>
  <c r="H747" i="1"/>
  <c r="G748" i="1"/>
  <c r="H748" i="1"/>
  <c r="G749" i="1"/>
  <c r="H749" i="1"/>
  <c r="G750" i="1"/>
  <c r="H750" i="1"/>
  <c r="G751" i="1"/>
  <c r="H751" i="1"/>
  <c r="G752" i="1"/>
  <c r="H752" i="1"/>
  <c r="G753" i="1"/>
  <c r="H753" i="1"/>
  <c r="G754" i="1"/>
  <c r="H754" i="1"/>
  <c r="G755" i="1"/>
  <c r="H755" i="1"/>
  <c r="G756" i="1"/>
  <c r="H756" i="1"/>
  <c r="G757" i="1"/>
  <c r="H757" i="1"/>
  <c r="G758" i="1"/>
  <c r="H758" i="1"/>
  <c r="G759" i="1"/>
  <c r="H759" i="1"/>
  <c r="G760" i="1"/>
  <c r="H760" i="1"/>
  <c r="G761" i="1"/>
  <c r="H761" i="1"/>
  <c r="G762" i="1"/>
  <c r="H762" i="1"/>
  <c r="G763" i="1"/>
  <c r="H763" i="1"/>
  <c r="G764" i="1"/>
  <c r="H764" i="1"/>
  <c r="G765" i="1"/>
  <c r="H765" i="1"/>
  <c r="G766" i="1"/>
  <c r="H766" i="1"/>
  <c r="G767" i="1"/>
  <c r="H767" i="1"/>
  <c r="G768" i="1"/>
  <c r="H768" i="1"/>
  <c r="G769" i="1"/>
  <c r="H769" i="1"/>
  <c r="G770" i="1"/>
  <c r="H770" i="1"/>
  <c r="G771" i="1"/>
  <c r="H771" i="1"/>
  <c r="G772" i="1"/>
  <c r="H772" i="1"/>
  <c r="G773" i="1"/>
  <c r="H773" i="1"/>
  <c r="G774" i="1"/>
  <c r="H774" i="1"/>
  <c r="G775" i="1"/>
  <c r="H775" i="1"/>
  <c r="G776" i="1"/>
  <c r="H776" i="1"/>
  <c r="G777" i="1"/>
  <c r="H777" i="1"/>
  <c r="G778" i="1"/>
  <c r="H778" i="1"/>
  <c r="G779" i="1"/>
  <c r="H779" i="1"/>
  <c r="G780" i="1"/>
  <c r="H780" i="1"/>
  <c r="G781" i="1"/>
  <c r="H781" i="1"/>
  <c r="G782" i="1"/>
  <c r="H782" i="1"/>
  <c r="G783" i="1"/>
  <c r="H783" i="1"/>
  <c r="G784" i="1"/>
  <c r="H784" i="1"/>
  <c r="G785" i="1"/>
  <c r="H785" i="1"/>
  <c r="G786" i="1"/>
  <c r="H786" i="1"/>
  <c r="G787" i="1"/>
  <c r="H787" i="1"/>
  <c r="G788" i="1"/>
  <c r="H788" i="1"/>
  <c r="G789" i="1"/>
  <c r="H789" i="1"/>
  <c r="G790" i="1"/>
  <c r="H790" i="1"/>
  <c r="G791" i="1"/>
  <c r="H791" i="1"/>
  <c r="G792" i="1"/>
  <c r="H792" i="1"/>
  <c r="G793" i="1"/>
  <c r="H793" i="1"/>
  <c r="G794" i="1"/>
  <c r="H794" i="1"/>
  <c r="G795" i="1"/>
  <c r="H795" i="1"/>
  <c r="G796" i="1"/>
  <c r="H796" i="1"/>
  <c r="G797" i="1"/>
  <c r="H797" i="1"/>
  <c r="G798" i="1"/>
  <c r="H798" i="1"/>
  <c r="G799" i="1"/>
  <c r="H799" i="1"/>
  <c r="G800" i="1"/>
  <c r="H800" i="1"/>
  <c r="G801" i="1"/>
  <c r="H801" i="1"/>
  <c r="G802" i="1"/>
  <c r="H802" i="1"/>
  <c r="G803" i="1"/>
  <c r="H803" i="1"/>
  <c r="G804" i="1"/>
  <c r="H804" i="1"/>
  <c r="G805" i="1"/>
  <c r="H805" i="1"/>
  <c r="G806" i="1"/>
  <c r="H806" i="1"/>
  <c r="G807" i="1"/>
  <c r="H807" i="1"/>
  <c r="G808" i="1"/>
  <c r="H808" i="1"/>
  <c r="G809" i="1"/>
  <c r="H809" i="1"/>
  <c r="G810" i="1"/>
  <c r="H810" i="1"/>
  <c r="G811" i="1"/>
  <c r="H811" i="1"/>
  <c r="G812" i="1"/>
  <c r="H812" i="1"/>
  <c r="G813" i="1"/>
  <c r="H813" i="1"/>
  <c r="G814" i="1"/>
  <c r="H814" i="1"/>
  <c r="G815" i="1"/>
  <c r="H815" i="1"/>
  <c r="G816" i="1"/>
  <c r="H816" i="1"/>
  <c r="G817" i="1"/>
  <c r="H817" i="1"/>
  <c r="G818" i="1"/>
  <c r="H818" i="1"/>
  <c r="G819" i="1"/>
  <c r="H819" i="1"/>
  <c r="G820" i="1"/>
  <c r="H820" i="1"/>
  <c r="G821" i="1"/>
  <c r="H821" i="1"/>
  <c r="G822" i="1"/>
  <c r="H822" i="1"/>
  <c r="G823" i="1"/>
  <c r="H823" i="1"/>
  <c r="G824" i="1"/>
  <c r="H824" i="1"/>
  <c r="G825" i="1"/>
  <c r="H825" i="1"/>
  <c r="G826" i="1"/>
  <c r="H826" i="1"/>
  <c r="G827" i="1"/>
  <c r="H827" i="1"/>
  <c r="G828" i="1"/>
  <c r="H828" i="1"/>
  <c r="G829" i="1"/>
  <c r="H829" i="1"/>
  <c r="G830" i="1"/>
  <c r="H830" i="1"/>
  <c r="G831" i="1"/>
  <c r="H831" i="1"/>
  <c r="G832" i="1"/>
  <c r="H832" i="1"/>
  <c r="G833" i="1"/>
  <c r="H833" i="1"/>
  <c r="G834" i="1"/>
  <c r="H834" i="1"/>
  <c r="G835" i="1"/>
  <c r="H835" i="1"/>
  <c r="G836" i="1"/>
  <c r="H836" i="1"/>
  <c r="G837" i="1"/>
  <c r="H837" i="1"/>
  <c r="G838" i="1"/>
  <c r="H838" i="1"/>
  <c r="G839" i="1"/>
  <c r="H839" i="1"/>
  <c r="G840" i="1"/>
  <c r="H840" i="1"/>
  <c r="G841" i="1"/>
  <c r="H841" i="1"/>
  <c r="G842" i="1"/>
  <c r="H842" i="1"/>
  <c r="G843" i="1"/>
  <c r="H843" i="1"/>
  <c r="G844" i="1"/>
  <c r="H844" i="1"/>
  <c r="G845" i="1"/>
  <c r="H845" i="1"/>
  <c r="G846" i="1"/>
  <c r="H846" i="1"/>
  <c r="G847" i="1"/>
  <c r="H847" i="1"/>
  <c r="G848" i="1"/>
  <c r="H848" i="1"/>
  <c r="G849" i="1"/>
  <c r="H849" i="1"/>
  <c r="G850" i="1"/>
  <c r="H850" i="1"/>
  <c r="G851" i="1"/>
  <c r="H851" i="1"/>
  <c r="G852" i="1"/>
  <c r="H852" i="1"/>
  <c r="G853" i="1"/>
  <c r="H853" i="1"/>
  <c r="G854" i="1"/>
  <c r="H854" i="1"/>
  <c r="G855" i="1"/>
  <c r="H855" i="1"/>
  <c r="G856" i="1"/>
  <c r="H856" i="1"/>
  <c r="G857" i="1"/>
  <c r="H857" i="1"/>
  <c r="G858" i="1"/>
  <c r="H858" i="1"/>
  <c r="G859" i="1"/>
  <c r="H859" i="1"/>
  <c r="G860" i="1"/>
  <c r="H860" i="1"/>
  <c r="G861" i="1"/>
  <c r="H861" i="1"/>
  <c r="G862" i="1"/>
  <c r="H862" i="1"/>
  <c r="G863" i="1"/>
  <c r="H863" i="1"/>
  <c r="G864" i="1"/>
  <c r="H864" i="1"/>
  <c r="G865" i="1"/>
  <c r="H865" i="1"/>
  <c r="G866" i="1"/>
  <c r="H866" i="1"/>
  <c r="G867" i="1"/>
  <c r="H867" i="1"/>
  <c r="G868" i="1"/>
  <c r="H868" i="1"/>
  <c r="G869" i="1"/>
  <c r="H869" i="1"/>
  <c r="G870" i="1"/>
  <c r="H870" i="1"/>
  <c r="G871" i="1"/>
  <c r="H871" i="1"/>
  <c r="G872" i="1"/>
  <c r="H872" i="1"/>
  <c r="G873" i="1"/>
  <c r="H873" i="1"/>
  <c r="G874" i="1"/>
  <c r="H874" i="1"/>
  <c r="G875" i="1"/>
  <c r="H875" i="1"/>
  <c r="G876" i="1"/>
  <c r="H876" i="1"/>
  <c r="G877" i="1"/>
  <c r="H877" i="1"/>
  <c r="G878" i="1"/>
  <c r="H878" i="1"/>
  <c r="G879" i="1"/>
  <c r="H879" i="1"/>
  <c r="G880" i="1"/>
  <c r="H880" i="1"/>
  <c r="G881" i="1"/>
  <c r="H881" i="1"/>
  <c r="G882" i="1"/>
  <c r="H882" i="1"/>
  <c r="G883" i="1"/>
  <c r="H883" i="1"/>
  <c r="G884" i="1"/>
  <c r="H884" i="1"/>
  <c r="G885" i="1"/>
  <c r="H885" i="1"/>
  <c r="G886" i="1"/>
  <c r="H886" i="1"/>
  <c r="G887" i="1"/>
  <c r="H887" i="1"/>
  <c r="G888" i="1"/>
  <c r="H888" i="1"/>
  <c r="G889" i="1"/>
  <c r="H889" i="1"/>
  <c r="G890" i="1"/>
  <c r="H890" i="1"/>
  <c r="G891" i="1"/>
  <c r="H891" i="1"/>
  <c r="G892" i="1"/>
  <c r="H892" i="1"/>
  <c r="G893" i="1"/>
  <c r="H893" i="1"/>
  <c r="G894" i="1"/>
  <c r="H894" i="1"/>
  <c r="G895" i="1"/>
  <c r="H895" i="1"/>
  <c r="G1629" i="1"/>
  <c r="H1629" i="1"/>
  <c r="G1630" i="1"/>
  <c r="H1630" i="1"/>
  <c r="G1631" i="1"/>
  <c r="H1631" i="1"/>
  <c r="G1632" i="1"/>
  <c r="H1632" i="1"/>
  <c r="G1633" i="1"/>
  <c r="H1633" i="1"/>
  <c r="G1634" i="1"/>
  <c r="H1634" i="1"/>
  <c r="G1635" i="1"/>
  <c r="H1635" i="1"/>
  <c r="G1636" i="1"/>
  <c r="H1636" i="1"/>
  <c r="G1637" i="1"/>
  <c r="H1637" i="1"/>
  <c r="G1638" i="1"/>
  <c r="H1638" i="1"/>
  <c r="G1639" i="1"/>
  <c r="H1639" i="1"/>
  <c r="G1640" i="1"/>
  <c r="H1640" i="1"/>
  <c r="G1641" i="1"/>
  <c r="H1641" i="1"/>
  <c r="G1642" i="1"/>
  <c r="H1642" i="1"/>
  <c r="G1643" i="1"/>
  <c r="H1643" i="1"/>
  <c r="G1644" i="1"/>
  <c r="H1644" i="1"/>
  <c r="G1645" i="1"/>
  <c r="H1645" i="1"/>
  <c r="G1646" i="1"/>
  <c r="H1646" i="1"/>
  <c r="G1647" i="1"/>
  <c r="H1647" i="1"/>
  <c r="G1648" i="1"/>
  <c r="H1648" i="1"/>
  <c r="G1649" i="1"/>
  <c r="H1649" i="1"/>
  <c r="G1650" i="1"/>
  <c r="H1650" i="1"/>
  <c r="G1651" i="1"/>
  <c r="H1651" i="1"/>
  <c r="G1652" i="1"/>
  <c r="H1652" i="1"/>
  <c r="G1653" i="1"/>
  <c r="H1653" i="1"/>
  <c r="G1654" i="1"/>
  <c r="H1654" i="1"/>
  <c r="G1655" i="1"/>
  <c r="H1655" i="1"/>
  <c r="G1656" i="1"/>
  <c r="H1656" i="1"/>
  <c r="G1657" i="1"/>
  <c r="H1657" i="1"/>
  <c r="G1658" i="1"/>
  <c r="H1658" i="1"/>
  <c r="G1659" i="1"/>
  <c r="H1659" i="1"/>
  <c r="G1660" i="1"/>
  <c r="H1660" i="1"/>
  <c r="G1661" i="1"/>
  <c r="H1661" i="1"/>
  <c r="G1662" i="1"/>
  <c r="H1662" i="1"/>
  <c r="G1663" i="1"/>
  <c r="H1663" i="1"/>
  <c r="G1664" i="1"/>
  <c r="H1664" i="1"/>
  <c r="G1665" i="1"/>
  <c r="H1665" i="1"/>
  <c r="G1666" i="1"/>
  <c r="H1666" i="1"/>
  <c r="G1667" i="1"/>
  <c r="H1667" i="1"/>
  <c r="G1668" i="1"/>
  <c r="H1668" i="1"/>
  <c r="G1669" i="1"/>
  <c r="H1669" i="1"/>
  <c r="G1670" i="1"/>
  <c r="H1670" i="1"/>
  <c r="G1671" i="1"/>
  <c r="H1671" i="1"/>
  <c r="G1672" i="1"/>
  <c r="H1672" i="1"/>
  <c r="G1673" i="1"/>
  <c r="H1673" i="1"/>
  <c r="G1674" i="1"/>
  <c r="H1674" i="1"/>
  <c r="G1675" i="1"/>
  <c r="H1675" i="1"/>
  <c r="G1676" i="1"/>
  <c r="H1676" i="1"/>
  <c r="G1677" i="1"/>
  <c r="H1677" i="1"/>
  <c r="G1678" i="1"/>
  <c r="H1678" i="1"/>
  <c r="G1679" i="1"/>
  <c r="H1679" i="1"/>
  <c r="G1680" i="1"/>
  <c r="H1680" i="1"/>
  <c r="G1681" i="1"/>
  <c r="H1681" i="1"/>
  <c r="G1682" i="1"/>
  <c r="H1682" i="1"/>
  <c r="G1683" i="1"/>
  <c r="H1683" i="1"/>
  <c r="G1684" i="1"/>
  <c r="H1684" i="1"/>
  <c r="G1685" i="1"/>
  <c r="H1685" i="1"/>
  <c r="G1686" i="1"/>
  <c r="H1686" i="1"/>
  <c r="G1687" i="1"/>
  <c r="H1687" i="1"/>
  <c r="G1688" i="1"/>
  <c r="H1688" i="1"/>
  <c r="G1689" i="1"/>
  <c r="H1689" i="1"/>
  <c r="G1690" i="1"/>
  <c r="H1690" i="1"/>
  <c r="G1691" i="1"/>
  <c r="H1691" i="1"/>
  <c r="G1692" i="1"/>
  <c r="H1692" i="1"/>
  <c r="G1693" i="1"/>
  <c r="H1693" i="1"/>
  <c r="G1694" i="1"/>
  <c r="H1694" i="1"/>
  <c r="G1695" i="1"/>
  <c r="H1695" i="1"/>
  <c r="G1696" i="1"/>
  <c r="H1696" i="1"/>
  <c r="G1697" i="1"/>
  <c r="H1697" i="1"/>
  <c r="G1698" i="1"/>
  <c r="H1698" i="1"/>
  <c r="G1699" i="1"/>
  <c r="H1699" i="1"/>
  <c r="G1700" i="1"/>
  <c r="H1700" i="1"/>
  <c r="G1701" i="1"/>
  <c r="H1701" i="1"/>
  <c r="G1702" i="1"/>
  <c r="H1702" i="1"/>
  <c r="G1703" i="1"/>
  <c r="H1703" i="1"/>
  <c r="G1704" i="1"/>
  <c r="H1704" i="1"/>
  <c r="G1705" i="1"/>
  <c r="H1705" i="1"/>
  <c r="G1706" i="1"/>
  <c r="H1706" i="1"/>
  <c r="G1707" i="1"/>
  <c r="H1707" i="1"/>
  <c r="G1708" i="1"/>
  <c r="H1708" i="1"/>
  <c r="G1709" i="1"/>
  <c r="H1709" i="1"/>
  <c r="G1710" i="1"/>
  <c r="H1710" i="1"/>
  <c r="G1711" i="1"/>
  <c r="H1711" i="1"/>
  <c r="G1712" i="1"/>
  <c r="H1712" i="1"/>
  <c r="G1713" i="1"/>
  <c r="H1713" i="1"/>
  <c r="G1714" i="1"/>
  <c r="H1714" i="1"/>
  <c r="G1715" i="1"/>
  <c r="H1715" i="1"/>
  <c r="G1716" i="1"/>
  <c r="H1716" i="1"/>
  <c r="G1717" i="1"/>
  <c r="H1717" i="1"/>
  <c r="A1652" i="1"/>
  <c r="B1652" i="1"/>
  <c r="C1652" i="1"/>
  <c r="A1653" i="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B1653" i="1"/>
  <c r="C1653" i="1"/>
  <c r="B1654" i="1"/>
  <c r="B1655" i="1" s="1"/>
  <c r="B1656" i="1" s="1"/>
  <c r="B1657" i="1" s="1"/>
  <c r="B1658" i="1" s="1"/>
  <c r="B1659" i="1" s="1"/>
  <c r="B1660" i="1" s="1"/>
  <c r="B1661" i="1" s="1"/>
  <c r="B1662"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2"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C1654" i="1"/>
  <c r="C1655" i="1"/>
  <c r="C1656" i="1" s="1"/>
  <c r="C1657" i="1" s="1"/>
  <c r="C1658" i="1" s="1"/>
  <c r="C1659" i="1" s="1"/>
  <c r="C1660" i="1" s="1"/>
  <c r="C1661" i="1" s="1"/>
  <c r="C1662" i="1" s="1"/>
  <c r="C1663" i="1" s="1"/>
  <c r="C1664" i="1" s="1"/>
  <c r="C1665" i="1" s="1"/>
  <c r="C1666" i="1" s="1"/>
  <c r="C1667" i="1" s="1"/>
  <c r="C1668" i="1" s="1"/>
  <c r="C1669" i="1" s="1"/>
  <c r="C1670" i="1" s="1"/>
  <c r="C1671" i="1" s="1"/>
  <c r="C1672" i="1" s="1"/>
  <c r="C1673" i="1" s="1"/>
  <c r="C1674" i="1" s="1"/>
  <c r="C1675" i="1" s="1"/>
  <c r="C1676" i="1" s="1"/>
  <c r="C1677" i="1" s="1"/>
  <c r="C1678" i="1" s="1"/>
  <c r="C1679" i="1" s="1"/>
  <c r="C1680" i="1" s="1"/>
  <c r="C1681" i="1" s="1"/>
  <c r="C1682" i="1" s="1"/>
  <c r="C1683" i="1" s="1"/>
  <c r="C1684" i="1" s="1"/>
  <c r="C1685" i="1" s="1"/>
  <c r="C1686" i="1" s="1"/>
  <c r="C1687" i="1" s="1"/>
  <c r="C1688" i="1" s="1"/>
  <c r="C1689" i="1" s="1"/>
  <c r="C1690" i="1" s="1"/>
  <c r="C1691" i="1" s="1"/>
  <c r="C1692" i="1" s="1"/>
  <c r="C1693" i="1" s="1"/>
  <c r="C1694" i="1" s="1"/>
  <c r="C1695" i="1" s="1"/>
  <c r="C1696" i="1" s="1"/>
  <c r="C1697" i="1" s="1"/>
  <c r="C1698" i="1" s="1"/>
  <c r="C1699" i="1" s="1"/>
  <c r="C1700" i="1" s="1"/>
  <c r="C1701" i="1" s="1"/>
  <c r="C1702" i="1" s="1"/>
  <c r="C1703" i="1" s="1"/>
  <c r="C1704" i="1" s="1"/>
  <c r="C1705" i="1" s="1"/>
  <c r="C1706" i="1" s="1"/>
  <c r="C1707" i="1" s="1"/>
  <c r="C1708" i="1" s="1"/>
  <c r="C1709" i="1" s="1"/>
  <c r="C1710" i="1" s="1"/>
  <c r="C1711" i="1" s="1"/>
  <c r="C1712" i="1" s="1"/>
  <c r="C1713" i="1" s="1"/>
  <c r="C1714" i="1" s="1"/>
  <c r="C1715" i="1" s="1"/>
  <c r="C1716" i="1" s="1"/>
  <c r="C1717" i="1" s="1"/>
  <c r="E1692" i="1"/>
  <c r="E1717" i="1"/>
  <c r="E1716" i="1"/>
  <c r="E1714" i="1"/>
  <c r="E1712" i="1"/>
  <c r="E1710" i="1"/>
  <c r="E1708" i="1"/>
  <c r="E1706" i="1"/>
  <c r="E1704" i="1"/>
  <c r="E1702" i="1"/>
  <c r="E1700" i="1"/>
  <c r="E1698" i="1"/>
  <c r="E1696" i="1"/>
  <c r="E1694" i="1"/>
  <c r="E1691" i="1"/>
  <c r="E1688" i="1"/>
  <c r="E1685" i="1"/>
  <c r="E1682" i="1"/>
  <c r="E1679" i="1"/>
  <c r="E1676" i="1"/>
  <c r="E1673" i="1"/>
  <c r="E1670" i="1"/>
  <c r="E1667" i="1"/>
  <c r="E1664" i="1"/>
  <c r="E1661" i="1"/>
  <c r="E1658" i="1"/>
  <c r="E1655" i="1"/>
  <c r="E1630" i="1"/>
  <c r="E1629" i="1"/>
  <c r="C1629" i="1"/>
  <c r="C1630" i="1" s="1"/>
  <c r="C1631" i="1" s="1"/>
  <c r="C1632" i="1" s="1"/>
  <c r="C1633" i="1" s="1"/>
  <c r="C1634" i="1" s="1"/>
  <c r="C1635" i="1" s="1"/>
  <c r="C1636" i="1" s="1"/>
  <c r="C1637" i="1" s="1"/>
  <c r="C1638" i="1" s="1"/>
  <c r="C1639" i="1" s="1"/>
  <c r="C1640" i="1" s="1"/>
  <c r="C1641" i="1" s="1"/>
  <c r="C1642" i="1" s="1"/>
  <c r="C1643" i="1" s="1"/>
  <c r="C1644" i="1" s="1"/>
  <c r="C1645" i="1" s="1"/>
  <c r="C1646" i="1" s="1"/>
  <c r="C1647" i="1" s="1"/>
  <c r="C1648" i="1" s="1"/>
  <c r="C1649" i="1" s="1"/>
  <c r="C1650" i="1" s="1"/>
  <c r="C1651" i="1" s="1"/>
  <c r="H1628" i="1"/>
  <c r="E1628" i="1"/>
  <c r="H1561" i="1"/>
  <c r="H1563" i="1"/>
  <c r="H1565" i="1"/>
  <c r="H1567" i="1"/>
  <c r="H1569" i="1"/>
  <c r="H1571" i="1"/>
  <c r="H1573" i="1"/>
  <c r="H1577" i="1"/>
  <c r="H1579" i="1"/>
  <c r="H1580" i="1"/>
  <c r="H1583" i="1"/>
  <c r="H1586" i="1"/>
  <c r="H1589" i="1"/>
  <c r="H1592" i="1"/>
  <c r="H1595" i="1"/>
  <c r="H1598" i="1"/>
  <c r="H1601" i="1"/>
  <c r="H1604" i="1"/>
  <c r="H1607" i="1"/>
  <c r="H1608" i="1"/>
  <c r="H1610" i="1"/>
  <c r="H1612" i="1"/>
  <c r="H1614" i="1"/>
  <c r="H1616" i="1"/>
  <c r="H1618" i="1"/>
  <c r="H1620" i="1"/>
  <c r="H1622" i="1"/>
  <c r="H1624" i="1"/>
  <c r="H1626" i="1"/>
  <c r="H1627" i="1"/>
  <c r="E1627" i="1"/>
  <c r="E1626" i="1"/>
  <c r="E1624" i="1"/>
  <c r="E1622" i="1"/>
  <c r="E1620" i="1"/>
  <c r="E1618" i="1"/>
  <c r="E1616" i="1"/>
  <c r="E1614" i="1"/>
  <c r="E1612" i="1"/>
  <c r="E1610" i="1"/>
  <c r="E1608" i="1"/>
  <c r="E1607" i="1"/>
  <c r="E1604" i="1"/>
  <c r="E1601" i="1"/>
  <c r="E1598" i="1"/>
  <c r="E1595" i="1"/>
  <c r="E1592" i="1"/>
  <c r="E1589" i="1"/>
  <c r="E1586" i="1"/>
  <c r="E1583" i="1"/>
  <c r="E1580" i="1"/>
  <c r="E1561" i="1"/>
  <c r="H1560" i="1"/>
  <c r="E1560" i="1"/>
  <c r="C1560" i="1"/>
  <c r="C1561" i="1" s="1"/>
  <c r="C1562" i="1" s="1"/>
  <c r="C1563" i="1" s="1"/>
  <c r="C1564" i="1" s="1"/>
  <c r="C1565" i="1" s="1"/>
  <c r="C1566" i="1" s="1"/>
  <c r="C1567" i="1" s="1"/>
  <c r="C1568" i="1" s="1"/>
  <c r="C1569" i="1" s="1"/>
  <c r="C1570" i="1" s="1"/>
  <c r="C1571" i="1" s="1"/>
  <c r="C1572" i="1" s="1"/>
  <c r="C1573" i="1" s="1"/>
  <c r="C1574" i="1" s="1"/>
  <c r="C1575" i="1" s="1"/>
  <c r="C1576" i="1" s="1"/>
  <c r="C1577" i="1" s="1"/>
  <c r="C1578" i="1" s="1"/>
  <c r="C1579" i="1" s="1"/>
  <c r="C1580" i="1" s="1"/>
  <c r="C1581" i="1" s="1"/>
  <c r="C1582" i="1" s="1"/>
  <c r="C1583" i="1" s="1"/>
  <c r="C1584" i="1" s="1"/>
  <c r="C1585" i="1" s="1"/>
  <c r="C1586" i="1" s="1"/>
  <c r="C1587" i="1" s="1"/>
  <c r="C1588" i="1" s="1"/>
  <c r="C1589" i="1" s="1"/>
  <c r="C1590" i="1" s="1"/>
  <c r="C1591" i="1" s="1"/>
  <c r="C1592" i="1" s="1"/>
  <c r="C1593" i="1" s="1"/>
  <c r="C1594" i="1" s="1"/>
  <c r="C1595" i="1" s="1"/>
  <c r="C1596" i="1" s="1"/>
  <c r="C1597" i="1" s="1"/>
  <c r="C1598" i="1" s="1"/>
  <c r="C1599" i="1" s="1"/>
  <c r="C1600" i="1" s="1"/>
  <c r="C1601" i="1" s="1"/>
  <c r="C1602" i="1" s="1"/>
  <c r="C1603" i="1" s="1"/>
  <c r="C1604" i="1" s="1"/>
  <c r="C1605" i="1" s="1"/>
  <c r="C1606" i="1" s="1"/>
  <c r="C1607" i="1" s="1"/>
  <c r="C1608" i="1" s="1"/>
  <c r="C1609" i="1" s="1"/>
  <c r="C1610" i="1" s="1"/>
  <c r="C1611" i="1" s="1"/>
  <c r="C1612" i="1" s="1"/>
  <c r="C1613" i="1" s="1"/>
  <c r="C1614" i="1" s="1"/>
  <c r="C1615" i="1" s="1"/>
  <c r="C1616" i="1" s="1"/>
  <c r="C1617" i="1" s="1"/>
  <c r="C1618" i="1" s="1"/>
  <c r="C1619" i="1" s="1"/>
  <c r="C1620" i="1" s="1"/>
  <c r="C1621" i="1" s="1"/>
  <c r="C1622" i="1" s="1"/>
  <c r="C1623" i="1" s="1"/>
  <c r="C1624" i="1" s="1"/>
  <c r="C1625" i="1" s="1"/>
  <c r="C1626" i="1" s="1"/>
  <c r="C1627" i="1" s="1"/>
  <c r="H1559" i="1"/>
  <c r="E1559" i="1"/>
  <c r="H1549" i="1"/>
  <c r="H1551" i="1"/>
  <c r="H1553" i="1"/>
  <c r="H1555" i="1"/>
  <c r="H1557" i="1"/>
  <c r="H1558" i="1"/>
  <c r="I100" i="1"/>
  <c r="I102" i="1"/>
  <c r="I104" i="1"/>
  <c r="I106" i="1"/>
  <c r="I108" i="1"/>
  <c r="I110" i="1"/>
  <c r="I79" i="1"/>
  <c r="I80" i="1"/>
  <c r="I82" i="1"/>
  <c r="I83" i="1"/>
  <c r="I85" i="1"/>
  <c r="I86" i="1"/>
  <c r="I88" i="1"/>
  <c r="I89" i="1"/>
  <c r="I91" i="1"/>
  <c r="I92" i="1"/>
  <c r="I94" i="1"/>
  <c r="I95" i="1"/>
  <c r="I63" i="1"/>
  <c r="I65" i="1"/>
  <c r="I67" i="1"/>
  <c r="I69" i="1"/>
  <c r="I71" i="1"/>
  <c r="I73" i="1"/>
  <c r="I45" i="1"/>
  <c r="I47" i="1"/>
  <c r="I49" i="1"/>
  <c r="I51" i="1"/>
  <c r="I53" i="1"/>
  <c r="I55" i="1"/>
  <c r="I57" i="1"/>
  <c r="I24" i="1"/>
  <c r="I25" i="1"/>
  <c r="I27" i="1"/>
  <c r="I28" i="1"/>
  <c r="I30" i="1"/>
  <c r="I31" i="1"/>
  <c r="I33" i="1"/>
  <c r="I34" i="1"/>
  <c r="I36" i="1"/>
  <c r="I37" i="1"/>
  <c r="I39" i="1"/>
  <c r="I40" i="1"/>
  <c r="I8" i="1"/>
  <c r="I10" i="1"/>
  <c r="I12" i="1"/>
  <c r="I14" i="1"/>
  <c r="I16" i="1"/>
  <c r="I18" i="1"/>
  <c r="I6" i="1"/>
  <c r="I12" i="4"/>
  <c r="I14" i="4"/>
  <c r="I16" i="4"/>
  <c r="I18" i="4"/>
  <c r="I20" i="4"/>
  <c r="I22" i="4"/>
  <c r="I24" i="4"/>
  <c r="I26" i="4"/>
  <c r="I28" i="4"/>
  <c r="I30" i="4"/>
  <c r="I32" i="4"/>
  <c r="I34" i="4"/>
  <c r="I36" i="4"/>
  <c r="I38" i="4"/>
  <c r="I40" i="4"/>
  <c r="I42" i="4"/>
  <c r="I44" i="4"/>
  <c r="I46" i="4"/>
  <c r="I48" i="4"/>
  <c r="I50" i="4"/>
  <c r="I52" i="4"/>
  <c r="I54" i="4"/>
  <c r="I56" i="4"/>
  <c r="I58" i="4"/>
  <c r="I60" i="4"/>
  <c r="I62" i="4"/>
  <c r="I64" i="4"/>
  <c r="I66" i="4"/>
  <c r="I68" i="4"/>
  <c r="I70" i="4"/>
  <c r="I72" i="4"/>
  <c r="I74" i="4"/>
  <c r="I76" i="4"/>
  <c r="I78" i="4"/>
  <c r="I80" i="4"/>
  <c r="I82" i="4"/>
  <c r="I84" i="4"/>
  <c r="D1484" i="1"/>
  <c r="D1482" i="1"/>
  <c r="D1481" i="1" s="1"/>
  <c r="D1480" i="1" s="1"/>
  <c r="D1478" i="1"/>
  <c r="D1477" i="1" s="1"/>
  <c r="D1476" i="1" s="1"/>
  <c r="D1474" i="1"/>
  <c r="E1558" i="1"/>
  <c r="E1557" i="1"/>
  <c r="E1555" i="1"/>
  <c r="E1553" i="1"/>
  <c r="E1551" i="1"/>
  <c r="E1549" i="1"/>
  <c r="E1547" i="1"/>
  <c r="E1545" i="1"/>
  <c r="E1543" i="1"/>
  <c r="E1541" i="1"/>
  <c r="E1539" i="1"/>
  <c r="E1537" i="1"/>
  <c r="E1535" i="1"/>
  <c r="E1533" i="1"/>
  <c r="E1531" i="1"/>
  <c r="E1529" i="1"/>
  <c r="E1528" i="1"/>
  <c r="E1525" i="1"/>
  <c r="E1522" i="1"/>
  <c r="E1519" i="1"/>
  <c r="E1516" i="1"/>
  <c r="E1513" i="1"/>
  <c r="E1510" i="1"/>
  <c r="E1507" i="1"/>
  <c r="E1504" i="1"/>
  <c r="E1501" i="1"/>
  <c r="E1498" i="1"/>
  <c r="E1495" i="1"/>
  <c r="E1492" i="1"/>
  <c r="E1489" i="1"/>
  <c r="E1486" i="1"/>
  <c r="E1457" i="1"/>
  <c r="E1456" i="1"/>
  <c r="C1456" i="1"/>
  <c r="C1457" i="1" s="1"/>
  <c r="C1458" i="1" s="1"/>
  <c r="C1459" i="1" s="1"/>
  <c r="C1460" i="1" s="1"/>
  <c r="C1461" i="1" s="1"/>
  <c r="C1462" i="1" s="1"/>
  <c r="C1463" i="1" s="1"/>
  <c r="C1464" i="1" s="1"/>
  <c r="C1465" i="1" s="1"/>
  <c r="C1466" i="1" s="1"/>
  <c r="C1467" i="1" s="1"/>
  <c r="C1468" i="1" s="1"/>
  <c r="C1469" i="1" s="1"/>
  <c r="C1470" i="1" s="1"/>
  <c r="C1471" i="1" s="1"/>
  <c r="C1472" i="1" s="1"/>
  <c r="C1473" i="1" s="1"/>
  <c r="C1474" i="1" s="1"/>
  <c r="C1475" i="1" s="1"/>
  <c r="C1476" i="1" s="1"/>
  <c r="C1477" i="1" s="1"/>
  <c r="C1478" i="1" s="1"/>
  <c r="C1479" i="1" s="1"/>
  <c r="C1480" i="1" s="1"/>
  <c r="C1481" i="1" s="1"/>
  <c r="C1482" i="1" s="1"/>
  <c r="C1483" i="1" s="1"/>
  <c r="C1484" i="1" s="1"/>
  <c r="C1485" i="1" s="1"/>
  <c r="C1486" i="1" s="1"/>
  <c r="C1487" i="1" s="1"/>
  <c r="C1488" i="1" s="1"/>
  <c r="C1489" i="1" s="1"/>
  <c r="C1490" i="1" s="1"/>
  <c r="C1491" i="1" s="1"/>
  <c r="C1492" i="1" s="1"/>
  <c r="C1493" i="1" s="1"/>
  <c r="C1494" i="1" s="1"/>
  <c r="C1495" i="1" s="1"/>
  <c r="C1496" i="1" s="1"/>
  <c r="C1497" i="1" s="1"/>
  <c r="C1498" i="1" s="1"/>
  <c r="C1499" i="1" s="1"/>
  <c r="C1500" i="1" s="1"/>
  <c r="C1501" i="1" s="1"/>
  <c r="C1502" i="1" s="1"/>
  <c r="C1503" i="1" s="1"/>
  <c r="C1504" i="1" s="1"/>
  <c r="C1505" i="1" s="1"/>
  <c r="C1506" i="1" s="1"/>
  <c r="C1507" i="1" s="1"/>
  <c r="C1508" i="1" s="1"/>
  <c r="C1509" i="1" s="1"/>
  <c r="C1510" i="1" s="1"/>
  <c r="C1511" i="1" s="1"/>
  <c r="C1512" i="1" s="1"/>
  <c r="C1513" i="1" s="1"/>
  <c r="C1514" i="1" s="1"/>
  <c r="C1515" i="1" s="1"/>
  <c r="C1516" i="1" s="1"/>
  <c r="C1517" i="1" s="1"/>
  <c r="C1518" i="1" s="1"/>
  <c r="C1519" i="1" s="1"/>
  <c r="C1520" i="1" s="1"/>
  <c r="C1521" i="1" s="1"/>
  <c r="C1522" i="1" s="1"/>
  <c r="C1523" i="1" s="1"/>
  <c r="C1524" i="1" s="1"/>
  <c r="C1525" i="1" s="1"/>
  <c r="C1526" i="1" s="1"/>
  <c r="C1527" i="1" s="1"/>
  <c r="C1528" i="1" s="1"/>
  <c r="C1529" i="1" s="1"/>
  <c r="C1530" i="1" s="1"/>
  <c r="C1531" i="1" s="1"/>
  <c r="C1532" i="1" s="1"/>
  <c r="C1533" i="1" s="1"/>
  <c r="C1534" i="1" s="1"/>
  <c r="C1535" i="1" s="1"/>
  <c r="C1536" i="1" s="1"/>
  <c r="C1537" i="1" s="1"/>
  <c r="C1538" i="1" s="1"/>
  <c r="C1539" i="1" s="1"/>
  <c r="C1540" i="1" s="1"/>
  <c r="C1541" i="1" s="1"/>
  <c r="C1542" i="1" s="1"/>
  <c r="C1543" i="1" s="1"/>
  <c r="C1544" i="1" s="1"/>
  <c r="C1545" i="1" s="1"/>
  <c r="C1546" i="1" s="1"/>
  <c r="C1547" i="1" s="1"/>
  <c r="C1548" i="1" s="1"/>
  <c r="C1549" i="1" s="1"/>
  <c r="C1550" i="1" s="1"/>
  <c r="C1551" i="1" s="1"/>
  <c r="C1552" i="1" s="1"/>
  <c r="C1553" i="1" s="1"/>
  <c r="C1554" i="1" s="1"/>
  <c r="C1555" i="1" s="1"/>
  <c r="C1556" i="1" s="1"/>
  <c r="C1557" i="1" s="1"/>
  <c r="C1558" i="1" s="1"/>
  <c r="E1455" i="1"/>
  <c r="F1528" i="1" l="1"/>
  <c r="F1527" i="1"/>
  <c r="F1557" i="1"/>
  <c r="F1556" i="1" l="1"/>
  <c r="F1526" i="1"/>
  <c r="D1527" i="1"/>
  <c r="E1485" i="1"/>
  <c r="D1556" i="1" l="1"/>
  <c r="H1556" i="1" s="1"/>
  <c r="D1526" i="1"/>
  <c r="E1484" i="1"/>
  <c r="F1555" i="1"/>
  <c r="F1525" i="1"/>
  <c r="F1524" i="1"/>
  <c r="E1527" i="1"/>
  <c r="D1524" i="1" l="1"/>
  <c r="E1483" i="1"/>
  <c r="E1526" i="1"/>
  <c r="F1554" i="1"/>
  <c r="F1523" i="1"/>
  <c r="E1556" i="1"/>
  <c r="D1554" i="1" l="1"/>
  <c r="H1554" i="1" s="1"/>
  <c r="D1523" i="1"/>
  <c r="E1482" i="1"/>
  <c r="F1553" i="1"/>
  <c r="F1521" i="1"/>
  <c r="F1522" i="1"/>
  <c r="E1524" i="1"/>
  <c r="E1523" i="1" l="1"/>
  <c r="F1552" i="1"/>
  <c r="F1520" i="1"/>
  <c r="D1521" i="1"/>
  <c r="E1481" i="1"/>
  <c r="E1554" i="1"/>
  <c r="E1521" i="1" l="1"/>
  <c r="D1552" i="1"/>
  <c r="H1552" i="1" s="1"/>
  <c r="D1520" i="1"/>
  <c r="E1480" i="1"/>
  <c r="F1551" i="1"/>
  <c r="F1519" i="1"/>
  <c r="F1518" i="1"/>
  <c r="E1520" i="1" l="1"/>
  <c r="F1550" i="1"/>
  <c r="F1517" i="1"/>
  <c r="E1552" i="1"/>
  <c r="D1518" i="1"/>
  <c r="E1479" i="1"/>
  <c r="E1518" i="1" l="1"/>
  <c r="D1550" i="1"/>
  <c r="H1550" i="1" s="1"/>
  <c r="D1517" i="1"/>
  <c r="E1478" i="1"/>
  <c r="F1549" i="1"/>
  <c r="F1516" i="1"/>
  <c r="F1515" i="1"/>
  <c r="E1517" i="1" l="1"/>
  <c r="F1548" i="1"/>
  <c r="F1514" i="1"/>
  <c r="E1550" i="1"/>
  <c r="D1515" i="1"/>
  <c r="E1477" i="1"/>
  <c r="D1606" i="1" l="1"/>
  <c r="H1606" i="1" s="1"/>
  <c r="D1578" i="1"/>
  <c r="H1578" i="1" s="1"/>
  <c r="E1579" i="1"/>
  <c r="E1515" i="1"/>
  <c r="D1548" i="1"/>
  <c r="H1548" i="1" s="1"/>
  <c r="D1514" i="1"/>
  <c r="E1476" i="1"/>
  <c r="F1547" i="1"/>
  <c r="F1513" i="1"/>
  <c r="F1512" i="1"/>
  <c r="E1606" i="1" l="1"/>
  <c r="D1625" i="1"/>
  <c r="H1625" i="1" s="1"/>
  <c r="E1578" i="1"/>
  <c r="D1605" i="1"/>
  <c r="H1605" i="1" s="1"/>
  <c r="F1607" i="1"/>
  <c r="F1626" i="1"/>
  <c r="F1606" i="1"/>
  <c r="E1514" i="1"/>
  <c r="F1546" i="1"/>
  <c r="F1511" i="1"/>
  <c r="E1548" i="1"/>
  <c r="D1512" i="1"/>
  <c r="E1475" i="1"/>
  <c r="F1625" i="1" l="1"/>
  <c r="F1605" i="1"/>
  <c r="D1603" i="1"/>
  <c r="H1603" i="1" s="1"/>
  <c r="E1577" i="1"/>
  <c r="D1576" i="1"/>
  <c r="H1576" i="1" s="1"/>
  <c r="E1625" i="1"/>
  <c r="E1605" i="1"/>
  <c r="E1512" i="1"/>
  <c r="D1546" i="1"/>
  <c r="E1474" i="1"/>
  <c r="D1511" i="1"/>
  <c r="D1473" i="1"/>
  <c r="F1545" i="1"/>
  <c r="F1509" i="1"/>
  <c r="F1510" i="1"/>
  <c r="E1603" i="1" l="1"/>
  <c r="D1602" i="1"/>
  <c r="H1602" i="1" s="1"/>
  <c r="E1576" i="1"/>
  <c r="D1623" i="1"/>
  <c r="H1623" i="1" s="1"/>
  <c r="D1575" i="1"/>
  <c r="H1575" i="1" s="1"/>
  <c r="F1624" i="1"/>
  <c r="F1604" i="1"/>
  <c r="F1603" i="1"/>
  <c r="D1509" i="1"/>
  <c r="E1473" i="1"/>
  <c r="D1472" i="1"/>
  <c r="E1546" i="1"/>
  <c r="F1544" i="1"/>
  <c r="F1508" i="1"/>
  <c r="E1511" i="1"/>
  <c r="E1575" i="1" l="1"/>
  <c r="D1600" i="1"/>
  <c r="H1600" i="1" s="1"/>
  <c r="D1574" i="1"/>
  <c r="H1574" i="1" s="1"/>
  <c r="E1602" i="1"/>
  <c r="E1623" i="1"/>
  <c r="F1623" i="1"/>
  <c r="F1602" i="1"/>
  <c r="F1543" i="1"/>
  <c r="F1507" i="1"/>
  <c r="F1506" i="1"/>
  <c r="D1544" i="1"/>
  <c r="D1508" i="1"/>
  <c r="E1472" i="1"/>
  <c r="E1509" i="1"/>
  <c r="D1599" i="1" l="1"/>
  <c r="H1599" i="1" s="1"/>
  <c r="E1574" i="1"/>
  <c r="D1621" i="1"/>
  <c r="H1621" i="1" s="1"/>
  <c r="E1600" i="1"/>
  <c r="F1622" i="1"/>
  <c r="F1601" i="1"/>
  <c r="F1600" i="1"/>
  <c r="F1542" i="1"/>
  <c r="F1505" i="1"/>
  <c r="D1506" i="1"/>
  <c r="E1471" i="1"/>
  <c r="D1470" i="1"/>
  <c r="E1508" i="1"/>
  <c r="E1544" i="1"/>
  <c r="D1572" i="1" l="1"/>
  <c r="H1572" i="1" s="1"/>
  <c r="D1597" i="1"/>
  <c r="H1597" i="1" s="1"/>
  <c r="E1573" i="1"/>
  <c r="F1621" i="1"/>
  <c r="F1599" i="1"/>
  <c r="E1621" i="1"/>
  <c r="E1599" i="1"/>
  <c r="E1506" i="1"/>
  <c r="D1542" i="1"/>
  <c r="D1505" i="1"/>
  <c r="E1470" i="1"/>
  <c r="F1541" i="1"/>
  <c r="F1504" i="1"/>
  <c r="F1503" i="1"/>
  <c r="F1598" i="1" l="1"/>
  <c r="F1597" i="1"/>
  <c r="F1620" i="1"/>
  <c r="E1597" i="1"/>
  <c r="D1596" i="1"/>
  <c r="H1596" i="1" s="1"/>
  <c r="D1619" i="1"/>
  <c r="H1619" i="1" s="1"/>
  <c r="E1572" i="1"/>
  <c r="E1505" i="1"/>
  <c r="F1540" i="1"/>
  <c r="F1502" i="1"/>
  <c r="E1542" i="1"/>
  <c r="D1503" i="1"/>
  <c r="E1469" i="1"/>
  <c r="E1596" i="1" l="1"/>
  <c r="D1570" i="1"/>
  <c r="H1570" i="1" s="1"/>
  <c r="D1594" i="1"/>
  <c r="H1594" i="1" s="1"/>
  <c r="E1571" i="1"/>
  <c r="E1619" i="1"/>
  <c r="F1619" i="1"/>
  <c r="F1596" i="1"/>
  <c r="E1503" i="1"/>
  <c r="D1540" i="1"/>
  <c r="D1502" i="1"/>
  <c r="E1468" i="1"/>
  <c r="F1539" i="1"/>
  <c r="F1501" i="1"/>
  <c r="F1500" i="1"/>
  <c r="D1617" i="1" l="1"/>
  <c r="H1617" i="1" s="1"/>
  <c r="E1570" i="1"/>
  <c r="D1593" i="1"/>
  <c r="H1593" i="1" s="1"/>
  <c r="F1595" i="1"/>
  <c r="F1618" i="1"/>
  <c r="F1594" i="1"/>
  <c r="E1594" i="1"/>
  <c r="E1502" i="1"/>
  <c r="F1538" i="1"/>
  <c r="F1499" i="1"/>
  <c r="D1500" i="1"/>
  <c r="E1467" i="1"/>
  <c r="D1466" i="1"/>
  <c r="E1540" i="1"/>
  <c r="D1591" i="1" l="1"/>
  <c r="H1591" i="1" s="1"/>
  <c r="E1569" i="1"/>
  <c r="D1568" i="1"/>
  <c r="H1568" i="1" s="1"/>
  <c r="F1617" i="1"/>
  <c r="F1593" i="1"/>
  <c r="E1593" i="1"/>
  <c r="E1617" i="1"/>
  <c r="D1499" i="1"/>
  <c r="D1538" i="1"/>
  <c r="E1466" i="1"/>
  <c r="D1465" i="1"/>
  <c r="F1537" i="1"/>
  <c r="F1498" i="1"/>
  <c r="F1497" i="1"/>
  <c r="E1500" i="1"/>
  <c r="D1590" i="1" l="1"/>
  <c r="H1590" i="1" s="1"/>
  <c r="E1568" i="1"/>
  <c r="D1615" i="1"/>
  <c r="H1615" i="1" s="1"/>
  <c r="F1616" i="1"/>
  <c r="F1592" i="1"/>
  <c r="F1591" i="1"/>
  <c r="E1591" i="1"/>
  <c r="E1538" i="1"/>
  <c r="F1536" i="1"/>
  <c r="F1496" i="1"/>
  <c r="D1497" i="1"/>
  <c r="E1465" i="1"/>
  <c r="D1464" i="1"/>
  <c r="E1499" i="1"/>
  <c r="E1615" i="1" l="1"/>
  <c r="F1615" i="1"/>
  <c r="F1590" i="1"/>
  <c r="D1588" i="1"/>
  <c r="H1588" i="1" s="1"/>
  <c r="E1567" i="1"/>
  <c r="D1566" i="1"/>
  <c r="H1566" i="1" s="1"/>
  <c r="E1590" i="1"/>
  <c r="E1497" i="1"/>
  <c r="D1536" i="1"/>
  <c r="D1496" i="1"/>
  <c r="E1464" i="1"/>
  <c r="F1535" i="1"/>
  <c r="F1495" i="1"/>
  <c r="F1494" i="1"/>
  <c r="E1566" i="1" l="1"/>
  <c r="D1613" i="1"/>
  <c r="H1613" i="1" s="1"/>
  <c r="D1587" i="1"/>
  <c r="H1587" i="1" s="1"/>
  <c r="E1588" i="1"/>
  <c r="F1589" i="1"/>
  <c r="F1614" i="1"/>
  <c r="F1588" i="1"/>
  <c r="E1496" i="1"/>
  <c r="F1534" i="1"/>
  <c r="F1493" i="1"/>
  <c r="E1536" i="1"/>
  <c r="D1494" i="1"/>
  <c r="E1463" i="1"/>
  <c r="D1462" i="1"/>
  <c r="E1587" i="1" l="1"/>
  <c r="E1565" i="1"/>
  <c r="D1564" i="1"/>
  <c r="H1564" i="1" s="1"/>
  <c r="D1585" i="1"/>
  <c r="H1585" i="1" s="1"/>
  <c r="F1613" i="1"/>
  <c r="F1587" i="1"/>
  <c r="E1613" i="1"/>
  <c r="E1494" i="1"/>
  <c r="D1534" i="1"/>
  <c r="D1493" i="1"/>
  <c r="E1462" i="1"/>
  <c r="F1533" i="1"/>
  <c r="F1492" i="1"/>
  <c r="F1491" i="1"/>
  <c r="E1585" i="1" l="1"/>
  <c r="D1584" i="1"/>
  <c r="H1584" i="1" s="1"/>
  <c r="D1611" i="1"/>
  <c r="H1611" i="1" s="1"/>
  <c r="E1564" i="1"/>
  <c r="F1586" i="1"/>
  <c r="F1585" i="1"/>
  <c r="F1612" i="1"/>
  <c r="D1491" i="1"/>
  <c r="D1460" i="1"/>
  <c r="E1461" i="1"/>
  <c r="F1532" i="1"/>
  <c r="F1490" i="1"/>
  <c r="E1534" i="1"/>
  <c r="E1493" i="1"/>
  <c r="D1562" i="1" l="1"/>
  <c r="H1562" i="1" s="1"/>
  <c r="D1582" i="1"/>
  <c r="H1582" i="1" s="1"/>
  <c r="E1563" i="1"/>
  <c r="E1584" i="1"/>
  <c r="F1611" i="1"/>
  <c r="F1584" i="1"/>
  <c r="E1611" i="1"/>
  <c r="F1531" i="1"/>
  <c r="F1489" i="1"/>
  <c r="F1488" i="1"/>
  <c r="D1532" i="1"/>
  <c r="D1490" i="1"/>
  <c r="E1460" i="1"/>
  <c r="D1459" i="1"/>
  <c r="E1491" i="1"/>
  <c r="E1582" i="1" l="1"/>
  <c r="F1582" i="1"/>
  <c r="F1583" i="1"/>
  <c r="F1610" i="1"/>
  <c r="D1609" i="1"/>
  <c r="H1609" i="1" s="1"/>
  <c r="D1581" i="1"/>
  <c r="H1581" i="1" s="1"/>
  <c r="E1562" i="1"/>
  <c r="F1530" i="1"/>
  <c r="F1487" i="1"/>
  <c r="E1490" i="1"/>
  <c r="D1488" i="1"/>
  <c r="E1459" i="1"/>
  <c r="D1458" i="1"/>
  <c r="E1532" i="1"/>
  <c r="E1581" i="1" l="1"/>
  <c r="E1609" i="1"/>
  <c r="F1609" i="1"/>
  <c r="F1581" i="1"/>
  <c r="D1530" i="1"/>
  <c r="D1487" i="1"/>
  <c r="E1458" i="1"/>
  <c r="E1488" i="1"/>
  <c r="E1487" i="1" l="1"/>
  <c r="E1530" i="1"/>
  <c r="E1454" i="1" l="1"/>
  <c r="E1453" i="1"/>
  <c r="E1451" i="1"/>
  <c r="E1449" i="1"/>
  <c r="E1447" i="1"/>
  <c r="E1445" i="1"/>
  <c r="E1443" i="1"/>
  <c r="E1441" i="1"/>
  <c r="E1439" i="1"/>
  <c r="E1437" i="1"/>
  <c r="E1435" i="1"/>
  <c r="E1433" i="1"/>
  <c r="E1431" i="1"/>
  <c r="E1429" i="1"/>
  <c r="E1428" i="1"/>
  <c r="E1425" i="1"/>
  <c r="E1422" i="1"/>
  <c r="E1419" i="1"/>
  <c r="E1416" i="1"/>
  <c r="E1413" i="1"/>
  <c r="E1410" i="1"/>
  <c r="E1407" i="1"/>
  <c r="E1404" i="1"/>
  <c r="E1401" i="1"/>
  <c r="E1398" i="1"/>
  <c r="E1395" i="1"/>
  <c r="E1392" i="1"/>
  <c r="E1367" i="1"/>
  <c r="E1366" i="1"/>
  <c r="C1366" i="1"/>
  <c r="C1367" i="1" s="1"/>
  <c r="C1368" i="1" s="1"/>
  <c r="C1369" i="1" s="1"/>
  <c r="C1370" i="1" s="1"/>
  <c r="C1371" i="1" s="1"/>
  <c r="C1372" i="1" s="1"/>
  <c r="C1373" i="1" s="1"/>
  <c r="C1374" i="1" s="1"/>
  <c r="C1375" i="1" s="1"/>
  <c r="C1376" i="1" s="1"/>
  <c r="C1377" i="1" s="1"/>
  <c r="C1378" i="1" s="1"/>
  <c r="C1379" i="1" s="1"/>
  <c r="C1380" i="1" s="1"/>
  <c r="C1381" i="1" s="1"/>
  <c r="C1382" i="1" s="1"/>
  <c r="C1383" i="1" s="1"/>
  <c r="C1384" i="1" s="1"/>
  <c r="C1385" i="1" s="1"/>
  <c r="C1386" i="1" s="1"/>
  <c r="C1387" i="1" s="1"/>
  <c r="C1388" i="1" s="1"/>
  <c r="C1389" i="1" s="1"/>
  <c r="C1390" i="1" s="1"/>
  <c r="C1391" i="1" s="1"/>
  <c r="C1392" i="1" s="1"/>
  <c r="C1393" i="1" s="1"/>
  <c r="C1394" i="1" s="1"/>
  <c r="C1395" i="1" s="1"/>
  <c r="C1396" i="1" s="1"/>
  <c r="C1397" i="1" s="1"/>
  <c r="C1398" i="1" s="1"/>
  <c r="C1399" i="1" s="1"/>
  <c r="C1400" i="1" s="1"/>
  <c r="C1401" i="1" s="1"/>
  <c r="C1402" i="1" s="1"/>
  <c r="C1403" i="1" s="1"/>
  <c r="C1404" i="1" s="1"/>
  <c r="C1405" i="1" s="1"/>
  <c r="C1406" i="1" s="1"/>
  <c r="C1407" i="1" s="1"/>
  <c r="C1408" i="1" s="1"/>
  <c r="C1409" i="1" s="1"/>
  <c r="C1410" i="1" s="1"/>
  <c r="C1411" i="1" s="1"/>
  <c r="C1412" i="1" s="1"/>
  <c r="C1413" i="1" s="1"/>
  <c r="C1414" i="1" s="1"/>
  <c r="C1415" i="1" s="1"/>
  <c r="C1416" i="1" s="1"/>
  <c r="C1417" i="1" s="1"/>
  <c r="C1418" i="1" s="1"/>
  <c r="C1419" i="1" s="1"/>
  <c r="C1420" i="1" s="1"/>
  <c r="C1421" i="1" s="1"/>
  <c r="C1422" i="1" s="1"/>
  <c r="C1423" i="1" s="1"/>
  <c r="C1424" i="1" s="1"/>
  <c r="C1425" i="1" s="1"/>
  <c r="C1426" i="1" s="1"/>
  <c r="C1427" i="1" s="1"/>
  <c r="C1428" i="1" s="1"/>
  <c r="C1429" i="1" s="1"/>
  <c r="C1430" i="1" s="1"/>
  <c r="C1431" i="1" s="1"/>
  <c r="C1432" i="1" s="1"/>
  <c r="C1433" i="1" s="1"/>
  <c r="C1434" i="1" s="1"/>
  <c r="C1435" i="1" s="1"/>
  <c r="C1436" i="1" s="1"/>
  <c r="C1437" i="1" s="1"/>
  <c r="C1438" i="1" s="1"/>
  <c r="C1439" i="1" s="1"/>
  <c r="C1440" i="1" s="1"/>
  <c r="C1441" i="1" s="1"/>
  <c r="C1442" i="1" s="1"/>
  <c r="C1443" i="1" s="1"/>
  <c r="C1444" i="1" s="1"/>
  <c r="C1445" i="1" s="1"/>
  <c r="C1446" i="1" s="1"/>
  <c r="C1447" i="1" s="1"/>
  <c r="C1448" i="1" s="1"/>
  <c r="C1449" i="1" s="1"/>
  <c r="C1450" i="1" s="1"/>
  <c r="C1451" i="1" s="1"/>
  <c r="C1452" i="1" s="1"/>
  <c r="C1453" i="1" s="1"/>
  <c r="C1454" i="1" s="1"/>
  <c r="E1365" i="1"/>
  <c r="E1364" i="1"/>
  <c r="E1363" i="1"/>
  <c r="E1361" i="1"/>
  <c r="E1359" i="1"/>
  <c r="E1357" i="1"/>
  <c r="E1355" i="1"/>
  <c r="E1353" i="1"/>
  <c r="E1351" i="1"/>
  <c r="E1349" i="1"/>
  <c r="E1347" i="1"/>
  <c r="E1345" i="1"/>
  <c r="E1343" i="1"/>
  <c r="E1341" i="1"/>
  <c r="E1339" i="1"/>
  <c r="E1337" i="1"/>
  <c r="E1335" i="1"/>
  <c r="E1333" i="1"/>
  <c r="E1332" i="1"/>
  <c r="E1329" i="1"/>
  <c r="E1326" i="1"/>
  <c r="E1323" i="1"/>
  <c r="E1320" i="1"/>
  <c r="E1317" i="1"/>
  <c r="E1314" i="1"/>
  <c r="E1311" i="1"/>
  <c r="E1308" i="1"/>
  <c r="E1305" i="1"/>
  <c r="E1302" i="1"/>
  <c r="E1299" i="1"/>
  <c r="E1296" i="1"/>
  <c r="E1293" i="1"/>
  <c r="E1290" i="1"/>
  <c r="E1287" i="1"/>
  <c r="E1256" i="1"/>
  <c r="E1255" i="1"/>
  <c r="C1255" i="1"/>
  <c r="C1256" i="1" s="1"/>
  <c r="C1257" i="1" s="1"/>
  <c r="C1258" i="1" s="1"/>
  <c r="C1259" i="1" s="1"/>
  <c r="C1260" i="1" s="1"/>
  <c r="C1261" i="1" s="1"/>
  <c r="C1262" i="1" s="1"/>
  <c r="C1263" i="1" s="1"/>
  <c r="C1264" i="1" s="1"/>
  <c r="C1265" i="1" s="1"/>
  <c r="C1266" i="1" s="1"/>
  <c r="C1267" i="1" s="1"/>
  <c r="C1268" i="1" s="1"/>
  <c r="C1269" i="1" s="1"/>
  <c r="C1270" i="1" s="1"/>
  <c r="C1271" i="1" s="1"/>
  <c r="C1272" i="1" s="1"/>
  <c r="C1273" i="1" s="1"/>
  <c r="C1274" i="1" s="1"/>
  <c r="C1275" i="1" s="1"/>
  <c r="C1276" i="1" s="1"/>
  <c r="C1277" i="1" s="1"/>
  <c r="C1278" i="1" s="1"/>
  <c r="C1279" i="1" s="1"/>
  <c r="C1280" i="1" s="1"/>
  <c r="C1281" i="1" s="1"/>
  <c r="C1282" i="1" s="1"/>
  <c r="C1283" i="1" s="1"/>
  <c r="C1284" i="1" s="1"/>
  <c r="C1285" i="1" s="1"/>
  <c r="C1286" i="1" s="1"/>
  <c r="C1287" i="1" s="1"/>
  <c r="C1288" i="1" s="1"/>
  <c r="C1289" i="1" s="1"/>
  <c r="C1290" i="1" s="1"/>
  <c r="C1291" i="1" s="1"/>
  <c r="C1292" i="1" s="1"/>
  <c r="C1293" i="1" s="1"/>
  <c r="C1294" i="1" s="1"/>
  <c r="C1295" i="1" s="1"/>
  <c r="C1296" i="1" s="1"/>
  <c r="C1297" i="1" s="1"/>
  <c r="C1298" i="1" s="1"/>
  <c r="C1299" i="1" s="1"/>
  <c r="C1300" i="1" s="1"/>
  <c r="C1301" i="1" s="1"/>
  <c r="C1302" i="1" s="1"/>
  <c r="C1303" i="1" s="1"/>
  <c r="C1304" i="1" s="1"/>
  <c r="C1305" i="1" s="1"/>
  <c r="C1306" i="1" s="1"/>
  <c r="C1307" i="1" s="1"/>
  <c r="C1308" i="1" s="1"/>
  <c r="C1309" i="1" s="1"/>
  <c r="C1310" i="1" s="1"/>
  <c r="C1311" i="1" s="1"/>
  <c r="C1312" i="1" s="1"/>
  <c r="C1313" i="1" s="1"/>
  <c r="C1314" i="1" s="1"/>
  <c r="C1315" i="1" s="1"/>
  <c r="C1316" i="1" s="1"/>
  <c r="C1317" i="1" s="1"/>
  <c r="C1318" i="1" s="1"/>
  <c r="C1319" i="1" s="1"/>
  <c r="C1320" i="1" s="1"/>
  <c r="C1321" i="1" s="1"/>
  <c r="C1322" i="1" s="1"/>
  <c r="C1323" i="1" s="1"/>
  <c r="C1324" i="1" s="1"/>
  <c r="C1325" i="1" s="1"/>
  <c r="C1326" i="1" s="1"/>
  <c r="C1327" i="1" s="1"/>
  <c r="C1328" i="1" s="1"/>
  <c r="C1329" i="1" s="1"/>
  <c r="C1330" i="1" s="1"/>
  <c r="C1331" i="1" s="1"/>
  <c r="C1332" i="1" s="1"/>
  <c r="C1333" i="1" s="1"/>
  <c r="C1334" i="1" s="1"/>
  <c r="C1335" i="1" s="1"/>
  <c r="C1336" i="1" s="1"/>
  <c r="C1337" i="1" s="1"/>
  <c r="C1338" i="1" s="1"/>
  <c r="C1339" i="1" s="1"/>
  <c r="C1340" i="1" s="1"/>
  <c r="C1341" i="1" s="1"/>
  <c r="C1342" i="1" s="1"/>
  <c r="C1343" i="1" s="1"/>
  <c r="C1344" i="1" s="1"/>
  <c r="C1345" i="1" s="1"/>
  <c r="C1346" i="1" s="1"/>
  <c r="C1347" i="1" s="1"/>
  <c r="C1348" i="1" s="1"/>
  <c r="C1349" i="1" s="1"/>
  <c r="C1350" i="1" s="1"/>
  <c r="C1351" i="1" s="1"/>
  <c r="C1352" i="1" s="1"/>
  <c r="C1353" i="1" s="1"/>
  <c r="C1354" i="1" s="1"/>
  <c r="C1355" i="1" s="1"/>
  <c r="C1356" i="1" s="1"/>
  <c r="C1357" i="1" s="1"/>
  <c r="C1358" i="1" s="1"/>
  <c r="C1359" i="1" s="1"/>
  <c r="C1360" i="1" s="1"/>
  <c r="C1361" i="1" s="1"/>
  <c r="C1362" i="1" s="1"/>
  <c r="C1363" i="1" s="1"/>
  <c r="C1364" i="1" s="1"/>
  <c r="E1254" i="1"/>
  <c r="H1150" i="1"/>
  <c r="H1151" i="1"/>
  <c r="H1152" i="1"/>
  <c r="H1154" i="1"/>
  <c r="H1158" i="1"/>
  <c r="H1160" i="1"/>
  <c r="H1162" i="1"/>
  <c r="E1253" i="1"/>
  <c r="E1252" i="1"/>
  <c r="E1250" i="1"/>
  <c r="E1248" i="1"/>
  <c r="E1246" i="1"/>
  <c r="E1244" i="1"/>
  <c r="E1242" i="1"/>
  <c r="E1240" i="1"/>
  <c r="E1238" i="1"/>
  <c r="E1236" i="1"/>
  <c r="E1234" i="1"/>
  <c r="E1232" i="1"/>
  <c r="E1230" i="1"/>
  <c r="E1228" i="1"/>
  <c r="E1226" i="1"/>
  <c r="E1224" i="1"/>
  <c r="E1223" i="1"/>
  <c r="E1220" i="1"/>
  <c r="E1217" i="1"/>
  <c r="E1214" i="1"/>
  <c r="E1211" i="1"/>
  <c r="E1208" i="1"/>
  <c r="E1205" i="1"/>
  <c r="E1202" i="1"/>
  <c r="E1199" i="1"/>
  <c r="E1196" i="1"/>
  <c r="E1193" i="1"/>
  <c r="E1190" i="1"/>
  <c r="E1187" i="1"/>
  <c r="E1184" i="1"/>
  <c r="E1181" i="1"/>
  <c r="E1152" i="1"/>
  <c r="E1151" i="1"/>
  <c r="C1151" i="1"/>
  <c r="C1152" i="1" s="1"/>
  <c r="C1153" i="1" s="1"/>
  <c r="C1154" i="1" s="1"/>
  <c r="C1155" i="1" s="1"/>
  <c r="C1156" i="1" s="1"/>
  <c r="C1157" i="1" s="1"/>
  <c r="C1158" i="1" s="1"/>
  <c r="C1159" i="1" s="1"/>
  <c r="C1160" i="1" s="1"/>
  <c r="C1161" i="1" s="1"/>
  <c r="C1162" i="1" s="1"/>
  <c r="C1163" i="1" s="1"/>
  <c r="C1164" i="1" s="1"/>
  <c r="C1165" i="1" s="1"/>
  <c r="C1166" i="1" s="1"/>
  <c r="C1167" i="1" s="1"/>
  <c r="C1168" i="1" s="1"/>
  <c r="C1169" i="1" s="1"/>
  <c r="C1170" i="1" s="1"/>
  <c r="C1171" i="1" s="1"/>
  <c r="C1172" i="1" s="1"/>
  <c r="C1173" i="1" s="1"/>
  <c r="C1174" i="1" s="1"/>
  <c r="C1175" i="1" s="1"/>
  <c r="C1176" i="1" s="1"/>
  <c r="C1177" i="1" s="1"/>
  <c r="C1178" i="1" s="1"/>
  <c r="C1179" i="1" s="1"/>
  <c r="C1180" i="1" s="1"/>
  <c r="C1181" i="1" s="1"/>
  <c r="C1182" i="1" s="1"/>
  <c r="C1183" i="1" s="1"/>
  <c r="C1184" i="1" s="1"/>
  <c r="C1185" i="1" s="1"/>
  <c r="C1186" i="1" s="1"/>
  <c r="C1187" i="1" s="1"/>
  <c r="C1188" i="1" s="1"/>
  <c r="C1189" i="1" s="1"/>
  <c r="C1190" i="1" s="1"/>
  <c r="C1191" i="1" s="1"/>
  <c r="C1192" i="1" s="1"/>
  <c r="C1193" i="1" s="1"/>
  <c r="C1194" i="1" s="1"/>
  <c r="C1195" i="1" s="1"/>
  <c r="C1196" i="1" s="1"/>
  <c r="C1197" i="1" s="1"/>
  <c r="C1198" i="1" s="1"/>
  <c r="C1199" i="1" s="1"/>
  <c r="C1200" i="1" s="1"/>
  <c r="C1201" i="1" s="1"/>
  <c r="C1202" i="1" s="1"/>
  <c r="C1203" i="1" s="1"/>
  <c r="C1204" i="1" s="1"/>
  <c r="C1205" i="1" s="1"/>
  <c r="C1206" i="1" s="1"/>
  <c r="C1207" i="1" s="1"/>
  <c r="C1208" i="1" s="1"/>
  <c r="C1209" i="1" s="1"/>
  <c r="C1210" i="1" s="1"/>
  <c r="C1211" i="1" s="1"/>
  <c r="C1212" i="1" s="1"/>
  <c r="C1213" i="1" s="1"/>
  <c r="C1214" i="1" s="1"/>
  <c r="C1215" i="1" s="1"/>
  <c r="C1216" i="1" s="1"/>
  <c r="C1217" i="1" s="1"/>
  <c r="C1218" i="1" s="1"/>
  <c r="C1219" i="1" s="1"/>
  <c r="C1220" i="1" s="1"/>
  <c r="C1221" i="1" s="1"/>
  <c r="C1222" i="1" s="1"/>
  <c r="C1223" i="1" s="1"/>
  <c r="C1224" i="1" s="1"/>
  <c r="C1225" i="1" s="1"/>
  <c r="C1226" i="1" s="1"/>
  <c r="C1227" i="1" s="1"/>
  <c r="C1228" i="1" s="1"/>
  <c r="C1229" i="1" s="1"/>
  <c r="C1230" i="1" s="1"/>
  <c r="C1231" i="1" s="1"/>
  <c r="C1232" i="1" s="1"/>
  <c r="C1233" i="1" s="1"/>
  <c r="C1234" i="1" s="1"/>
  <c r="C1235" i="1" s="1"/>
  <c r="C1236" i="1" s="1"/>
  <c r="C1237" i="1" s="1"/>
  <c r="C1238" i="1" s="1"/>
  <c r="C1239" i="1" s="1"/>
  <c r="C1240" i="1" s="1"/>
  <c r="C1241" i="1" s="1"/>
  <c r="C1242" i="1" s="1"/>
  <c r="C1243" i="1" s="1"/>
  <c r="C1244" i="1" s="1"/>
  <c r="C1245" i="1" s="1"/>
  <c r="C1246" i="1" s="1"/>
  <c r="C1247" i="1" s="1"/>
  <c r="C1248" i="1" s="1"/>
  <c r="C1249" i="1" s="1"/>
  <c r="C1250" i="1" s="1"/>
  <c r="C1251" i="1" s="1"/>
  <c r="C1252" i="1" s="1"/>
  <c r="C1253" i="1" s="1"/>
  <c r="E1150" i="1"/>
  <c r="H1056" i="1"/>
  <c r="H1058" i="1"/>
  <c r="H1059" i="1"/>
  <c r="H1060" i="1"/>
  <c r="H1061" i="1"/>
  <c r="H1062" i="1"/>
  <c r="H1064" i="1"/>
  <c r="H1066" i="1"/>
  <c r="H1068" i="1"/>
  <c r="H1070" i="1"/>
  <c r="H1072" i="1"/>
  <c r="H1074" i="1"/>
  <c r="H1076" i="1"/>
  <c r="H1078" i="1"/>
  <c r="H1080" i="1"/>
  <c r="H1084" i="1"/>
  <c r="H1086" i="1"/>
  <c r="H1087" i="1"/>
  <c r="H1090" i="1"/>
  <c r="H1093" i="1"/>
  <c r="H1096" i="1"/>
  <c r="H1099" i="1"/>
  <c r="H1102" i="1"/>
  <c r="H1105" i="1"/>
  <c r="H1108" i="1"/>
  <c r="H1111" i="1"/>
  <c r="H1114" i="1"/>
  <c r="H1117" i="1"/>
  <c r="H1120" i="1"/>
  <c r="H1123" i="1"/>
  <c r="H1124" i="1"/>
  <c r="H1126" i="1"/>
  <c r="H1128" i="1"/>
  <c r="H1130" i="1"/>
  <c r="H1132" i="1"/>
  <c r="H1134" i="1"/>
  <c r="H1136" i="1"/>
  <c r="H1138" i="1"/>
  <c r="H1140" i="1"/>
  <c r="H1142" i="1"/>
  <c r="H1144" i="1"/>
  <c r="H1146" i="1"/>
  <c r="H1148" i="1"/>
  <c r="H1149" i="1"/>
  <c r="E1149" i="1"/>
  <c r="E1148" i="1"/>
  <c r="E1146" i="1"/>
  <c r="E1144" i="1"/>
  <c r="E1142" i="1"/>
  <c r="E1140" i="1"/>
  <c r="E1138" i="1"/>
  <c r="E1136" i="1"/>
  <c r="E1134" i="1"/>
  <c r="E1132" i="1"/>
  <c r="E1130" i="1"/>
  <c r="E1128" i="1"/>
  <c r="E1126" i="1"/>
  <c r="E1124" i="1"/>
  <c r="E1123" i="1"/>
  <c r="E1120" i="1"/>
  <c r="E1117" i="1"/>
  <c r="E1114" i="1"/>
  <c r="E1111" i="1"/>
  <c r="E1108" i="1"/>
  <c r="E1105" i="1"/>
  <c r="E1102" i="1"/>
  <c r="E1099" i="1"/>
  <c r="E1096" i="1"/>
  <c r="E1093" i="1"/>
  <c r="E1090" i="1"/>
  <c r="E1087" i="1"/>
  <c r="E1062" i="1"/>
  <c r="E1061" i="1"/>
  <c r="C1061" i="1"/>
  <c r="C1062" i="1" s="1"/>
  <c r="C1063" i="1" s="1"/>
  <c r="C1064" i="1" s="1"/>
  <c r="C1065" i="1" s="1"/>
  <c r="C1066" i="1" s="1"/>
  <c r="C1067" i="1" s="1"/>
  <c r="C1068" i="1" s="1"/>
  <c r="C1069" i="1" s="1"/>
  <c r="C1070" i="1" s="1"/>
  <c r="C1071" i="1" s="1"/>
  <c r="C1072" i="1" s="1"/>
  <c r="C1073" i="1" s="1"/>
  <c r="C1074" i="1" s="1"/>
  <c r="C1075" i="1" s="1"/>
  <c r="C1076" i="1" s="1"/>
  <c r="C1077" i="1" s="1"/>
  <c r="C1078" i="1" s="1"/>
  <c r="C1079" i="1" s="1"/>
  <c r="C1080" i="1" s="1"/>
  <c r="C1081" i="1" s="1"/>
  <c r="C1082" i="1" s="1"/>
  <c r="C1083" i="1" s="1"/>
  <c r="C1084" i="1" s="1"/>
  <c r="C1085" i="1" s="1"/>
  <c r="C1086" i="1" s="1"/>
  <c r="C1087" i="1" s="1"/>
  <c r="C1088" i="1" s="1"/>
  <c r="C1089" i="1" s="1"/>
  <c r="C1090" i="1" s="1"/>
  <c r="C1091" i="1" s="1"/>
  <c r="C1092" i="1" s="1"/>
  <c r="C1093" i="1" s="1"/>
  <c r="C1094" i="1" s="1"/>
  <c r="C1095" i="1" s="1"/>
  <c r="C1096" i="1" s="1"/>
  <c r="C1097" i="1" s="1"/>
  <c r="C1098" i="1" s="1"/>
  <c r="C1099" i="1" s="1"/>
  <c r="C1100" i="1" s="1"/>
  <c r="C1101" i="1" s="1"/>
  <c r="C1102" i="1" s="1"/>
  <c r="C1103" i="1" s="1"/>
  <c r="C1104" i="1" s="1"/>
  <c r="C1105" i="1" s="1"/>
  <c r="C1106" i="1" s="1"/>
  <c r="C1107" i="1" s="1"/>
  <c r="C1108" i="1" s="1"/>
  <c r="C1109" i="1" s="1"/>
  <c r="C1110" i="1" s="1"/>
  <c r="C1111" i="1" s="1"/>
  <c r="C1112" i="1" s="1"/>
  <c r="C1113" i="1" s="1"/>
  <c r="C1114" i="1" s="1"/>
  <c r="C1115" i="1" s="1"/>
  <c r="C1116" i="1" s="1"/>
  <c r="C1117" i="1" s="1"/>
  <c r="C1118" i="1" s="1"/>
  <c r="C1119" i="1" s="1"/>
  <c r="C1120" i="1" s="1"/>
  <c r="C1121" i="1" s="1"/>
  <c r="C1122" i="1" s="1"/>
  <c r="C1123" i="1" s="1"/>
  <c r="C1124" i="1" s="1"/>
  <c r="C1125" i="1" s="1"/>
  <c r="C1126" i="1" s="1"/>
  <c r="C1127" i="1" s="1"/>
  <c r="C1128" i="1" s="1"/>
  <c r="C1129" i="1" s="1"/>
  <c r="C1130" i="1" s="1"/>
  <c r="C1131" i="1" s="1"/>
  <c r="C1132" i="1" s="1"/>
  <c r="C1133" i="1" s="1"/>
  <c r="C1134" i="1" s="1"/>
  <c r="C1135" i="1" s="1"/>
  <c r="C1136" i="1" s="1"/>
  <c r="C1137" i="1" s="1"/>
  <c r="C1138" i="1" s="1"/>
  <c r="C1139" i="1" s="1"/>
  <c r="C1140" i="1" s="1"/>
  <c r="C1141" i="1" s="1"/>
  <c r="C1142" i="1" s="1"/>
  <c r="C1143" i="1" s="1"/>
  <c r="C1144" i="1" s="1"/>
  <c r="C1145" i="1" s="1"/>
  <c r="C1146" i="1" s="1"/>
  <c r="C1147" i="1" s="1"/>
  <c r="C1148" i="1" s="1"/>
  <c r="C1149" i="1" s="1"/>
  <c r="E1060" i="1"/>
  <c r="H948" i="1"/>
  <c r="H949" i="1"/>
  <c r="H950" i="1"/>
  <c r="H951" i="1"/>
  <c r="H953" i="1"/>
  <c r="H955" i="1"/>
  <c r="H957" i="1"/>
  <c r="H963" i="1"/>
  <c r="H965" i="1"/>
  <c r="H969" i="1"/>
  <c r="H971" i="1"/>
  <c r="H973" i="1"/>
  <c r="H979" i="1"/>
  <c r="H981" i="1"/>
  <c r="H982" i="1"/>
  <c r="H985" i="1"/>
  <c r="H988" i="1"/>
  <c r="H991" i="1"/>
  <c r="H994" i="1"/>
  <c r="H997" i="1"/>
  <c r="H1000" i="1"/>
  <c r="H1003" i="1"/>
  <c r="H1006" i="1"/>
  <c r="H1009" i="1"/>
  <c r="H1012" i="1"/>
  <c r="H1015" i="1"/>
  <c r="H1018" i="1"/>
  <c r="H1021" i="1"/>
  <c r="H1024" i="1"/>
  <c r="H1027" i="1"/>
  <c r="H1028" i="1"/>
  <c r="H1030" i="1"/>
  <c r="H1032" i="1"/>
  <c r="H1034" i="1"/>
  <c r="H1036" i="1"/>
  <c r="H1038" i="1"/>
  <c r="H1040" i="1"/>
  <c r="H1042" i="1"/>
  <c r="H1044" i="1"/>
  <c r="H1046" i="1"/>
  <c r="H1048" i="1"/>
  <c r="H1050" i="1"/>
  <c r="H1052" i="1"/>
  <c r="H1054" i="1"/>
  <c r="E1059" i="1"/>
  <c r="E1058" i="1"/>
  <c r="E1056" i="1"/>
  <c r="E1054" i="1"/>
  <c r="E1052" i="1"/>
  <c r="E1050" i="1"/>
  <c r="E1048" i="1"/>
  <c r="E1046" i="1"/>
  <c r="E1044" i="1"/>
  <c r="E1042" i="1"/>
  <c r="E1040" i="1"/>
  <c r="E1038" i="1"/>
  <c r="E1036" i="1"/>
  <c r="E1034" i="1"/>
  <c r="E1032" i="1"/>
  <c r="E1030" i="1"/>
  <c r="E1028" i="1"/>
  <c r="E1027" i="1"/>
  <c r="E1024" i="1"/>
  <c r="E1021" i="1"/>
  <c r="E1018" i="1"/>
  <c r="E1015" i="1"/>
  <c r="E1012" i="1"/>
  <c r="E1009" i="1"/>
  <c r="E1006" i="1"/>
  <c r="E1003" i="1"/>
  <c r="E1000" i="1"/>
  <c r="E997" i="1"/>
  <c r="E994" i="1"/>
  <c r="E991" i="1"/>
  <c r="E988" i="1"/>
  <c r="E985" i="1"/>
  <c r="E982" i="1"/>
  <c r="E951" i="1"/>
  <c r="E950" i="1"/>
  <c r="C950" i="1"/>
  <c r="C951" i="1" s="1"/>
  <c r="C952" i="1" s="1"/>
  <c r="C953" i="1" s="1"/>
  <c r="C954" i="1" s="1"/>
  <c r="C955" i="1" s="1"/>
  <c r="C956" i="1" s="1"/>
  <c r="C957" i="1" s="1"/>
  <c r="C958" i="1" s="1"/>
  <c r="C959" i="1" s="1"/>
  <c r="C960" i="1" s="1"/>
  <c r="C961" i="1" s="1"/>
  <c r="C962" i="1" s="1"/>
  <c r="C963" i="1" s="1"/>
  <c r="C964" i="1" s="1"/>
  <c r="C965" i="1" s="1"/>
  <c r="C966" i="1" s="1"/>
  <c r="C967" i="1" s="1"/>
  <c r="C968" i="1" s="1"/>
  <c r="C969" i="1" s="1"/>
  <c r="C970" i="1" s="1"/>
  <c r="C971" i="1" s="1"/>
  <c r="C972" i="1" s="1"/>
  <c r="C973" i="1" s="1"/>
  <c r="C974" i="1" s="1"/>
  <c r="C975" i="1" s="1"/>
  <c r="C976" i="1" s="1"/>
  <c r="C977" i="1" s="1"/>
  <c r="C978" i="1" s="1"/>
  <c r="C979" i="1" s="1"/>
  <c r="C980" i="1" s="1"/>
  <c r="C981" i="1" s="1"/>
  <c r="C982" i="1" s="1"/>
  <c r="C983" i="1" s="1"/>
  <c r="C984" i="1" s="1"/>
  <c r="C985" i="1" s="1"/>
  <c r="C986" i="1" s="1"/>
  <c r="C987" i="1" s="1"/>
  <c r="C988" i="1" s="1"/>
  <c r="C989" i="1" s="1"/>
  <c r="C990" i="1" s="1"/>
  <c r="C991" i="1" s="1"/>
  <c r="C992" i="1" s="1"/>
  <c r="C993" i="1" s="1"/>
  <c r="C994" i="1" s="1"/>
  <c r="C995" i="1" s="1"/>
  <c r="C996" i="1" s="1"/>
  <c r="C997" i="1" s="1"/>
  <c r="C998" i="1" s="1"/>
  <c r="C999" i="1" s="1"/>
  <c r="C1000" i="1" s="1"/>
  <c r="C1001" i="1" s="1"/>
  <c r="C1002" i="1" s="1"/>
  <c r="C1003" i="1" s="1"/>
  <c r="C1004" i="1" s="1"/>
  <c r="C1005" i="1" s="1"/>
  <c r="C1006" i="1" s="1"/>
  <c r="C1007" i="1" s="1"/>
  <c r="C1008" i="1" s="1"/>
  <c r="C1009" i="1" s="1"/>
  <c r="C1010" i="1" s="1"/>
  <c r="C1011" i="1" s="1"/>
  <c r="C1012" i="1" s="1"/>
  <c r="C1013" i="1" s="1"/>
  <c r="C1014" i="1" s="1"/>
  <c r="C1015" i="1" s="1"/>
  <c r="C1016" i="1" s="1"/>
  <c r="C1017" i="1" s="1"/>
  <c r="C1018" i="1" s="1"/>
  <c r="C1019" i="1" s="1"/>
  <c r="C1020" i="1" s="1"/>
  <c r="C1021" i="1" s="1"/>
  <c r="C1022" i="1" s="1"/>
  <c r="C1023" i="1" s="1"/>
  <c r="C1024" i="1" s="1"/>
  <c r="C1025" i="1" s="1"/>
  <c r="C1026" i="1" s="1"/>
  <c r="C1027" i="1" s="1"/>
  <c r="C1028" i="1" s="1"/>
  <c r="C1029" i="1" s="1"/>
  <c r="C1030" i="1" s="1"/>
  <c r="C1031" i="1" s="1"/>
  <c r="C1032" i="1" s="1"/>
  <c r="C1033" i="1" s="1"/>
  <c r="C1034" i="1" s="1"/>
  <c r="C1035" i="1" s="1"/>
  <c r="C1036" i="1" s="1"/>
  <c r="C1037" i="1" s="1"/>
  <c r="C1038" i="1" s="1"/>
  <c r="C1039" i="1" s="1"/>
  <c r="C1040" i="1" s="1"/>
  <c r="C1041" i="1" s="1"/>
  <c r="C1042" i="1" s="1"/>
  <c r="C1043" i="1" s="1"/>
  <c r="C1044" i="1" s="1"/>
  <c r="C1045" i="1" s="1"/>
  <c r="C1046" i="1" s="1"/>
  <c r="C1047" i="1" s="1"/>
  <c r="C1048" i="1" s="1"/>
  <c r="C1049" i="1" s="1"/>
  <c r="C1050" i="1" s="1"/>
  <c r="C1051" i="1" s="1"/>
  <c r="C1052" i="1" s="1"/>
  <c r="C1053" i="1" s="1"/>
  <c r="C1054" i="1" s="1"/>
  <c r="C1055" i="1" s="1"/>
  <c r="C1056" i="1" s="1"/>
  <c r="C1057" i="1" s="1"/>
  <c r="C1058" i="1" s="1"/>
  <c r="C1059" i="1" s="1"/>
  <c r="E949" i="1"/>
  <c r="H898" i="1"/>
  <c r="H901" i="1"/>
  <c r="H904" i="1"/>
  <c r="H907" i="1"/>
  <c r="H910" i="1"/>
  <c r="H913" i="1"/>
  <c r="H916" i="1"/>
  <c r="H919" i="1"/>
  <c r="H922" i="1"/>
  <c r="H923" i="1"/>
  <c r="H925" i="1"/>
  <c r="H927" i="1"/>
  <c r="H929" i="1"/>
  <c r="H931" i="1"/>
  <c r="H933" i="1"/>
  <c r="H935" i="1"/>
  <c r="H937" i="1"/>
  <c r="H939" i="1"/>
  <c r="H941" i="1"/>
  <c r="H943" i="1"/>
  <c r="H945" i="1"/>
  <c r="H947" i="1"/>
  <c r="E948" i="1"/>
  <c r="E947" i="1"/>
  <c r="E945" i="1"/>
  <c r="E943" i="1"/>
  <c r="E941" i="1"/>
  <c r="E939" i="1"/>
  <c r="E937" i="1"/>
  <c r="E935" i="1"/>
  <c r="E933" i="1"/>
  <c r="E931" i="1"/>
  <c r="E929" i="1"/>
  <c r="E927" i="1"/>
  <c r="E925" i="1"/>
  <c r="E923" i="1"/>
  <c r="E922" i="1"/>
  <c r="E919" i="1"/>
  <c r="E916" i="1"/>
  <c r="E913" i="1"/>
  <c r="E910" i="1"/>
  <c r="E907" i="1"/>
  <c r="E904" i="1"/>
  <c r="E901" i="1"/>
  <c r="E898" i="1"/>
  <c r="E895" i="1"/>
  <c r="E892" i="1"/>
  <c r="E889" i="1"/>
  <c r="E886" i="1"/>
  <c r="E861" i="1"/>
  <c r="E860" i="1"/>
  <c r="C860" i="1"/>
  <c r="C861" i="1" s="1"/>
  <c r="C862" i="1" s="1"/>
  <c r="C863" i="1" s="1"/>
  <c r="C864" i="1" s="1"/>
  <c r="C865" i="1" s="1"/>
  <c r="C866" i="1" s="1"/>
  <c r="C867" i="1" s="1"/>
  <c r="C868" i="1" s="1"/>
  <c r="C869" i="1" s="1"/>
  <c r="C870" i="1" s="1"/>
  <c r="C871" i="1" s="1"/>
  <c r="C872" i="1" s="1"/>
  <c r="C873" i="1" s="1"/>
  <c r="C874" i="1" s="1"/>
  <c r="C875" i="1" s="1"/>
  <c r="C876" i="1" s="1"/>
  <c r="C877" i="1" s="1"/>
  <c r="C878" i="1" s="1"/>
  <c r="C879" i="1" s="1"/>
  <c r="C880" i="1" s="1"/>
  <c r="C881" i="1" s="1"/>
  <c r="C882" i="1" s="1"/>
  <c r="C883" i="1" s="1"/>
  <c r="C884" i="1" s="1"/>
  <c r="C885" i="1" s="1"/>
  <c r="C886" i="1" s="1"/>
  <c r="C887" i="1" s="1"/>
  <c r="C888" i="1" s="1"/>
  <c r="C889" i="1" s="1"/>
  <c r="C890" i="1" s="1"/>
  <c r="C891" i="1" s="1"/>
  <c r="C892" i="1" s="1"/>
  <c r="C893" i="1" s="1"/>
  <c r="C894" i="1" s="1"/>
  <c r="C895" i="1" s="1"/>
  <c r="C896" i="1" s="1"/>
  <c r="C897" i="1" s="1"/>
  <c r="C898" i="1" s="1"/>
  <c r="C899" i="1" s="1"/>
  <c r="C900" i="1" s="1"/>
  <c r="C901" i="1" s="1"/>
  <c r="C902" i="1" s="1"/>
  <c r="C903" i="1" s="1"/>
  <c r="C904" i="1" s="1"/>
  <c r="C905" i="1" s="1"/>
  <c r="C906" i="1" s="1"/>
  <c r="C907" i="1" s="1"/>
  <c r="C908" i="1" s="1"/>
  <c r="C909" i="1" s="1"/>
  <c r="C910" i="1" s="1"/>
  <c r="C911" i="1" s="1"/>
  <c r="C912" i="1" s="1"/>
  <c r="C913" i="1" s="1"/>
  <c r="C914" i="1" s="1"/>
  <c r="C915" i="1" s="1"/>
  <c r="C916" i="1" s="1"/>
  <c r="C917" i="1" s="1"/>
  <c r="C918" i="1" s="1"/>
  <c r="C919" i="1" s="1"/>
  <c r="C920" i="1" s="1"/>
  <c r="C921" i="1" s="1"/>
  <c r="C922" i="1" s="1"/>
  <c r="C923" i="1" s="1"/>
  <c r="C924" i="1" s="1"/>
  <c r="C925" i="1" s="1"/>
  <c r="C926" i="1" s="1"/>
  <c r="C927" i="1" s="1"/>
  <c r="C928" i="1" s="1"/>
  <c r="C929" i="1" s="1"/>
  <c r="C930" i="1" s="1"/>
  <c r="C931" i="1" s="1"/>
  <c r="C932" i="1" s="1"/>
  <c r="C933" i="1" s="1"/>
  <c r="C934" i="1" s="1"/>
  <c r="C935" i="1" s="1"/>
  <c r="C936" i="1" s="1"/>
  <c r="C937" i="1" s="1"/>
  <c r="C938" i="1" s="1"/>
  <c r="C939" i="1" s="1"/>
  <c r="C940" i="1" s="1"/>
  <c r="C941" i="1" s="1"/>
  <c r="C942" i="1" s="1"/>
  <c r="C943" i="1" s="1"/>
  <c r="C944" i="1" s="1"/>
  <c r="C945" i="1" s="1"/>
  <c r="C946" i="1" s="1"/>
  <c r="C947" i="1" s="1"/>
  <c r="C948" i="1" s="1"/>
  <c r="E859" i="1"/>
  <c r="E858" i="1"/>
  <c r="E857" i="1"/>
  <c r="E855" i="1"/>
  <c r="E853" i="1"/>
  <c r="E851" i="1"/>
  <c r="E849" i="1"/>
  <c r="E847" i="1"/>
  <c r="E845" i="1"/>
  <c r="E843" i="1"/>
  <c r="E841" i="1"/>
  <c r="E839" i="1"/>
  <c r="E837" i="1"/>
  <c r="E835" i="1"/>
  <c r="E833" i="1"/>
  <c r="E831" i="1"/>
  <c r="E830" i="1"/>
  <c r="E827" i="1"/>
  <c r="E824" i="1"/>
  <c r="E821" i="1"/>
  <c r="E818" i="1"/>
  <c r="E815" i="1"/>
  <c r="E812" i="1"/>
  <c r="E809" i="1"/>
  <c r="E806" i="1"/>
  <c r="E803" i="1"/>
  <c r="E800" i="1"/>
  <c r="E797" i="1"/>
  <c r="E794" i="1"/>
  <c r="E791" i="1"/>
  <c r="E764" i="1"/>
  <c r="E763" i="1"/>
  <c r="C763" i="1"/>
  <c r="C764" i="1" s="1"/>
  <c r="C765" i="1" s="1"/>
  <c r="C766" i="1" s="1"/>
  <c r="C767" i="1" s="1"/>
  <c r="C768" i="1" s="1"/>
  <c r="C769" i="1" s="1"/>
  <c r="C770" i="1" s="1"/>
  <c r="C771" i="1" s="1"/>
  <c r="C772" i="1" s="1"/>
  <c r="C773" i="1" s="1"/>
  <c r="C774" i="1" s="1"/>
  <c r="C775" i="1" s="1"/>
  <c r="C776" i="1" s="1"/>
  <c r="C777" i="1" s="1"/>
  <c r="C778" i="1" s="1"/>
  <c r="C779" i="1" s="1"/>
  <c r="C780" i="1" s="1"/>
  <c r="C781" i="1" s="1"/>
  <c r="C782" i="1" s="1"/>
  <c r="C783" i="1" s="1"/>
  <c r="C784" i="1" s="1"/>
  <c r="C785" i="1" s="1"/>
  <c r="C786" i="1" s="1"/>
  <c r="C787" i="1" s="1"/>
  <c r="C788" i="1" s="1"/>
  <c r="C789" i="1" s="1"/>
  <c r="C790" i="1" s="1"/>
  <c r="C791" i="1" s="1"/>
  <c r="C792" i="1" s="1"/>
  <c r="C793" i="1" s="1"/>
  <c r="C794" i="1" s="1"/>
  <c r="C795" i="1" s="1"/>
  <c r="C796" i="1" s="1"/>
  <c r="C797" i="1" s="1"/>
  <c r="C798" i="1" s="1"/>
  <c r="C799" i="1" s="1"/>
  <c r="C800" i="1" s="1"/>
  <c r="C801" i="1" s="1"/>
  <c r="C802" i="1" s="1"/>
  <c r="C803" i="1" s="1"/>
  <c r="C804" i="1" s="1"/>
  <c r="C805" i="1" s="1"/>
  <c r="C806" i="1" s="1"/>
  <c r="C807" i="1" s="1"/>
  <c r="C808" i="1" s="1"/>
  <c r="C809" i="1" s="1"/>
  <c r="C810" i="1" s="1"/>
  <c r="C811" i="1" s="1"/>
  <c r="C812" i="1" s="1"/>
  <c r="C813" i="1" s="1"/>
  <c r="C814" i="1" s="1"/>
  <c r="C815" i="1" s="1"/>
  <c r="C816" i="1" s="1"/>
  <c r="C817" i="1" s="1"/>
  <c r="C818" i="1" s="1"/>
  <c r="C819" i="1" s="1"/>
  <c r="C820" i="1" s="1"/>
  <c r="C821" i="1" s="1"/>
  <c r="C822" i="1" s="1"/>
  <c r="C823" i="1" s="1"/>
  <c r="C824" i="1" s="1"/>
  <c r="C825" i="1" s="1"/>
  <c r="C826" i="1" s="1"/>
  <c r="C827" i="1" s="1"/>
  <c r="C828" i="1" s="1"/>
  <c r="C829" i="1" s="1"/>
  <c r="C830" i="1" s="1"/>
  <c r="C831" i="1" s="1"/>
  <c r="C832" i="1" s="1"/>
  <c r="C833" i="1" s="1"/>
  <c r="C834" i="1" s="1"/>
  <c r="C835" i="1" s="1"/>
  <c r="C836" i="1" s="1"/>
  <c r="C837" i="1" s="1"/>
  <c r="C838" i="1" s="1"/>
  <c r="C839" i="1" s="1"/>
  <c r="C840" i="1" s="1"/>
  <c r="C841" i="1" s="1"/>
  <c r="C842" i="1" s="1"/>
  <c r="C843" i="1" s="1"/>
  <c r="C844" i="1" s="1"/>
  <c r="C845" i="1" s="1"/>
  <c r="C846" i="1" s="1"/>
  <c r="C847" i="1" s="1"/>
  <c r="C848" i="1" s="1"/>
  <c r="C849" i="1" s="1"/>
  <c r="C850" i="1" s="1"/>
  <c r="C851" i="1" s="1"/>
  <c r="C852" i="1" s="1"/>
  <c r="C853" i="1" s="1"/>
  <c r="C854" i="1" s="1"/>
  <c r="C855" i="1" s="1"/>
  <c r="C856" i="1" s="1"/>
  <c r="C857" i="1" s="1"/>
  <c r="C858" i="1" s="1"/>
  <c r="E762" i="1"/>
  <c r="E761" i="1" l="1"/>
  <c r="E760" i="1"/>
  <c r="E758" i="1"/>
  <c r="E756" i="1"/>
  <c r="E754" i="1"/>
  <c r="E752" i="1"/>
  <c r="E750" i="1"/>
  <c r="E748" i="1"/>
  <c r="E746" i="1"/>
  <c r="E744" i="1"/>
  <c r="E742" i="1"/>
  <c r="E740" i="1"/>
  <c r="E738" i="1"/>
  <c r="E737" i="1"/>
  <c r="E734" i="1"/>
  <c r="E731" i="1"/>
  <c r="E728" i="1"/>
  <c r="E725" i="1"/>
  <c r="E722" i="1"/>
  <c r="E719" i="1"/>
  <c r="E716" i="1"/>
  <c r="E713" i="1"/>
  <c r="E710" i="1"/>
  <c r="E707" i="1"/>
  <c r="E704" i="1"/>
  <c r="E681" i="1"/>
  <c r="E680" i="1"/>
  <c r="C680" i="1"/>
  <c r="C681" i="1" s="1"/>
  <c r="C682" i="1" s="1"/>
  <c r="C683" i="1" s="1"/>
  <c r="C684" i="1" s="1"/>
  <c r="C685" i="1" s="1"/>
  <c r="C686" i="1" s="1"/>
  <c r="C687" i="1" s="1"/>
  <c r="C688" i="1" s="1"/>
  <c r="C689" i="1" s="1"/>
  <c r="C690" i="1" s="1"/>
  <c r="C691" i="1" s="1"/>
  <c r="C692" i="1" s="1"/>
  <c r="C693" i="1" s="1"/>
  <c r="C694" i="1" s="1"/>
  <c r="C695" i="1" s="1"/>
  <c r="C696" i="1" s="1"/>
  <c r="C697" i="1" s="1"/>
  <c r="C698" i="1" s="1"/>
  <c r="C699" i="1" s="1"/>
  <c r="C700" i="1" s="1"/>
  <c r="C701" i="1" s="1"/>
  <c r="C702" i="1" s="1"/>
  <c r="C703" i="1" s="1"/>
  <c r="C704" i="1" s="1"/>
  <c r="C705" i="1" s="1"/>
  <c r="C706" i="1" s="1"/>
  <c r="C707" i="1" s="1"/>
  <c r="C708" i="1" s="1"/>
  <c r="C709" i="1" s="1"/>
  <c r="C710" i="1" s="1"/>
  <c r="C711" i="1" s="1"/>
  <c r="C712" i="1" s="1"/>
  <c r="C713" i="1" s="1"/>
  <c r="C714" i="1" s="1"/>
  <c r="C715" i="1" s="1"/>
  <c r="C716" i="1" s="1"/>
  <c r="C717" i="1" s="1"/>
  <c r="C718" i="1" s="1"/>
  <c r="C719" i="1" s="1"/>
  <c r="C720" i="1" s="1"/>
  <c r="C721" i="1" s="1"/>
  <c r="C722" i="1" s="1"/>
  <c r="C723" i="1" s="1"/>
  <c r="C724" i="1" s="1"/>
  <c r="C725" i="1" s="1"/>
  <c r="C726" i="1" s="1"/>
  <c r="C727" i="1" s="1"/>
  <c r="C728" i="1" s="1"/>
  <c r="C729" i="1" s="1"/>
  <c r="C730" i="1" s="1"/>
  <c r="C731" i="1" s="1"/>
  <c r="C732" i="1" s="1"/>
  <c r="C733" i="1" s="1"/>
  <c r="C734" i="1" s="1"/>
  <c r="C735" i="1" s="1"/>
  <c r="C736" i="1" s="1"/>
  <c r="C737" i="1" s="1"/>
  <c r="C738" i="1" s="1"/>
  <c r="C739" i="1" s="1"/>
  <c r="C740" i="1" s="1"/>
  <c r="C741" i="1" s="1"/>
  <c r="C742" i="1" s="1"/>
  <c r="C743" i="1" s="1"/>
  <c r="C744" i="1" s="1"/>
  <c r="C745" i="1" s="1"/>
  <c r="C746" i="1" s="1"/>
  <c r="C747" i="1" s="1"/>
  <c r="C748" i="1" s="1"/>
  <c r="C749" i="1" s="1"/>
  <c r="C750" i="1" s="1"/>
  <c r="C751" i="1" s="1"/>
  <c r="C752" i="1" s="1"/>
  <c r="C753" i="1" s="1"/>
  <c r="C754" i="1" s="1"/>
  <c r="C755" i="1" s="1"/>
  <c r="C756" i="1" s="1"/>
  <c r="C757" i="1" s="1"/>
  <c r="C758" i="1" s="1"/>
  <c r="C759" i="1" s="1"/>
  <c r="C760" i="1" s="1"/>
  <c r="C761" i="1" s="1"/>
  <c r="E679" i="1"/>
  <c r="E678" i="1"/>
  <c r="E677" i="1"/>
  <c r="E675" i="1"/>
  <c r="E673" i="1"/>
  <c r="E671" i="1"/>
  <c r="E669" i="1"/>
  <c r="E667" i="1"/>
  <c r="E665" i="1"/>
  <c r="E663" i="1"/>
  <c r="E661" i="1"/>
  <c r="E659" i="1"/>
  <c r="E657" i="1"/>
  <c r="E655" i="1"/>
  <c r="E653" i="1"/>
  <c r="E651" i="1"/>
  <c r="E650" i="1"/>
  <c r="E647" i="1"/>
  <c r="E644" i="1"/>
  <c r="E641" i="1"/>
  <c r="E638" i="1"/>
  <c r="E635" i="1"/>
  <c r="E632" i="1"/>
  <c r="E629" i="1"/>
  <c r="E626" i="1"/>
  <c r="E623" i="1"/>
  <c r="E620" i="1"/>
  <c r="E617" i="1"/>
  <c r="E614" i="1"/>
  <c r="E611" i="1"/>
  <c r="E584" i="1"/>
  <c r="E583" i="1"/>
  <c r="C583" i="1"/>
  <c r="C584" i="1" s="1"/>
  <c r="C585" i="1" s="1"/>
  <c r="C586" i="1" s="1"/>
  <c r="C587" i="1" s="1"/>
  <c r="C588" i="1" s="1"/>
  <c r="C589" i="1" s="1"/>
  <c r="C590" i="1" s="1"/>
  <c r="C591" i="1" s="1"/>
  <c r="C592" i="1" s="1"/>
  <c r="C593" i="1" s="1"/>
  <c r="C594" i="1" s="1"/>
  <c r="C595" i="1" s="1"/>
  <c r="C596" i="1" s="1"/>
  <c r="C597" i="1" s="1"/>
  <c r="C598" i="1" s="1"/>
  <c r="C599" i="1" s="1"/>
  <c r="C600" i="1" s="1"/>
  <c r="C601" i="1" s="1"/>
  <c r="C602" i="1" s="1"/>
  <c r="C603" i="1" s="1"/>
  <c r="C604" i="1" s="1"/>
  <c r="C605" i="1" s="1"/>
  <c r="C606" i="1" s="1"/>
  <c r="C607" i="1" s="1"/>
  <c r="C608" i="1" s="1"/>
  <c r="C609" i="1" s="1"/>
  <c r="C610" i="1" s="1"/>
  <c r="C611" i="1" s="1"/>
  <c r="C612" i="1" s="1"/>
  <c r="C613" i="1" s="1"/>
  <c r="C614" i="1" s="1"/>
  <c r="C615" i="1" s="1"/>
  <c r="C616" i="1" s="1"/>
  <c r="C617" i="1" s="1"/>
  <c r="C618" i="1" s="1"/>
  <c r="C619" i="1" s="1"/>
  <c r="C620" i="1" s="1"/>
  <c r="C621" i="1" s="1"/>
  <c r="C622" i="1" s="1"/>
  <c r="C623" i="1" s="1"/>
  <c r="C624" i="1" s="1"/>
  <c r="C625" i="1" s="1"/>
  <c r="C626" i="1" s="1"/>
  <c r="C627" i="1" s="1"/>
  <c r="C628" i="1" s="1"/>
  <c r="C629" i="1" s="1"/>
  <c r="C630" i="1" s="1"/>
  <c r="C631" i="1" s="1"/>
  <c r="C632" i="1" s="1"/>
  <c r="C633" i="1" s="1"/>
  <c r="C634" i="1" s="1"/>
  <c r="C635" i="1" s="1"/>
  <c r="C636" i="1" s="1"/>
  <c r="C637" i="1" s="1"/>
  <c r="C638" i="1" s="1"/>
  <c r="C639" i="1" s="1"/>
  <c r="C640" i="1" s="1"/>
  <c r="C641" i="1" s="1"/>
  <c r="C642" i="1" s="1"/>
  <c r="C643" i="1" s="1"/>
  <c r="C644" i="1" s="1"/>
  <c r="C645" i="1" s="1"/>
  <c r="C646" i="1" s="1"/>
  <c r="C647" i="1" s="1"/>
  <c r="C648" i="1" s="1"/>
  <c r="C649" i="1" s="1"/>
  <c r="C650" i="1" s="1"/>
  <c r="C651" i="1" s="1"/>
  <c r="C652" i="1" s="1"/>
  <c r="C653" i="1" s="1"/>
  <c r="C654" i="1" s="1"/>
  <c r="C655" i="1" s="1"/>
  <c r="C656" i="1" s="1"/>
  <c r="C657" i="1" s="1"/>
  <c r="C658" i="1" s="1"/>
  <c r="C659" i="1" s="1"/>
  <c r="C660" i="1" s="1"/>
  <c r="C661" i="1" s="1"/>
  <c r="C662" i="1" s="1"/>
  <c r="C663" i="1" s="1"/>
  <c r="C664" i="1" s="1"/>
  <c r="C665" i="1" s="1"/>
  <c r="C666" i="1" s="1"/>
  <c r="C667" i="1" s="1"/>
  <c r="C668" i="1" s="1"/>
  <c r="C669" i="1" s="1"/>
  <c r="C670" i="1" s="1"/>
  <c r="C671" i="1" s="1"/>
  <c r="C672" i="1" s="1"/>
  <c r="C673" i="1" s="1"/>
  <c r="C674" i="1" s="1"/>
  <c r="C675" i="1" s="1"/>
  <c r="C676" i="1" s="1"/>
  <c r="C677" i="1" s="1"/>
  <c r="C678" i="1" s="1"/>
  <c r="E582" i="1"/>
  <c r="E581" i="1"/>
  <c r="E580" i="1"/>
  <c r="E578" i="1"/>
  <c r="E576" i="1"/>
  <c r="E574" i="1"/>
  <c r="E572" i="1"/>
  <c r="E570" i="1"/>
  <c r="E568" i="1"/>
  <c r="E566" i="1"/>
  <c r="E564" i="1"/>
  <c r="E562" i="1"/>
  <c r="E560" i="1"/>
  <c r="E558" i="1"/>
  <c r="E556" i="1"/>
  <c r="E555" i="1"/>
  <c r="E552" i="1"/>
  <c r="E549" i="1"/>
  <c r="E546" i="1"/>
  <c r="E543" i="1"/>
  <c r="E540" i="1"/>
  <c r="E537" i="1"/>
  <c r="E534" i="1"/>
  <c r="E531" i="1"/>
  <c r="E528" i="1"/>
  <c r="E525" i="1"/>
  <c r="E522" i="1"/>
  <c r="E519" i="1"/>
  <c r="E494" i="1"/>
  <c r="E493" i="1"/>
  <c r="C493" i="1"/>
  <c r="C494" i="1" s="1"/>
  <c r="C495" i="1" s="1"/>
  <c r="C496" i="1" s="1"/>
  <c r="C497" i="1" s="1"/>
  <c r="C498" i="1" s="1"/>
  <c r="C499" i="1" s="1"/>
  <c r="C500" i="1" s="1"/>
  <c r="C501" i="1" s="1"/>
  <c r="C502" i="1" s="1"/>
  <c r="C503" i="1" s="1"/>
  <c r="C504" i="1" s="1"/>
  <c r="C505" i="1" s="1"/>
  <c r="C506" i="1" s="1"/>
  <c r="C507" i="1" s="1"/>
  <c r="C508" i="1" s="1"/>
  <c r="C509" i="1" s="1"/>
  <c r="C510" i="1" s="1"/>
  <c r="C511" i="1" s="1"/>
  <c r="C512" i="1" s="1"/>
  <c r="C513" i="1" s="1"/>
  <c r="C514" i="1" s="1"/>
  <c r="C515" i="1" s="1"/>
  <c r="C516" i="1" s="1"/>
  <c r="C517" i="1" s="1"/>
  <c r="C518" i="1" s="1"/>
  <c r="C519" i="1" s="1"/>
  <c r="C520" i="1" s="1"/>
  <c r="C521" i="1" s="1"/>
  <c r="C522" i="1" s="1"/>
  <c r="C523" i="1" s="1"/>
  <c r="C524" i="1" s="1"/>
  <c r="C525" i="1" s="1"/>
  <c r="C526" i="1" s="1"/>
  <c r="C527" i="1" s="1"/>
  <c r="C528" i="1" s="1"/>
  <c r="C529" i="1" s="1"/>
  <c r="C530" i="1" s="1"/>
  <c r="C531" i="1" s="1"/>
  <c r="C532" i="1" s="1"/>
  <c r="C533" i="1" s="1"/>
  <c r="C534" i="1" s="1"/>
  <c r="C535" i="1" s="1"/>
  <c r="C536" i="1" s="1"/>
  <c r="C537" i="1" s="1"/>
  <c r="C538" i="1" s="1"/>
  <c r="C539" i="1" s="1"/>
  <c r="C540" i="1" s="1"/>
  <c r="C541" i="1" s="1"/>
  <c r="C542" i="1" s="1"/>
  <c r="C543" i="1" s="1"/>
  <c r="C544" i="1" s="1"/>
  <c r="C545" i="1" s="1"/>
  <c r="C546" i="1" s="1"/>
  <c r="C547" i="1" s="1"/>
  <c r="C548" i="1" s="1"/>
  <c r="C549" i="1" s="1"/>
  <c r="C550" i="1" s="1"/>
  <c r="C551" i="1" s="1"/>
  <c r="C552" i="1" s="1"/>
  <c r="C553" i="1" s="1"/>
  <c r="C554" i="1" s="1"/>
  <c r="C555" i="1" s="1"/>
  <c r="C556" i="1" s="1"/>
  <c r="C557" i="1" s="1"/>
  <c r="C558" i="1" s="1"/>
  <c r="C559" i="1" s="1"/>
  <c r="C560" i="1" s="1"/>
  <c r="C561" i="1" s="1"/>
  <c r="C562" i="1" s="1"/>
  <c r="C563" i="1" s="1"/>
  <c r="C564" i="1" s="1"/>
  <c r="C565" i="1" s="1"/>
  <c r="C566" i="1" s="1"/>
  <c r="C567" i="1" s="1"/>
  <c r="C568" i="1" s="1"/>
  <c r="C569" i="1" s="1"/>
  <c r="C570" i="1" s="1"/>
  <c r="C571" i="1" s="1"/>
  <c r="C572" i="1" s="1"/>
  <c r="C573" i="1" s="1"/>
  <c r="C574" i="1" s="1"/>
  <c r="C575" i="1" s="1"/>
  <c r="C576" i="1" s="1"/>
  <c r="C577" i="1" s="1"/>
  <c r="C578" i="1" s="1"/>
  <c r="C579" i="1" s="1"/>
  <c r="C580" i="1" s="1"/>
  <c r="C581" i="1" s="1"/>
  <c r="E492" i="1"/>
  <c r="H397" i="1"/>
  <c r="H401" i="1"/>
  <c r="H403" i="1"/>
  <c r="H407" i="1"/>
  <c r="H409" i="1"/>
  <c r="H411" i="1"/>
  <c r="E491" i="1"/>
  <c r="E490" i="1"/>
  <c r="E488" i="1"/>
  <c r="E486" i="1"/>
  <c r="E484" i="1"/>
  <c r="E482" i="1"/>
  <c r="E480" i="1"/>
  <c r="E478" i="1"/>
  <c r="E476" i="1"/>
  <c r="E474" i="1"/>
  <c r="E472" i="1"/>
  <c r="E470" i="1"/>
  <c r="E468" i="1"/>
  <c r="E466" i="1"/>
  <c r="E464" i="1"/>
  <c r="E463" i="1"/>
  <c r="E460" i="1"/>
  <c r="E457" i="1"/>
  <c r="E454" i="1"/>
  <c r="E451" i="1"/>
  <c r="E448" i="1"/>
  <c r="E445" i="1"/>
  <c r="E442" i="1"/>
  <c r="E439" i="1"/>
  <c r="E436" i="1"/>
  <c r="E433" i="1"/>
  <c r="E430" i="1"/>
  <c r="E427" i="1"/>
  <c r="E424" i="1"/>
  <c r="E397" i="1"/>
  <c r="H396" i="1"/>
  <c r="E396" i="1"/>
  <c r="C396" i="1"/>
  <c r="C397" i="1" s="1"/>
  <c r="C398" i="1" s="1"/>
  <c r="C399" i="1" s="1"/>
  <c r="C400" i="1" s="1"/>
  <c r="C401" i="1" s="1"/>
  <c r="C402" i="1" s="1"/>
  <c r="C403" i="1" s="1"/>
  <c r="C404" i="1" s="1"/>
  <c r="C405" i="1" s="1"/>
  <c r="C406" i="1" s="1"/>
  <c r="C407" i="1" s="1"/>
  <c r="C408" i="1" s="1"/>
  <c r="C409" i="1" s="1"/>
  <c r="C410" i="1" s="1"/>
  <c r="C411" i="1" s="1"/>
  <c r="C412" i="1" s="1"/>
  <c r="C413" i="1" s="1"/>
  <c r="C414" i="1" s="1"/>
  <c r="C415" i="1" s="1"/>
  <c r="C416" i="1" s="1"/>
  <c r="C417" i="1" s="1"/>
  <c r="C418" i="1" s="1"/>
  <c r="C419" i="1" s="1"/>
  <c r="C420" i="1" s="1"/>
  <c r="C421" i="1" s="1"/>
  <c r="C422" i="1" s="1"/>
  <c r="C423" i="1" s="1"/>
  <c r="C424" i="1" s="1"/>
  <c r="C425" i="1" s="1"/>
  <c r="C426" i="1" s="1"/>
  <c r="C427" i="1" s="1"/>
  <c r="C428" i="1" s="1"/>
  <c r="C429" i="1" s="1"/>
  <c r="C430" i="1" s="1"/>
  <c r="C431" i="1" s="1"/>
  <c r="C432" i="1" s="1"/>
  <c r="C433" i="1" s="1"/>
  <c r="C434" i="1" s="1"/>
  <c r="C435" i="1" s="1"/>
  <c r="C436" i="1" s="1"/>
  <c r="C437" i="1" s="1"/>
  <c r="C438" i="1" s="1"/>
  <c r="C439" i="1" s="1"/>
  <c r="C440" i="1" s="1"/>
  <c r="C441" i="1" s="1"/>
  <c r="C442" i="1" s="1"/>
  <c r="C443" i="1" s="1"/>
  <c r="C444" i="1" s="1"/>
  <c r="C445" i="1" s="1"/>
  <c r="C446" i="1" s="1"/>
  <c r="C447" i="1" s="1"/>
  <c r="C448" i="1" s="1"/>
  <c r="C449" i="1" s="1"/>
  <c r="C450" i="1" s="1"/>
  <c r="C451" i="1" s="1"/>
  <c r="C452" i="1" s="1"/>
  <c r="C453" i="1" s="1"/>
  <c r="C454" i="1" s="1"/>
  <c r="C455" i="1" s="1"/>
  <c r="C456" i="1" s="1"/>
  <c r="C457" i="1" s="1"/>
  <c r="C458" i="1" s="1"/>
  <c r="C459" i="1" s="1"/>
  <c r="C460" i="1" s="1"/>
  <c r="C461" i="1" s="1"/>
  <c r="C462" i="1" s="1"/>
  <c r="C463" i="1" s="1"/>
  <c r="C464" i="1" s="1"/>
  <c r="C465" i="1" s="1"/>
  <c r="C466" i="1" s="1"/>
  <c r="C467" i="1" s="1"/>
  <c r="C468" i="1" s="1"/>
  <c r="C469" i="1" s="1"/>
  <c r="C470" i="1" s="1"/>
  <c r="C471" i="1" s="1"/>
  <c r="C472" i="1" s="1"/>
  <c r="C473" i="1" s="1"/>
  <c r="C474" i="1" s="1"/>
  <c r="C475" i="1" s="1"/>
  <c r="H395" i="1"/>
  <c r="E395" i="1"/>
  <c r="H288" i="1"/>
  <c r="H289" i="1"/>
  <c r="H291" i="1"/>
  <c r="H293" i="1"/>
  <c r="H295" i="1"/>
  <c r="H297" i="1"/>
  <c r="H299" i="1"/>
  <c r="H301" i="1"/>
  <c r="H303" i="1"/>
  <c r="H304" i="1"/>
  <c r="H305" i="1"/>
  <c r="H306" i="1"/>
  <c r="H307" i="1"/>
  <c r="H309" i="1"/>
  <c r="H311" i="1"/>
  <c r="H315" i="1"/>
  <c r="H321" i="1"/>
  <c r="H323" i="1"/>
  <c r="H325" i="1"/>
  <c r="H327" i="1"/>
  <c r="H329" i="1"/>
  <c r="H331" i="1"/>
  <c r="H332" i="1"/>
  <c r="H335" i="1"/>
  <c r="H338" i="1"/>
  <c r="H341" i="1"/>
  <c r="H344" i="1"/>
  <c r="H347" i="1"/>
  <c r="H350" i="1"/>
  <c r="H353" i="1"/>
  <c r="H356" i="1"/>
  <c r="H359" i="1"/>
  <c r="H362" i="1"/>
  <c r="H365" i="1"/>
  <c r="H368" i="1"/>
  <c r="H369" i="1"/>
  <c r="H371" i="1"/>
  <c r="H373" i="1"/>
  <c r="H375" i="1"/>
  <c r="H377" i="1"/>
  <c r="H379" i="1"/>
  <c r="H381" i="1"/>
  <c r="H383" i="1"/>
  <c r="H385" i="1"/>
  <c r="H387" i="1"/>
  <c r="H389" i="1"/>
  <c r="H391" i="1"/>
  <c r="H393" i="1"/>
  <c r="H394" i="1"/>
  <c r="E394" i="1"/>
  <c r="E393" i="1"/>
  <c r="E391" i="1"/>
  <c r="E389" i="1"/>
  <c r="E387" i="1"/>
  <c r="E385" i="1"/>
  <c r="E383" i="1"/>
  <c r="E381" i="1"/>
  <c r="E379" i="1"/>
  <c r="E377" i="1"/>
  <c r="E375" i="1"/>
  <c r="E373" i="1"/>
  <c r="E371" i="1"/>
  <c r="E369" i="1"/>
  <c r="E368" i="1"/>
  <c r="E365" i="1"/>
  <c r="E362" i="1"/>
  <c r="E359" i="1"/>
  <c r="E356" i="1"/>
  <c r="E353" i="1"/>
  <c r="E350" i="1"/>
  <c r="E347" i="1"/>
  <c r="E344" i="1"/>
  <c r="E341" i="1"/>
  <c r="E338" i="1"/>
  <c r="E335" i="1"/>
  <c r="E332" i="1"/>
  <c r="E307" i="1"/>
  <c r="E306" i="1"/>
  <c r="C306" i="1"/>
  <c r="C307" i="1" s="1"/>
  <c r="C308" i="1" s="1"/>
  <c r="C309" i="1" s="1"/>
  <c r="C310" i="1" s="1"/>
  <c r="C311" i="1" s="1"/>
  <c r="C312" i="1" s="1"/>
  <c r="C313" i="1" s="1"/>
  <c r="C314" i="1" s="1"/>
  <c r="C315" i="1" s="1"/>
  <c r="C316" i="1" s="1"/>
  <c r="C317" i="1" s="1"/>
  <c r="C318" i="1" s="1"/>
  <c r="C319" i="1" s="1"/>
  <c r="C320" i="1" s="1"/>
  <c r="C321" i="1" s="1"/>
  <c r="C322" i="1" s="1"/>
  <c r="C323" i="1" s="1"/>
  <c r="C324" i="1" s="1"/>
  <c r="C325" i="1" s="1"/>
  <c r="C326" i="1" s="1"/>
  <c r="C327" i="1" s="1"/>
  <c r="C328" i="1" s="1"/>
  <c r="C329" i="1" s="1"/>
  <c r="C330" i="1" s="1"/>
  <c r="C331" i="1" s="1"/>
  <c r="C332" i="1" s="1"/>
  <c r="C333" i="1" s="1"/>
  <c r="C334" i="1" s="1"/>
  <c r="C335" i="1" s="1"/>
  <c r="C336" i="1" s="1"/>
  <c r="C337" i="1" s="1"/>
  <c r="C338" i="1" s="1"/>
  <c r="C339" i="1" s="1"/>
  <c r="C340" i="1" s="1"/>
  <c r="C341" i="1" s="1"/>
  <c r="C342" i="1" s="1"/>
  <c r="C343" i="1" s="1"/>
  <c r="C344" i="1" s="1"/>
  <c r="C345" i="1" s="1"/>
  <c r="C346" i="1" s="1"/>
  <c r="C347" i="1" s="1"/>
  <c r="C348" i="1" s="1"/>
  <c r="C349" i="1" s="1"/>
  <c r="C350" i="1" s="1"/>
  <c r="C351" i="1" s="1"/>
  <c r="C352" i="1" s="1"/>
  <c r="C353" i="1" s="1"/>
  <c r="C354" i="1" s="1"/>
  <c r="C355" i="1" s="1"/>
  <c r="C356" i="1" s="1"/>
  <c r="C357" i="1" s="1"/>
  <c r="C358" i="1" s="1"/>
  <c r="C359" i="1" s="1"/>
  <c r="C360" i="1" s="1"/>
  <c r="C361" i="1" s="1"/>
  <c r="C362" i="1" s="1"/>
  <c r="C363" i="1" s="1"/>
  <c r="C364" i="1" s="1"/>
  <c r="C365" i="1" s="1"/>
  <c r="C366" i="1" s="1"/>
  <c r="C367" i="1" s="1"/>
  <c r="C368" i="1" s="1"/>
  <c r="C369" i="1" s="1"/>
  <c r="C370" i="1" s="1"/>
  <c r="C371" i="1" s="1"/>
  <c r="C372" i="1" s="1"/>
  <c r="C373" i="1" s="1"/>
  <c r="C374" i="1" s="1"/>
  <c r="C375" i="1" s="1"/>
  <c r="C376" i="1" s="1"/>
  <c r="C377" i="1" s="1"/>
  <c r="C378" i="1" s="1"/>
  <c r="C379" i="1" s="1"/>
  <c r="C380" i="1" s="1"/>
  <c r="C381" i="1" s="1"/>
  <c r="C382" i="1" s="1"/>
  <c r="C383" i="1" s="1"/>
  <c r="C384" i="1" s="1"/>
  <c r="C385" i="1" s="1"/>
  <c r="C386" i="1" s="1"/>
  <c r="C387" i="1" s="1"/>
  <c r="C388" i="1" s="1"/>
  <c r="C389" i="1" s="1"/>
  <c r="C390" i="1" s="1"/>
  <c r="C391" i="1" s="1"/>
  <c r="C392" i="1" s="1"/>
  <c r="C393" i="1" s="1"/>
  <c r="C394" i="1" s="1"/>
  <c r="E305" i="1"/>
  <c r="F1716" i="1" l="1"/>
  <c r="F1690" i="1"/>
  <c r="F1691" i="1"/>
  <c r="C476" i="1"/>
  <c r="C477" i="1" s="1"/>
  <c r="C478" i="1" s="1"/>
  <c r="C479" i="1" s="1"/>
  <c r="C480" i="1" s="1"/>
  <c r="C481" i="1" s="1"/>
  <c r="C482" i="1" s="1"/>
  <c r="C483" i="1" s="1"/>
  <c r="C484" i="1" s="1"/>
  <c r="C485" i="1" s="1"/>
  <c r="C486" i="1" s="1"/>
  <c r="C487" i="1" s="1"/>
  <c r="C488" i="1" s="1"/>
  <c r="C489" i="1" s="1"/>
  <c r="C490" i="1" s="1"/>
  <c r="C491" i="1" s="1"/>
  <c r="H251" i="1"/>
  <c r="H252" i="1"/>
  <c r="H254" i="1"/>
  <c r="H256" i="1"/>
  <c r="H258" i="1"/>
  <c r="H260" i="1"/>
  <c r="H262" i="1"/>
  <c r="H264" i="1"/>
  <c r="H266" i="1"/>
  <c r="H267" i="1"/>
  <c r="H270" i="1"/>
  <c r="H273" i="1"/>
  <c r="H276" i="1"/>
  <c r="H279" i="1"/>
  <c r="H282" i="1"/>
  <c r="H285" i="1"/>
  <c r="D265" i="1"/>
  <c r="H265" i="1" s="1"/>
  <c r="D263" i="1"/>
  <c r="H263" i="1" s="1"/>
  <c r="D261" i="1"/>
  <c r="H261" i="1" s="1"/>
  <c r="E304" i="1"/>
  <c r="E303" i="1"/>
  <c r="E301" i="1"/>
  <c r="E299" i="1"/>
  <c r="E297" i="1"/>
  <c r="E295" i="1"/>
  <c r="E293" i="1"/>
  <c r="E291" i="1"/>
  <c r="E289" i="1"/>
  <c r="E288" i="1"/>
  <c r="E285" i="1"/>
  <c r="E282" i="1"/>
  <c r="E279" i="1"/>
  <c r="E276" i="1"/>
  <c r="E273" i="1"/>
  <c r="E270" i="1"/>
  <c r="E267" i="1"/>
  <c r="E252" i="1"/>
  <c r="E251" i="1"/>
  <c r="C251" i="1"/>
  <c r="C252" i="1" s="1"/>
  <c r="C253" i="1" s="1"/>
  <c r="C254" i="1" s="1"/>
  <c r="C255" i="1" s="1"/>
  <c r="C256" i="1" s="1"/>
  <c r="C257" i="1" s="1"/>
  <c r="C258" i="1" s="1"/>
  <c r="C259" i="1" s="1"/>
  <c r="C260" i="1" s="1"/>
  <c r="C261" i="1" s="1"/>
  <c r="C262" i="1" s="1"/>
  <c r="C263" i="1" s="1"/>
  <c r="C264" i="1" s="1"/>
  <c r="C265" i="1" s="1"/>
  <c r="C266" i="1" s="1"/>
  <c r="C267" i="1" s="1"/>
  <c r="C268" i="1" s="1"/>
  <c r="C269" i="1" s="1"/>
  <c r="C270" i="1" s="1"/>
  <c r="C271" i="1" s="1"/>
  <c r="C272" i="1" s="1"/>
  <c r="C273" i="1" s="1"/>
  <c r="C274" i="1" s="1"/>
  <c r="C275" i="1" s="1"/>
  <c r="C276" i="1" s="1"/>
  <c r="C277" i="1" s="1"/>
  <c r="C278" i="1" s="1"/>
  <c r="C279" i="1" s="1"/>
  <c r="C280" i="1" s="1"/>
  <c r="C281" i="1" s="1"/>
  <c r="C282" i="1" s="1"/>
  <c r="C283" i="1" s="1"/>
  <c r="C284" i="1" s="1"/>
  <c r="C285" i="1" s="1"/>
  <c r="C286" i="1" s="1"/>
  <c r="C287" i="1" s="1"/>
  <c r="C288" i="1" s="1"/>
  <c r="C289" i="1" s="1"/>
  <c r="C290" i="1" s="1"/>
  <c r="C291" i="1" s="1"/>
  <c r="C292" i="1" s="1"/>
  <c r="C293" i="1" s="1"/>
  <c r="C294" i="1" s="1"/>
  <c r="C295" i="1" s="1"/>
  <c r="C296" i="1" s="1"/>
  <c r="C297" i="1" s="1"/>
  <c r="C298" i="1" s="1"/>
  <c r="C299" i="1" s="1"/>
  <c r="C300" i="1" s="1"/>
  <c r="C301" i="1" s="1"/>
  <c r="C302" i="1" s="1"/>
  <c r="C303" i="1" s="1"/>
  <c r="C304" i="1" s="1"/>
  <c r="H250" i="1"/>
  <c r="E250" i="1"/>
  <c r="H248" i="1"/>
  <c r="H249" i="1"/>
  <c r="H175" i="1"/>
  <c r="H176" i="1"/>
  <c r="H178" i="1"/>
  <c r="H180" i="1"/>
  <c r="H182" i="1"/>
  <c r="H184" i="1"/>
  <c r="H186" i="1"/>
  <c r="H188" i="1"/>
  <c r="H192" i="1"/>
  <c r="H194" i="1"/>
  <c r="H196" i="1"/>
  <c r="H197" i="1"/>
  <c r="H200" i="1"/>
  <c r="H203" i="1"/>
  <c r="H206" i="1"/>
  <c r="H209" i="1"/>
  <c r="H212" i="1"/>
  <c r="H215" i="1"/>
  <c r="H218" i="1"/>
  <c r="H221" i="1"/>
  <c r="H224" i="1"/>
  <c r="H227" i="1"/>
  <c r="H228" i="1"/>
  <c r="H230" i="1"/>
  <c r="H232" i="1"/>
  <c r="H234" i="1"/>
  <c r="H236" i="1"/>
  <c r="E249" i="1"/>
  <c r="E248" i="1"/>
  <c r="H246" i="1"/>
  <c r="E246" i="1"/>
  <c r="H244" i="1"/>
  <c r="E244" i="1"/>
  <c r="H242" i="1"/>
  <c r="E242" i="1"/>
  <c r="H240" i="1"/>
  <c r="E240" i="1"/>
  <c r="H238" i="1"/>
  <c r="E238" i="1"/>
  <c r="E236" i="1"/>
  <c r="E234" i="1"/>
  <c r="E232" i="1"/>
  <c r="E230" i="1"/>
  <c r="E228" i="1"/>
  <c r="E227" i="1"/>
  <c r="E224" i="1"/>
  <c r="E221" i="1"/>
  <c r="E218" i="1"/>
  <c r="E215" i="1"/>
  <c r="E212" i="1"/>
  <c r="E209" i="1"/>
  <c r="E206" i="1"/>
  <c r="E203" i="1"/>
  <c r="E200" i="1"/>
  <c r="E197" i="1"/>
  <c r="E176" i="1"/>
  <c r="E175" i="1"/>
  <c r="C175" i="1"/>
  <c r="C176" i="1" s="1"/>
  <c r="C177" i="1" s="1"/>
  <c r="C178" i="1" s="1"/>
  <c r="C179" i="1" s="1"/>
  <c r="C180" i="1" s="1"/>
  <c r="C181" i="1" s="1"/>
  <c r="C182" i="1" s="1"/>
  <c r="C183" i="1" s="1"/>
  <c r="C184" i="1" s="1"/>
  <c r="C185" i="1" s="1"/>
  <c r="C186" i="1" s="1"/>
  <c r="C187" i="1" s="1"/>
  <c r="C188" i="1" s="1"/>
  <c r="C189" i="1" s="1"/>
  <c r="C190" i="1" s="1"/>
  <c r="C191" i="1" s="1"/>
  <c r="C192" i="1" s="1"/>
  <c r="C193" i="1" s="1"/>
  <c r="C194" i="1" s="1"/>
  <c r="C195" i="1" s="1"/>
  <c r="C196" i="1" s="1"/>
  <c r="C197" i="1" s="1"/>
  <c r="C198" i="1" s="1"/>
  <c r="C199" i="1" s="1"/>
  <c r="C200" i="1" s="1"/>
  <c r="C201" i="1" s="1"/>
  <c r="C202" i="1" s="1"/>
  <c r="C203" i="1" s="1"/>
  <c r="C204" i="1" s="1"/>
  <c r="C205" i="1" s="1"/>
  <c r="C206" i="1" s="1"/>
  <c r="C207" i="1" s="1"/>
  <c r="C208" i="1" s="1"/>
  <c r="C209" i="1" s="1"/>
  <c r="C210" i="1" s="1"/>
  <c r="C211" i="1" s="1"/>
  <c r="C212" i="1" s="1"/>
  <c r="C213" i="1" s="1"/>
  <c r="C214" i="1" s="1"/>
  <c r="C215" i="1" s="1"/>
  <c r="C216" i="1" s="1"/>
  <c r="C217" i="1" s="1"/>
  <c r="C218" i="1" s="1"/>
  <c r="C219" i="1" s="1"/>
  <c r="C220" i="1" s="1"/>
  <c r="C221" i="1" s="1"/>
  <c r="C222" i="1" s="1"/>
  <c r="C223" i="1" s="1"/>
  <c r="C224" i="1" s="1"/>
  <c r="C225" i="1" s="1"/>
  <c r="C226" i="1" s="1"/>
  <c r="C227" i="1" s="1"/>
  <c r="C228" i="1" s="1"/>
  <c r="C229" i="1" s="1"/>
  <c r="C230" i="1" s="1"/>
  <c r="C231" i="1" s="1"/>
  <c r="C232" i="1" s="1"/>
  <c r="C233" i="1" s="1"/>
  <c r="C234" i="1" s="1"/>
  <c r="C235" i="1" s="1"/>
  <c r="C236" i="1" s="1"/>
  <c r="C237" i="1" s="1"/>
  <c r="C238" i="1" s="1"/>
  <c r="C239" i="1" s="1"/>
  <c r="C240" i="1" s="1"/>
  <c r="C241" i="1" s="1"/>
  <c r="C242" i="1" s="1"/>
  <c r="C243" i="1" s="1"/>
  <c r="C244" i="1" s="1"/>
  <c r="C245" i="1" s="1"/>
  <c r="C246" i="1" s="1"/>
  <c r="C247" i="1" s="1"/>
  <c r="C248" i="1" s="1"/>
  <c r="C249" i="1" s="1"/>
  <c r="H174" i="1"/>
  <c r="E174" i="1"/>
  <c r="H172" i="1"/>
  <c r="H173" i="1"/>
  <c r="H155" i="1"/>
  <c r="H113" i="1"/>
  <c r="H114" i="1"/>
  <c r="H116" i="1"/>
  <c r="H120" i="1"/>
  <c r="H124" i="1"/>
  <c r="H126" i="1"/>
  <c r="H128" i="1"/>
  <c r="H130" i="1"/>
  <c r="H131" i="1"/>
  <c r="H134" i="1"/>
  <c r="E173" i="1"/>
  <c r="E172" i="1"/>
  <c r="H170" i="1"/>
  <c r="E170" i="1"/>
  <c r="H168" i="1"/>
  <c r="E168" i="1"/>
  <c r="H166" i="1"/>
  <c r="E166" i="1"/>
  <c r="H164" i="1"/>
  <c r="E164" i="1"/>
  <c r="H162" i="1"/>
  <c r="E162" i="1"/>
  <c r="H160" i="1"/>
  <c r="E160" i="1"/>
  <c r="H158" i="1"/>
  <c r="E158" i="1"/>
  <c r="H156" i="1"/>
  <c r="E156" i="1"/>
  <c r="E155" i="1"/>
  <c r="H152" i="1"/>
  <c r="E152" i="1"/>
  <c r="H149" i="1"/>
  <c r="E149" i="1"/>
  <c r="H146" i="1"/>
  <c r="E146" i="1"/>
  <c r="H143" i="1"/>
  <c r="E143" i="1"/>
  <c r="H140" i="1"/>
  <c r="E140" i="1"/>
  <c r="H137" i="1"/>
  <c r="E137" i="1"/>
  <c r="E134" i="1"/>
  <c r="E131" i="1"/>
  <c r="E114" i="1"/>
  <c r="E113" i="1"/>
  <c r="C113" i="1"/>
  <c r="C114" i="1" s="1"/>
  <c r="C115" i="1" s="1"/>
  <c r="C116" i="1" s="1"/>
  <c r="C117" i="1" s="1"/>
  <c r="C118" i="1" s="1"/>
  <c r="C119" i="1" s="1"/>
  <c r="C120" i="1" s="1"/>
  <c r="C121" i="1" s="1"/>
  <c r="C122" i="1" s="1"/>
  <c r="C123" i="1" s="1"/>
  <c r="C124" i="1" s="1"/>
  <c r="C125" i="1" s="1"/>
  <c r="C126" i="1" s="1"/>
  <c r="C127" i="1" s="1"/>
  <c r="C128" i="1" s="1"/>
  <c r="C129" i="1" s="1"/>
  <c r="C130" i="1" s="1"/>
  <c r="C131" i="1" s="1"/>
  <c r="C132" i="1" s="1"/>
  <c r="C133" i="1" s="1"/>
  <c r="C134" i="1" s="1"/>
  <c r="C135" i="1" s="1"/>
  <c r="C136" i="1" s="1"/>
  <c r="C137" i="1" s="1"/>
  <c r="C138" i="1" s="1"/>
  <c r="C139" i="1" s="1"/>
  <c r="C140" i="1" s="1"/>
  <c r="C141" i="1" s="1"/>
  <c r="H112" i="1"/>
  <c r="E112" i="1"/>
  <c r="B112" i="1"/>
  <c r="B113" i="1" s="1"/>
  <c r="A112" i="1"/>
  <c r="I112" i="1" s="1"/>
  <c r="F1715" i="1" l="1"/>
  <c r="F1689" i="1"/>
  <c r="B114" i="1"/>
  <c r="G113" i="1" s="1"/>
  <c r="A113" i="1"/>
  <c r="A114" i="1" s="1"/>
  <c r="F114" i="1" s="1"/>
  <c r="C142" i="1"/>
  <c r="C143" i="1" s="1"/>
  <c r="C144" i="1" s="1"/>
  <c r="C145" i="1" s="1"/>
  <c r="C146" i="1" s="1"/>
  <c r="C147" i="1" s="1"/>
  <c r="C148" i="1" s="1"/>
  <c r="C149" i="1" s="1"/>
  <c r="C150" i="1" s="1"/>
  <c r="C151" i="1" s="1"/>
  <c r="C152" i="1" s="1"/>
  <c r="C153" i="1" s="1"/>
  <c r="C154" i="1" s="1"/>
  <c r="C155" i="1" s="1"/>
  <c r="F113" i="1"/>
  <c r="G112" i="1"/>
  <c r="D1690" i="1" l="1"/>
  <c r="E1654" i="1"/>
  <c r="D1653" i="1"/>
  <c r="F1714" i="1"/>
  <c r="F1688" i="1"/>
  <c r="F1687" i="1"/>
  <c r="B115" i="1"/>
  <c r="G114" i="1" s="1"/>
  <c r="C156" i="1"/>
  <c r="C157" i="1" s="1"/>
  <c r="C158" i="1" s="1"/>
  <c r="C159" i="1" s="1"/>
  <c r="C160" i="1" s="1"/>
  <c r="C161" i="1" s="1"/>
  <c r="C162" i="1" s="1"/>
  <c r="C163" i="1" s="1"/>
  <c r="C164" i="1" s="1"/>
  <c r="C165" i="1" s="1"/>
  <c r="C166" i="1" s="1"/>
  <c r="C167" i="1" s="1"/>
  <c r="C168" i="1" s="1"/>
  <c r="C169" i="1" s="1"/>
  <c r="C170" i="1" s="1"/>
  <c r="C171" i="1" s="1"/>
  <c r="C172" i="1" s="1"/>
  <c r="C173" i="1" s="1"/>
  <c r="A115" i="1"/>
  <c r="A116" i="1" s="1"/>
  <c r="A117" i="1" s="1"/>
  <c r="A118" i="1" s="1"/>
  <c r="I118" i="1" s="1"/>
  <c r="F1686" i="1" l="1"/>
  <c r="F1713" i="1"/>
  <c r="E1690" i="1"/>
  <c r="D1715" i="1"/>
  <c r="D1689" i="1"/>
  <c r="E1653" i="1"/>
  <c r="B116" i="1"/>
  <c r="B117" i="1" s="1"/>
  <c r="I116" i="1"/>
  <c r="A119" i="1"/>
  <c r="A120" i="1" s="1"/>
  <c r="I120" i="1" s="1"/>
  <c r="D1651" i="1" l="1"/>
  <c r="D1687" i="1"/>
  <c r="E1652" i="1"/>
  <c r="E1689" i="1"/>
  <c r="F1685" i="1"/>
  <c r="F1684" i="1"/>
  <c r="F1712" i="1"/>
  <c r="E1715" i="1"/>
  <c r="G116" i="1"/>
  <c r="B118" i="1"/>
  <c r="A121" i="1"/>
  <c r="A122" i="1" s="1"/>
  <c r="I122" i="1" s="1"/>
  <c r="F1711" i="1" l="1"/>
  <c r="F1683" i="1"/>
  <c r="E1687" i="1"/>
  <c r="D1713" i="1"/>
  <c r="D1650" i="1"/>
  <c r="E1651" i="1"/>
  <c r="D1686" i="1"/>
  <c r="B119" i="1"/>
  <c r="A123" i="1"/>
  <c r="A124" i="1" s="1"/>
  <c r="I124" i="1" s="1"/>
  <c r="F1681" i="1" l="1"/>
  <c r="F1710" i="1"/>
  <c r="F1682" i="1"/>
  <c r="D1684" i="1"/>
  <c r="E1650" i="1"/>
  <c r="D1649" i="1"/>
  <c r="E1686" i="1"/>
  <c r="E1713" i="1"/>
  <c r="B120" i="1"/>
  <c r="A125" i="1"/>
  <c r="A126" i="1" s="1"/>
  <c r="I126" i="1" s="1"/>
  <c r="D1711" i="1" l="1"/>
  <c r="E1649" i="1"/>
  <c r="D1683" i="1"/>
  <c r="E1684" i="1"/>
  <c r="F1709" i="1"/>
  <c r="F1680" i="1"/>
  <c r="B121" i="1"/>
  <c r="A127" i="1"/>
  <c r="A128" i="1" s="1"/>
  <c r="E1683" i="1" l="1"/>
  <c r="F1708" i="1"/>
  <c r="F1679" i="1"/>
  <c r="F1678" i="1"/>
  <c r="D1681" i="1"/>
  <c r="E1648" i="1"/>
  <c r="D1647" i="1"/>
  <c r="E1711" i="1"/>
  <c r="A129" i="1"/>
  <c r="A130" i="1" s="1"/>
  <c r="I128" i="1"/>
  <c r="G120" i="1"/>
  <c r="B122" i="1"/>
  <c r="E1681" i="1" l="1"/>
  <c r="F1707" i="1"/>
  <c r="F1677" i="1"/>
  <c r="D1709" i="1"/>
  <c r="D1680" i="1"/>
  <c r="E1647" i="1"/>
  <c r="D1646" i="1"/>
  <c r="A131" i="1"/>
  <c r="A132" i="1" s="1"/>
  <c r="A133" i="1" s="1"/>
  <c r="A134" i="1" s="1"/>
  <c r="A135" i="1" s="1"/>
  <c r="A136" i="1" s="1"/>
  <c r="A137" i="1" s="1"/>
  <c r="A138" i="1" s="1"/>
  <c r="A139" i="1" s="1"/>
  <c r="A140" i="1" s="1"/>
  <c r="A141" i="1" s="1"/>
  <c r="I130" i="1"/>
  <c r="B123" i="1"/>
  <c r="E1680" i="1" l="1"/>
  <c r="D1678" i="1"/>
  <c r="E1646" i="1"/>
  <c r="D1645" i="1"/>
  <c r="E1709" i="1"/>
  <c r="F1706" i="1"/>
  <c r="F1676" i="1"/>
  <c r="F1675" i="1"/>
  <c r="B124" i="1"/>
  <c r="F1705" i="1" l="1"/>
  <c r="F1674" i="1"/>
  <c r="E1678" i="1"/>
  <c r="D1707" i="1"/>
  <c r="D1677" i="1"/>
  <c r="E1645" i="1"/>
  <c r="B125" i="1"/>
  <c r="D1643" i="1" l="1"/>
  <c r="D1675" i="1"/>
  <c r="E1644" i="1"/>
  <c r="F1704" i="1"/>
  <c r="F1673" i="1"/>
  <c r="F1672" i="1"/>
  <c r="E1677" i="1"/>
  <c r="E1707" i="1"/>
  <c r="G124" i="1"/>
  <c r="B126" i="1"/>
  <c r="F1703" i="1" l="1"/>
  <c r="F1671" i="1"/>
  <c r="E1675" i="1"/>
  <c r="D1705" i="1"/>
  <c r="D1642" i="1"/>
  <c r="D1674" i="1"/>
  <c r="E1643" i="1"/>
  <c r="B127" i="1"/>
  <c r="D1672" i="1" l="1"/>
  <c r="E1642" i="1"/>
  <c r="D1641" i="1"/>
  <c r="E1705" i="1"/>
  <c r="F1702" i="1"/>
  <c r="F1670" i="1"/>
  <c r="F1669" i="1"/>
  <c r="E1674" i="1"/>
  <c r="G126" i="1"/>
  <c r="B128" i="1"/>
  <c r="F1701" i="1" l="1"/>
  <c r="F1668" i="1"/>
  <c r="D1703" i="1"/>
  <c r="D1671" i="1"/>
  <c r="E1641" i="1"/>
  <c r="E1672" i="1"/>
  <c r="B129" i="1"/>
  <c r="D1669" i="1" l="1"/>
  <c r="E1640" i="1"/>
  <c r="D1639" i="1"/>
  <c r="E1703" i="1"/>
  <c r="F1700" i="1"/>
  <c r="F1667" i="1"/>
  <c r="F1666" i="1"/>
  <c r="E1671" i="1"/>
  <c r="B130" i="1"/>
  <c r="G128" i="1"/>
  <c r="D1701" i="1" l="1"/>
  <c r="D1668" i="1"/>
  <c r="E1639" i="1"/>
  <c r="D1638" i="1"/>
  <c r="F1665" i="1"/>
  <c r="F1699" i="1"/>
  <c r="E1669" i="1"/>
  <c r="B131" i="1"/>
  <c r="G130" i="1" s="1"/>
  <c r="E1701" i="1" l="1"/>
  <c r="F1698" i="1"/>
  <c r="F1664" i="1"/>
  <c r="F1663" i="1"/>
  <c r="D1666" i="1"/>
  <c r="E1638" i="1"/>
  <c r="D1637" i="1"/>
  <c r="E1668" i="1"/>
  <c r="B132" i="1"/>
  <c r="G131" i="1" s="1"/>
  <c r="E1666" i="1" l="1"/>
  <c r="D1699" i="1"/>
  <c r="D1665" i="1"/>
  <c r="E1637" i="1"/>
  <c r="F1697" i="1"/>
  <c r="F1662" i="1"/>
  <c r="B133" i="1"/>
  <c r="E1699" i="1" l="1"/>
  <c r="F1696" i="1"/>
  <c r="F1661" i="1"/>
  <c r="F1660" i="1"/>
  <c r="E1665" i="1"/>
  <c r="D1635" i="1"/>
  <c r="D1663" i="1"/>
  <c r="E1636" i="1"/>
  <c r="B134" i="1"/>
  <c r="E1663" i="1" l="1"/>
  <c r="D1697" i="1"/>
  <c r="D1662" i="1"/>
  <c r="E1635" i="1"/>
  <c r="F1695" i="1"/>
  <c r="F1659" i="1"/>
  <c r="B135" i="1"/>
  <c r="G134" i="1" s="1"/>
  <c r="E1697" i="1" l="1"/>
  <c r="E1662" i="1"/>
  <c r="F1694" i="1"/>
  <c r="F1657" i="1"/>
  <c r="F1658" i="1"/>
  <c r="D1660" i="1"/>
  <c r="E1634" i="1"/>
  <c r="D1633" i="1"/>
  <c r="B136" i="1"/>
  <c r="B137" i="1" s="1"/>
  <c r="B138" i="1" s="1"/>
  <c r="B139" i="1" s="1"/>
  <c r="B140" i="1" s="1"/>
  <c r="B141" i="1" s="1"/>
  <c r="D1695" i="1" l="1"/>
  <c r="D1659" i="1"/>
  <c r="E1633" i="1"/>
  <c r="E1660" i="1"/>
  <c r="F1693" i="1"/>
  <c r="F1656" i="1"/>
  <c r="F131" i="1"/>
  <c r="D1657" i="1" l="1"/>
  <c r="E1632" i="1"/>
  <c r="D1631" i="1"/>
  <c r="E1695" i="1"/>
  <c r="E1659" i="1"/>
  <c r="I133" i="1"/>
  <c r="E1657" i="1" l="1"/>
  <c r="D1693" i="1"/>
  <c r="D1656" i="1"/>
  <c r="E1631" i="1"/>
  <c r="I134" i="1"/>
  <c r="E1656" i="1" l="1"/>
  <c r="E1693" i="1"/>
  <c r="I136" i="1"/>
  <c r="I137" i="1" l="1"/>
  <c r="I139" i="1" l="1"/>
  <c r="I140" i="1" l="1"/>
  <c r="A142" i="1"/>
  <c r="I142" i="1" l="1"/>
  <c r="A143" i="1"/>
  <c r="I143" i="1" l="1"/>
  <c r="A144" i="1"/>
  <c r="A145" i="1" s="1"/>
  <c r="A146" i="1" l="1"/>
  <c r="I145" i="1"/>
  <c r="A147" i="1" l="1"/>
  <c r="A148" i="1" s="1"/>
  <c r="I146" i="1"/>
  <c r="A149" i="1" l="1"/>
  <c r="I148" i="1"/>
  <c r="A150" i="1" l="1"/>
  <c r="A151" i="1" s="1"/>
  <c r="I149" i="1"/>
  <c r="I151" i="1" l="1"/>
  <c r="A152" i="1"/>
  <c r="I152" i="1" l="1"/>
  <c r="A153" i="1"/>
  <c r="A154" i="1" s="1"/>
  <c r="A155" i="1" l="1"/>
  <c r="A156" i="1" s="1"/>
  <c r="A157" i="1" s="1"/>
  <c r="A158" i="1" s="1"/>
  <c r="A159" i="1" s="1"/>
  <c r="A160" i="1" s="1"/>
  <c r="A161" i="1" s="1"/>
  <c r="A162" i="1" s="1"/>
  <c r="A163" i="1" s="1"/>
  <c r="I154" i="1"/>
  <c r="I155" i="1" l="1"/>
  <c r="F248" i="1" l="1"/>
  <c r="F227" i="1"/>
  <c r="F226" i="1"/>
  <c r="D226" i="1"/>
  <c r="H226" i="1" s="1"/>
  <c r="D195" i="1"/>
  <c r="H195" i="1" s="1"/>
  <c r="E196" i="1"/>
  <c r="D247" i="1" l="1"/>
  <c r="H247" i="1" s="1"/>
  <c r="D225" i="1"/>
  <c r="H225" i="1" s="1"/>
  <c r="E195" i="1"/>
  <c r="F225" i="1"/>
  <c r="F247" i="1"/>
  <c r="E226" i="1"/>
  <c r="D1026" i="1" l="1"/>
  <c r="H1026" i="1" s="1"/>
  <c r="D980" i="1"/>
  <c r="H980" i="1" s="1"/>
  <c r="E981" i="1"/>
  <c r="F246" i="1"/>
  <c r="F224" i="1"/>
  <c r="F223" i="1"/>
  <c r="D223" i="1"/>
  <c r="H223" i="1" s="1"/>
  <c r="D193" i="1"/>
  <c r="H193" i="1" s="1"/>
  <c r="E194" i="1"/>
  <c r="E225" i="1"/>
  <c r="E247" i="1"/>
  <c r="F172" i="1"/>
  <c r="F154" i="1"/>
  <c r="F155" i="1"/>
  <c r="D1057" i="1" l="1"/>
  <c r="H1057" i="1" s="1"/>
  <c r="E980" i="1"/>
  <c r="D1025" i="1"/>
  <c r="H1025" i="1" s="1"/>
  <c r="E1026" i="1"/>
  <c r="D245" i="1"/>
  <c r="D222" i="1"/>
  <c r="H222" i="1" s="1"/>
  <c r="E193" i="1"/>
  <c r="F245" i="1"/>
  <c r="F222" i="1"/>
  <c r="E223" i="1"/>
  <c r="F153" i="1"/>
  <c r="F171" i="1"/>
  <c r="D1023" i="1" l="1"/>
  <c r="H1023" i="1" s="1"/>
  <c r="E979" i="1"/>
  <c r="D978" i="1"/>
  <c r="H978" i="1" s="1"/>
  <c r="E1025" i="1"/>
  <c r="E1057" i="1"/>
  <c r="D287" i="1"/>
  <c r="H287" i="1" s="1"/>
  <c r="E266" i="1"/>
  <c r="E192" i="1"/>
  <c r="D220" i="1"/>
  <c r="H220" i="1" s="1"/>
  <c r="D191" i="1"/>
  <c r="H191" i="1" s="1"/>
  <c r="F244" i="1"/>
  <c r="F221" i="1"/>
  <c r="F220" i="1"/>
  <c r="E222" i="1"/>
  <c r="E245" i="1"/>
  <c r="H245" i="1"/>
  <c r="F151" i="1"/>
  <c r="F170" i="1"/>
  <c r="F152" i="1"/>
  <c r="D154" i="1"/>
  <c r="E130" i="1"/>
  <c r="D129" i="1"/>
  <c r="D1055" i="1" l="1"/>
  <c r="H1055" i="1" s="1"/>
  <c r="D1022" i="1"/>
  <c r="H1022" i="1" s="1"/>
  <c r="E978" i="1"/>
  <c r="D977" i="1"/>
  <c r="H977" i="1" s="1"/>
  <c r="E1023" i="1"/>
  <c r="E287" i="1"/>
  <c r="F303" i="1"/>
  <c r="F287" i="1"/>
  <c r="F288" i="1"/>
  <c r="D286" i="1"/>
  <c r="H286" i="1" s="1"/>
  <c r="E265" i="1"/>
  <c r="D302" i="1"/>
  <c r="H302" i="1" s="1"/>
  <c r="F243" i="1"/>
  <c r="F219" i="1"/>
  <c r="D243" i="1"/>
  <c r="E191" i="1"/>
  <c r="D219" i="1"/>
  <c r="H219" i="1" s="1"/>
  <c r="D190" i="1"/>
  <c r="H190" i="1" s="1"/>
  <c r="E220" i="1"/>
  <c r="H129" i="1"/>
  <c r="G129" i="1"/>
  <c r="D171" i="1"/>
  <c r="D153" i="1"/>
  <c r="E129" i="1"/>
  <c r="F169" i="1"/>
  <c r="F150" i="1"/>
  <c r="H154" i="1"/>
  <c r="E154" i="1"/>
  <c r="F1058" i="1" l="1"/>
  <c r="F1027" i="1"/>
  <c r="F1026" i="1"/>
  <c r="E1022" i="1"/>
  <c r="D1020" i="1"/>
  <c r="H1020" i="1" s="1"/>
  <c r="E977" i="1"/>
  <c r="D976" i="1"/>
  <c r="H976" i="1" s="1"/>
  <c r="E1055" i="1"/>
  <c r="E302" i="1"/>
  <c r="E286" i="1"/>
  <c r="E264" i="1"/>
  <c r="D284" i="1"/>
  <c r="H284" i="1" s="1"/>
  <c r="F302" i="1"/>
  <c r="F286" i="1"/>
  <c r="E243" i="1"/>
  <c r="H243" i="1"/>
  <c r="E219" i="1"/>
  <c r="D189" i="1"/>
  <c r="H189" i="1" s="1"/>
  <c r="D217" i="1"/>
  <c r="H217" i="1" s="1"/>
  <c r="E190" i="1"/>
  <c r="F242" i="1"/>
  <c r="F218" i="1"/>
  <c r="F217" i="1"/>
  <c r="H153" i="1"/>
  <c r="E153" i="1"/>
  <c r="D127" i="1"/>
  <c r="D151" i="1"/>
  <c r="E128" i="1"/>
  <c r="F149" i="1"/>
  <c r="F148" i="1"/>
  <c r="F168" i="1"/>
  <c r="H171" i="1"/>
  <c r="E171" i="1"/>
  <c r="F1363" i="1" l="1"/>
  <c r="F1331" i="1"/>
  <c r="F1332" i="1"/>
  <c r="F1252" i="1"/>
  <c r="F1223" i="1"/>
  <c r="F1222" i="1"/>
  <c r="E1020" i="1"/>
  <c r="F1057" i="1"/>
  <c r="F1025" i="1"/>
  <c r="D1053" i="1"/>
  <c r="H1053" i="1" s="1"/>
  <c r="E976" i="1"/>
  <c r="D975" i="1"/>
  <c r="H975" i="1" s="1"/>
  <c r="D1019" i="1"/>
  <c r="H1019" i="1" s="1"/>
  <c r="F301" i="1"/>
  <c r="F284" i="1"/>
  <c r="F285" i="1"/>
  <c r="E263" i="1"/>
  <c r="D300" i="1"/>
  <c r="H300" i="1" s="1"/>
  <c r="D283" i="1"/>
  <c r="H283" i="1" s="1"/>
  <c r="E284" i="1"/>
  <c r="F241" i="1"/>
  <c r="F216" i="1"/>
  <c r="E217" i="1"/>
  <c r="D241" i="1"/>
  <c r="D216" i="1"/>
  <c r="H216" i="1" s="1"/>
  <c r="E189" i="1"/>
  <c r="H127" i="1"/>
  <c r="G127" i="1"/>
  <c r="F167" i="1"/>
  <c r="F147" i="1"/>
  <c r="D169" i="1"/>
  <c r="D150" i="1"/>
  <c r="E127" i="1"/>
  <c r="E151" i="1"/>
  <c r="H151" i="1"/>
  <c r="F1362" i="1" l="1"/>
  <c r="F1330" i="1"/>
  <c r="D1285" i="1"/>
  <c r="D1331" i="1"/>
  <c r="E1286" i="1"/>
  <c r="F1251" i="1"/>
  <c r="F1221" i="1"/>
  <c r="E975" i="1"/>
  <c r="D974" i="1"/>
  <c r="H974" i="1" s="1"/>
  <c r="D1017" i="1"/>
  <c r="H1017" i="1" s="1"/>
  <c r="E1053" i="1"/>
  <c r="E1019" i="1"/>
  <c r="F1056" i="1"/>
  <c r="F1024" i="1"/>
  <c r="F1023" i="1"/>
  <c r="D829" i="1"/>
  <c r="D789" i="1"/>
  <c r="E790" i="1"/>
  <c r="F300" i="1"/>
  <c r="F283" i="1"/>
  <c r="D281" i="1"/>
  <c r="H281" i="1" s="1"/>
  <c r="E262" i="1"/>
  <c r="E283" i="1"/>
  <c r="E300" i="1"/>
  <c r="E216" i="1"/>
  <c r="F240" i="1"/>
  <c r="F215" i="1"/>
  <c r="F214" i="1"/>
  <c r="E188" i="1"/>
  <c r="D187" i="1"/>
  <c r="H187" i="1" s="1"/>
  <c r="D214" i="1"/>
  <c r="H214" i="1" s="1"/>
  <c r="E241" i="1"/>
  <c r="H241" i="1"/>
  <c r="H169" i="1"/>
  <c r="E169" i="1"/>
  <c r="D148" i="1"/>
  <c r="E126" i="1"/>
  <c r="D125" i="1"/>
  <c r="E150" i="1"/>
  <c r="H150" i="1"/>
  <c r="F166" i="1"/>
  <c r="F145" i="1"/>
  <c r="F146" i="1"/>
  <c r="D1362" i="1" l="1"/>
  <c r="D1330" i="1"/>
  <c r="E1285" i="1"/>
  <c r="E1331" i="1"/>
  <c r="F1361" i="1"/>
  <c r="F1329" i="1"/>
  <c r="F1328" i="1"/>
  <c r="F1250" i="1"/>
  <c r="F1220" i="1"/>
  <c r="F1219" i="1"/>
  <c r="D1085" i="1"/>
  <c r="H1085" i="1" s="1"/>
  <c r="D1122" i="1"/>
  <c r="H1122" i="1" s="1"/>
  <c r="E1086" i="1"/>
  <c r="E1017" i="1"/>
  <c r="F1055" i="1"/>
  <c r="F1022" i="1"/>
  <c r="D1051" i="1"/>
  <c r="H1051" i="1" s="1"/>
  <c r="D1016" i="1"/>
  <c r="H1016" i="1" s="1"/>
  <c r="E974" i="1"/>
  <c r="D828" i="1"/>
  <c r="E789" i="1"/>
  <c r="D856" i="1"/>
  <c r="E829" i="1"/>
  <c r="E281" i="1"/>
  <c r="D298" i="1"/>
  <c r="H298" i="1" s="1"/>
  <c r="D280" i="1"/>
  <c r="H280" i="1" s="1"/>
  <c r="E261" i="1"/>
  <c r="F299" i="1"/>
  <c r="F282" i="1"/>
  <c r="F281" i="1"/>
  <c r="E214" i="1"/>
  <c r="F213" i="1"/>
  <c r="F239" i="1"/>
  <c r="D239" i="1"/>
  <c r="E187" i="1"/>
  <c r="D213" i="1"/>
  <c r="H213" i="1" s="1"/>
  <c r="H125" i="1"/>
  <c r="G125" i="1"/>
  <c r="H148" i="1"/>
  <c r="E148" i="1"/>
  <c r="D167" i="1"/>
  <c r="E125" i="1"/>
  <c r="D147" i="1"/>
  <c r="F165" i="1"/>
  <c r="F144" i="1"/>
  <c r="D1328" i="1" l="1"/>
  <c r="D1283" i="1"/>
  <c r="E1284" i="1"/>
  <c r="F1360" i="1"/>
  <c r="F1327" i="1"/>
  <c r="E1330" i="1"/>
  <c r="E1362" i="1"/>
  <c r="D1222" i="1"/>
  <c r="D1179" i="1"/>
  <c r="E1180" i="1"/>
  <c r="F1249" i="1"/>
  <c r="F1218" i="1"/>
  <c r="E1122" i="1"/>
  <c r="D1147" i="1"/>
  <c r="H1147" i="1" s="1"/>
  <c r="D1121" i="1"/>
  <c r="H1121" i="1" s="1"/>
  <c r="E1085" i="1"/>
  <c r="E1051" i="1"/>
  <c r="E1016" i="1"/>
  <c r="F1054" i="1"/>
  <c r="F1021" i="1"/>
  <c r="F1020" i="1"/>
  <c r="D972" i="1"/>
  <c r="H972" i="1" s="1"/>
  <c r="D1014" i="1"/>
  <c r="H1014" i="1" s="1"/>
  <c r="E973" i="1"/>
  <c r="E856" i="1"/>
  <c r="E828" i="1"/>
  <c r="D787" i="1"/>
  <c r="D826" i="1"/>
  <c r="E788" i="1"/>
  <c r="F830" i="1"/>
  <c r="F857" i="1"/>
  <c r="F829" i="1"/>
  <c r="E298" i="1"/>
  <c r="F298" i="1"/>
  <c r="F280" i="1"/>
  <c r="D259" i="1"/>
  <c r="H259" i="1" s="1"/>
  <c r="E260" i="1"/>
  <c r="D278" i="1"/>
  <c r="H278" i="1" s="1"/>
  <c r="E280" i="1"/>
  <c r="D211" i="1"/>
  <c r="H211" i="1" s="1"/>
  <c r="D185" i="1"/>
  <c r="H185" i="1" s="1"/>
  <c r="E186" i="1"/>
  <c r="E239" i="1"/>
  <c r="H239" i="1"/>
  <c r="E213" i="1"/>
  <c r="F238" i="1"/>
  <c r="F212" i="1"/>
  <c r="F211" i="1"/>
  <c r="F164" i="1"/>
  <c r="F142" i="1"/>
  <c r="F143" i="1"/>
  <c r="E147" i="1"/>
  <c r="H147" i="1"/>
  <c r="H167" i="1"/>
  <c r="E167" i="1"/>
  <c r="E124" i="1"/>
  <c r="D123" i="1"/>
  <c r="D145" i="1"/>
  <c r="F1359" i="1" l="1"/>
  <c r="F1326" i="1"/>
  <c r="F1325" i="1"/>
  <c r="D1360" i="1"/>
  <c r="D1327" i="1"/>
  <c r="D1282" i="1"/>
  <c r="E1283" i="1"/>
  <c r="E1328" i="1"/>
  <c r="F1248" i="1"/>
  <c r="F1217" i="1"/>
  <c r="F1216" i="1"/>
  <c r="D1251" i="1"/>
  <c r="D1221" i="1"/>
  <c r="D1178" i="1"/>
  <c r="E1179" i="1"/>
  <c r="E1222" i="1"/>
  <c r="E1147" i="1"/>
  <c r="E1121" i="1"/>
  <c r="D1119" i="1"/>
  <c r="H1119" i="1" s="1"/>
  <c r="E1084" i="1"/>
  <c r="D1083" i="1"/>
  <c r="H1083" i="1" s="1"/>
  <c r="E1014" i="1"/>
  <c r="F1053" i="1"/>
  <c r="F1019" i="1"/>
  <c r="D1049" i="1"/>
  <c r="H1049" i="1" s="1"/>
  <c r="D1013" i="1"/>
  <c r="H1013" i="1" s="1"/>
  <c r="E972" i="1"/>
  <c r="E826" i="1"/>
  <c r="F856" i="1"/>
  <c r="F828" i="1"/>
  <c r="D825" i="1"/>
  <c r="D854" i="1"/>
  <c r="E787" i="1"/>
  <c r="F490" i="1"/>
  <c r="F463" i="1"/>
  <c r="F462" i="1"/>
  <c r="D277" i="1"/>
  <c r="H277" i="1" s="1"/>
  <c r="D296" i="1"/>
  <c r="H296" i="1" s="1"/>
  <c r="E259" i="1"/>
  <c r="E278" i="1"/>
  <c r="F297" i="1"/>
  <c r="F278" i="1"/>
  <c r="F279" i="1"/>
  <c r="D237" i="1"/>
  <c r="H237" i="1" s="1"/>
  <c r="D210" i="1"/>
  <c r="H210" i="1" s="1"/>
  <c r="E185" i="1"/>
  <c r="F237" i="1"/>
  <c r="F210" i="1"/>
  <c r="E211" i="1"/>
  <c r="H123" i="1"/>
  <c r="G123" i="1"/>
  <c r="H145" i="1"/>
  <c r="E145" i="1"/>
  <c r="F163" i="1"/>
  <c r="F141" i="1"/>
  <c r="D165" i="1"/>
  <c r="D144" i="1"/>
  <c r="E123" i="1"/>
  <c r="D122" i="1"/>
  <c r="E1282" i="1" l="1"/>
  <c r="D1325" i="1"/>
  <c r="D1281" i="1"/>
  <c r="E1327" i="1"/>
  <c r="F1358" i="1"/>
  <c r="F1324" i="1"/>
  <c r="E1360" i="1"/>
  <c r="E1178" i="1"/>
  <c r="D1177" i="1"/>
  <c r="D1219" i="1"/>
  <c r="F1247" i="1"/>
  <c r="F1215" i="1"/>
  <c r="E1221" i="1"/>
  <c r="E1251" i="1"/>
  <c r="E1119" i="1"/>
  <c r="D1145" i="1"/>
  <c r="H1145" i="1" s="1"/>
  <c r="D1118" i="1"/>
  <c r="H1118" i="1" s="1"/>
  <c r="E1083" i="1"/>
  <c r="D1082" i="1"/>
  <c r="H1082" i="1" s="1"/>
  <c r="E1013" i="1"/>
  <c r="E1049" i="1"/>
  <c r="D1011" i="1"/>
  <c r="H1011" i="1" s="1"/>
  <c r="E971" i="1"/>
  <c r="D970" i="1"/>
  <c r="H970" i="1" s="1"/>
  <c r="F1052" i="1"/>
  <c r="F1018" i="1"/>
  <c r="F1017" i="1"/>
  <c r="D921" i="1"/>
  <c r="H921" i="1" s="1"/>
  <c r="D884" i="1"/>
  <c r="E885" i="1"/>
  <c r="E825" i="1"/>
  <c r="E854" i="1"/>
  <c r="D785" i="1"/>
  <c r="D823" i="1"/>
  <c r="E786" i="1"/>
  <c r="F855" i="1"/>
  <c r="F827" i="1"/>
  <c r="F826" i="1"/>
  <c r="F677" i="1"/>
  <c r="F650" i="1"/>
  <c r="F649" i="1"/>
  <c r="F489" i="1"/>
  <c r="F461" i="1"/>
  <c r="D462" i="1"/>
  <c r="E423" i="1"/>
  <c r="D422" i="1"/>
  <c r="F296" i="1"/>
  <c r="F277" i="1"/>
  <c r="E277" i="1"/>
  <c r="E296" i="1"/>
  <c r="D275" i="1"/>
  <c r="H275" i="1" s="1"/>
  <c r="D257" i="1"/>
  <c r="H257" i="1" s="1"/>
  <c r="E258" i="1"/>
  <c r="E210" i="1"/>
  <c r="F236" i="1"/>
  <c r="F209" i="1"/>
  <c r="F208" i="1"/>
  <c r="E184" i="1"/>
  <c r="D208" i="1"/>
  <c r="H208" i="1" s="1"/>
  <c r="D183" i="1"/>
  <c r="H183" i="1" s="1"/>
  <c r="E237" i="1"/>
  <c r="H122" i="1"/>
  <c r="G122" i="1"/>
  <c r="D142" i="1"/>
  <c r="E122" i="1"/>
  <c r="D121" i="1"/>
  <c r="F162" i="1"/>
  <c r="F139" i="1"/>
  <c r="F140" i="1"/>
  <c r="E144" i="1"/>
  <c r="H144" i="1"/>
  <c r="H165" i="1"/>
  <c r="E165" i="1"/>
  <c r="F1453" i="1" l="1"/>
  <c r="F1427" i="1"/>
  <c r="F1428" i="1"/>
  <c r="F1357" i="1"/>
  <c r="F1323" i="1"/>
  <c r="F1322" i="1"/>
  <c r="D1358" i="1"/>
  <c r="E1281" i="1"/>
  <c r="D1324" i="1"/>
  <c r="E1325" i="1"/>
  <c r="E1219" i="1"/>
  <c r="F1246" i="1"/>
  <c r="F1214" i="1"/>
  <c r="F1213" i="1"/>
  <c r="D1249" i="1"/>
  <c r="D1218" i="1"/>
  <c r="E1177" i="1"/>
  <c r="E1118" i="1"/>
  <c r="D1116" i="1"/>
  <c r="H1116" i="1" s="1"/>
  <c r="E1082" i="1"/>
  <c r="D1081" i="1"/>
  <c r="H1081" i="1" s="1"/>
  <c r="E1145" i="1"/>
  <c r="F1051" i="1"/>
  <c r="F1016" i="1"/>
  <c r="D1047" i="1"/>
  <c r="H1047" i="1" s="1"/>
  <c r="D1010" i="1"/>
  <c r="H1010" i="1" s="1"/>
  <c r="E970" i="1"/>
  <c r="E1011" i="1"/>
  <c r="E921" i="1"/>
  <c r="D946" i="1"/>
  <c r="H946" i="1" s="1"/>
  <c r="D920" i="1"/>
  <c r="H920" i="1" s="1"/>
  <c r="E884" i="1"/>
  <c r="E823" i="1"/>
  <c r="D852" i="1"/>
  <c r="D822" i="1"/>
  <c r="D784" i="1"/>
  <c r="E785" i="1"/>
  <c r="F854" i="1"/>
  <c r="F825" i="1"/>
  <c r="F676" i="1"/>
  <c r="F648" i="1"/>
  <c r="D649" i="1"/>
  <c r="D609" i="1"/>
  <c r="E610" i="1"/>
  <c r="F580" i="1"/>
  <c r="F555" i="1"/>
  <c r="F554" i="1"/>
  <c r="E462" i="1"/>
  <c r="D489" i="1"/>
  <c r="D461" i="1"/>
  <c r="E422" i="1"/>
  <c r="D421" i="1"/>
  <c r="F488" i="1"/>
  <c r="F460" i="1"/>
  <c r="F459" i="1"/>
  <c r="D274" i="1"/>
  <c r="H274" i="1" s="1"/>
  <c r="E257" i="1"/>
  <c r="D294" i="1"/>
  <c r="H294" i="1" s="1"/>
  <c r="F295" i="1"/>
  <c r="F275" i="1"/>
  <c r="F276" i="1"/>
  <c r="E275" i="1"/>
  <c r="E208" i="1"/>
  <c r="F207" i="1"/>
  <c r="F235" i="1"/>
  <c r="D235" i="1"/>
  <c r="H235" i="1" s="1"/>
  <c r="E183" i="1"/>
  <c r="D207" i="1"/>
  <c r="H207" i="1" s="1"/>
  <c r="H121" i="1"/>
  <c r="G121" i="1"/>
  <c r="F161" i="1"/>
  <c r="F138" i="1"/>
  <c r="H142" i="1"/>
  <c r="E142" i="1"/>
  <c r="D163" i="1"/>
  <c r="D141" i="1"/>
  <c r="E121" i="1"/>
  <c r="D1427" i="1" l="1"/>
  <c r="D1390" i="1"/>
  <c r="E1391" i="1"/>
  <c r="F1452" i="1"/>
  <c r="F1426" i="1"/>
  <c r="F1356" i="1"/>
  <c r="F1321" i="1"/>
  <c r="E1324" i="1"/>
  <c r="E1280" i="1"/>
  <c r="D1322" i="1"/>
  <c r="D1279" i="1"/>
  <c r="E1358" i="1"/>
  <c r="E1218" i="1"/>
  <c r="D1216" i="1"/>
  <c r="E1176" i="1"/>
  <c r="D1175" i="1"/>
  <c r="E1249" i="1"/>
  <c r="F1245" i="1"/>
  <c r="F1212" i="1"/>
  <c r="E1116" i="1"/>
  <c r="D1143" i="1"/>
  <c r="H1143" i="1" s="1"/>
  <c r="D1115" i="1"/>
  <c r="H1115" i="1" s="1"/>
  <c r="E1081" i="1"/>
  <c r="F1123" i="1"/>
  <c r="F1122" i="1"/>
  <c r="F1148" i="1"/>
  <c r="F1050" i="1"/>
  <c r="F1014" i="1"/>
  <c r="F1015" i="1"/>
  <c r="E1047" i="1"/>
  <c r="D1008" i="1"/>
  <c r="H1008" i="1" s="1"/>
  <c r="E969" i="1"/>
  <c r="D968" i="1"/>
  <c r="H968" i="1" s="1"/>
  <c r="E1010" i="1"/>
  <c r="D918" i="1"/>
  <c r="H918" i="1" s="1"/>
  <c r="D882" i="1"/>
  <c r="E883" i="1"/>
  <c r="E920" i="1"/>
  <c r="F921" i="1"/>
  <c r="F947" i="1"/>
  <c r="F922" i="1"/>
  <c r="E946" i="1"/>
  <c r="E852" i="1"/>
  <c r="E822" i="1"/>
  <c r="F853" i="1"/>
  <c r="F824" i="1"/>
  <c r="F823" i="1"/>
  <c r="E784" i="1"/>
  <c r="D820" i="1"/>
  <c r="D783" i="1"/>
  <c r="F675" i="1"/>
  <c r="F646" i="1"/>
  <c r="F647" i="1"/>
  <c r="E649" i="1"/>
  <c r="D676" i="1"/>
  <c r="D648" i="1"/>
  <c r="E609" i="1"/>
  <c r="F579" i="1"/>
  <c r="F553" i="1"/>
  <c r="E461" i="1"/>
  <c r="F487" i="1"/>
  <c r="F458" i="1"/>
  <c r="D459" i="1"/>
  <c r="E421" i="1"/>
  <c r="D420" i="1"/>
  <c r="E489" i="1"/>
  <c r="D367" i="1"/>
  <c r="H367" i="1" s="1"/>
  <c r="E331" i="1"/>
  <c r="D330" i="1"/>
  <c r="H330" i="1" s="1"/>
  <c r="E294" i="1"/>
  <c r="F294" i="1"/>
  <c r="F274" i="1"/>
  <c r="E256" i="1"/>
  <c r="D255" i="1"/>
  <c r="H255" i="1" s="1"/>
  <c r="D272" i="1"/>
  <c r="H272" i="1" s="1"/>
  <c r="E274" i="1"/>
  <c r="E207" i="1"/>
  <c r="E235" i="1"/>
  <c r="F234" i="1"/>
  <c r="F206" i="1"/>
  <c r="F205" i="1"/>
  <c r="E182" i="1"/>
  <c r="D205" i="1"/>
  <c r="H205" i="1" s="1"/>
  <c r="D181" i="1"/>
  <c r="H181" i="1" s="1"/>
  <c r="D119" i="1"/>
  <c r="D139" i="1"/>
  <c r="E120" i="1"/>
  <c r="H141" i="1"/>
  <c r="E141" i="1"/>
  <c r="H163" i="1"/>
  <c r="E163" i="1"/>
  <c r="F137" i="1"/>
  <c r="F136" i="1"/>
  <c r="F160" i="1"/>
  <c r="D1452" i="1" l="1"/>
  <c r="D1426" i="1"/>
  <c r="E1390" i="1"/>
  <c r="F1451" i="1"/>
  <c r="F1425" i="1"/>
  <c r="F1424" i="1"/>
  <c r="E1427" i="1"/>
  <c r="E1322" i="1"/>
  <c r="F1355" i="1"/>
  <c r="F1320" i="1"/>
  <c r="F1319" i="1"/>
  <c r="D1356" i="1"/>
  <c r="E1279" i="1"/>
  <c r="D1321" i="1"/>
  <c r="F1244" i="1"/>
  <c r="F1211" i="1"/>
  <c r="F1210" i="1"/>
  <c r="E1216" i="1"/>
  <c r="D1247" i="1"/>
  <c r="E1175" i="1"/>
  <c r="D1215" i="1"/>
  <c r="D1174" i="1"/>
  <c r="F1147" i="1"/>
  <c r="F1121" i="1"/>
  <c r="E1143" i="1"/>
  <c r="D1113" i="1"/>
  <c r="H1113" i="1" s="1"/>
  <c r="D1079" i="1"/>
  <c r="H1079" i="1" s="1"/>
  <c r="E1080" i="1"/>
  <c r="E1115" i="1"/>
  <c r="F1049" i="1"/>
  <c r="F1013" i="1"/>
  <c r="E1008" i="1"/>
  <c r="D1045" i="1"/>
  <c r="H1045" i="1" s="1"/>
  <c r="E968" i="1"/>
  <c r="D967" i="1"/>
  <c r="H967" i="1" s="1"/>
  <c r="D1007" i="1"/>
  <c r="H1007" i="1" s="1"/>
  <c r="D944" i="1"/>
  <c r="H944" i="1" s="1"/>
  <c r="D917" i="1"/>
  <c r="H917" i="1" s="1"/>
  <c r="E882" i="1"/>
  <c r="F946" i="1"/>
  <c r="F920" i="1"/>
  <c r="E918" i="1"/>
  <c r="D850" i="1"/>
  <c r="E783" i="1"/>
  <c r="D819" i="1"/>
  <c r="F852" i="1"/>
  <c r="F822" i="1"/>
  <c r="E820" i="1"/>
  <c r="E608" i="1"/>
  <c r="D646" i="1"/>
  <c r="D607" i="1"/>
  <c r="E676" i="1"/>
  <c r="E648" i="1"/>
  <c r="F674" i="1"/>
  <c r="F645" i="1"/>
  <c r="E518" i="1"/>
  <c r="D517" i="1"/>
  <c r="D554" i="1"/>
  <c r="F578" i="1"/>
  <c r="F552" i="1"/>
  <c r="F551" i="1"/>
  <c r="F486" i="1"/>
  <c r="F457" i="1"/>
  <c r="F456" i="1"/>
  <c r="D487" i="1"/>
  <c r="D458" i="1"/>
  <c r="E420" i="1"/>
  <c r="E459" i="1"/>
  <c r="E367" i="1"/>
  <c r="D392" i="1"/>
  <c r="H392" i="1" s="1"/>
  <c r="D366" i="1"/>
  <c r="H366" i="1" s="1"/>
  <c r="E330" i="1"/>
  <c r="F393" i="1"/>
  <c r="F368" i="1"/>
  <c r="F367" i="1"/>
  <c r="E255" i="1"/>
  <c r="D271" i="1"/>
  <c r="H271" i="1" s="1"/>
  <c r="D292" i="1"/>
  <c r="H292" i="1" s="1"/>
  <c r="E272" i="1"/>
  <c r="F293" i="1"/>
  <c r="F272" i="1"/>
  <c r="F273" i="1"/>
  <c r="D233" i="1"/>
  <c r="H233" i="1" s="1"/>
  <c r="E181" i="1"/>
  <c r="D204" i="1"/>
  <c r="H204" i="1" s="1"/>
  <c r="F233" i="1"/>
  <c r="F204" i="1"/>
  <c r="E205" i="1"/>
  <c r="H119" i="1"/>
  <c r="G119" i="1"/>
  <c r="D161" i="1"/>
  <c r="D138" i="1"/>
  <c r="D118" i="1"/>
  <c r="E119" i="1"/>
  <c r="F159" i="1"/>
  <c r="F135" i="1"/>
  <c r="E139" i="1"/>
  <c r="H139" i="1"/>
  <c r="D1424" i="1" l="1"/>
  <c r="E1389" i="1"/>
  <c r="D1388" i="1"/>
  <c r="E1426" i="1"/>
  <c r="F1423" i="1"/>
  <c r="F1450" i="1"/>
  <c r="E1452" i="1"/>
  <c r="D1319" i="1"/>
  <c r="E1278" i="1"/>
  <c r="D1277" i="1"/>
  <c r="E1356" i="1"/>
  <c r="F1354" i="1"/>
  <c r="F1318" i="1"/>
  <c r="E1321" i="1"/>
  <c r="E1247" i="1"/>
  <c r="F1243" i="1"/>
  <c r="F1209" i="1"/>
  <c r="D1213" i="1"/>
  <c r="E1174" i="1"/>
  <c r="D1173" i="1"/>
  <c r="E1215" i="1"/>
  <c r="D1141" i="1"/>
  <c r="H1141" i="1" s="1"/>
  <c r="D1112" i="1"/>
  <c r="H1112" i="1" s="1"/>
  <c r="E1079" i="1"/>
  <c r="F1146" i="1"/>
  <c r="F1120" i="1"/>
  <c r="F1119" i="1"/>
  <c r="E1113" i="1"/>
  <c r="D966" i="1"/>
  <c r="H966" i="1" s="1"/>
  <c r="D1005" i="1"/>
  <c r="H1005" i="1" s="1"/>
  <c r="E967" i="1"/>
  <c r="E1045" i="1"/>
  <c r="F1048" i="1"/>
  <c r="F1011" i="1"/>
  <c r="F1012" i="1"/>
  <c r="E1007" i="1"/>
  <c r="F945" i="1"/>
  <c r="F919" i="1"/>
  <c r="F918" i="1"/>
  <c r="D915" i="1"/>
  <c r="H915" i="1" s="1"/>
  <c r="E881" i="1"/>
  <c r="D880" i="1"/>
  <c r="E917" i="1"/>
  <c r="E944" i="1"/>
  <c r="F851" i="1"/>
  <c r="F821" i="1"/>
  <c r="F820" i="1"/>
  <c r="D817" i="1"/>
  <c r="E782" i="1"/>
  <c r="D781" i="1"/>
  <c r="E819" i="1"/>
  <c r="E850" i="1"/>
  <c r="D674" i="1"/>
  <c r="E607" i="1"/>
  <c r="D645" i="1"/>
  <c r="F644" i="1"/>
  <c r="F643" i="1"/>
  <c r="F673" i="1"/>
  <c r="E646" i="1"/>
  <c r="F577" i="1"/>
  <c r="F550" i="1"/>
  <c r="D579" i="1"/>
  <c r="D553" i="1"/>
  <c r="E517" i="1"/>
  <c r="E554" i="1"/>
  <c r="F485" i="1"/>
  <c r="F455" i="1"/>
  <c r="D456" i="1"/>
  <c r="D418" i="1"/>
  <c r="E419" i="1"/>
  <c r="E458" i="1"/>
  <c r="E487" i="1"/>
  <c r="E366" i="1"/>
  <c r="F392" i="1"/>
  <c r="F366" i="1"/>
  <c r="D364" i="1"/>
  <c r="H364" i="1" s="1"/>
  <c r="E329" i="1"/>
  <c r="D328" i="1"/>
  <c r="H328" i="1" s="1"/>
  <c r="E392" i="1"/>
  <c r="E292" i="1"/>
  <c r="D269" i="1"/>
  <c r="H269" i="1" s="1"/>
  <c r="D253" i="1"/>
  <c r="H253" i="1" s="1"/>
  <c r="E254" i="1"/>
  <c r="E271" i="1"/>
  <c r="F292" i="1"/>
  <c r="F271" i="1"/>
  <c r="F232" i="1"/>
  <c r="F203" i="1"/>
  <c r="F202" i="1"/>
  <c r="D202" i="1"/>
  <c r="H202" i="1" s="1"/>
  <c r="D179" i="1"/>
  <c r="H179" i="1" s="1"/>
  <c r="E180" i="1"/>
  <c r="E204" i="1"/>
  <c r="E233" i="1"/>
  <c r="H118" i="1"/>
  <c r="G118" i="1"/>
  <c r="E118" i="1"/>
  <c r="D136" i="1"/>
  <c r="D117" i="1"/>
  <c r="E138" i="1"/>
  <c r="H138" i="1"/>
  <c r="F158" i="1"/>
  <c r="F134" i="1"/>
  <c r="F133" i="1"/>
  <c r="E161" i="1"/>
  <c r="H161" i="1"/>
  <c r="D1450" i="1" l="1"/>
  <c r="D1423" i="1"/>
  <c r="E1388" i="1"/>
  <c r="F1449" i="1"/>
  <c r="F1422" i="1"/>
  <c r="F1421" i="1"/>
  <c r="E1424" i="1"/>
  <c r="D1354" i="1"/>
  <c r="D1276" i="1"/>
  <c r="D1318" i="1"/>
  <c r="E1277" i="1"/>
  <c r="E1319" i="1"/>
  <c r="F1353" i="1"/>
  <c r="F1317" i="1"/>
  <c r="F1316" i="1"/>
  <c r="D1245" i="1"/>
  <c r="E1173" i="1"/>
  <c r="D1212" i="1"/>
  <c r="E1213" i="1"/>
  <c r="F1242" i="1"/>
  <c r="F1208" i="1"/>
  <c r="F1207" i="1"/>
  <c r="E1112" i="1"/>
  <c r="D1110" i="1"/>
  <c r="H1110" i="1" s="1"/>
  <c r="D1077" i="1"/>
  <c r="H1077" i="1" s="1"/>
  <c r="E1078" i="1"/>
  <c r="F1145" i="1"/>
  <c r="F1118" i="1"/>
  <c r="E1141" i="1"/>
  <c r="F1047" i="1"/>
  <c r="F1010" i="1"/>
  <c r="E1005" i="1"/>
  <c r="D1043" i="1"/>
  <c r="H1043" i="1" s="1"/>
  <c r="D1004" i="1"/>
  <c r="H1004" i="1" s="1"/>
  <c r="E966" i="1"/>
  <c r="D942" i="1"/>
  <c r="H942" i="1" s="1"/>
  <c r="E880" i="1"/>
  <c r="D914" i="1"/>
  <c r="H914" i="1" s="1"/>
  <c r="D879" i="1"/>
  <c r="F944" i="1"/>
  <c r="F917" i="1"/>
  <c r="E915" i="1"/>
  <c r="D848" i="1"/>
  <c r="D816" i="1"/>
  <c r="E781" i="1"/>
  <c r="F850" i="1"/>
  <c r="F819" i="1"/>
  <c r="E817" i="1"/>
  <c r="F760" i="1"/>
  <c r="F737" i="1"/>
  <c r="F736" i="1"/>
  <c r="E703" i="1"/>
  <c r="D702" i="1"/>
  <c r="D736" i="1"/>
  <c r="F672" i="1"/>
  <c r="F642" i="1"/>
  <c r="D643" i="1"/>
  <c r="E606" i="1"/>
  <c r="D605" i="1"/>
  <c r="E645" i="1"/>
  <c r="E674" i="1"/>
  <c r="E579" i="1"/>
  <c r="F576" i="1"/>
  <c r="F548" i="1"/>
  <c r="F549" i="1"/>
  <c r="E553" i="1"/>
  <c r="D551" i="1"/>
  <c r="D515" i="1"/>
  <c r="E516" i="1"/>
  <c r="E456" i="1"/>
  <c r="F484" i="1"/>
  <c r="F454" i="1"/>
  <c r="F453" i="1"/>
  <c r="D485" i="1"/>
  <c r="D455" i="1"/>
  <c r="E418" i="1"/>
  <c r="E364" i="1"/>
  <c r="D390" i="1"/>
  <c r="H390" i="1" s="1"/>
  <c r="D363" i="1"/>
  <c r="H363" i="1" s="1"/>
  <c r="E328" i="1"/>
  <c r="F391" i="1"/>
  <c r="F365" i="1"/>
  <c r="F364" i="1"/>
  <c r="F291" i="1"/>
  <c r="F270" i="1"/>
  <c r="F269" i="1"/>
  <c r="E269" i="1"/>
  <c r="E253" i="1"/>
  <c r="D290" i="1"/>
  <c r="H290" i="1" s="1"/>
  <c r="D268" i="1"/>
  <c r="H268" i="1" s="1"/>
  <c r="D231" i="1"/>
  <c r="H231" i="1" s="1"/>
  <c r="D201" i="1"/>
  <c r="H201" i="1" s="1"/>
  <c r="E179" i="1"/>
  <c r="F201" i="1"/>
  <c r="F231" i="1"/>
  <c r="E202" i="1"/>
  <c r="H117" i="1"/>
  <c r="G117" i="1"/>
  <c r="F157" i="1"/>
  <c r="F132" i="1"/>
  <c r="E136" i="1"/>
  <c r="H136" i="1"/>
  <c r="D159" i="1"/>
  <c r="E117" i="1"/>
  <c r="D135" i="1"/>
  <c r="E1423" i="1" l="1"/>
  <c r="F1420" i="1"/>
  <c r="F1448" i="1"/>
  <c r="E1387" i="1"/>
  <c r="D1421" i="1"/>
  <c r="D1386" i="1"/>
  <c r="E1450" i="1"/>
  <c r="E1318" i="1"/>
  <c r="F1352" i="1"/>
  <c r="F1315" i="1"/>
  <c r="D1316" i="1"/>
  <c r="D1275" i="1"/>
  <c r="E1276" i="1"/>
  <c r="E1354" i="1"/>
  <c r="D1210" i="1"/>
  <c r="D1171" i="1"/>
  <c r="E1172" i="1"/>
  <c r="F1241" i="1"/>
  <c r="F1206" i="1"/>
  <c r="E1212" i="1"/>
  <c r="E1245" i="1"/>
  <c r="F1117" i="1"/>
  <c r="F1116" i="1"/>
  <c r="F1144" i="1"/>
  <c r="E1110" i="1"/>
  <c r="D1139" i="1"/>
  <c r="H1139" i="1" s="1"/>
  <c r="D1109" i="1"/>
  <c r="H1109" i="1" s="1"/>
  <c r="E1077" i="1"/>
  <c r="E1004" i="1"/>
  <c r="D1002" i="1"/>
  <c r="H1002" i="1" s="1"/>
  <c r="D964" i="1"/>
  <c r="H964" i="1" s="1"/>
  <c r="E965" i="1"/>
  <c r="E1043" i="1"/>
  <c r="F1046" i="1"/>
  <c r="F1008" i="1"/>
  <c r="F1009" i="1"/>
  <c r="F943" i="1"/>
  <c r="F916" i="1"/>
  <c r="F915" i="1"/>
  <c r="D912" i="1"/>
  <c r="H912" i="1" s="1"/>
  <c r="E879" i="1"/>
  <c r="D878" i="1"/>
  <c r="E914" i="1"/>
  <c r="E942" i="1"/>
  <c r="F849" i="1"/>
  <c r="F818" i="1"/>
  <c r="F817" i="1"/>
  <c r="E816" i="1"/>
  <c r="D779" i="1"/>
  <c r="D814" i="1"/>
  <c r="E780" i="1"/>
  <c r="E848" i="1"/>
  <c r="E736" i="1"/>
  <c r="D759" i="1"/>
  <c r="D735" i="1"/>
  <c r="E702" i="1"/>
  <c r="F759" i="1"/>
  <c r="F735" i="1"/>
  <c r="E643" i="1"/>
  <c r="D672" i="1"/>
  <c r="D642" i="1"/>
  <c r="E605" i="1"/>
  <c r="F671" i="1"/>
  <c r="F641" i="1"/>
  <c r="F640" i="1"/>
  <c r="D577" i="1"/>
  <c r="D550" i="1"/>
  <c r="D514" i="1"/>
  <c r="E515" i="1"/>
  <c r="F575" i="1"/>
  <c r="F547" i="1"/>
  <c r="E551" i="1"/>
  <c r="E455" i="1"/>
  <c r="E485" i="1"/>
  <c r="D453" i="1"/>
  <c r="E417" i="1"/>
  <c r="D416" i="1"/>
  <c r="F483" i="1"/>
  <c r="F452" i="1"/>
  <c r="D361" i="1"/>
  <c r="H361" i="1" s="1"/>
  <c r="D326" i="1"/>
  <c r="H326" i="1" s="1"/>
  <c r="E327" i="1"/>
  <c r="E363" i="1"/>
  <c r="E390" i="1"/>
  <c r="F390" i="1"/>
  <c r="F363" i="1"/>
  <c r="E290" i="1"/>
  <c r="F290" i="1"/>
  <c r="F268" i="1"/>
  <c r="E268" i="1"/>
  <c r="F230" i="1"/>
  <c r="F200" i="1"/>
  <c r="F199" i="1"/>
  <c r="D199" i="1"/>
  <c r="H199" i="1" s="1"/>
  <c r="D177" i="1"/>
  <c r="H177" i="1" s="1"/>
  <c r="E178" i="1"/>
  <c r="E201" i="1"/>
  <c r="E231" i="1"/>
  <c r="H135" i="1"/>
  <c r="G135" i="1"/>
  <c r="E135" i="1"/>
  <c r="D133" i="1"/>
  <c r="E116" i="1"/>
  <c r="D115" i="1"/>
  <c r="H159" i="1"/>
  <c r="E159" i="1"/>
  <c r="E1421" i="1" l="1"/>
  <c r="D1448" i="1"/>
  <c r="D1420" i="1"/>
  <c r="E1386" i="1"/>
  <c r="D1385" i="1"/>
  <c r="F1447" i="1"/>
  <c r="F1418" i="1"/>
  <c r="F1419" i="1"/>
  <c r="D1352" i="1"/>
  <c r="D1315" i="1"/>
  <c r="E1275" i="1"/>
  <c r="E1316" i="1"/>
  <c r="F1351" i="1"/>
  <c r="F1313" i="1"/>
  <c r="F1314" i="1"/>
  <c r="D1243" i="1"/>
  <c r="D1209" i="1"/>
  <c r="D1170" i="1"/>
  <c r="E1171" i="1"/>
  <c r="F1240" i="1"/>
  <c r="F1205" i="1"/>
  <c r="F1204" i="1"/>
  <c r="E1210" i="1"/>
  <c r="E1109" i="1"/>
  <c r="E1139" i="1"/>
  <c r="D1107" i="1"/>
  <c r="H1107" i="1" s="1"/>
  <c r="E1076" i="1"/>
  <c r="D1075" i="1"/>
  <c r="H1075" i="1" s="1"/>
  <c r="F1143" i="1"/>
  <c r="F1115" i="1"/>
  <c r="F1045" i="1"/>
  <c r="F1007" i="1"/>
  <c r="E1002" i="1"/>
  <c r="D1041" i="1"/>
  <c r="H1041" i="1" s="1"/>
  <c r="D1001" i="1"/>
  <c r="H1001" i="1" s="1"/>
  <c r="E964" i="1"/>
  <c r="D940" i="1"/>
  <c r="H940" i="1" s="1"/>
  <c r="D911" i="1"/>
  <c r="H911" i="1" s="1"/>
  <c r="E878" i="1"/>
  <c r="F942" i="1"/>
  <c r="F914" i="1"/>
  <c r="E912" i="1"/>
  <c r="E814" i="1"/>
  <c r="F848" i="1"/>
  <c r="F816" i="1"/>
  <c r="D846" i="1"/>
  <c r="D778" i="1"/>
  <c r="D813" i="1"/>
  <c r="E779" i="1"/>
  <c r="D733" i="1"/>
  <c r="D700" i="1"/>
  <c r="E701" i="1"/>
  <c r="E759" i="1"/>
  <c r="F758" i="1"/>
  <c r="F734" i="1"/>
  <c r="F733" i="1"/>
  <c r="E735" i="1"/>
  <c r="F670" i="1"/>
  <c r="F639" i="1"/>
  <c r="E604" i="1"/>
  <c r="D603" i="1"/>
  <c r="D640" i="1"/>
  <c r="E672" i="1"/>
  <c r="E642" i="1"/>
  <c r="F574" i="1"/>
  <c r="F546" i="1"/>
  <c r="F545" i="1"/>
  <c r="D548" i="1"/>
  <c r="E514" i="1"/>
  <c r="D513" i="1"/>
  <c r="E550" i="1"/>
  <c r="E577" i="1"/>
  <c r="E453" i="1"/>
  <c r="D483" i="1"/>
  <c r="D452" i="1"/>
  <c r="E416" i="1"/>
  <c r="F482" i="1"/>
  <c r="F451" i="1"/>
  <c r="F450" i="1"/>
  <c r="D388" i="1"/>
  <c r="H388" i="1" s="1"/>
  <c r="D360" i="1"/>
  <c r="H360" i="1" s="1"/>
  <c r="E326" i="1"/>
  <c r="F389" i="1"/>
  <c r="F362" i="1"/>
  <c r="F361" i="1"/>
  <c r="E361" i="1"/>
  <c r="D229" i="1"/>
  <c r="H229" i="1" s="1"/>
  <c r="D198" i="1"/>
  <c r="H198" i="1" s="1"/>
  <c r="E177" i="1"/>
  <c r="F229" i="1"/>
  <c r="F198" i="1"/>
  <c r="E199" i="1"/>
  <c r="H133" i="1"/>
  <c r="G133" i="1"/>
  <c r="H115" i="1"/>
  <c r="G115" i="1"/>
  <c r="D157" i="1"/>
  <c r="E115" i="1"/>
  <c r="D132" i="1"/>
  <c r="E133" i="1"/>
  <c r="E1420" i="1" l="1"/>
  <c r="D1418" i="1"/>
  <c r="E1385" i="1"/>
  <c r="D1384" i="1"/>
  <c r="E1448" i="1"/>
  <c r="F1446" i="1"/>
  <c r="F1417" i="1"/>
  <c r="E1274" i="1"/>
  <c r="D1313" i="1"/>
  <c r="D1273" i="1"/>
  <c r="F1350" i="1"/>
  <c r="F1312" i="1"/>
  <c r="E1315" i="1"/>
  <c r="E1352" i="1"/>
  <c r="E1170" i="1"/>
  <c r="D1207" i="1"/>
  <c r="D1169" i="1"/>
  <c r="E1209" i="1"/>
  <c r="F1239" i="1"/>
  <c r="F1203" i="1"/>
  <c r="E1243" i="1"/>
  <c r="D1137" i="1"/>
  <c r="H1137" i="1" s="1"/>
  <c r="D1106" i="1"/>
  <c r="H1106" i="1" s="1"/>
  <c r="E1075" i="1"/>
  <c r="F1142" i="1"/>
  <c r="F1114" i="1"/>
  <c r="F1113" i="1"/>
  <c r="E1107" i="1"/>
  <c r="E1001" i="1"/>
  <c r="E1041" i="1"/>
  <c r="F1044" i="1"/>
  <c r="F1006" i="1"/>
  <c r="F1005" i="1"/>
  <c r="E963" i="1"/>
  <c r="D999" i="1"/>
  <c r="H999" i="1" s="1"/>
  <c r="D962" i="1"/>
  <c r="H962" i="1" s="1"/>
  <c r="F913" i="1"/>
  <c r="F912" i="1"/>
  <c r="F941" i="1"/>
  <c r="E911" i="1"/>
  <c r="D876" i="1"/>
  <c r="E877" i="1"/>
  <c r="D909" i="1"/>
  <c r="H909" i="1" s="1"/>
  <c r="E940" i="1"/>
  <c r="E813" i="1"/>
  <c r="D811" i="1"/>
  <c r="D777" i="1"/>
  <c r="E778" i="1"/>
  <c r="E846" i="1"/>
  <c r="F847" i="1"/>
  <c r="F815" i="1"/>
  <c r="F814" i="1"/>
  <c r="D757" i="1"/>
  <c r="D732" i="1"/>
  <c r="E700" i="1"/>
  <c r="F757" i="1"/>
  <c r="F732" i="1"/>
  <c r="E733" i="1"/>
  <c r="E640" i="1"/>
  <c r="F669" i="1"/>
  <c r="F637" i="1"/>
  <c r="F638" i="1"/>
  <c r="D670" i="1"/>
  <c r="D639" i="1"/>
  <c r="E603" i="1"/>
  <c r="D575" i="1"/>
  <c r="D547" i="1"/>
  <c r="E513" i="1"/>
  <c r="F573" i="1"/>
  <c r="F544" i="1"/>
  <c r="E548" i="1"/>
  <c r="E452" i="1"/>
  <c r="F449" i="1"/>
  <c r="F481" i="1"/>
  <c r="D450" i="1"/>
  <c r="E415" i="1"/>
  <c r="D414" i="1"/>
  <c r="H414" i="1" s="1"/>
  <c r="E483" i="1"/>
  <c r="F388" i="1"/>
  <c r="F360" i="1"/>
  <c r="D358" i="1"/>
  <c r="H358" i="1" s="1"/>
  <c r="E325" i="1"/>
  <c r="D324" i="1"/>
  <c r="H324" i="1" s="1"/>
  <c r="E360" i="1"/>
  <c r="E388" i="1"/>
  <c r="E229" i="1"/>
  <c r="E198" i="1"/>
  <c r="H132" i="1"/>
  <c r="G132" i="1"/>
  <c r="E132" i="1"/>
  <c r="E157" i="1"/>
  <c r="H157" i="1"/>
  <c r="F1445" i="1" l="1"/>
  <c r="F1415" i="1"/>
  <c r="F1416" i="1"/>
  <c r="E1418" i="1"/>
  <c r="D1417" i="1"/>
  <c r="D1446" i="1"/>
  <c r="E1384" i="1"/>
  <c r="D1350" i="1"/>
  <c r="E1273" i="1"/>
  <c r="D1312" i="1"/>
  <c r="F1349" i="1"/>
  <c r="F1311" i="1"/>
  <c r="F1310" i="1"/>
  <c r="E1313" i="1"/>
  <c r="E1207" i="1"/>
  <c r="E1169" i="1"/>
  <c r="D1241" i="1"/>
  <c r="D1206" i="1"/>
  <c r="F1238" i="1"/>
  <c r="F1202" i="1"/>
  <c r="F1201" i="1"/>
  <c r="E1106" i="1"/>
  <c r="F1141" i="1"/>
  <c r="F1112" i="1"/>
  <c r="D1104" i="1"/>
  <c r="H1104" i="1" s="1"/>
  <c r="E1074" i="1"/>
  <c r="D1073" i="1"/>
  <c r="H1073" i="1" s="1"/>
  <c r="E1137" i="1"/>
  <c r="D1039" i="1"/>
  <c r="H1039" i="1" s="1"/>
  <c r="E962" i="1"/>
  <c r="D998" i="1"/>
  <c r="H998" i="1" s="1"/>
  <c r="D961" i="1"/>
  <c r="H961" i="1" s="1"/>
  <c r="F1043" i="1"/>
  <c r="F1004" i="1"/>
  <c r="E999" i="1"/>
  <c r="D938" i="1"/>
  <c r="H938" i="1" s="1"/>
  <c r="D908" i="1"/>
  <c r="H908" i="1" s="1"/>
  <c r="D875" i="1"/>
  <c r="E876" i="1"/>
  <c r="F940" i="1"/>
  <c r="F911" i="1"/>
  <c r="E909" i="1"/>
  <c r="F846" i="1"/>
  <c r="F813" i="1"/>
  <c r="E811" i="1"/>
  <c r="D844" i="1"/>
  <c r="D810" i="1"/>
  <c r="E777" i="1"/>
  <c r="D776" i="1"/>
  <c r="E699" i="1"/>
  <c r="D698" i="1"/>
  <c r="D730" i="1"/>
  <c r="E732" i="1"/>
  <c r="F756" i="1"/>
  <c r="F731" i="1"/>
  <c r="F730" i="1"/>
  <c r="E757" i="1"/>
  <c r="E670" i="1"/>
  <c r="E639" i="1"/>
  <c r="D637" i="1"/>
  <c r="D601" i="1"/>
  <c r="E602" i="1"/>
  <c r="F668" i="1"/>
  <c r="F636" i="1"/>
  <c r="F572" i="1"/>
  <c r="F543" i="1"/>
  <c r="F542" i="1"/>
  <c r="E547" i="1"/>
  <c r="D545" i="1"/>
  <c r="E512" i="1"/>
  <c r="D511" i="1"/>
  <c r="E575" i="1"/>
  <c r="E450" i="1"/>
  <c r="D481" i="1"/>
  <c r="E414" i="1"/>
  <c r="D449" i="1"/>
  <c r="D413" i="1"/>
  <c r="H413" i="1" s="1"/>
  <c r="F480" i="1"/>
  <c r="F448" i="1"/>
  <c r="F447" i="1"/>
  <c r="E358" i="1"/>
  <c r="D386" i="1"/>
  <c r="H386" i="1" s="1"/>
  <c r="E324" i="1"/>
  <c r="D357" i="1"/>
  <c r="H357" i="1" s="1"/>
  <c r="F387" i="1"/>
  <c r="F359" i="1"/>
  <c r="F358" i="1"/>
  <c r="G136" i="1"/>
  <c r="E1446" i="1" l="1"/>
  <c r="E1417" i="1"/>
  <c r="F1444" i="1"/>
  <c r="F1414" i="1"/>
  <c r="D1415" i="1"/>
  <c r="D1382" i="1"/>
  <c r="E1383" i="1"/>
  <c r="E1312" i="1"/>
  <c r="F1348" i="1"/>
  <c r="F1309" i="1"/>
  <c r="E1272" i="1"/>
  <c r="D1310" i="1"/>
  <c r="D1271" i="1"/>
  <c r="E1350" i="1"/>
  <c r="F1237" i="1"/>
  <c r="F1200" i="1"/>
  <c r="E1168" i="1"/>
  <c r="D1204" i="1"/>
  <c r="D1167" i="1"/>
  <c r="E1241" i="1"/>
  <c r="E1206" i="1"/>
  <c r="E1104" i="1"/>
  <c r="D1135" i="1"/>
  <c r="H1135" i="1" s="1"/>
  <c r="D1103" i="1"/>
  <c r="H1103" i="1" s="1"/>
  <c r="E1073" i="1"/>
  <c r="F1111" i="1"/>
  <c r="F1110" i="1"/>
  <c r="F1140" i="1"/>
  <c r="F1042" i="1"/>
  <c r="F1003" i="1"/>
  <c r="F1002" i="1"/>
  <c r="E998" i="1"/>
  <c r="E961" i="1"/>
  <c r="D960" i="1"/>
  <c r="H960" i="1" s="1"/>
  <c r="D996" i="1"/>
  <c r="H996" i="1" s="1"/>
  <c r="E1039" i="1"/>
  <c r="F939" i="1"/>
  <c r="F909" i="1"/>
  <c r="F910" i="1"/>
  <c r="D906" i="1"/>
  <c r="H906" i="1" s="1"/>
  <c r="D874" i="1"/>
  <c r="E875" i="1"/>
  <c r="E908" i="1"/>
  <c r="E938" i="1"/>
  <c r="E810" i="1"/>
  <c r="F845" i="1"/>
  <c r="F812" i="1"/>
  <c r="F811" i="1"/>
  <c r="E776" i="1"/>
  <c r="D808" i="1"/>
  <c r="D775" i="1"/>
  <c r="E844" i="1"/>
  <c r="D755" i="1"/>
  <c r="E698" i="1"/>
  <c r="D729" i="1"/>
  <c r="F755" i="1"/>
  <c r="F729" i="1"/>
  <c r="E730" i="1"/>
  <c r="F667" i="1"/>
  <c r="F634" i="1"/>
  <c r="F635" i="1"/>
  <c r="D668" i="1"/>
  <c r="D636" i="1"/>
  <c r="E601" i="1"/>
  <c r="D600" i="1"/>
  <c r="E637" i="1"/>
  <c r="F571" i="1"/>
  <c r="F541" i="1"/>
  <c r="E545" i="1"/>
  <c r="D573" i="1"/>
  <c r="D544" i="1"/>
  <c r="E511" i="1"/>
  <c r="E481" i="1"/>
  <c r="F479" i="1"/>
  <c r="F446" i="1"/>
  <c r="D447" i="1"/>
  <c r="E413" i="1"/>
  <c r="D412" i="1"/>
  <c r="H412" i="1" s="1"/>
  <c r="E449" i="1"/>
  <c r="D355" i="1"/>
  <c r="H355" i="1" s="1"/>
  <c r="E323" i="1"/>
  <c r="D322" i="1"/>
  <c r="H322" i="1" s="1"/>
  <c r="F386" i="1"/>
  <c r="F357" i="1"/>
  <c r="E386" i="1"/>
  <c r="E357" i="1"/>
  <c r="G138" i="1"/>
  <c r="G137" i="1"/>
  <c r="E1415" i="1" l="1"/>
  <c r="F1413" i="1"/>
  <c r="F1412" i="1"/>
  <c r="F1443" i="1"/>
  <c r="D1444" i="1"/>
  <c r="D1414" i="1"/>
  <c r="D1381" i="1"/>
  <c r="E1382" i="1"/>
  <c r="E1310" i="1"/>
  <c r="D1348" i="1"/>
  <c r="E1271" i="1"/>
  <c r="D1309" i="1"/>
  <c r="F1347" i="1"/>
  <c r="F1308" i="1"/>
  <c r="F1307" i="1"/>
  <c r="E1167" i="1"/>
  <c r="D1203" i="1"/>
  <c r="D1239" i="1"/>
  <c r="D1166" i="1"/>
  <c r="F1236" i="1"/>
  <c r="F1199" i="1"/>
  <c r="F1198" i="1"/>
  <c r="E1204" i="1"/>
  <c r="E1103" i="1"/>
  <c r="F1139" i="1"/>
  <c r="F1109" i="1"/>
  <c r="E1135" i="1"/>
  <c r="D1101" i="1"/>
  <c r="H1101" i="1" s="1"/>
  <c r="E1072" i="1"/>
  <c r="D1071" i="1"/>
  <c r="H1071" i="1" s="1"/>
  <c r="D1037" i="1"/>
  <c r="H1037" i="1" s="1"/>
  <c r="E960" i="1"/>
  <c r="D995" i="1"/>
  <c r="H995" i="1" s="1"/>
  <c r="D959" i="1"/>
  <c r="H959" i="1" s="1"/>
  <c r="F1041" i="1"/>
  <c r="F1001" i="1"/>
  <c r="E996" i="1"/>
  <c r="F938" i="1"/>
  <c r="F908" i="1"/>
  <c r="D936" i="1"/>
  <c r="H936" i="1" s="1"/>
  <c r="D905" i="1"/>
  <c r="H905" i="1" s="1"/>
  <c r="E874" i="1"/>
  <c r="E906" i="1"/>
  <c r="E808" i="1"/>
  <c r="D842" i="1"/>
  <c r="E775" i="1"/>
  <c r="D807" i="1"/>
  <c r="F844" i="1"/>
  <c r="F810" i="1"/>
  <c r="F754" i="1"/>
  <c r="F728" i="1"/>
  <c r="F727" i="1"/>
  <c r="E729" i="1"/>
  <c r="D727" i="1"/>
  <c r="E697" i="1"/>
  <c r="D696" i="1"/>
  <c r="E755" i="1"/>
  <c r="F666" i="1"/>
  <c r="F633" i="1"/>
  <c r="E636" i="1"/>
  <c r="E600" i="1"/>
  <c r="D634" i="1"/>
  <c r="D599" i="1"/>
  <c r="E668" i="1"/>
  <c r="E544" i="1"/>
  <c r="F570" i="1"/>
  <c r="F540" i="1"/>
  <c r="F539" i="1"/>
  <c r="D542" i="1"/>
  <c r="E510" i="1"/>
  <c r="D509" i="1"/>
  <c r="E573" i="1"/>
  <c r="F478" i="1"/>
  <c r="F445" i="1"/>
  <c r="F444" i="1"/>
  <c r="D479" i="1"/>
  <c r="D446" i="1"/>
  <c r="E412" i="1"/>
  <c r="E447" i="1"/>
  <c r="E355" i="1"/>
  <c r="D384" i="1"/>
  <c r="H384" i="1" s="1"/>
  <c r="D354" i="1"/>
  <c r="H354" i="1" s="1"/>
  <c r="E322" i="1"/>
  <c r="F385" i="1"/>
  <c r="F356" i="1"/>
  <c r="F355" i="1"/>
  <c r="G139" i="1"/>
  <c r="E1414" i="1" l="1"/>
  <c r="E1444" i="1"/>
  <c r="D1412" i="1"/>
  <c r="E1381" i="1"/>
  <c r="D1380" i="1"/>
  <c r="F1442" i="1"/>
  <c r="F1411" i="1"/>
  <c r="F1346" i="1"/>
  <c r="F1306" i="1"/>
  <c r="E1348" i="1"/>
  <c r="E1309" i="1"/>
  <c r="D1269" i="1"/>
  <c r="D1307" i="1"/>
  <c r="E1270" i="1"/>
  <c r="E1239" i="1"/>
  <c r="E1203" i="1"/>
  <c r="F1235" i="1"/>
  <c r="F1197" i="1"/>
  <c r="D1201" i="1"/>
  <c r="E1166" i="1"/>
  <c r="D1165" i="1"/>
  <c r="E1101" i="1"/>
  <c r="D1133" i="1"/>
  <c r="H1133" i="1" s="1"/>
  <c r="D1100" i="1"/>
  <c r="H1100" i="1" s="1"/>
  <c r="E1071" i="1"/>
  <c r="F1138" i="1"/>
  <c r="F1108" i="1"/>
  <c r="F1107" i="1"/>
  <c r="E959" i="1"/>
  <c r="D958" i="1"/>
  <c r="H958" i="1" s="1"/>
  <c r="D993" i="1"/>
  <c r="H993" i="1" s="1"/>
  <c r="F1040" i="1"/>
  <c r="F999" i="1"/>
  <c r="F1000" i="1"/>
  <c r="E995" i="1"/>
  <c r="E1037" i="1"/>
  <c r="D903" i="1"/>
  <c r="H903" i="1" s="1"/>
  <c r="E873" i="1"/>
  <c r="D872" i="1"/>
  <c r="E936" i="1"/>
  <c r="F937" i="1"/>
  <c r="F906" i="1"/>
  <c r="F907" i="1"/>
  <c r="E905" i="1"/>
  <c r="E842" i="1"/>
  <c r="F843" i="1"/>
  <c r="F808" i="1"/>
  <c r="F809" i="1"/>
  <c r="D805" i="1"/>
  <c r="E774" i="1"/>
  <c r="D773" i="1"/>
  <c r="E807" i="1"/>
  <c r="F753" i="1"/>
  <c r="F726" i="1"/>
  <c r="E727" i="1"/>
  <c r="D753" i="1"/>
  <c r="D726" i="1"/>
  <c r="E696" i="1"/>
  <c r="D695" i="1"/>
  <c r="E634" i="1"/>
  <c r="D666" i="1"/>
  <c r="E599" i="1"/>
  <c r="D633" i="1"/>
  <c r="F665" i="1"/>
  <c r="F632" i="1"/>
  <c r="F631" i="1"/>
  <c r="E542" i="1"/>
  <c r="D571" i="1"/>
  <c r="D541" i="1"/>
  <c r="E509" i="1"/>
  <c r="F569" i="1"/>
  <c r="F538" i="1"/>
  <c r="D444" i="1"/>
  <c r="D410" i="1"/>
  <c r="H410" i="1" s="1"/>
  <c r="E411" i="1"/>
  <c r="F477" i="1"/>
  <c r="F443" i="1"/>
  <c r="E446" i="1"/>
  <c r="E479" i="1"/>
  <c r="E354" i="1"/>
  <c r="F384" i="1"/>
  <c r="F354" i="1"/>
  <c r="D352" i="1"/>
  <c r="H352" i="1" s="1"/>
  <c r="E321" i="1"/>
  <c r="D320" i="1"/>
  <c r="H320" i="1" s="1"/>
  <c r="E384" i="1"/>
  <c r="B142" i="1"/>
  <c r="G141" i="1" s="1"/>
  <c r="G140" i="1"/>
  <c r="D1442" i="1" l="1"/>
  <c r="D1411" i="1"/>
  <c r="E1380" i="1"/>
  <c r="F1441" i="1"/>
  <c r="F1410" i="1"/>
  <c r="F1409" i="1"/>
  <c r="E1412" i="1"/>
  <c r="D1346" i="1"/>
  <c r="D1306" i="1"/>
  <c r="E1269" i="1"/>
  <c r="D1268" i="1"/>
  <c r="F1345" i="1"/>
  <c r="F1304" i="1"/>
  <c r="F1305" i="1"/>
  <c r="E1307" i="1"/>
  <c r="D1237" i="1"/>
  <c r="D1164" i="1"/>
  <c r="D1200" i="1"/>
  <c r="E1165" i="1"/>
  <c r="F1234" i="1"/>
  <c r="F1196" i="1"/>
  <c r="F1195" i="1"/>
  <c r="E1201" i="1"/>
  <c r="D1069" i="1"/>
  <c r="H1069" i="1" s="1"/>
  <c r="D1098" i="1"/>
  <c r="H1098" i="1" s="1"/>
  <c r="E1070" i="1"/>
  <c r="F1137" i="1"/>
  <c r="F1106" i="1"/>
  <c r="E1133" i="1"/>
  <c r="E1100" i="1"/>
  <c r="E993" i="1"/>
  <c r="D1035" i="1"/>
  <c r="H1035" i="1" s="1"/>
  <c r="E958" i="1"/>
  <c r="D992" i="1"/>
  <c r="H992" i="1" s="1"/>
  <c r="F1039" i="1"/>
  <c r="F998" i="1"/>
  <c r="D934" i="1"/>
  <c r="H934" i="1" s="1"/>
  <c r="E872" i="1"/>
  <c r="D902" i="1"/>
  <c r="H902" i="1" s="1"/>
  <c r="F936" i="1"/>
  <c r="F905" i="1"/>
  <c r="E903" i="1"/>
  <c r="E805" i="1"/>
  <c r="D840" i="1"/>
  <c r="E773" i="1"/>
  <c r="D804" i="1"/>
  <c r="F842" i="1"/>
  <c r="F807" i="1"/>
  <c r="E726" i="1"/>
  <c r="F752" i="1"/>
  <c r="F724" i="1"/>
  <c r="F725" i="1"/>
  <c r="E753" i="1"/>
  <c r="D724" i="1"/>
  <c r="D694" i="1"/>
  <c r="E695" i="1"/>
  <c r="F664" i="1"/>
  <c r="F630" i="1"/>
  <c r="D631" i="1"/>
  <c r="D597" i="1"/>
  <c r="E598" i="1"/>
  <c r="E666" i="1"/>
  <c r="E633" i="1"/>
  <c r="E541" i="1"/>
  <c r="E571" i="1"/>
  <c r="F568" i="1"/>
  <c r="F536" i="1"/>
  <c r="F537" i="1"/>
  <c r="D539" i="1"/>
  <c r="D507" i="1"/>
  <c r="E508" i="1"/>
  <c r="F476" i="1"/>
  <c r="F442" i="1"/>
  <c r="F441" i="1"/>
  <c r="D477" i="1"/>
  <c r="D443" i="1"/>
  <c r="E410" i="1"/>
  <c r="E444" i="1"/>
  <c r="F383" i="1"/>
  <c r="F353" i="1"/>
  <c r="F352" i="1"/>
  <c r="D382" i="1"/>
  <c r="H382" i="1" s="1"/>
  <c r="D351" i="1"/>
  <c r="H351" i="1" s="1"/>
  <c r="E320" i="1"/>
  <c r="D319" i="1"/>
  <c r="H319" i="1" s="1"/>
  <c r="E352" i="1"/>
  <c r="B143" i="1"/>
  <c r="E1411" i="1" l="1"/>
  <c r="F1440" i="1"/>
  <c r="F1408" i="1"/>
  <c r="D1409" i="1"/>
  <c r="E1379" i="1"/>
  <c r="D1378" i="1"/>
  <c r="E1442" i="1"/>
  <c r="F1344" i="1"/>
  <c r="F1303" i="1"/>
  <c r="E1306" i="1"/>
  <c r="D1304" i="1"/>
  <c r="E1268" i="1"/>
  <c r="D1267" i="1"/>
  <c r="E1346" i="1"/>
  <c r="E1200" i="1"/>
  <c r="D1198" i="1"/>
  <c r="D1163" i="1"/>
  <c r="E1164" i="1"/>
  <c r="F1233" i="1"/>
  <c r="F1194" i="1"/>
  <c r="E1237" i="1"/>
  <c r="F1136" i="1"/>
  <c r="F1104" i="1"/>
  <c r="F1105" i="1"/>
  <c r="E1098" i="1"/>
  <c r="D1131" i="1"/>
  <c r="H1131" i="1" s="1"/>
  <c r="D1097" i="1"/>
  <c r="H1097" i="1" s="1"/>
  <c r="E1069" i="1"/>
  <c r="F1038" i="1"/>
  <c r="F997" i="1"/>
  <c r="F996" i="1"/>
  <c r="D990" i="1"/>
  <c r="H990" i="1" s="1"/>
  <c r="D956" i="1"/>
  <c r="H956" i="1" s="1"/>
  <c r="E957" i="1"/>
  <c r="E992" i="1"/>
  <c r="E1035" i="1"/>
  <c r="E902" i="1"/>
  <c r="F935" i="1"/>
  <c r="F903" i="1"/>
  <c r="F904" i="1"/>
  <c r="D900" i="1"/>
  <c r="H900" i="1" s="1"/>
  <c r="D870" i="1"/>
  <c r="E871" i="1"/>
  <c r="E934" i="1"/>
  <c r="E840" i="1"/>
  <c r="E804" i="1"/>
  <c r="F841" i="1"/>
  <c r="F806" i="1"/>
  <c r="F805" i="1"/>
  <c r="E772" i="1"/>
  <c r="D802" i="1"/>
  <c r="D771" i="1"/>
  <c r="D751" i="1"/>
  <c r="D723" i="1"/>
  <c r="E694" i="1"/>
  <c r="E724" i="1"/>
  <c r="F751" i="1"/>
  <c r="F723" i="1"/>
  <c r="F663" i="1"/>
  <c r="F629" i="1"/>
  <c r="F628" i="1"/>
  <c r="E631" i="1"/>
  <c r="D664" i="1"/>
  <c r="E597" i="1"/>
  <c r="D596" i="1"/>
  <c r="D630" i="1"/>
  <c r="F567" i="1"/>
  <c r="F535" i="1"/>
  <c r="D538" i="1"/>
  <c r="D569" i="1"/>
  <c r="D506" i="1"/>
  <c r="E507" i="1"/>
  <c r="E539" i="1"/>
  <c r="E477" i="1"/>
  <c r="D441" i="1"/>
  <c r="E409" i="1"/>
  <c r="D408" i="1"/>
  <c r="H408" i="1" s="1"/>
  <c r="F475" i="1"/>
  <c r="F440" i="1"/>
  <c r="E443" i="1"/>
  <c r="E382" i="1"/>
  <c r="D349" i="1"/>
  <c r="H349" i="1" s="1"/>
  <c r="E319" i="1"/>
  <c r="D318" i="1"/>
  <c r="H318" i="1" s="1"/>
  <c r="F382" i="1"/>
  <c r="F351" i="1"/>
  <c r="E351" i="1"/>
  <c r="B144" i="1"/>
  <c r="G143" i="1" s="1"/>
  <c r="G142" i="1"/>
  <c r="E1409" i="1" l="1"/>
  <c r="D1440" i="1"/>
  <c r="E1378" i="1"/>
  <c r="D1408" i="1"/>
  <c r="F1439" i="1"/>
  <c r="F1406" i="1"/>
  <c r="F1407" i="1"/>
  <c r="E1304" i="1"/>
  <c r="F1343" i="1"/>
  <c r="F1302" i="1"/>
  <c r="F1301" i="1"/>
  <c r="D1344" i="1"/>
  <c r="D1303" i="1"/>
  <c r="D1266" i="1"/>
  <c r="E1267" i="1"/>
  <c r="E1198" i="1"/>
  <c r="F1193" i="1"/>
  <c r="F1192" i="1"/>
  <c r="F1232" i="1"/>
  <c r="D1235" i="1"/>
  <c r="D1197" i="1"/>
  <c r="E1163" i="1"/>
  <c r="E1131" i="1"/>
  <c r="E1097" i="1"/>
  <c r="D1095" i="1"/>
  <c r="H1095" i="1" s="1"/>
  <c r="E1068" i="1"/>
  <c r="D1067" i="1"/>
  <c r="H1067" i="1" s="1"/>
  <c r="F1135" i="1"/>
  <c r="F1103" i="1"/>
  <c r="F1037" i="1"/>
  <c r="F995" i="1"/>
  <c r="D1033" i="1"/>
  <c r="H1033" i="1" s="1"/>
  <c r="D989" i="1"/>
  <c r="H989" i="1" s="1"/>
  <c r="E956" i="1"/>
  <c r="E990" i="1"/>
  <c r="D932" i="1"/>
  <c r="H932" i="1" s="1"/>
  <c r="D899" i="1"/>
  <c r="H899" i="1" s="1"/>
  <c r="E870" i="1"/>
  <c r="E900" i="1"/>
  <c r="F934" i="1"/>
  <c r="F902" i="1"/>
  <c r="D838" i="1"/>
  <c r="E771" i="1"/>
  <c r="D801" i="1"/>
  <c r="F840" i="1"/>
  <c r="F804" i="1"/>
  <c r="E802" i="1"/>
  <c r="D721" i="1"/>
  <c r="D692" i="1"/>
  <c r="E693" i="1"/>
  <c r="E723" i="1"/>
  <c r="F750" i="1"/>
  <c r="F722" i="1"/>
  <c r="F721" i="1"/>
  <c r="E751" i="1"/>
  <c r="E664" i="1"/>
  <c r="E630" i="1"/>
  <c r="F662" i="1"/>
  <c r="F627" i="1"/>
  <c r="E596" i="1"/>
  <c r="D628" i="1"/>
  <c r="D595" i="1"/>
  <c r="E538" i="1"/>
  <c r="D536" i="1"/>
  <c r="D505" i="1"/>
  <c r="E506" i="1"/>
  <c r="F566" i="1"/>
  <c r="F534" i="1"/>
  <c r="F533" i="1"/>
  <c r="E569" i="1"/>
  <c r="F474" i="1"/>
  <c r="F439" i="1"/>
  <c r="F438" i="1"/>
  <c r="E441" i="1"/>
  <c r="D475" i="1"/>
  <c r="D440" i="1"/>
  <c r="E408" i="1"/>
  <c r="E349" i="1"/>
  <c r="F381" i="1"/>
  <c r="F350" i="1"/>
  <c r="F349" i="1"/>
  <c r="D380" i="1"/>
  <c r="H380" i="1" s="1"/>
  <c r="D348" i="1"/>
  <c r="H348" i="1" s="1"/>
  <c r="D317" i="1"/>
  <c r="H317" i="1" s="1"/>
  <c r="E318" i="1"/>
  <c r="B145" i="1"/>
  <c r="D1406" i="1" l="1"/>
  <c r="E1377" i="1"/>
  <c r="D1376" i="1"/>
  <c r="E1440" i="1"/>
  <c r="F1438" i="1"/>
  <c r="F1405" i="1"/>
  <c r="E1408" i="1"/>
  <c r="E1303" i="1"/>
  <c r="F1342" i="1"/>
  <c r="F1300" i="1"/>
  <c r="E1344" i="1"/>
  <c r="D1301" i="1"/>
  <c r="D1265" i="1"/>
  <c r="E1266" i="1"/>
  <c r="E1235" i="1"/>
  <c r="E1197" i="1"/>
  <c r="E1162" i="1"/>
  <c r="D1195" i="1"/>
  <c r="D1161" i="1"/>
  <c r="H1161" i="1" s="1"/>
  <c r="F1231" i="1"/>
  <c r="F1191" i="1"/>
  <c r="F1134" i="1"/>
  <c r="F1102" i="1"/>
  <c r="F1101" i="1"/>
  <c r="D1129" i="1"/>
  <c r="H1129" i="1" s="1"/>
  <c r="D1094" i="1"/>
  <c r="H1094" i="1" s="1"/>
  <c r="E1067" i="1"/>
  <c r="E1095" i="1"/>
  <c r="E1033" i="1"/>
  <c r="E955" i="1"/>
  <c r="D987" i="1"/>
  <c r="H987" i="1" s="1"/>
  <c r="D954" i="1"/>
  <c r="H954" i="1" s="1"/>
  <c r="F1036" i="1"/>
  <c r="F994" i="1"/>
  <c r="F993" i="1"/>
  <c r="E989" i="1"/>
  <c r="D897" i="1"/>
  <c r="H897" i="1" s="1"/>
  <c r="E869" i="1"/>
  <c r="D868" i="1"/>
  <c r="E899" i="1"/>
  <c r="F933" i="1"/>
  <c r="F901" i="1"/>
  <c r="F900" i="1"/>
  <c r="E932" i="1"/>
  <c r="F839" i="1"/>
  <c r="F803" i="1"/>
  <c r="F802" i="1"/>
  <c r="D799" i="1"/>
  <c r="D769" i="1"/>
  <c r="E770" i="1"/>
  <c r="E801" i="1"/>
  <c r="E838" i="1"/>
  <c r="D749" i="1"/>
  <c r="D720" i="1"/>
  <c r="E692" i="1"/>
  <c r="F749" i="1"/>
  <c r="F720" i="1"/>
  <c r="E721" i="1"/>
  <c r="D662" i="1"/>
  <c r="D627" i="1"/>
  <c r="E595" i="1"/>
  <c r="F661" i="1"/>
  <c r="F626" i="1"/>
  <c r="F625" i="1"/>
  <c r="E628" i="1"/>
  <c r="E536" i="1"/>
  <c r="F565" i="1"/>
  <c r="F532" i="1"/>
  <c r="D535" i="1"/>
  <c r="D567" i="1"/>
  <c r="E505" i="1"/>
  <c r="E440" i="1"/>
  <c r="F473" i="1"/>
  <c r="F437" i="1"/>
  <c r="D438" i="1"/>
  <c r="E407" i="1"/>
  <c r="D406" i="1"/>
  <c r="H406" i="1" s="1"/>
  <c r="E475" i="1"/>
  <c r="F380" i="1"/>
  <c r="F348" i="1"/>
  <c r="E348" i="1"/>
  <c r="E380" i="1"/>
  <c r="D316" i="1"/>
  <c r="H316" i="1" s="1"/>
  <c r="D346" i="1"/>
  <c r="H346" i="1" s="1"/>
  <c r="E317" i="1"/>
  <c r="B146" i="1"/>
  <c r="G145" i="1" s="1"/>
  <c r="G144" i="1"/>
  <c r="F1437" i="1" l="1"/>
  <c r="F1403" i="1"/>
  <c r="F1404" i="1"/>
  <c r="D1405" i="1"/>
  <c r="D1438" i="1"/>
  <c r="D1375" i="1"/>
  <c r="E1376" i="1"/>
  <c r="E1406" i="1"/>
  <c r="E1301" i="1"/>
  <c r="D1342" i="1"/>
  <c r="D1300" i="1"/>
  <c r="E1265" i="1"/>
  <c r="F1341" i="1"/>
  <c r="F1299" i="1"/>
  <c r="F1298" i="1"/>
  <c r="F1190" i="1"/>
  <c r="F1189" i="1"/>
  <c r="F1230" i="1"/>
  <c r="E1161" i="1"/>
  <c r="D1194" i="1"/>
  <c r="D1233" i="1"/>
  <c r="E1195" i="1"/>
  <c r="F1133" i="1"/>
  <c r="F1100" i="1"/>
  <c r="E1094" i="1"/>
  <c r="D1092" i="1"/>
  <c r="H1092" i="1" s="1"/>
  <c r="E1066" i="1"/>
  <c r="D1065" i="1"/>
  <c r="H1065" i="1" s="1"/>
  <c r="E1129" i="1"/>
  <c r="E987" i="1"/>
  <c r="F1035" i="1"/>
  <c r="F992" i="1"/>
  <c r="D1031" i="1"/>
  <c r="H1031" i="1" s="1"/>
  <c r="E954" i="1"/>
  <c r="D986" i="1"/>
  <c r="H986" i="1" s="1"/>
  <c r="D930" i="1"/>
  <c r="H930" i="1" s="1"/>
  <c r="D896" i="1"/>
  <c r="H896" i="1" s="1"/>
  <c r="E868" i="1"/>
  <c r="F932" i="1"/>
  <c r="F899" i="1"/>
  <c r="E897" i="1"/>
  <c r="F838" i="1"/>
  <c r="F801" i="1"/>
  <c r="D836" i="1"/>
  <c r="D798" i="1"/>
  <c r="E769" i="1"/>
  <c r="D768" i="1"/>
  <c r="E799" i="1"/>
  <c r="F748" i="1"/>
  <c r="F718" i="1"/>
  <c r="F719" i="1"/>
  <c r="D718" i="1"/>
  <c r="E691" i="1"/>
  <c r="D690" i="1"/>
  <c r="E720" i="1"/>
  <c r="E749" i="1"/>
  <c r="E627" i="1"/>
  <c r="D625" i="1"/>
  <c r="D593" i="1"/>
  <c r="E594" i="1"/>
  <c r="F624" i="1"/>
  <c r="F660" i="1"/>
  <c r="E662" i="1"/>
  <c r="E567" i="1"/>
  <c r="E535" i="1"/>
  <c r="D533" i="1"/>
  <c r="D503" i="1"/>
  <c r="E504" i="1"/>
  <c r="F564" i="1"/>
  <c r="F531" i="1"/>
  <c r="F530" i="1"/>
  <c r="D473" i="1"/>
  <c r="D437" i="1"/>
  <c r="E406" i="1"/>
  <c r="D405" i="1"/>
  <c r="H405" i="1" s="1"/>
  <c r="F472" i="1"/>
  <c r="F436" i="1"/>
  <c r="F435" i="1"/>
  <c r="E438" i="1"/>
  <c r="D378" i="1"/>
  <c r="H378" i="1" s="1"/>
  <c r="D345" i="1"/>
  <c r="H345" i="1" s="1"/>
  <c r="E316" i="1"/>
  <c r="F379" i="1"/>
  <c r="F347" i="1"/>
  <c r="F346" i="1"/>
  <c r="E346" i="1"/>
  <c r="B147" i="1"/>
  <c r="G146" i="1" s="1"/>
  <c r="F1436" i="1" l="1"/>
  <c r="F1402" i="1"/>
  <c r="D1403" i="1"/>
  <c r="D1374" i="1"/>
  <c r="E1375" i="1"/>
  <c r="E1438" i="1"/>
  <c r="E1405" i="1"/>
  <c r="E1300" i="1"/>
  <c r="F1340" i="1"/>
  <c r="F1297" i="1"/>
  <c r="E1342" i="1"/>
  <c r="E1264" i="1"/>
  <c r="D1298" i="1"/>
  <c r="D1263" i="1"/>
  <c r="F1229" i="1"/>
  <c r="F1188" i="1"/>
  <c r="E1160" i="1"/>
  <c r="D1159" i="1"/>
  <c r="H1159" i="1" s="1"/>
  <c r="D1192" i="1"/>
  <c r="E1194" i="1"/>
  <c r="E1233" i="1"/>
  <c r="D1127" i="1"/>
  <c r="H1127" i="1" s="1"/>
  <c r="D1091" i="1"/>
  <c r="H1091" i="1" s="1"/>
  <c r="E1065" i="1"/>
  <c r="F1099" i="1"/>
  <c r="F1098" i="1"/>
  <c r="F1132" i="1"/>
  <c r="E1092" i="1"/>
  <c r="E986" i="1"/>
  <c r="E953" i="1"/>
  <c r="D984" i="1"/>
  <c r="H984" i="1" s="1"/>
  <c r="D952" i="1"/>
  <c r="H952" i="1" s="1"/>
  <c r="E1031" i="1"/>
  <c r="F1034" i="1"/>
  <c r="F990" i="1"/>
  <c r="F991" i="1"/>
  <c r="F931" i="1"/>
  <c r="F897" i="1"/>
  <c r="F898" i="1"/>
  <c r="D894" i="1"/>
  <c r="D866" i="1"/>
  <c r="E867" i="1"/>
  <c r="E896" i="1"/>
  <c r="E930" i="1"/>
  <c r="E768" i="1"/>
  <c r="D796" i="1"/>
  <c r="D767" i="1"/>
  <c r="E836" i="1"/>
  <c r="F837" i="1"/>
  <c r="F800" i="1"/>
  <c r="F799" i="1"/>
  <c r="E798" i="1"/>
  <c r="D747" i="1"/>
  <c r="D717" i="1"/>
  <c r="E690" i="1"/>
  <c r="F747" i="1"/>
  <c r="F717" i="1"/>
  <c r="E718" i="1"/>
  <c r="F659" i="1"/>
  <c r="F623" i="1"/>
  <c r="F622" i="1"/>
  <c r="E625" i="1"/>
  <c r="D660" i="1"/>
  <c r="D624" i="1"/>
  <c r="E593" i="1"/>
  <c r="D565" i="1"/>
  <c r="D532" i="1"/>
  <c r="E503" i="1"/>
  <c r="D502" i="1"/>
  <c r="F563" i="1"/>
  <c r="F529" i="1"/>
  <c r="E533" i="1"/>
  <c r="E437" i="1"/>
  <c r="F471" i="1"/>
  <c r="F434" i="1"/>
  <c r="E405" i="1"/>
  <c r="D435" i="1"/>
  <c r="D404" i="1"/>
  <c r="H404" i="1" s="1"/>
  <c r="E473" i="1"/>
  <c r="F378" i="1"/>
  <c r="F345" i="1"/>
  <c r="E378" i="1"/>
  <c r="D343" i="1"/>
  <c r="H343" i="1" s="1"/>
  <c r="E315" i="1"/>
  <c r="D314" i="1"/>
  <c r="H314" i="1" s="1"/>
  <c r="E345" i="1"/>
  <c r="B148" i="1"/>
  <c r="G147" i="1" s="1"/>
  <c r="E1403" i="1" l="1"/>
  <c r="F1401" i="1"/>
  <c r="F1400" i="1"/>
  <c r="F1435" i="1"/>
  <c r="D1402" i="1"/>
  <c r="D1436" i="1"/>
  <c r="E1374" i="1"/>
  <c r="D1340" i="1"/>
  <c r="E1263" i="1"/>
  <c r="D1297" i="1"/>
  <c r="D1262" i="1"/>
  <c r="E1298" i="1"/>
  <c r="F1339" i="1"/>
  <c r="F1296" i="1"/>
  <c r="F1295" i="1"/>
  <c r="E1192" i="1"/>
  <c r="F1228" i="1"/>
  <c r="F1187" i="1"/>
  <c r="F1186" i="1"/>
  <c r="D1231" i="1"/>
  <c r="E1159" i="1"/>
  <c r="D1191" i="1"/>
  <c r="D1089" i="1"/>
  <c r="H1089" i="1" s="1"/>
  <c r="D1063" i="1"/>
  <c r="H1063" i="1" s="1"/>
  <c r="E1064" i="1"/>
  <c r="E1091" i="1"/>
  <c r="F1131" i="1"/>
  <c r="F1097" i="1"/>
  <c r="E1127" i="1"/>
  <c r="F1033" i="1"/>
  <c r="F989" i="1"/>
  <c r="E984" i="1"/>
  <c r="D1029" i="1"/>
  <c r="H1029" i="1" s="1"/>
  <c r="E952" i="1"/>
  <c r="D983" i="1"/>
  <c r="H983" i="1" s="1"/>
  <c r="D928" i="1"/>
  <c r="H928" i="1" s="1"/>
  <c r="D893" i="1"/>
  <c r="E866" i="1"/>
  <c r="F930" i="1"/>
  <c r="F896" i="1"/>
  <c r="E894" i="1"/>
  <c r="E767" i="1"/>
  <c r="D795" i="1"/>
  <c r="D766" i="1"/>
  <c r="D834" i="1"/>
  <c r="F836" i="1"/>
  <c r="F798" i="1"/>
  <c r="E796" i="1"/>
  <c r="F746" i="1"/>
  <c r="F716" i="1"/>
  <c r="F715" i="1"/>
  <c r="E717" i="1"/>
  <c r="D715" i="1"/>
  <c r="D688" i="1"/>
  <c r="E689" i="1"/>
  <c r="E747" i="1"/>
  <c r="E660" i="1"/>
  <c r="F658" i="1"/>
  <c r="F621" i="1"/>
  <c r="E592" i="1"/>
  <c r="D622" i="1"/>
  <c r="D591" i="1"/>
  <c r="E624" i="1"/>
  <c r="E532" i="1"/>
  <c r="F562" i="1"/>
  <c r="F528" i="1"/>
  <c r="F527" i="1"/>
  <c r="D530" i="1"/>
  <c r="E502" i="1"/>
  <c r="D501" i="1"/>
  <c r="E565" i="1"/>
  <c r="D471" i="1"/>
  <c r="D434" i="1"/>
  <c r="E404" i="1"/>
  <c r="F470" i="1"/>
  <c r="F433" i="1"/>
  <c r="F432" i="1"/>
  <c r="E435" i="1"/>
  <c r="F377" i="1"/>
  <c r="F344" i="1"/>
  <c r="F343" i="1"/>
  <c r="D376" i="1"/>
  <c r="H376" i="1" s="1"/>
  <c r="D342" i="1"/>
  <c r="H342" i="1" s="1"/>
  <c r="E314" i="1"/>
  <c r="D313" i="1"/>
  <c r="H313" i="1" s="1"/>
  <c r="E343" i="1"/>
  <c r="B149" i="1"/>
  <c r="G148" i="1" s="1"/>
  <c r="E1436" i="1" l="1"/>
  <c r="E1402" i="1"/>
  <c r="D1400" i="1"/>
  <c r="E1373" i="1"/>
  <c r="D1372" i="1"/>
  <c r="F1434" i="1"/>
  <c r="F1399" i="1"/>
  <c r="F1338" i="1"/>
  <c r="F1294" i="1"/>
  <c r="E1297" i="1"/>
  <c r="E1262" i="1"/>
  <c r="D1295" i="1"/>
  <c r="D1261" i="1"/>
  <c r="E1340" i="1"/>
  <c r="E1231" i="1"/>
  <c r="E1191" i="1"/>
  <c r="F1227" i="1"/>
  <c r="F1185" i="1"/>
  <c r="D1189" i="1"/>
  <c r="E1158" i="1"/>
  <c r="D1157" i="1"/>
  <c r="H1157" i="1" s="1"/>
  <c r="D1125" i="1"/>
  <c r="H1125" i="1" s="1"/>
  <c r="E1063" i="1"/>
  <c r="D1088" i="1"/>
  <c r="H1088" i="1" s="1"/>
  <c r="F1130" i="1"/>
  <c r="F1095" i="1"/>
  <c r="F1096" i="1"/>
  <c r="E1089" i="1"/>
  <c r="E983" i="1"/>
  <c r="E1029" i="1"/>
  <c r="F1032" i="1"/>
  <c r="F988" i="1"/>
  <c r="F987" i="1"/>
  <c r="E865" i="1"/>
  <c r="D864" i="1"/>
  <c r="D891" i="1"/>
  <c r="F929" i="1"/>
  <c r="F894" i="1"/>
  <c r="F895" i="1"/>
  <c r="E893" i="1"/>
  <c r="E928" i="1"/>
  <c r="D793" i="1"/>
  <c r="D765" i="1"/>
  <c r="E766" i="1"/>
  <c r="F835" i="1"/>
  <c r="F797" i="1"/>
  <c r="F796" i="1"/>
  <c r="E795" i="1"/>
  <c r="E834" i="1"/>
  <c r="D745" i="1"/>
  <c r="D714" i="1"/>
  <c r="E688" i="1"/>
  <c r="F745" i="1"/>
  <c r="F714" i="1"/>
  <c r="E715" i="1"/>
  <c r="D658" i="1"/>
  <c r="E591" i="1"/>
  <c r="D621" i="1"/>
  <c r="F657" i="1"/>
  <c r="F620" i="1"/>
  <c r="F619" i="1"/>
  <c r="E622" i="1"/>
  <c r="E530" i="1"/>
  <c r="D563" i="1"/>
  <c r="E501" i="1"/>
  <c r="D529" i="1"/>
  <c r="F561" i="1"/>
  <c r="F526" i="1"/>
  <c r="E434" i="1"/>
  <c r="D432" i="1"/>
  <c r="D402" i="1"/>
  <c r="H402" i="1" s="1"/>
  <c r="E403" i="1"/>
  <c r="F469" i="1"/>
  <c r="F431" i="1"/>
  <c r="E471" i="1"/>
  <c r="D340" i="1"/>
  <c r="H340" i="1" s="1"/>
  <c r="E313" i="1"/>
  <c r="D312" i="1"/>
  <c r="H312" i="1" s="1"/>
  <c r="E376" i="1"/>
  <c r="F376" i="1"/>
  <c r="F342" i="1"/>
  <c r="E342" i="1"/>
  <c r="B150" i="1"/>
  <c r="D1434" i="1" l="1"/>
  <c r="D1399" i="1"/>
  <c r="E1372" i="1"/>
  <c r="D1371" i="1"/>
  <c r="F1433" i="1"/>
  <c r="F1398" i="1"/>
  <c r="F1397" i="1"/>
  <c r="E1400" i="1"/>
  <c r="D1338" i="1"/>
  <c r="D1294" i="1"/>
  <c r="E1261" i="1"/>
  <c r="E1295" i="1"/>
  <c r="F1337" i="1"/>
  <c r="F1293" i="1"/>
  <c r="F1292" i="1"/>
  <c r="E1189" i="1"/>
  <c r="F1226" i="1"/>
  <c r="F1184" i="1"/>
  <c r="F1183" i="1"/>
  <c r="D1229" i="1"/>
  <c r="D1156" i="1"/>
  <c r="H1156" i="1" s="1"/>
  <c r="D1188" i="1"/>
  <c r="E1157" i="1"/>
  <c r="F1129" i="1"/>
  <c r="F1094" i="1"/>
  <c r="E1088" i="1"/>
  <c r="E1125" i="1"/>
  <c r="F1031" i="1"/>
  <c r="F986" i="1"/>
  <c r="E891" i="1"/>
  <c r="F928" i="1"/>
  <c r="F893" i="1"/>
  <c r="D926" i="1"/>
  <c r="H926" i="1" s="1"/>
  <c r="D890" i="1"/>
  <c r="E864" i="1"/>
  <c r="F834" i="1"/>
  <c r="F795" i="1"/>
  <c r="D832" i="1"/>
  <c r="D792" i="1"/>
  <c r="E765" i="1"/>
  <c r="E793" i="1"/>
  <c r="F744" i="1"/>
  <c r="F713" i="1"/>
  <c r="F712" i="1"/>
  <c r="E714" i="1"/>
  <c r="D712" i="1"/>
  <c r="D686" i="1"/>
  <c r="E687" i="1"/>
  <c r="E745" i="1"/>
  <c r="E621" i="1"/>
  <c r="F618" i="1"/>
  <c r="F656" i="1"/>
  <c r="D589" i="1"/>
  <c r="E590" i="1"/>
  <c r="D619" i="1"/>
  <c r="E658" i="1"/>
  <c r="E563" i="1"/>
  <c r="F560" i="1"/>
  <c r="F525" i="1"/>
  <c r="F524" i="1"/>
  <c r="E529" i="1"/>
  <c r="D527" i="1"/>
  <c r="D499" i="1"/>
  <c r="E500" i="1"/>
  <c r="F468" i="1"/>
  <c r="F429" i="1"/>
  <c r="F430" i="1"/>
  <c r="D469" i="1"/>
  <c r="D431" i="1"/>
  <c r="E402" i="1"/>
  <c r="E432" i="1"/>
  <c r="E340" i="1"/>
  <c r="D374" i="1"/>
  <c r="H374" i="1" s="1"/>
  <c r="D339" i="1"/>
  <c r="H339" i="1" s="1"/>
  <c r="E312" i="1"/>
  <c r="F375" i="1"/>
  <c r="F340" i="1"/>
  <c r="F341" i="1"/>
  <c r="B151" i="1"/>
  <c r="G149" i="1"/>
  <c r="E1399" i="1" l="1"/>
  <c r="F1432" i="1"/>
  <c r="F1396" i="1"/>
  <c r="D1397" i="1"/>
  <c r="E1371" i="1"/>
  <c r="D1370" i="1"/>
  <c r="E1434" i="1"/>
  <c r="D1292" i="1"/>
  <c r="D1259" i="1"/>
  <c r="E1260" i="1"/>
  <c r="F1336" i="1"/>
  <c r="F1291" i="1"/>
  <c r="E1294" i="1"/>
  <c r="E1338" i="1"/>
  <c r="E1229" i="1"/>
  <c r="D1186" i="1"/>
  <c r="D1155" i="1"/>
  <c r="H1155" i="1" s="1"/>
  <c r="E1156" i="1"/>
  <c r="F1225" i="1"/>
  <c r="F1182" i="1"/>
  <c r="E1188" i="1"/>
  <c r="F1093" i="1"/>
  <c r="F1092" i="1"/>
  <c r="F1128" i="1"/>
  <c r="F985" i="1"/>
  <c r="F984" i="1"/>
  <c r="F1030" i="1"/>
  <c r="F927" i="1"/>
  <c r="F891" i="1"/>
  <c r="F892" i="1"/>
  <c r="E890" i="1"/>
  <c r="D888" i="1"/>
  <c r="D862" i="1"/>
  <c r="E863" i="1"/>
  <c r="E926" i="1"/>
  <c r="E832" i="1"/>
  <c r="F833" i="1"/>
  <c r="F794" i="1"/>
  <c r="F793" i="1"/>
  <c r="E792" i="1"/>
  <c r="E712" i="1"/>
  <c r="F743" i="1"/>
  <c r="F711" i="1"/>
  <c r="D743" i="1"/>
  <c r="E686" i="1"/>
  <c r="D711" i="1"/>
  <c r="D656" i="1"/>
  <c r="D618" i="1"/>
  <c r="E589" i="1"/>
  <c r="E619" i="1"/>
  <c r="F655" i="1"/>
  <c r="F617" i="1"/>
  <c r="F616" i="1"/>
  <c r="D526" i="1"/>
  <c r="D561" i="1"/>
  <c r="E499" i="1"/>
  <c r="F559" i="1"/>
  <c r="F523" i="1"/>
  <c r="E527" i="1"/>
  <c r="D429" i="1"/>
  <c r="E401" i="1"/>
  <c r="D400" i="1"/>
  <c r="H400" i="1" s="1"/>
  <c r="F467" i="1"/>
  <c r="F428" i="1"/>
  <c r="E431" i="1"/>
  <c r="E469" i="1"/>
  <c r="E339" i="1"/>
  <c r="D337" i="1"/>
  <c r="H337" i="1" s="1"/>
  <c r="E311" i="1"/>
  <c r="D310" i="1"/>
  <c r="H310" i="1" s="1"/>
  <c r="E374" i="1"/>
  <c r="F374" i="1"/>
  <c r="F339" i="1"/>
  <c r="B152" i="1"/>
  <c r="G151" i="1" s="1"/>
  <c r="G150" i="1"/>
  <c r="E1397" i="1" l="1"/>
  <c r="D1432" i="1"/>
  <c r="D1396" i="1"/>
  <c r="E1370" i="1"/>
  <c r="F1431" i="1"/>
  <c r="F1395" i="1"/>
  <c r="F1394" i="1"/>
  <c r="F1335" i="1"/>
  <c r="F1289" i="1"/>
  <c r="F1290" i="1"/>
  <c r="D1291" i="1"/>
  <c r="D1336" i="1"/>
  <c r="E1259" i="1"/>
  <c r="E1292" i="1"/>
  <c r="E1186" i="1"/>
  <c r="D1227" i="1"/>
  <c r="D1185" i="1"/>
  <c r="E1155" i="1"/>
  <c r="F1127" i="1"/>
  <c r="F1091" i="1"/>
  <c r="F1029" i="1"/>
  <c r="F983" i="1"/>
  <c r="E888" i="1"/>
  <c r="F926" i="1"/>
  <c r="F890" i="1"/>
  <c r="D924" i="1"/>
  <c r="H924" i="1" s="1"/>
  <c r="D887" i="1"/>
  <c r="E862" i="1"/>
  <c r="F832" i="1"/>
  <c r="F792" i="1"/>
  <c r="D709" i="1"/>
  <c r="D684" i="1"/>
  <c r="E685" i="1"/>
  <c r="E743" i="1"/>
  <c r="E711" i="1"/>
  <c r="F742" i="1"/>
  <c r="F710" i="1"/>
  <c r="F709" i="1"/>
  <c r="F654" i="1"/>
  <c r="F615" i="1"/>
  <c r="D616" i="1"/>
  <c r="D587" i="1"/>
  <c r="E588" i="1"/>
  <c r="E618" i="1"/>
  <c r="E656" i="1"/>
  <c r="F558" i="1"/>
  <c r="F521" i="1"/>
  <c r="F522" i="1"/>
  <c r="D524" i="1"/>
  <c r="E498" i="1"/>
  <c r="D497" i="1"/>
  <c r="E561" i="1"/>
  <c r="E526" i="1"/>
  <c r="D467" i="1"/>
  <c r="D428" i="1"/>
  <c r="E400" i="1"/>
  <c r="D399" i="1"/>
  <c r="H399" i="1" s="1"/>
  <c r="F466" i="1"/>
  <c r="F427" i="1"/>
  <c r="F426" i="1"/>
  <c r="E429" i="1"/>
  <c r="E337" i="1"/>
  <c r="F373" i="1"/>
  <c r="F338" i="1"/>
  <c r="F337" i="1"/>
  <c r="D372" i="1"/>
  <c r="H372" i="1" s="1"/>
  <c r="D336" i="1"/>
  <c r="H336" i="1" s="1"/>
  <c r="E310" i="1"/>
  <c r="B153" i="1"/>
  <c r="E1396" i="1" l="1"/>
  <c r="F1430" i="1"/>
  <c r="F1393" i="1"/>
  <c r="D1394" i="1"/>
  <c r="E1369" i="1"/>
  <c r="D1368" i="1"/>
  <c r="E1432" i="1"/>
  <c r="D1289" i="1"/>
  <c r="D1257" i="1"/>
  <c r="E1258" i="1"/>
  <c r="F1334" i="1"/>
  <c r="F1288" i="1"/>
  <c r="E1336" i="1"/>
  <c r="E1291" i="1"/>
  <c r="E1227" i="1"/>
  <c r="E1154" i="1"/>
  <c r="D1183" i="1"/>
  <c r="D1153" i="1"/>
  <c r="H1153" i="1" s="1"/>
  <c r="E1185" i="1"/>
  <c r="F1126" i="1"/>
  <c r="F1090" i="1"/>
  <c r="F1089" i="1"/>
  <c r="F925" i="1"/>
  <c r="F889" i="1"/>
  <c r="F888" i="1"/>
  <c r="E887" i="1"/>
  <c r="E924" i="1"/>
  <c r="F741" i="1"/>
  <c r="F708" i="1"/>
  <c r="D741" i="1"/>
  <c r="D708" i="1"/>
  <c r="E684" i="1"/>
  <c r="E709" i="1"/>
  <c r="F653" i="1"/>
  <c r="F614" i="1"/>
  <c r="F613" i="1"/>
  <c r="E616" i="1"/>
  <c r="D654" i="1"/>
  <c r="D586" i="1"/>
  <c r="E587" i="1"/>
  <c r="D615" i="1"/>
  <c r="D523" i="1"/>
  <c r="D559" i="1"/>
  <c r="E497" i="1"/>
  <c r="F557" i="1"/>
  <c r="F520" i="1"/>
  <c r="E524" i="1"/>
  <c r="F465" i="1"/>
  <c r="F425" i="1"/>
  <c r="E428" i="1"/>
  <c r="D426" i="1"/>
  <c r="E399" i="1"/>
  <c r="D398" i="1"/>
  <c r="H398" i="1" s="1"/>
  <c r="E467" i="1"/>
  <c r="F372" i="1"/>
  <c r="F336" i="1"/>
  <c r="D308" i="1"/>
  <c r="H308" i="1" s="1"/>
  <c r="D334" i="1"/>
  <c r="H334" i="1" s="1"/>
  <c r="E309" i="1"/>
  <c r="E336" i="1"/>
  <c r="E372" i="1"/>
  <c r="B154" i="1"/>
  <c r="G153" i="1" s="1"/>
  <c r="G152" i="1"/>
  <c r="D1393" i="1" l="1"/>
  <c r="D1430" i="1"/>
  <c r="E1368" i="1"/>
  <c r="E1394" i="1"/>
  <c r="D1334" i="1"/>
  <c r="D1288" i="1"/>
  <c r="E1257" i="1"/>
  <c r="E1289" i="1"/>
  <c r="E1183" i="1"/>
  <c r="E1153" i="1"/>
  <c r="D1225" i="1"/>
  <c r="D1182" i="1"/>
  <c r="F1125" i="1"/>
  <c r="F1088" i="1"/>
  <c r="F924" i="1"/>
  <c r="F887" i="1"/>
  <c r="E741" i="1"/>
  <c r="E683" i="1"/>
  <c r="D706" i="1"/>
  <c r="D682" i="1"/>
  <c r="F740" i="1"/>
  <c r="F707" i="1"/>
  <c r="F706" i="1"/>
  <c r="E708" i="1"/>
  <c r="E654" i="1"/>
  <c r="F652" i="1"/>
  <c r="F612" i="1"/>
  <c r="D613" i="1"/>
  <c r="D585" i="1"/>
  <c r="E586" i="1"/>
  <c r="E615" i="1"/>
  <c r="D521" i="1"/>
  <c r="D495" i="1"/>
  <c r="E496" i="1"/>
  <c r="E559" i="1"/>
  <c r="E523" i="1"/>
  <c r="D465" i="1"/>
  <c r="D425" i="1"/>
  <c r="E398" i="1"/>
  <c r="E426" i="1"/>
  <c r="D370" i="1"/>
  <c r="H370" i="1" s="1"/>
  <c r="D333" i="1"/>
  <c r="H333" i="1" s="1"/>
  <c r="E308" i="1"/>
  <c r="F371" i="1"/>
  <c r="F335" i="1"/>
  <c r="F334" i="1"/>
  <c r="E334" i="1"/>
  <c r="B155" i="1"/>
  <c r="G154" i="1" s="1"/>
  <c r="E1430" i="1" l="1"/>
  <c r="E1393" i="1"/>
  <c r="E1288" i="1"/>
  <c r="E1334" i="1"/>
  <c r="E1225" i="1"/>
  <c r="E1182" i="1"/>
  <c r="E706" i="1"/>
  <c r="F739" i="1"/>
  <c r="F705" i="1"/>
  <c r="D739" i="1"/>
  <c r="E682" i="1"/>
  <c r="D705" i="1"/>
  <c r="D652" i="1"/>
  <c r="D612" i="1"/>
  <c r="E585" i="1"/>
  <c r="E613" i="1"/>
  <c r="D557" i="1"/>
  <c r="D520" i="1"/>
  <c r="E495" i="1"/>
  <c r="E521" i="1"/>
  <c r="E465" i="1"/>
  <c r="E425" i="1"/>
  <c r="E370" i="1"/>
  <c r="F370" i="1"/>
  <c r="F333" i="1"/>
  <c r="E333" i="1"/>
  <c r="B156" i="1"/>
  <c r="B157" i="1" s="1"/>
  <c r="B158" i="1" s="1"/>
  <c r="B159" i="1" s="1"/>
  <c r="B160" i="1" s="1"/>
  <c r="B161" i="1" s="1"/>
  <c r="B162" i="1" s="1"/>
  <c r="B163" i="1" s="1"/>
  <c r="E739" i="1" l="1"/>
  <c r="E705" i="1"/>
  <c r="E612" i="1"/>
  <c r="E652" i="1"/>
  <c r="E520" i="1"/>
  <c r="E557" i="1"/>
  <c r="G155" i="1"/>
  <c r="F156" i="1" l="1"/>
  <c r="I158" i="1" l="1"/>
  <c r="I160" i="1" l="1"/>
  <c r="A164" i="1" l="1"/>
  <c r="I162" i="1"/>
  <c r="I164" i="1" l="1"/>
  <c r="A165" i="1"/>
  <c r="A166" i="1" s="1"/>
  <c r="A167" i="1" l="1"/>
  <c r="A168" i="1" s="1"/>
  <c r="I166" i="1"/>
  <c r="I168" i="1" l="1"/>
  <c r="A169" i="1"/>
  <c r="A170" i="1" s="1"/>
  <c r="I170" i="1" l="1"/>
  <c r="A171" i="1"/>
  <c r="A172" i="1" s="1"/>
  <c r="A173" i="1" s="1"/>
  <c r="A174" i="1" s="1"/>
  <c r="A175" i="1" l="1"/>
  <c r="A176" i="1" s="1"/>
  <c r="I174" i="1"/>
  <c r="I172" i="1"/>
  <c r="F176" i="1" l="1"/>
  <c r="A177" i="1"/>
  <c r="A178" i="1" s="1"/>
  <c r="A179" i="1" l="1"/>
  <c r="A180" i="1" s="1"/>
  <c r="I178" i="1"/>
  <c r="A181" i="1" l="1"/>
  <c r="A182" i="1" s="1"/>
  <c r="I180" i="1"/>
  <c r="A183" i="1" l="1"/>
  <c r="A184" i="1" s="1"/>
  <c r="I182" i="1"/>
  <c r="I184" i="1" l="1"/>
  <c r="A185" i="1"/>
  <c r="A186" i="1" s="1"/>
  <c r="I186" i="1" l="1"/>
  <c r="A187" i="1"/>
  <c r="A188" i="1" s="1"/>
  <c r="A189" i="1" l="1"/>
  <c r="A190" i="1" s="1"/>
  <c r="I188" i="1"/>
  <c r="A191" i="1" l="1"/>
  <c r="A192" i="1" s="1"/>
  <c r="I190" i="1"/>
  <c r="I192" i="1" l="1"/>
  <c r="A193" i="1"/>
  <c r="A194" i="1" s="1"/>
  <c r="A195" i="1" l="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I194" i="1"/>
  <c r="I250" i="1" l="1"/>
  <c r="A251" i="1"/>
  <c r="A252" i="1" s="1"/>
  <c r="I196" i="1"/>
  <c r="F252" i="1" l="1"/>
  <c r="A253" i="1"/>
  <c r="A254" i="1" s="1"/>
  <c r="A255" i="1" l="1"/>
  <c r="A256" i="1" s="1"/>
  <c r="I254" i="1"/>
  <c r="I256" i="1" l="1"/>
  <c r="A257" i="1"/>
  <c r="A258" i="1" s="1"/>
  <c r="A259" i="1" l="1"/>
  <c r="A260" i="1" s="1"/>
  <c r="I258" i="1"/>
  <c r="A261" i="1" l="1"/>
  <c r="A262" i="1" s="1"/>
  <c r="I260" i="1"/>
  <c r="A263" i="1" l="1"/>
  <c r="A264" i="1" s="1"/>
  <c r="I262" i="1"/>
  <c r="I264" i="1" l="1"/>
  <c r="A265" i="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l="1"/>
  <c r="A307" i="1" s="1"/>
  <c r="I305" i="1"/>
  <c r="I266" i="1"/>
  <c r="A308" i="1" l="1"/>
  <c r="A309" i="1" s="1"/>
  <c r="F307" i="1"/>
  <c r="F197" i="1"/>
  <c r="A310" i="1" l="1"/>
  <c r="A311" i="1" s="1"/>
  <c r="I309" i="1"/>
  <c r="I199" i="1"/>
  <c r="A312" i="1" l="1"/>
  <c r="A313" i="1" s="1"/>
  <c r="I311" i="1"/>
  <c r="I200" i="1"/>
  <c r="A314" i="1" l="1"/>
  <c r="A315" i="1" s="1"/>
  <c r="I313" i="1"/>
  <c r="I202" i="1"/>
  <c r="I315" i="1" l="1"/>
  <c r="A316" i="1"/>
  <c r="A317" i="1" s="1"/>
  <c r="I203" i="1"/>
  <c r="A318" i="1" l="1"/>
  <c r="A319" i="1" s="1"/>
  <c r="I317" i="1"/>
  <c r="I205" i="1"/>
  <c r="A320" i="1" l="1"/>
  <c r="A321" i="1" s="1"/>
  <c r="I319" i="1"/>
  <c r="I206" i="1"/>
  <c r="A322" i="1" l="1"/>
  <c r="A323" i="1" s="1"/>
  <c r="I321" i="1"/>
  <c r="I208" i="1"/>
  <c r="A324" i="1" l="1"/>
  <c r="A325" i="1" s="1"/>
  <c r="I323" i="1"/>
  <c r="I209" i="1"/>
  <c r="I325" i="1" l="1"/>
  <c r="A326" i="1"/>
  <c r="A327" i="1" s="1"/>
  <c r="I211" i="1"/>
  <c r="A328" i="1" l="1"/>
  <c r="A329" i="1" s="1"/>
  <c r="I327" i="1"/>
  <c r="I212" i="1"/>
  <c r="A330" i="1" l="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I329" i="1"/>
  <c r="F267" i="1"/>
  <c r="I214" i="1"/>
  <c r="I395" i="1" l="1"/>
  <c r="A396" i="1"/>
  <c r="A397" i="1" s="1"/>
  <c r="I331" i="1"/>
  <c r="I269" i="1"/>
  <c r="I215" i="1"/>
  <c r="F397" i="1" l="1"/>
  <c r="A398" i="1"/>
  <c r="A399" i="1" s="1"/>
  <c r="I270" i="1"/>
  <c r="I217" i="1"/>
  <c r="A400" i="1" l="1"/>
  <c r="A401" i="1" s="1"/>
  <c r="I399" i="1"/>
  <c r="I272" i="1"/>
  <c r="I218" i="1"/>
  <c r="I401" i="1" l="1"/>
  <c r="A402" i="1"/>
  <c r="A403" i="1" s="1"/>
  <c r="I273" i="1"/>
  <c r="I220" i="1"/>
  <c r="A404" i="1" l="1"/>
  <c r="A405" i="1" s="1"/>
  <c r="I403" i="1"/>
  <c r="I275" i="1"/>
  <c r="I221" i="1"/>
  <c r="A406" i="1" l="1"/>
  <c r="A407" i="1" s="1"/>
  <c r="I405" i="1"/>
  <c r="I276" i="1"/>
  <c r="I223" i="1"/>
  <c r="A408" i="1" l="1"/>
  <c r="A409" i="1" s="1"/>
  <c r="I407" i="1"/>
  <c r="I278" i="1"/>
  <c r="I224" i="1"/>
  <c r="I409" i="1" l="1"/>
  <c r="A410" i="1"/>
  <c r="A411" i="1" s="1"/>
  <c r="I279" i="1"/>
  <c r="I226" i="1"/>
  <c r="A412" i="1" l="1"/>
  <c r="A413" i="1" s="1"/>
  <c r="I411" i="1"/>
  <c r="I281" i="1"/>
  <c r="I227" i="1"/>
  <c r="A414" i="1" l="1"/>
  <c r="A415" i="1" s="1"/>
  <c r="I413" i="1"/>
  <c r="I282" i="1"/>
  <c r="A416" i="1" l="1"/>
  <c r="A417" i="1" s="1"/>
  <c r="I415" i="1"/>
  <c r="I284" i="1"/>
  <c r="I417" i="1" l="1"/>
  <c r="A418" i="1"/>
  <c r="A419" i="1" s="1"/>
  <c r="I285" i="1"/>
  <c r="A420" i="1" l="1"/>
  <c r="A421" i="1" s="1"/>
  <c r="I419" i="1"/>
  <c r="I287" i="1"/>
  <c r="A422" i="1" l="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I421" i="1"/>
  <c r="I288" i="1"/>
  <c r="I423" i="1" l="1"/>
  <c r="G156" i="1"/>
  <c r="G157" i="1" l="1"/>
  <c r="G159" i="1" l="1"/>
  <c r="G158" i="1"/>
  <c r="G160" i="1" l="1"/>
  <c r="G161" i="1" l="1"/>
  <c r="G162" i="1" l="1"/>
  <c r="B164" i="1" l="1"/>
  <c r="G163" i="1" s="1"/>
  <c r="B165" i="1" l="1"/>
  <c r="G164" i="1" s="1"/>
  <c r="B166" i="1" l="1"/>
  <c r="B167" i="1" l="1"/>
  <c r="G166" i="1" s="1"/>
  <c r="G165" i="1"/>
  <c r="B168" i="1" l="1"/>
  <c r="B169" i="1" l="1"/>
  <c r="G167" i="1"/>
  <c r="B170" i="1" l="1"/>
  <c r="G168" i="1"/>
  <c r="B171" i="1" l="1"/>
  <c r="G169" i="1"/>
  <c r="F332" i="1" l="1"/>
  <c r="B172" i="1"/>
  <c r="G170" i="1"/>
  <c r="I334" i="1" l="1"/>
  <c r="G171" i="1"/>
  <c r="B173" i="1"/>
  <c r="G172" i="1" s="1"/>
  <c r="I335" i="1" l="1"/>
  <c r="B174" i="1"/>
  <c r="I337" i="1" l="1"/>
  <c r="B175" i="1"/>
  <c r="I338" i="1" l="1"/>
  <c r="B176" i="1"/>
  <c r="G175" i="1" s="1"/>
  <c r="F175" i="1"/>
  <c r="G174" i="1"/>
  <c r="I340" i="1" l="1"/>
  <c r="B177" i="1"/>
  <c r="G176" i="1" s="1"/>
  <c r="I341" i="1" l="1"/>
  <c r="B178" i="1"/>
  <c r="G177" i="1" s="1"/>
  <c r="I343" i="1" l="1"/>
  <c r="B179" i="1"/>
  <c r="G178" i="1" s="1"/>
  <c r="I344" i="1" l="1"/>
  <c r="B180" i="1"/>
  <c r="G179" i="1" s="1"/>
  <c r="I346" i="1" l="1"/>
  <c r="B181" i="1"/>
  <c r="G180" i="1" s="1"/>
  <c r="I347" i="1" l="1"/>
  <c r="B182" i="1"/>
  <c r="G181" i="1" s="1"/>
  <c r="I349" i="1" l="1"/>
  <c r="B183" i="1"/>
  <c r="G182" i="1" s="1"/>
  <c r="I350" i="1" l="1"/>
  <c r="B184" i="1"/>
  <c r="G183" i="1" s="1"/>
  <c r="F424" i="1" l="1"/>
  <c r="I352" i="1"/>
  <c r="B185" i="1"/>
  <c r="G184" i="1" s="1"/>
  <c r="I426" i="1" l="1"/>
  <c r="I353" i="1"/>
  <c r="B186" i="1"/>
  <c r="G185" i="1" s="1"/>
  <c r="I427" i="1" l="1"/>
  <c r="I355" i="1"/>
  <c r="B187" i="1"/>
  <c r="G186" i="1" s="1"/>
  <c r="I429" i="1" l="1"/>
  <c r="I356" i="1"/>
  <c r="B188" i="1"/>
  <c r="G187" i="1" s="1"/>
  <c r="I430" i="1" l="1"/>
  <c r="I358" i="1"/>
  <c r="B189" i="1"/>
  <c r="G188" i="1" s="1"/>
  <c r="I432" i="1" l="1"/>
  <c r="I359" i="1"/>
  <c r="B190" i="1"/>
  <c r="G189" i="1" s="1"/>
  <c r="I433" i="1" l="1"/>
  <c r="I361" i="1"/>
  <c r="B191" i="1"/>
  <c r="G190" i="1" s="1"/>
  <c r="I435" i="1" l="1"/>
  <c r="I362" i="1"/>
  <c r="B192" i="1"/>
  <c r="G191" i="1" s="1"/>
  <c r="I436" i="1" l="1"/>
  <c r="I364" i="1"/>
  <c r="B193" i="1"/>
  <c r="G192" i="1" s="1"/>
  <c r="I438" i="1" l="1"/>
  <c r="I365" i="1"/>
  <c r="B194" i="1"/>
  <c r="G193" i="1" s="1"/>
  <c r="I439" i="1" l="1"/>
  <c r="I367" i="1"/>
  <c r="B195" i="1"/>
  <c r="G194" i="1" s="1"/>
  <c r="I441" i="1" l="1"/>
  <c r="I368" i="1"/>
  <c r="B196" i="1"/>
  <c r="I442" i="1" l="1"/>
  <c r="B197" i="1"/>
  <c r="G195" i="1"/>
  <c r="I444" i="1" l="1"/>
  <c r="B198" i="1"/>
  <c r="G196" i="1"/>
  <c r="I445" i="1" l="1"/>
  <c r="B199" i="1"/>
  <c r="G198" i="1" s="1"/>
  <c r="G197" i="1"/>
  <c r="I447" i="1" l="1"/>
  <c r="B200" i="1"/>
  <c r="G199" i="1" s="1"/>
  <c r="I448" i="1" l="1"/>
  <c r="B201" i="1"/>
  <c r="G200" i="1" s="1"/>
  <c r="I450" i="1" l="1"/>
  <c r="B202" i="1"/>
  <c r="G201" i="1" s="1"/>
  <c r="I451" i="1" l="1"/>
  <c r="B203" i="1"/>
  <c r="G202" i="1" s="1"/>
  <c r="I453" i="1" l="1"/>
  <c r="B204" i="1"/>
  <c r="G203" i="1" s="1"/>
  <c r="I454" i="1" l="1"/>
  <c r="B205" i="1"/>
  <c r="G204" i="1" s="1"/>
  <c r="I456" i="1" l="1"/>
  <c r="B206" i="1"/>
  <c r="G205" i="1" s="1"/>
  <c r="F228" i="1"/>
  <c r="I457" i="1" l="1"/>
  <c r="B207" i="1"/>
  <c r="I230" i="1"/>
  <c r="I459" i="1" l="1"/>
  <c r="B208" i="1"/>
  <c r="G207" i="1" s="1"/>
  <c r="G206" i="1"/>
  <c r="I232" i="1"/>
  <c r="I460" i="1" l="1"/>
  <c r="B209" i="1"/>
  <c r="G208" i="1" s="1"/>
  <c r="I234" i="1"/>
  <c r="I462" i="1" l="1"/>
  <c r="B210" i="1"/>
  <c r="G209" i="1" s="1"/>
  <c r="I236" i="1"/>
  <c r="I463" i="1" l="1"/>
  <c r="B211" i="1"/>
  <c r="G210" i="1" s="1"/>
  <c r="I238" i="1"/>
  <c r="B212" i="1" l="1"/>
  <c r="G211" i="1" s="1"/>
  <c r="I240" i="1"/>
  <c r="B213" i="1" l="1"/>
  <c r="G212" i="1" s="1"/>
  <c r="I242" i="1"/>
  <c r="B214" i="1" l="1"/>
  <c r="G213" i="1" s="1"/>
  <c r="I244" i="1"/>
  <c r="B215" i="1" l="1"/>
  <c r="G214" i="1" s="1"/>
  <c r="I246" i="1"/>
  <c r="B216" i="1" l="1"/>
  <c r="G215" i="1" s="1"/>
  <c r="I248" i="1"/>
  <c r="F289" i="1" l="1"/>
  <c r="B217" i="1"/>
  <c r="G216" i="1" s="1"/>
  <c r="I291" i="1" l="1"/>
  <c r="B218" i="1"/>
  <c r="G217" i="1" s="1"/>
  <c r="I293" i="1" l="1"/>
  <c r="B219" i="1"/>
  <c r="G218" i="1" s="1"/>
  <c r="I295" i="1" l="1"/>
  <c r="B220" i="1"/>
  <c r="G219" i="1" s="1"/>
  <c r="I297" i="1" l="1"/>
  <c r="B221" i="1"/>
  <c r="G220" i="1" s="1"/>
  <c r="I299" i="1" l="1"/>
  <c r="B222" i="1"/>
  <c r="G221" i="1" s="1"/>
  <c r="I301" i="1" l="1"/>
  <c r="B223" i="1"/>
  <c r="G222" i="1" s="1"/>
  <c r="I303" i="1" l="1"/>
  <c r="B224" i="1"/>
  <c r="G223" i="1" s="1"/>
  <c r="B225" i="1" l="1"/>
  <c r="G224" i="1" s="1"/>
  <c r="B226" i="1" l="1"/>
  <c r="G225" i="1" s="1"/>
  <c r="B227" i="1" l="1"/>
  <c r="G226" i="1" s="1"/>
  <c r="B228" i="1" l="1"/>
  <c r="G227" i="1" s="1"/>
  <c r="B229" i="1" l="1"/>
  <c r="G228" i="1" s="1"/>
  <c r="B230" i="1" l="1"/>
  <c r="G229" i="1" s="1"/>
  <c r="B231" i="1" l="1"/>
  <c r="G230" i="1" s="1"/>
  <c r="B232" i="1" l="1"/>
  <c r="G231" i="1" s="1"/>
  <c r="B233" i="1" l="1"/>
  <c r="G232" i="1" s="1"/>
  <c r="B234" i="1" l="1"/>
  <c r="G233" i="1" s="1"/>
  <c r="B235" i="1" l="1"/>
  <c r="G234" i="1" s="1"/>
  <c r="B236" i="1" l="1"/>
  <c r="G235" i="1" s="1"/>
  <c r="B237" i="1" l="1"/>
  <c r="G236" i="1" s="1"/>
  <c r="B238" i="1" l="1"/>
  <c r="B239" i="1" s="1"/>
  <c r="B240" i="1" s="1"/>
  <c r="B241" i="1" s="1"/>
  <c r="B242" i="1" s="1"/>
  <c r="B243" i="1" s="1"/>
  <c r="B244" i="1" s="1"/>
  <c r="B245" i="1" s="1"/>
  <c r="B246" i="1" s="1"/>
  <c r="B247" i="1" s="1"/>
  <c r="F173" i="1"/>
  <c r="G237" i="1" l="1"/>
  <c r="B248" i="1"/>
  <c r="G247" i="1" s="1"/>
  <c r="B249" i="1" l="1"/>
  <c r="G248" i="1" s="1"/>
  <c r="B250" i="1" l="1"/>
  <c r="I2" i="4"/>
  <c r="I286" i="4"/>
  <c r="I284" i="4"/>
  <c r="I282" i="4"/>
  <c r="I280" i="4"/>
  <c r="I278" i="4"/>
  <c r="I276" i="4"/>
  <c r="I274" i="4"/>
  <c r="I272" i="4"/>
  <c r="I270" i="4"/>
  <c r="I268" i="4"/>
  <c r="I266" i="4"/>
  <c r="I264" i="4"/>
  <c r="I262" i="4"/>
  <c r="I260" i="4"/>
  <c r="I258" i="4"/>
  <c r="I256" i="4"/>
  <c r="I254" i="4"/>
  <c r="I252" i="4"/>
  <c r="I250" i="4"/>
  <c r="I248" i="4"/>
  <c r="I246" i="4"/>
  <c r="I244" i="4"/>
  <c r="I242" i="4"/>
  <c r="I240" i="4"/>
  <c r="I238" i="4"/>
  <c r="I236" i="4"/>
  <c r="I234" i="4"/>
  <c r="I232" i="4"/>
  <c r="I230" i="4"/>
  <c r="I228" i="4"/>
  <c r="I226" i="4"/>
  <c r="I224" i="4"/>
  <c r="I222" i="4"/>
  <c r="I220" i="4"/>
  <c r="I218" i="4"/>
  <c r="I216" i="4"/>
  <c r="I214" i="4"/>
  <c r="I212" i="4"/>
  <c r="I210" i="4"/>
  <c r="I208" i="4"/>
  <c r="I205" i="4"/>
  <c r="I204" i="4"/>
  <c r="I202" i="4"/>
  <c r="I201" i="4"/>
  <c r="I199" i="4"/>
  <c r="I198" i="4"/>
  <c r="I196" i="4"/>
  <c r="I195" i="4"/>
  <c r="I193" i="4"/>
  <c r="I192" i="4"/>
  <c r="I190" i="4"/>
  <c r="I189" i="4"/>
  <c r="I187" i="4"/>
  <c r="I186" i="4"/>
  <c r="I184" i="4"/>
  <c r="I183" i="4"/>
  <c r="I181" i="4"/>
  <c r="I180" i="4"/>
  <c r="I178" i="4"/>
  <c r="I177" i="4"/>
  <c r="I175" i="4"/>
  <c r="I174" i="4"/>
  <c r="I172" i="4"/>
  <c r="I171" i="4"/>
  <c r="I169" i="4"/>
  <c r="I168" i="4"/>
  <c r="I166" i="4"/>
  <c r="I165" i="4"/>
  <c r="I163" i="4"/>
  <c r="I162" i="4"/>
  <c r="I160" i="4"/>
  <c r="I159" i="4"/>
  <c r="I157" i="4"/>
  <c r="I156" i="4"/>
  <c r="I154" i="4"/>
  <c r="I153" i="4"/>
  <c r="I151" i="4"/>
  <c r="I150" i="4"/>
  <c r="I148" i="4"/>
  <c r="I147" i="4"/>
  <c r="I145" i="4"/>
  <c r="I144" i="4"/>
  <c r="I142" i="4"/>
  <c r="I141" i="4"/>
  <c r="I139" i="4"/>
  <c r="I138" i="4"/>
  <c r="I136" i="4"/>
  <c r="I135" i="4"/>
  <c r="I133" i="4"/>
  <c r="I132" i="4"/>
  <c r="I130" i="4"/>
  <c r="I129" i="4"/>
  <c r="I127" i="4"/>
  <c r="I126" i="4"/>
  <c r="I124" i="4"/>
  <c r="I123" i="4"/>
  <c r="I121" i="4"/>
  <c r="I120" i="4"/>
  <c r="I118" i="4"/>
  <c r="I117" i="4"/>
  <c r="I115" i="4"/>
  <c r="I114" i="4"/>
  <c r="I112" i="4"/>
  <c r="I111" i="4"/>
  <c r="I109" i="4"/>
  <c r="I108" i="4"/>
  <c r="I106" i="4"/>
  <c r="I105" i="4"/>
  <c r="I103" i="4"/>
  <c r="I102" i="4"/>
  <c r="I100" i="4"/>
  <c r="I99" i="4"/>
  <c r="I97" i="4"/>
  <c r="I96" i="4"/>
  <c r="I94" i="4"/>
  <c r="I93" i="4"/>
  <c r="I91" i="4"/>
  <c r="I90" i="4"/>
  <c r="I88" i="4"/>
  <c r="I87" i="4"/>
  <c r="I10" i="4"/>
  <c r="I8" i="4"/>
  <c r="I6" i="4"/>
  <c r="I98" i="1"/>
  <c r="I77" i="1"/>
  <c r="I76" i="1"/>
  <c r="I61" i="1"/>
  <c r="I43" i="1"/>
  <c r="I22" i="1"/>
  <c r="I21" i="1"/>
  <c r="I2" i="1"/>
  <c r="B251" i="1" l="1"/>
  <c r="F251" i="1" l="1"/>
  <c r="B252" i="1"/>
  <c r="G250" i="1"/>
  <c r="F4" i="4"/>
  <c r="F85" i="4"/>
  <c r="G251" i="1" l="1"/>
  <c r="B253" i="1"/>
  <c r="G252" i="1" s="1"/>
  <c r="D209" i="4"/>
  <c r="D211" i="4"/>
  <c r="H211" i="4" s="1"/>
  <c r="D213" i="4"/>
  <c r="D215" i="4"/>
  <c r="H215" i="4" s="1"/>
  <c r="D217" i="4"/>
  <c r="D219" i="4"/>
  <c r="H219" i="4" s="1"/>
  <c r="D221" i="4"/>
  <c r="D223" i="4"/>
  <c r="H223" i="4" s="1"/>
  <c r="D225" i="4"/>
  <c r="D227" i="4"/>
  <c r="H227" i="4" s="1"/>
  <c r="D229" i="4"/>
  <c r="D231" i="4"/>
  <c r="H231" i="4" s="1"/>
  <c r="D233" i="4"/>
  <c r="D235" i="4"/>
  <c r="H235" i="4" s="1"/>
  <c r="D237" i="4"/>
  <c r="D239" i="4"/>
  <c r="H239" i="4" s="1"/>
  <c r="D241" i="4"/>
  <c r="D243" i="4"/>
  <c r="H243" i="4" s="1"/>
  <c r="D245" i="4"/>
  <c r="D247" i="4"/>
  <c r="H247" i="4" s="1"/>
  <c r="D249" i="4"/>
  <c r="D251" i="4"/>
  <c r="H251" i="4" s="1"/>
  <c r="D253" i="4"/>
  <c r="D255" i="4"/>
  <c r="H255" i="4" s="1"/>
  <c r="D257" i="4"/>
  <c r="D259" i="4"/>
  <c r="H259" i="4" s="1"/>
  <c r="D261" i="4"/>
  <c r="D263" i="4"/>
  <c r="H263" i="4" s="1"/>
  <c r="D265" i="4"/>
  <c r="D267" i="4"/>
  <c r="H267" i="4" s="1"/>
  <c r="D269" i="4"/>
  <c r="D271" i="4"/>
  <c r="H271" i="4" s="1"/>
  <c r="D273" i="4"/>
  <c r="D275" i="4"/>
  <c r="H275" i="4" s="1"/>
  <c r="D277" i="4"/>
  <c r="D279" i="4"/>
  <c r="H279" i="4" s="1"/>
  <c r="D281" i="4"/>
  <c r="D283" i="4"/>
  <c r="H283" i="4" s="1"/>
  <c r="D285" i="4"/>
  <c r="D207" i="4"/>
  <c r="D204" i="4"/>
  <c r="D203" i="4"/>
  <c r="D201" i="4"/>
  <c r="D200" i="4"/>
  <c r="D198" i="4"/>
  <c r="D197" i="4"/>
  <c r="D195" i="4"/>
  <c r="D194" i="4"/>
  <c r="D192" i="4"/>
  <c r="D191" i="4"/>
  <c r="D189" i="4"/>
  <c r="D188" i="4"/>
  <c r="D186" i="4"/>
  <c r="D185" i="4"/>
  <c r="D183" i="4"/>
  <c r="H183" i="4" s="1"/>
  <c r="D182" i="4"/>
  <c r="D180" i="4"/>
  <c r="D179" i="4"/>
  <c r="H179" i="4" s="1"/>
  <c r="D177" i="4"/>
  <c r="D176" i="4"/>
  <c r="H175" i="4"/>
  <c r="D174" i="4"/>
  <c r="D173" i="4"/>
  <c r="D171" i="4"/>
  <c r="H171" i="4" s="1"/>
  <c r="D170" i="4"/>
  <c r="D168" i="4"/>
  <c r="D167" i="4"/>
  <c r="H167" i="4" s="1"/>
  <c r="D165" i="4"/>
  <c r="D164" i="4"/>
  <c r="H163" i="4"/>
  <c r="D162" i="4"/>
  <c r="D161" i="4"/>
  <c r="D159" i="4"/>
  <c r="H159" i="4" s="1"/>
  <c r="D158" i="4"/>
  <c r="D156" i="4"/>
  <c r="D155" i="4"/>
  <c r="H155" i="4" s="1"/>
  <c r="D153" i="4"/>
  <c r="D152" i="4"/>
  <c r="H151" i="4"/>
  <c r="D150" i="4"/>
  <c r="D149" i="4"/>
  <c r="D147" i="4"/>
  <c r="H147" i="4" s="1"/>
  <c r="D146" i="4"/>
  <c r="D144" i="4"/>
  <c r="D143" i="4"/>
  <c r="H143" i="4" s="1"/>
  <c r="D141" i="4"/>
  <c r="D140" i="4"/>
  <c r="H139" i="4"/>
  <c r="D138" i="4"/>
  <c r="D137" i="4"/>
  <c r="D135" i="4"/>
  <c r="H135" i="4" s="1"/>
  <c r="D134" i="4"/>
  <c r="D132" i="4"/>
  <c r="D131" i="4"/>
  <c r="H131" i="4" s="1"/>
  <c r="D129" i="4"/>
  <c r="D128" i="4"/>
  <c r="H127" i="4"/>
  <c r="D126" i="4"/>
  <c r="D125" i="4"/>
  <c r="D123" i="4"/>
  <c r="H123" i="4" s="1"/>
  <c r="D122" i="4"/>
  <c r="D120" i="4"/>
  <c r="D119" i="4"/>
  <c r="H119" i="4" s="1"/>
  <c r="D117" i="4"/>
  <c r="D116" i="4"/>
  <c r="H115" i="4"/>
  <c r="D114" i="4"/>
  <c r="D113" i="4"/>
  <c r="D111" i="4"/>
  <c r="H111" i="4" s="1"/>
  <c r="D110" i="4"/>
  <c r="D108" i="4"/>
  <c r="D107" i="4"/>
  <c r="H107" i="4" s="1"/>
  <c r="D105" i="4"/>
  <c r="D104" i="4"/>
  <c r="H103" i="4"/>
  <c r="D102" i="4"/>
  <c r="D101" i="4"/>
  <c r="D99" i="4"/>
  <c r="H99" i="4" s="1"/>
  <c r="D98" i="4"/>
  <c r="D96" i="4"/>
  <c r="D95" i="4"/>
  <c r="H95" i="4" s="1"/>
  <c r="D93" i="4"/>
  <c r="D92" i="4"/>
  <c r="H91" i="4"/>
  <c r="D90" i="4"/>
  <c r="D89" i="4"/>
  <c r="D87" i="4"/>
  <c r="H87" i="4" s="1"/>
  <c r="D86" i="4"/>
  <c r="D83" i="4"/>
  <c r="D82" i="4" s="1"/>
  <c r="F205" i="4"/>
  <c r="G205" i="4"/>
  <c r="H205" i="4"/>
  <c r="G206" i="4"/>
  <c r="H206" i="4"/>
  <c r="A206" i="4"/>
  <c r="B206" i="4"/>
  <c r="B207" i="4" s="1"/>
  <c r="B208" i="4" s="1"/>
  <c r="B209" i="4" s="1"/>
  <c r="B210" i="4" s="1"/>
  <c r="B211" i="4" s="1"/>
  <c r="B212" i="4" s="1"/>
  <c r="B213" i="4" s="1"/>
  <c r="B214" i="4" s="1"/>
  <c r="B215" i="4" s="1"/>
  <c r="B216" i="4" s="1"/>
  <c r="B217" i="4" s="1"/>
  <c r="B218" i="4" s="1"/>
  <c r="B219" i="4" s="1"/>
  <c r="B220" i="4" s="1"/>
  <c r="B221" i="4" s="1"/>
  <c r="B222" i="4" s="1"/>
  <c r="B223" i="4" s="1"/>
  <c r="B224" i="4" s="1"/>
  <c r="B225" i="4" s="1"/>
  <c r="B226" i="4" s="1"/>
  <c r="B227" i="4" s="1"/>
  <c r="B228" i="4" s="1"/>
  <c r="B229" i="4" s="1"/>
  <c r="B230" i="4" s="1"/>
  <c r="B231" i="4" s="1"/>
  <c r="B232" i="4" s="1"/>
  <c r="B233" i="4" s="1"/>
  <c r="B234" i="4" s="1"/>
  <c r="B235" i="4" s="1"/>
  <c r="B236" i="4" s="1"/>
  <c r="B237" i="4" s="1"/>
  <c r="B238" i="4" s="1"/>
  <c r="B239" i="4" s="1"/>
  <c r="B240" i="4" s="1"/>
  <c r="B241" i="4" s="1"/>
  <c r="B242" i="4" s="1"/>
  <c r="B243" i="4" s="1"/>
  <c r="B244" i="4" s="1"/>
  <c r="B245" i="4" s="1"/>
  <c r="B246" i="4" s="1"/>
  <c r="B247" i="4" s="1"/>
  <c r="B248" i="4" s="1"/>
  <c r="B249" i="4" s="1"/>
  <c r="B250" i="4" s="1"/>
  <c r="B251" i="4" s="1"/>
  <c r="B252" i="4" s="1"/>
  <c r="B253" i="4" s="1"/>
  <c r="B254" i="4" s="1"/>
  <c r="B255" i="4" s="1"/>
  <c r="B256" i="4" s="1"/>
  <c r="B257" i="4" s="1"/>
  <c r="B258" i="4" s="1"/>
  <c r="B259" i="4" s="1"/>
  <c r="B260" i="4" s="1"/>
  <c r="B261" i="4" s="1"/>
  <c r="B262" i="4" s="1"/>
  <c r="B263" i="4" s="1"/>
  <c r="B264" i="4" s="1"/>
  <c r="B265" i="4" s="1"/>
  <c r="B266" i="4" s="1"/>
  <c r="B267" i="4" s="1"/>
  <c r="B268" i="4" s="1"/>
  <c r="B269" i="4" s="1"/>
  <c r="B270" i="4" s="1"/>
  <c r="B271" i="4" s="1"/>
  <c r="B272" i="4" s="1"/>
  <c r="B273" i="4" s="1"/>
  <c r="B274" i="4" s="1"/>
  <c r="B275" i="4" s="1"/>
  <c r="B276" i="4" s="1"/>
  <c r="B277" i="4" s="1"/>
  <c r="B278" i="4" s="1"/>
  <c r="B279" i="4" s="1"/>
  <c r="B280" i="4" s="1"/>
  <c r="B281" i="4" s="1"/>
  <c r="B282" i="4" s="1"/>
  <c r="B283" i="4" s="1"/>
  <c r="B284" i="4" s="1"/>
  <c r="B285" i="4" s="1"/>
  <c r="B286" i="4" s="1"/>
  <c r="B287" i="4" s="1"/>
  <c r="C206" i="4"/>
  <c r="C207" i="4" s="1"/>
  <c r="C208" i="4" s="1"/>
  <c r="C209" i="4" s="1"/>
  <c r="C210" i="4" s="1"/>
  <c r="C211" i="4" s="1"/>
  <c r="C212" i="4" s="1"/>
  <c r="C213" i="4" s="1"/>
  <c r="C214" i="4" s="1"/>
  <c r="C215" i="4" s="1"/>
  <c r="C216" i="4" s="1"/>
  <c r="C217" i="4" s="1"/>
  <c r="C218" i="4" s="1"/>
  <c r="C219" i="4" s="1"/>
  <c r="C220" i="4" s="1"/>
  <c r="C221" i="4" s="1"/>
  <c r="C222" i="4" s="1"/>
  <c r="C223" i="4" s="1"/>
  <c r="C224" i="4" s="1"/>
  <c r="C225" i="4" s="1"/>
  <c r="C226" i="4" s="1"/>
  <c r="C227" i="4" s="1"/>
  <c r="C228" i="4" s="1"/>
  <c r="C229" i="4" s="1"/>
  <c r="C230" i="4" s="1"/>
  <c r="C231" i="4" s="1"/>
  <c r="C232" i="4" s="1"/>
  <c r="C233" i="4" s="1"/>
  <c r="C234" i="4" s="1"/>
  <c r="C235" i="4" s="1"/>
  <c r="C236" i="4" s="1"/>
  <c r="C237" i="4" s="1"/>
  <c r="C238" i="4" s="1"/>
  <c r="C239" i="4" s="1"/>
  <c r="C240" i="4" s="1"/>
  <c r="C241" i="4" s="1"/>
  <c r="C242" i="4" s="1"/>
  <c r="C243" i="4" s="1"/>
  <c r="C244" i="4" s="1"/>
  <c r="C245" i="4" s="1"/>
  <c r="C246" i="4" s="1"/>
  <c r="C247" i="4" s="1"/>
  <c r="C248" i="4" s="1"/>
  <c r="C249" i="4" s="1"/>
  <c r="C250" i="4" s="1"/>
  <c r="C251" i="4" s="1"/>
  <c r="C252" i="4" s="1"/>
  <c r="C253" i="4" s="1"/>
  <c r="C254" i="4" s="1"/>
  <c r="C255" i="4" s="1"/>
  <c r="C256" i="4" s="1"/>
  <c r="C257" i="4" s="1"/>
  <c r="C258" i="4" s="1"/>
  <c r="C259" i="4" s="1"/>
  <c r="C260" i="4" s="1"/>
  <c r="C261" i="4" s="1"/>
  <c r="C262" i="4" s="1"/>
  <c r="C263" i="4" s="1"/>
  <c r="C264" i="4" s="1"/>
  <c r="C265" i="4" s="1"/>
  <c r="C266" i="4" s="1"/>
  <c r="C267" i="4" s="1"/>
  <c r="C268" i="4" s="1"/>
  <c r="C269" i="4" s="1"/>
  <c r="C270" i="4" s="1"/>
  <c r="C271" i="4" s="1"/>
  <c r="C272" i="4" s="1"/>
  <c r="C273" i="4" s="1"/>
  <c r="C274" i="4" s="1"/>
  <c r="C275" i="4" s="1"/>
  <c r="C276" i="4" s="1"/>
  <c r="C277" i="4" s="1"/>
  <c r="C278" i="4" s="1"/>
  <c r="C279" i="4" s="1"/>
  <c r="C280" i="4" s="1"/>
  <c r="C281" i="4" s="1"/>
  <c r="C282" i="4" s="1"/>
  <c r="C283" i="4" s="1"/>
  <c r="C284" i="4" s="1"/>
  <c r="C285" i="4" s="1"/>
  <c r="C286" i="4" s="1"/>
  <c r="C287" i="4" s="1"/>
  <c r="A207" i="4"/>
  <c r="A208" i="4" s="1"/>
  <c r="A209" i="4" s="1"/>
  <c r="A210" i="4" s="1"/>
  <c r="A211" i="4" s="1"/>
  <c r="A212" i="4" s="1"/>
  <c r="A213" i="4" s="1"/>
  <c r="A214" i="4" s="1"/>
  <c r="A215" i="4" s="1"/>
  <c r="A216" i="4" s="1"/>
  <c r="A217" i="4" s="1"/>
  <c r="A218" i="4" s="1"/>
  <c r="A219" i="4" s="1"/>
  <c r="A220" i="4" s="1"/>
  <c r="A221" i="4" s="1"/>
  <c r="A222" i="4" s="1"/>
  <c r="A223" i="4" s="1"/>
  <c r="A224" i="4" s="1"/>
  <c r="A225" i="4" s="1"/>
  <c r="A226" i="4" s="1"/>
  <c r="A227" i="4" s="1"/>
  <c r="A228" i="4" s="1"/>
  <c r="A229" i="4" s="1"/>
  <c r="A230" i="4" s="1"/>
  <c r="A231" i="4" s="1"/>
  <c r="A232" i="4" s="1"/>
  <c r="A233" i="4" s="1"/>
  <c r="A234" i="4" s="1"/>
  <c r="A235" i="4" s="1"/>
  <c r="A236" i="4" s="1"/>
  <c r="A237" i="4" s="1"/>
  <c r="A238" i="4" s="1"/>
  <c r="A239" i="4" s="1"/>
  <c r="A240" i="4" s="1"/>
  <c r="A241" i="4" s="1"/>
  <c r="A242" i="4" s="1"/>
  <c r="A243" i="4" s="1"/>
  <c r="A244" i="4" s="1"/>
  <c r="A245" i="4" s="1"/>
  <c r="A246" i="4" s="1"/>
  <c r="A247" i="4" s="1"/>
  <c r="A248" i="4" s="1"/>
  <c r="A249" i="4" s="1"/>
  <c r="A250" i="4" s="1"/>
  <c r="A251" i="4" s="1"/>
  <c r="A252" i="4" s="1"/>
  <c r="A253" i="4" s="1"/>
  <c r="A254" i="4" s="1"/>
  <c r="A255" i="4" s="1"/>
  <c r="A256" i="4" s="1"/>
  <c r="A257" i="4" s="1"/>
  <c r="A258" i="4" s="1"/>
  <c r="A259" i="4" s="1"/>
  <c r="A260" i="4" s="1"/>
  <c r="A261" i="4" s="1"/>
  <c r="A262" i="4" s="1"/>
  <c r="A263" i="4" s="1"/>
  <c r="A264" i="4" s="1"/>
  <c r="A265" i="4" s="1"/>
  <c r="A266" i="4" s="1"/>
  <c r="A267" i="4" s="1"/>
  <c r="A268" i="4" s="1"/>
  <c r="A269" i="4" s="1"/>
  <c r="A270" i="4" s="1"/>
  <c r="A271" i="4" s="1"/>
  <c r="A272" i="4" s="1"/>
  <c r="A273" i="4" s="1"/>
  <c r="A274" i="4" s="1"/>
  <c r="A275" i="4" s="1"/>
  <c r="A276" i="4" s="1"/>
  <c r="A277" i="4" s="1"/>
  <c r="A278" i="4" s="1"/>
  <c r="A279" i="4" s="1"/>
  <c r="A280" i="4" s="1"/>
  <c r="A281" i="4" s="1"/>
  <c r="A282" i="4" s="1"/>
  <c r="A283" i="4" s="1"/>
  <c r="A284" i="4" s="1"/>
  <c r="A285" i="4" s="1"/>
  <c r="A286" i="4" s="1"/>
  <c r="A287" i="4" s="1"/>
  <c r="H83" i="4"/>
  <c r="H84" i="4"/>
  <c r="H85" i="4"/>
  <c r="H88" i="4"/>
  <c r="H89" i="4"/>
  <c r="H92" i="4"/>
  <c r="H93" i="4"/>
  <c r="H96" i="4"/>
  <c r="H97" i="4"/>
  <c r="H100" i="4"/>
  <c r="H101" i="4"/>
  <c r="H104" i="4"/>
  <c r="H105" i="4"/>
  <c r="H108" i="4"/>
  <c r="H109" i="4"/>
  <c r="H112" i="4"/>
  <c r="H113" i="4"/>
  <c r="H116" i="4"/>
  <c r="H117" i="4"/>
  <c r="H120" i="4"/>
  <c r="H121" i="4"/>
  <c r="H124" i="4"/>
  <c r="H125" i="4"/>
  <c r="H128" i="4"/>
  <c r="H129" i="4"/>
  <c r="H132" i="4"/>
  <c r="H133" i="4"/>
  <c r="H136" i="4"/>
  <c r="H137" i="4"/>
  <c r="H140" i="4"/>
  <c r="H141" i="4"/>
  <c r="H144" i="4"/>
  <c r="H145" i="4"/>
  <c r="H148" i="4"/>
  <c r="H149" i="4"/>
  <c r="H152" i="4"/>
  <c r="H153" i="4"/>
  <c r="H156" i="4"/>
  <c r="H157" i="4"/>
  <c r="H160" i="4"/>
  <c r="H161" i="4"/>
  <c r="H164" i="4"/>
  <c r="H165" i="4"/>
  <c r="H168" i="4"/>
  <c r="H169" i="4"/>
  <c r="H172" i="4"/>
  <c r="H173" i="4"/>
  <c r="H176" i="4"/>
  <c r="H177" i="4"/>
  <c r="H180" i="4"/>
  <c r="H181" i="4"/>
  <c r="H184" i="4"/>
  <c r="H185" i="4"/>
  <c r="H187" i="4"/>
  <c r="H188" i="4"/>
  <c r="H189" i="4"/>
  <c r="H191" i="4"/>
  <c r="H192" i="4"/>
  <c r="H193" i="4"/>
  <c r="H195" i="4"/>
  <c r="H196" i="4"/>
  <c r="H197" i="4"/>
  <c r="H199" i="4"/>
  <c r="H200" i="4"/>
  <c r="H201" i="4"/>
  <c r="H203" i="4"/>
  <c r="H204" i="4"/>
  <c r="H207" i="4"/>
  <c r="H208" i="4"/>
  <c r="H209" i="4"/>
  <c r="H210" i="4"/>
  <c r="H212" i="4"/>
  <c r="H213" i="4"/>
  <c r="H214" i="4"/>
  <c r="H216" i="4"/>
  <c r="H217" i="4"/>
  <c r="H218" i="4"/>
  <c r="H220" i="4"/>
  <c r="H221" i="4"/>
  <c r="H222" i="4"/>
  <c r="H224" i="4"/>
  <c r="H225" i="4"/>
  <c r="H226" i="4"/>
  <c r="H228" i="4"/>
  <c r="H229" i="4"/>
  <c r="H230" i="4"/>
  <c r="H232" i="4"/>
  <c r="H233" i="4"/>
  <c r="H234" i="4"/>
  <c r="H236" i="4"/>
  <c r="H237" i="4"/>
  <c r="H238" i="4"/>
  <c r="H240" i="4"/>
  <c r="H241" i="4"/>
  <c r="H242" i="4"/>
  <c r="H244" i="4"/>
  <c r="H245" i="4"/>
  <c r="H246" i="4"/>
  <c r="H248" i="4"/>
  <c r="H249" i="4"/>
  <c r="H250" i="4"/>
  <c r="H252" i="4"/>
  <c r="H253" i="4"/>
  <c r="H254" i="4"/>
  <c r="H256" i="4"/>
  <c r="H257" i="4"/>
  <c r="H258" i="4"/>
  <c r="H260" i="4"/>
  <c r="H261" i="4"/>
  <c r="H262" i="4"/>
  <c r="H264" i="4"/>
  <c r="H265" i="4"/>
  <c r="H266" i="4"/>
  <c r="H268" i="4"/>
  <c r="H269" i="4"/>
  <c r="H270" i="4"/>
  <c r="H272" i="4"/>
  <c r="H273" i="4"/>
  <c r="H274" i="4"/>
  <c r="H276" i="4"/>
  <c r="H277" i="4"/>
  <c r="H278" i="4"/>
  <c r="H280" i="4"/>
  <c r="H281" i="4"/>
  <c r="H282" i="4"/>
  <c r="H284" i="4"/>
  <c r="H285" i="4"/>
  <c r="H286" i="4"/>
  <c r="E135" i="4"/>
  <c r="E133" i="4"/>
  <c r="E132" i="4"/>
  <c r="E131" i="4"/>
  <c r="E129" i="4"/>
  <c r="E128" i="4"/>
  <c r="E127" i="4"/>
  <c r="E125" i="4"/>
  <c r="E124" i="4"/>
  <c r="E123" i="4"/>
  <c r="E121" i="4"/>
  <c r="E120" i="4"/>
  <c r="E119" i="4"/>
  <c r="E117" i="4"/>
  <c r="E116" i="4"/>
  <c r="E115" i="4"/>
  <c r="E113" i="4"/>
  <c r="E112" i="4"/>
  <c r="E111" i="4"/>
  <c r="E109" i="4"/>
  <c r="E108" i="4"/>
  <c r="E107" i="4"/>
  <c r="E105" i="4"/>
  <c r="E104" i="4"/>
  <c r="E103" i="4"/>
  <c r="E101" i="4"/>
  <c r="E100" i="4"/>
  <c r="E99" i="4"/>
  <c r="E97" i="4"/>
  <c r="E96" i="4"/>
  <c r="E95" i="4"/>
  <c r="E93" i="4"/>
  <c r="E92" i="4"/>
  <c r="E91" i="4"/>
  <c r="E89" i="4"/>
  <c r="E88" i="4"/>
  <c r="E87" i="4"/>
  <c r="E286" i="4"/>
  <c r="E285" i="4"/>
  <c r="E284" i="4"/>
  <c r="E282" i="4"/>
  <c r="E281" i="4"/>
  <c r="E280" i="4"/>
  <c r="E278" i="4"/>
  <c r="E277" i="4"/>
  <c r="E276" i="4"/>
  <c r="E274" i="4"/>
  <c r="E273" i="4"/>
  <c r="E272" i="4"/>
  <c r="E270" i="4"/>
  <c r="E269" i="4"/>
  <c r="E268" i="4"/>
  <c r="E266" i="4"/>
  <c r="E265" i="4"/>
  <c r="E264" i="4"/>
  <c r="E262" i="4"/>
  <c r="E261" i="4"/>
  <c r="E260" i="4"/>
  <c r="E258" i="4"/>
  <c r="E257" i="4"/>
  <c r="E256" i="4"/>
  <c r="E254" i="4"/>
  <c r="E253" i="4"/>
  <c r="E252" i="4"/>
  <c r="E250" i="4"/>
  <c r="E249" i="4"/>
  <c r="E248" i="4"/>
  <c r="E246" i="4"/>
  <c r="E245" i="4"/>
  <c r="E244" i="4"/>
  <c r="E242" i="4"/>
  <c r="E241" i="4"/>
  <c r="E240" i="4"/>
  <c r="E238" i="4"/>
  <c r="E237" i="4"/>
  <c r="E236" i="4"/>
  <c r="E234" i="4"/>
  <c r="E233" i="4"/>
  <c r="E232" i="4"/>
  <c r="E230" i="4"/>
  <c r="E229" i="4"/>
  <c r="E228" i="4"/>
  <c r="E226" i="4"/>
  <c r="E225" i="4"/>
  <c r="E224" i="4"/>
  <c r="E222" i="4"/>
  <c r="E221" i="4"/>
  <c r="E220" i="4"/>
  <c r="E218" i="4"/>
  <c r="E217" i="4"/>
  <c r="E216" i="4"/>
  <c r="E214" i="4"/>
  <c r="E213" i="4"/>
  <c r="E212" i="4"/>
  <c r="E210" i="4"/>
  <c r="E209" i="4"/>
  <c r="E208" i="4"/>
  <c r="E207" i="4"/>
  <c r="E205" i="4"/>
  <c r="E204" i="4"/>
  <c r="E203" i="4"/>
  <c r="E201" i="4"/>
  <c r="E200" i="4"/>
  <c r="E199" i="4"/>
  <c r="E197" i="4"/>
  <c r="E196" i="4"/>
  <c r="E195" i="4"/>
  <c r="E193" i="4"/>
  <c r="E192" i="4"/>
  <c r="E191" i="4"/>
  <c r="E189" i="4"/>
  <c r="E188" i="4"/>
  <c r="E187" i="4"/>
  <c r="E185" i="4"/>
  <c r="E184" i="4"/>
  <c r="E183" i="4"/>
  <c r="E181" i="4"/>
  <c r="E180" i="4"/>
  <c r="E179" i="4"/>
  <c r="E177" i="4"/>
  <c r="E176" i="4"/>
  <c r="E175" i="4"/>
  <c r="E173" i="4"/>
  <c r="E172" i="4"/>
  <c r="E171" i="4"/>
  <c r="E169" i="4"/>
  <c r="E168" i="4"/>
  <c r="E167" i="4"/>
  <c r="E165" i="4"/>
  <c r="E164" i="4"/>
  <c r="E163" i="4"/>
  <c r="E161" i="4"/>
  <c r="E160" i="4"/>
  <c r="E159" i="4"/>
  <c r="E157" i="4"/>
  <c r="E156" i="4"/>
  <c r="E155" i="4"/>
  <c r="E153" i="4"/>
  <c r="E152" i="4"/>
  <c r="E151" i="4"/>
  <c r="E149" i="4"/>
  <c r="E148" i="4"/>
  <c r="E147" i="4"/>
  <c r="E145" i="4"/>
  <c r="E144" i="4"/>
  <c r="E143" i="4"/>
  <c r="E141" i="4"/>
  <c r="E140" i="4"/>
  <c r="E139" i="4"/>
  <c r="E137" i="4"/>
  <c r="E136" i="4"/>
  <c r="E83" i="4"/>
  <c r="H3" i="4"/>
  <c r="H4" i="4"/>
  <c r="H287" i="4"/>
  <c r="H2" i="4"/>
  <c r="B254" i="1" l="1"/>
  <c r="E211" i="4"/>
  <c r="E215" i="4"/>
  <c r="E219" i="4"/>
  <c r="E223" i="4"/>
  <c r="E227" i="4"/>
  <c r="E231" i="4"/>
  <c r="E235" i="4"/>
  <c r="E239" i="4"/>
  <c r="E243" i="4"/>
  <c r="E247" i="4"/>
  <c r="E251" i="4"/>
  <c r="E255" i="4"/>
  <c r="E259" i="4"/>
  <c r="E263" i="4"/>
  <c r="E267" i="4"/>
  <c r="E271" i="4"/>
  <c r="E275" i="4"/>
  <c r="E279" i="4"/>
  <c r="E283" i="4"/>
  <c r="H86" i="4"/>
  <c r="E86" i="4"/>
  <c r="H94" i="4"/>
  <c r="E94" i="4"/>
  <c r="H102" i="4"/>
  <c r="E102" i="4"/>
  <c r="H110" i="4"/>
  <c r="E110" i="4"/>
  <c r="H118" i="4"/>
  <c r="E118" i="4"/>
  <c r="H122" i="4"/>
  <c r="E122" i="4"/>
  <c r="H130" i="4"/>
  <c r="E130" i="4"/>
  <c r="H142" i="4"/>
  <c r="E142" i="4"/>
  <c r="H150" i="4"/>
  <c r="E150" i="4"/>
  <c r="H154" i="4"/>
  <c r="E154" i="4"/>
  <c r="H162" i="4"/>
  <c r="E162" i="4"/>
  <c r="H170" i="4"/>
  <c r="E170" i="4"/>
  <c r="H178" i="4"/>
  <c r="E178" i="4"/>
  <c r="H190" i="4"/>
  <c r="E190" i="4"/>
  <c r="H198" i="4"/>
  <c r="E198" i="4"/>
  <c r="H202" i="4"/>
  <c r="E202" i="4"/>
  <c r="H90" i="4"/>
  <c r="E90" i="4"/>
  <c r="H98" i="4"/>
  <c r="E98" i="4"/>
  <c r="H106" i="4"/>
  <c r="E106" i="4"/>
  <c r="H114" i="4"/>
  <c r="E114" i="4"/>
  <c r="H126" i="4"/>
  <c r="E126" i="4"/>
  <c r="H134" i="4"/>
  <c r="E134" i="4"/>
  <c r="H138" i="4"/>
  <c r="E138" i="4"/>
  <c r="H146" i="4"/>
  <c r="E146" i="4"/>
  <c r="H158" i="4"/>
  <c r="E158" i="4"/>
  <c r="H166" i="4"/>
  <c r="E166" i="4"/>
  <c r="H174" i="4"/>
  <c r="E174" i="4"/>
  <c r="H182" i="4"/>
  <c r="E182" i="4"/>
  <c r="H186" i="4"/>
  <c r="E186" i="4"/>
  <c r="H194" i="4"/>
  <c r="E194" i="4"/>
  <c r="H82" i="4"/>
  <c r="E82" i="4"/>
  <c r="D81" i="4"/>
  <c r="F204" i="4"/>
  <c r="F83" i="4"/>
  <c r="F286" i="4"/>
  <c r="A2" i="4"/>
  <c r="A3" i="4" s="1"/>
  <c r="A4" i="4" s="1"/>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 r="A108" i="4" s="1"/>
  <c r="A109" i="4" s="1"/>
  <c r="A110" i="4" s="1"/>
  <c r="A111" i="4" s="1"/>
  <c r="A112" i="4" s="1"/>
  <c r="A113" i="4" s="1"/>
  <c r="A114" i="4" s="1"/>
  <c r="A115" i="4" s="1"/>
  <c r="A116" i="4" s="1"/>
  <c r="A117" i="4" s="1"/>
  <c r="A118" i="4" s="1"/>
  <c r="A119" i="4" s="1"/>
  <c r="A120" i="4" s="1"/>
  <c r="A121" i="4" s="1"/>
  <c r="A122" i="4" s="1"/>
  <c r="A123" i="4" s="1"/>
  <c r="A124" i="4" s="1"/>
  <c r="A125" i="4" s="1"/>
  <c r="A126" i="4" s="1"/>
  <c r="A127" i="4" s="1"/>
  <c r="A128" i="4" s="1"/>
  <c r="A129" i="4" s="1"/>
  <c r="A130" i="4" s="1"/>
  <c r="A131" i="4" s="1"/>
  <c r="A132" i="4" s="1"/>
  <c r="A133" i="4" s="1"/>
  <c r="A134" i="4" s="1"/>
  <c r="A135" i="4" s="1"/>
  <c r="A136" i="4" s="1"/>
  <c r="A137" i="4" s="1"/>
  <c r="A138" i="4" s="1"/>
  <c r="A139" i="4" s="1"/>
  <c r="A140" i="4" s="1"/>
  <c r="A141" i="4" s="1"/>
  <c r="A142" i="4" s="1"/>
  <c r="A143" i="4" s="1"/>
  <c r="A144" i="4" s="1"/>
  <c r="A145" i="4" s="1"/>
  <c r="A146" i="4" s="1"/>
  <c r="A147" i="4" s="1"/>
  <c r="A148" i="4" s="1"/>
  <c r="A149" i="4" s="1"/>
  <c r="A150" i="4" s="1"/>
  <c r="A151" i="4" s="1"/>
  <c r="A152" i="4" s="1"/>
  <c r="A153" i="4" s="1"/>
  <c r="A154" i="4" s="1"/>
  <c r="A155" i="4" s="1"/>
  <c r="A156" i="4" s="1"/>
  <c r="A157" i="4" s="1"/>
  <c r="A158" i="4" s="1"/>
  <c r="A159" i="4" s="1"/>
  <c r="A160" i="4" s="1"/>
  <c r="A161" i="4" s="1"/>
  <c r="A162" i="4" s="1"/>
  <c r="A163" i="4" s="1"/>
  <c r="A164" i="4" s="1"/>
  <c r="A165" i="4" s="1"/>
  <c r="A166" i="4" s="1"/>
  <c r="A167" i="4" s="1"/>
  <c r="A168" i="4" s="1"/>
  <c r="A169" i="4" s="1"/>
  <c r="A170" i="4" s="1"/>
  <c r="A171" i="4" s="1"/>
  <c r="A172" i="4" s="1"/>
  <c r="A173" i="4" s="1"/>
  <c r="A174" i="4" s="1"/>
  <c r="A175" i="4" s="1"/>
  <c r="A176" i="4" s="1"/>
  <c r="A177" i="4" s="1"/>
  <c r="A178" i="4" s="1"/>
  <c r="A179" i="4" s="1"/>
  <c r="A180" i="4" s="1"/>
  <c r="A181" i="4" s="1"/>
  <c r="A182" i="4" s="1"/>
  <c r="A183" i="4" s="1"/>
  <c r="A184" i="4" s="1"/>
  <c r="A185" i="4" s="1"/>
  <c r="A186" i="4" s="1"/>
  <c r="A187" i="4" s="1"/>
  <c r="A188" i="4" s="1"/>
  <c r="A189" i="4" s="1"/>
  <c r="A190" i="4" s="1"/>
  <c r="A191" i="4" s="1"/>
  <c r="A192" i="4" s="1"/>
  <c r="A193" i="4" s="1"/>
  <c r="A194" i="4" s="1"/>
  <c r="A195" i="4" s="1"/>
  <c r="A196" i="4" s="1"/>
  <c r="A197" i="4" s="1"/>
  <c r="A198" i="4" s="1"/>
  <c r="A199" i="4" s="1"/>
  <c r="A200" i="4" s="1"/>
  <c r="A201" i="4" s="1"/>
  <c r="A202" i="4" s="1"/>
  <c r="A203" i="4" s="1"/>
  <c r="A204" i="4" s="1"/>
  <c r="A205" i="4" s="1"/>
  <c r="B2" i="4"/>
  <c r="B3" i="4" s="1"/>
  <c r="B4" i="4" s="1"/>
  <c r="B5" i="4" s="1"/>
  <c r="G253" i="1" l="1"/>
  <c r="B255" i="1"/>
  <c r="E81" i="4"/>
  <c r="H81" i="4"/>
  <c r="D80" i="4"/>
  <c r="F285" i="4"/>
  <c r="F82" i="4"/>
  <c r="F203" i="4"/>
  <c r="B6" i="4"/>
  <c r="G2" i="4"/>
  <c r="G3" i="4"/>
  <c r="C3" i="4"/>
  <c r="C4" i="4" s="1"/>
  <c r="C5" i="4" s="1"/>
  <c r="C6" i="4" s="1"/>
  <c r="C7" i="4" s="1"/>
  <c r="C8" i="4" s="1"/>
  <c r="C9" i="4" s="1"/>
  <c r="C10" i="4" s="1"/>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C111" i="4" s="1"/>
  <c r="C112" i="4" s="1"/>
  <c r="C113" i="4" s="1"/>
  <c r="C114" i="4" s="1"/>
  <c r="C115" i="4" s="1"/>
  <c r="C116" i="4" s="1"/>
  <c r="C117" i="4" s="1"/>
  <c r="C118" i="4" s="1"/>
  <c r="C119" i="4" s="1"/>
  <c r="C120" i="4" s="1"/>
  <c r="C121" i="4" s="1"/>
  <c r="C122" i="4" s="1"/>
  <c r="C123" i="4" s="1"/>
  <c r="C124" i="4" s="1"/>
  <c r="C125" i="4" s="1"/>
  <c r="C126" i="4" s="1"/>
  <c r="C127" i="4" s="1"/>
  <c r="C128" i="4" s="1"/>
  <c r="C129" i="4" s="1"/>
  <c r="C130" i="4" s="1"/>
  <c r="C131" i="4" s="1"/>
  <c r="C132" i="4" s="1"/>
  <c r="C133" i="4" s="1"/>
  <c r="C134" i="4" s="1"/>
  <c r="C135" i="4" s="1"/>
  <c r="C136" i="4" s="1"/>
  <c r="C137" i="4" s="1"/>
  <c r="C138" i="4" s="1"/>
  <c r="C139" i="4" s="1"/>
  <c r="C140" i="4" s="1"/>
  <c r="C141" i="4" s="1"/>
  <c r="C142" i="4" s="1"/>
  <c r="C143" i="4" s="1"/>
  <c r="C144" i="4" s="1"/>
  <c r="C145" i="4" s="1"/>
  <c r="C146" i="4" s="1"/>
  <c r="C147" i="4" s="1"/>
  <c r="C148" i="4" s="1"/>
  <c r="C149" i="4" s="1"/>
  <c r="C150" i="4" s="1"/>
  <c r="C151" i="4" s="1"/>
  <c r="C152" i="4" s="1"/>
  <c r="C153" i="4" s="1"/>
  <c r="C154" i="4" s="1"/>
  <c r="C155" i="4" s="1"/>
  <c r="C156" i="4" s="1"/>
  <c r="C157" i="4" s="1"/>
  <c r="C158" i="4" s="1"/>
  <c r="C159" i="4" s="1"/>
  <c r="C160" i="4" s="1"/>
  <c r="C161" i="4" s="1"/>
  <c r="C162" i="4" s="1"/>
  <c r="C163" i="4" s="1"/>
  <c r="C164" i="4" s="1"/>
  <c r="C165" i="4" s="1"/>
  <c r="C166" i="4" s="1"/>
  <c r="C167" i="4" s="1"/>
  <c r="C168" i="4" s="1"/>
  <c r="C169" i="4" s="1"/>
  <c r="C170" i="4" s="1"/>
  <c r="C171" i="4" s="1"/>
  <c r="C172" i="4" s="1"/>
  <c r="C173" i="4" s="1"/>
  <c r="C174" i="4" s="1"/>
  <c r="C175" i="4" s="1"/>
  <c r="C176" i="4" s="1"/>
  <c r="C177" i="4" s="1"/>
  <c r="C178" i="4" s="1"/>
  <c r="C179" i="4" s="1"/>
  <c r="C180" i="4" s="1"/>
  <c r="C181" i="4" s="1"/>
  <c r="C182" i="4" s="1"/>
  <c r="C183" i="4" s="1"/>
  <c r="C184" i="4" s="1"/>
  <c r="C185" i="4" s="1"/>
  <c r="C186" i="4" s="1"/>
  <c r="C187" i="4" s="1"/>
  <c r="C188" i="4" s="1"/>
  <c r="C189" i="4" s="1"/>
  <c r="C190" i="4" s="1"/>
  <c r="C191" i="4" s="1"/>
  <c r="C192" i="4" s="1"/>
  <c r="C193" i="4" s="1"/>
  <c r="C194" i="4" s="1"/>
  <c r="C195" i="4" s="1"/>
  <c r="C196" i="4" s="1"/>
  <c r="C197" i="4" s="1"/>
  <c r="C198" i="4" s="1"/>
  <c r="C199" i="4" s="1"/>
  <c r="C200" i="4" s="1"/>
  <c r="C201" i="4" s="1"/>
  <c r="C202" i="4" s="1"/>
  <c r="C203" i="4" s="1"/>
  <c r="C204" i="4" s="1"/>
  <c r="C205" i="4" s="1"/>
  <c r="G254" i="1" l="1"/>
  <c r="B256" i="1"/>
  <c r="G255" i="1" s="1"/>
  <c r="D79" i="4"/>
  <c r="H80" i="4"/>
  <c r="E80" i="4"/>
  <c r="F81" i="4"/>
  <c r="F202" i="4"/>
  <c r="F201" i="4"/>
  <c r="F284" i="4"/>
  <c r="B7" i="4"/>
  <c r="F3" i="4"/>
  <c r="E3" i="4"/>
  <c r="E4" i="4"/>
  <c r="E84" i="4"/>
  <c r="E85" i="4"/>
  <c r="E206" i="4"/>
  <c r="E287" i="4"/>
  <c r="F206" i="4"/>
  <c r="E2" i="4"/>
  <c r="B257" i="1" l="1"/>
  <c r="D78" i="4"/>
  <c r="H79" i="4"/>
  <c r="E79" i="4"/>
  <c r="F200" i="4"/>
  <c r="F283" i="4"/>
  <c r="F80" i="4"/>
  <c r="B8" i="4"/>
  <c r="G256" i="1" l="1"/>
  <c r="B258" i="1"/>
  <c r="H78" i="4"/>
  <c r="D77" i="4"/>
  <c r="E78" i="4"/>
  <c r="F198" i="4"/>
  <c r="F282" i="4"/>
  <c r="F199" i="4"/>
  <c r="F79" i="4"/>
  <c r="B9" i="4"/>
  <c r="G257" i="1" l="1"/>
  <c r="B259" i="1"/>
  <c r="D76" i="4"/>
  <c r="H77" i="4"/>
  <c r="E77" i="4"/>
  <c r="F281" i="4"/>
  <c r="F78" i="4"/>
  <c r="F197" i="4"/>
  <c r="B10" i="4"/>
  <c r="G258" i="1" l="1"/>
  <c r="B260" i="1"/>
  <c r="D75" i="4"/>
  <c r="E76" i="4"/>
  <c r="H76" i="4"/>
  <c r="F77" i="4"/>
  <c r="F196" i="4"/>
  <c r="F195" i="4"/>
  <c r="F280" i="4"/>
  <c r="B11" i="4"/>
  <c r="G259" i="1" l="1"/>
  <c r="B261" i="1"/>
  <c r="G260" i="1" s="1"/>
  <c r="D74" i="4"/>
  <c r="H75" i="4"/>
  <c r="E75" i="4"/>
  <c r="F194" i="4"/>
  <c r="F279" i="4"/>
  <c r="F76" i="4"/>
  <c r="B12" i="4"/>
  <c r="F369" i="1" l="1"/>
  <c r="B262" i="1"/>
  <c r="H74" i="4"/>
  <c r="D73" i="4"/>
  <c r="E74" i="4"/>
  <c r="F193" i="4"/>
  <c r="F278" i="4"/>
  <c r="F75" i="4"/>
  <c r="F192" i="4"/>
  <c r="B13" i="4"/>
  <c r="I371" i="1" l="1"/>
  <c r="G261" i="1"/>
  <c r="B263" i="1"/>
  <c r="E73" i="4"/>
  <c r="H73" i="4"/>
  <c r="D72" i="4"/>
  <c r="F277" i="4"/>
  <c r="F74" i="4"/>
  <c r="F191" i="4"/>
  <c r="B14" i="4"/>
  <c r="I373" i="1" l="1"/>
  <c r="G262" i="1"/>
  <c r="B264" i="1"/>
  <c r="D71" i="4"/>
  <c r="H72" i="4"/>
  <c r="E72" i="4"/>
  <c r="F73" i="4"/>
  <c r="F190" i="4"/>
  <c r="F189" i="4"/>
  <c r="F276" i="4"/>
  <c r="B15" i="4"/>
  <c r="G263" i="1" l="1"/>
  <c r="I375" i="1"/>
  <c r="B265" i="1"/>
  <c r="D70" i="4"/>
  <c r="H71" i="4"/>
  <c r="E71" i="4"/>
  <c r="F188" i="4"/>
  <c r="F275" i="4"/>
  <c r="F72" i="4"/>
  <c r="B16" i="4"/>
  <c r="I377" i="1" l="1"/>
  <c r="B266" i="1"/>
  <c r="G265" i="1" s="1"/>
  <c r="G264" i="1"/>
  <c r="H70" i="4"/>
  <c r="D69" i="4"/>
  <c r="E70" i="4"/>
  <c r="F186" i="4"/>
  <c r="F274" i="4"/>
  <c r="F71" i="4"/>
  <c r="F187" i="4"/>
  <c r="B17" i="4"/>
  <c r="B267" i="1" l="1"/>
  <c r="B268" i="1" s="1"/>
  <c r="I379" i="1"/>
  <c r="E69" i="4"/>
  <c r="D68" i="4"/>
  <c r="H69" i="4"/>
  <c r="F273" i="4"/>
  <c r="F70" i="4"/>
  <c r="F185" i="4"/>
  <c r="B18" i="4"/>
  <c r="G266" i="1" l="1"/>
  <c r="I381" i="1"/>
  <c r="G267" i="1"/>
  <c r="B269" i="1"/>
  <c r="G268" i="1" s="1"/>
  <c r="D67" i="4"/>
  <c r="H68" i="4"/>
  <c r="E68" i="4"/>
  <c r="F69" i="4"/>
  <c r="F272" i="4"/>
  <c r="F184" i="4"/>
  <c r="F183" i="4"/>
  <c r="B19" i="4"/>
  <c r="B270" i="1" l="1"/>
  <c r="G269" i="1" s="1"/>
  <c r="I383" i="1"/>
  <c r="D66" i="4"/>
  <c r="H67" i="4"/>
  <c r="E67" i="4"/>
  <c r="F182" i="4"/>
  <c r="F271" i="4"/>
  <c r="F68" i="4"/>
  <c r="B20" i="4"/>
  <c r="I385" i="1" l="1"/>
  <c r="B271" i="1"/>
  <c r="G270" i="1" s="1"/>
  <c r="H66" i="4"/>
  <c r="D65" i="4"/>
  <c r="E66" i="4"/>
  <c r="F181" i="4"/>
  <c r="F270" i="4"/>
  <c r="F67" i="4"/>
  <c r="F180" i="4"/>
  <c r="B21" i="4"/>
  <c r="B272" i="1" l="1"/>
  <c r="G271" i="1" s="1"/>
  <c r="I387" i="1"/>
  <c r="E65" i="4"/>
  <c r="D64" i="4"/>
  <c r="H65" i="4"/>
  <c r="F269" i="4"/>
  <c r="F66" i="4"/>
  <c r="F179" i="4"/>
  <c r="B22" i="4"/>
  <c r="I389" i="1" l="1"/>
  <c r="B273" i="1"/>
  <c r="G272" i="1" s="1"/>
  <c r="D63" i="4"/>
  <c r="H64" i="4"/>
  <c r="E64" i="4"/>
  <c r="F65" i="4"/>
  <c r="F178" i="4"/>
  <c r="F177" i="4"/>
  <c r="F268" i="4"/>
  <c r="B23" i="4"/>
  <c r="B274" i="1" l="1"/>
  <c r="G273" i="1" s="1"/>
  <c r="I391" i="1"/>
  <c r="E63" i="4"/>
  <c r="D62" i="4"/>
  <c r="H63" i="4"/>
  <c r="F176" i="4"/>
  <c r="F267" i="4"/>
  <c r="F64" i="4"/>
  <c r="B24" i="4"/>
  <c r="I393" i="1" l="1"/>
  <c r="B275" i="1"/>
  <c r="G274" i="1" s="1"/>
  <c r="H62" i="4"/>
  <c r="E62" i="4"/>
  <c r="D61" i="4"/>
  <c r="F174" i="4"/>
  <c r="F266" i="4"/>
  <c r="F63" i="4"/>
  <c r="F175" i="4"/>
  <c r="B25" i="4"/>
  <c r="F464" i="1" l="1"/>
  <c r="B276" i="1"/>
  <c r="G275" i="1" s="1"/>
  <c r="E61" i="4"/>
  <c r="D60" i="4"/>
  <c r="H61" i="4"/>
  <c r="F265" i="4"/>
  <c r="F62" i="4"/>
  <c r="F173" i="4"/>
  <c r="B26" i="4"/>
  <c r="I466" i="1" l="1"/>
  <c r="B277" i="1"/>
  <c r="G276" i="1" s="1"/>
  <c r="D59" i="4"/>
  <c r="H60" i="4"/>
  <c r="E60" i="4"/>
  <c r="F61" i="4"/>
  <c r="F172" i="4"/>
  <c r="F171" i="4"/>
  <c r="F264" i="4"/>
  <c r="B27" i="4"/>
  <c r="I468" i="1" l="1"/>
  <c r="B278" i="1"/>
  <c r="G277" i="1" s="1"/>
  <c r="E59" i="4"/>
  <c r="D58" i="4"/>
  <c r="H59" i="4"/>
  <c r="F170" i="4"/>
  <c r="F263" i="4"/>
  <c r="F60" i="4"/>
  <c r="B28" i="4"/>
  <c r="I470" i="1" l="1"/>
  <c r="B279" i="1"/>
  <c r="G278" i="1" s="1"/>
  <c r="H58" i="4"/>
  <c r="E58" i="4"/>
  <c r="D57" i="4"/>
  <c r="F169" i="4"/>
  <c r="F262" i="4"/>
  <c r="F59" i="4"/>
  <c r="F168" i="4"/>
  <c r="B29" i="4"/>
  <c r="I472" i="1" l="1"/>
  <c r="B280" i="1"/>
  <c r="E57" i="4"/>
  <c r="D56" i="4"/>
  <c r="H57" i="4"/>
  <c r="F261" i="4"/>
  <c r="F58" i="4"/>
  <c r="F167" i="4"/>
  <c r="B30" i="4"/>
  <c r="A476" i="1" l="1"/>
  <c r="I474" i="1"/>
  <c r="B281" i="1"/>
  <c r="G279" i="1"/>
  <c r="D55" i="4"/>
  <c r="H56" i="4"/>
  <c r="E56" i="4"/>
  <c r="F57" i="4"/>
  <c r="F166" i="4"/>
  <c r="F165" i="4"/>
  <c r="F260" i="4"/>
  <c r="B31" i="4"/>
  <c r="A477" i="1" l="1"/>
  <c r="A478" i="1" s="1"/>
  <c r="I476" i="1"/>
  <c r="B282" i="1"/>
  <c r="G281" i="1" s="1"/>
  <c r="G280" i="1"/>
  <c r="E55" i="4"/>
  <c r="D54" i="4"/>
  <c r="H55" i="4"/>
  <c r="F164" i="4"/>
  <c r="F259" i="4"/>
  <c r="F56" i="4"/>
  <c r="B32" i="4"/>
  <c r="A479" i="1" l="1"/>
  <c r="A480" i="1" s="1"/>
  <c r="I478" i="1"/>
  <c r="B283" i="1"/>
  <c r="G282" i="1" s="1"/>
  <c r="H54" i="4"/>
  <c r="E54" i="4"/>
  <c r="D53" i="4"/>
  <c r="F162" i="4"/>
  <c r="F258" i="4"/>
  <c r="F55" i="4"/>
  <c r="F163" i="4"/>
  <c r="B33" i="4"/>
  <c r="I480" i="1" l="1"/>
  <c r="A481" i="1"/>
  <c r="A482" i="1" s="1"/>
  <c r="B284" i="1"/>
  <c r="G283" i="1" s="1"/>
  <c r="E53" i="4"/>
  <c r="D52" i="4"/>
  <c r="H53" i="4"/>
  <c r="F257" i="4"/>
  <c r="F54" i="4"/>
  <c r="F161" i="4"/>
  <c r="B34" i="4"/>
  <c r="I482" i="1" l="1"/>
  <c r="A483" i="1"/>
  <c r="A484" i="1" s="1"/>
  <c r="B285" i="1"/>
  <c r="G284" i="1" s="1"/>
  <c r="D51" i="4"/>
  <c r="H52" i="4"/>
  <c r="E52" i="4"/>
  <c r="F53" i="4"/>
  <c r="F160" i="4"/>
  <c r="F159" i="4"/>
  <c r="F256" i="4"/>
  <c r="B35" i="4"/>
  <c r="I484" i="1" l="1"/>
  <c r="A485" i="1"/>
  <c r="A486" i="1" s="1"/>
  <c r="B286" i="1"/>
  <c r="E51" i="4"/>
  <c r="D50" i="4"/>
  <c r="H51" i="4"/>
  <c r="F158" i="4"/>
  <c r="F52" i="4"/>
  <c r="F255" i="4"/>
  <c r="B36" i="4"/>
  <c r="I486" i="1" l="1"/>
  <c r="A487" i="1"/>
  <c r="A488" i="1" s="1"/>
  <c r="G285" i="1"/>
  <c r="B287" i="1"/>
  <c r="H50" i="4"/>
  <c r="E50" i="4"/>
  <c r="D49" i="4"/>
  <c r="F157" i="4"/>
  <c r="F254" i="4"/>
  <c r="F51" i="4"/>
  <c r="F156" i="4"/>
  <c r="B37" i="4"/>
  <c r="G286" i="1" l="1"/>
  <c r="I488" i="1"/>
  <c r="A489" i="1"/>
  <c r="A490" i="1" s="1"/>
  <c r="A491" i="1" s="1"/>
  <c r="A492" i="1" s="1"/>
  <c r="B288" i="1"/>
  <c r="E49" i="4"/>
  <c r="H49" i="4"/>
  <c r="D48" i="4"/>
  <c r="F253" i="4"/>
  <c r="F50" i="4"/>
  <c r="F155" i="4"/>
  <c r="B38" i="4"/>
  <c r="A493" i="1" l="1"/>
  <c r="A494" i="1" s="1"/>
  <c r="I492" i="1"/>
  <c r="I490" i="1"/>
  <c r="G287" i="1"/>
  <c r="B289" i="1"/>
  <c r="G288" i="1" s="1"/>
  <c r="D47" i="4"/>
  <c r="H48" i="4"/>
  <c r="E48" i="4"/>
  <c r="F49" i="4"/>
  <c r="F154" i="4"/>
  <c r="F153" i="4"/>
  <c r="F252" i="4"/>
  <c r="B39" i="4"/>
  <c r="F494" i="1" l="1"/>
  <c r="A495" i="1"/>
  <c r="A496" i="1" s="1"/>
  <c r="B290" i="1"/>
  <c r="G289" i="1" s="1"/>
  <c r="E47" i="4"/>
  <c r="D46" i="4"/>
  <c r="H47" i="4"/>
  <c r="F152" i="4"/>
  <c r="F251" i="4"/>
  <c r="F48" i="4"/>
  <c r="B40" i="4"/>
  <c r="A497" i="1" l="1"/>
  <c r="A498" i="1" s="1"/>
  <c r="I496" i="1"/>
  <c r="B291" i="1"/>
  <c r="G290" i="1" s="1"/>
  <c r="H46" i="4"/>
  <c r="E46" i="4"/>
  <c r="D45" i="4"/>
  <c r="F150" i="4"/>
  <c r="F250" i="4"/>
  <c r="F151" i="4"/>
  <c r="F47" i="4"/>
  <c r="B41" i="4"/>
  <c r="A499" i="1" l="1"/>
  <c r="A500" i="1" s="1"/>
  <c r="I498" i="1"/>
  <c r="B292" i="1"/>
  <c r="G291" i="1" s="1"/>
  <c r="E45" i="4"/>
  <c r="D44" i="4"/>
  <c r="H45" i="4"/>
  <c r="F249" i="4"/>
  <c r="F46" i="4"/>
  <c r="F149" i="4"/>
  <c r="B42" i="4"/>
  <c r="A501" i="1" l="1"/>
  <c r="A502" i="1" s="1"/>
  <c r="I500" i="1"/>
  <c r="B293" i="1"/>
  <c r="G292" i="1" s="1"/>
  <c r="D43" i="4"/>
  <c r="H44" i="4"/>
  <c r="E44" i="4"/>
  <c r="F45" i="4"/>
  <c r="F248" i="4"/>
  <c r="F148" i="4"/>
  <c r="F147" i="4"/>
  <c r="B43" i="4"/>
  <c r="I502" i="1" l="1"/>
  <c r="A503" i="1"/>
  <c r="A504" i="1" s="1"/>
  <c r="B294" i="1"/>
  <c r="B295" i="1" s="1"/>
  <c r="E43" i="4"/>
  <c r="D42" i="4"/>
  <c r="H43" i="4"/>
  <c r="F146" i="4"/>
  <c r="F44" i="4"/>
  <c r="F247" i="4"/>
  <c r="B44" i="4"/>
  <c r="G43" i="4"/>
  <c r="A505" i="1" l="1"/>
  <c r="A506" i="1" s="1"/>
  <c r="I504" i="1"/>
  <c r="G294" i="1"/>
  <c r="G293" i="1"/>
  <c r="B296" i="1"/>
  <c r="G295" i="1" s="1"/>
  <c r="H42" i="4"/>
  <c r="E42" i="4"/>
  <c r="D41" i="4"/>
  <c r="G42" i="4"/>
  <c r="F43" i="4"/>
  <c r="F145" i="4"/>
  <c r="F246" i="4"/>
  <c r="F144" i="4"/>
  <c r="B45" i="4"/>
  <c r="G44" i="4"/>
  <c r="A507" i="1" l="1"/>
  <c r="A508" i="1" s="1"/>
  <c r="I506" i="1"/>
  <c r="B297" i="1"/>
  <c r="G296" i="1" s="1"/>
  <c r="E41" i="4"/>
  <c r="H41" i="4"/>
  <c r="D40" i="4"/>
  <c r="G41" i="4"/>
  <c r="F42" i="4"/>
  <c r="F245" i="4"/>
  <c r="F143" i="4"/>
  <c r="B46" i="4"/>
  <c r="G45" i="4"/>
  <c r="A509" i="1" l="1"/>
  <c r="A510" i="1" s="1"/>
  <c r="I508" i="1"/>
  <c r="B298" i="1"/>
  <c r="G297" i="1" s="1"/>
  <c r="D39" i="4"/>
  <c r="H40" i="4"/>
  <c r="E40" i="4"/>
  <c r="G40" i="4"/>
  <c r="F41" i="4"/>
  <c r="F142" i="4"/>
  <c r="F244" i="4"/>
  <c r="F141" i="4"/>
  <c r="B47" i="4"/>
  <c r="G46" i="4" s="1"/>
  <c r="A511" i="1" l="1"/>
  <c r="A512" i="1" s="1"/>
  <c r="I510" i="1"/>
  <c r="B299" i="1"/>
  <c r="G298" i="1" s="1"/>
  <c r="E39" i="4"/>
  <c r="D38" i="4"/>
  <c r="H39" i="4"/>
  <c r="G39" i="4"/>
  <c r="F243" i="4"/>
  <c r="F40" i="4"/>
  <c r="F140" i="4"/>
  <c r="B48" i="4"/>
  <c r="G47" i="4"/>
  <c r="A513" i="1" l="1"/>
  <c r="A514" i="1" s="1"/>
  <c r="I512" i="1"/>
  <c r="B300" i="1"/>
  <c r="G299" i="1" s="1"/>
  <c r="H38" i="4"/>
  <c r="E38" i="4"/>
  <c r="D37" i="4"/>
  <c r="G38" i="4"/>
  <c r="F242" i="4"/>
  <c r="F39" i="4"/>
  <c r="F138" i="4"/>
  <c r="F139" i="4"/>
  <c r="B49" i="4"/>
  <c r="G48" i="4"/>
  <c r="I514" i="1" l="1"/>
  <c r="A515" i="1"/>
  <c r="A516" i="1" s="1"/>
  <c r="B301" i="1"/>
  <c r="G300" i="1" s="1"/>
  <c r="E37" i="4"/>
  <c r="D36" i="4"/>
  <c r="H37" i="4"/>
  <c r="G37" i="4"/>
  <c r="F241" i="4"/>
  <c r="F137" i="4"/>
  <c r="F38" i="4"/>
  <c r="B50" i="4"/>
  <c r="G49" i="4"/>
  <c r="A517" i="1" l="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I516" i="1"/>
  <c r="B302" i="1"/>
  <c r="G301" i="1" s="1"/>
  <c r="D35" i="4"/>
  <c r="H36" i="4"/>
  <c r="E36" i="4"/>
  <c r="G36" i="4"/>
  <c r="F136" i="4"/>
  <c r="F240" i="4"/>
  <c r="F37" i="4"/>
  <c r="F135" i="4"/>
  <c r="B51" i="4"/>
  <c r="I582" i="1" l="1"/>
  <c r="A583" i="1"/>
  <c r="A584" i="1" s="1"/>
  <c r="I518" i="1"/>
  <c r="B303" i="1"/>
  <c r="G302" i="1" s="1"/>
  <c r="E35" i="4"/>
  <c r="D34" i="4"/>
  <c r="H35" i="4"/>
  <c r="G35" i="4"/>
  <c r="F36" i="4"/>
  <c r="F134" i="4"/>
  <c r="F239" i="4"/>
  <c r="B52" i="4"/>
  <c r="G50" i="4"/>
  <c r="A585" i="1" l="1"/>
  <c r="A586" i="1" s="1"/>
  <c r="F584" i="1"/>
  <c r="B304" i="1"/>
  <c r="G303" i="1" s="1"/>
  <c r="H34" i="4"/>
  <c r="E34" i="4"/>
  <c r="D33" i="4"/>
  <c r="G34" i="4"/>
  <c r="F132" i="4"/>
  <c r="F238" i="4"/>
  <c r="F133" i="4"/>
  <c r="F35" i="4"/>
  <c r="B53" i="4"/>
  <c r="G52" i="4"/>
  <c r="G51" i="4"/>
  <c r="I586" i="1" l="1"/>
  <c r="A587" i="1"/>
  <c r="A588" i="1" s="1"/>
  <c r="B305" i="1"/>
  <c r="G304" i="1" s="1"/>
  <c r="E33" i="4"/>
  <c r="H33" i="4"/>
  <c r="D32" i="4"/>
  <c r="G33" i="4"/>
  <c r="F131" i="4"/>
  <c r="F237" i="4"/>
  <c r="F34" i="4"/>
  <c r="B54" i="4"/>
  <c r="G53" i="4"/>
  <c r="A589" i="1" l="1"/>
  <c r="A590" i="1" s="1"/>
  <c r="I588" i="1"/>
  <c r="B306" i="1"/>
  <c r="G305" i="1" s="1"/>
  <c r="D31" i="4"/>
  <c r="H32" i="4"/>
  <c r="E32" i="4"/>
  <c r="G32" i="4"/>
  <c r="F129" i="4"/>
  <c r="F33" i="4"/>
  <c r="F130" i="4"/>
  <c r="F236" i="4"/>
  <c r="B55" i="4"/>
  <c r="A591" i="1" l="1"/>
  <c r="A592" i="1" s="1"/>
  <c r="I590" i="1"/>
  <c r="B307" i="1"/>
  <c r="G306" i="1" s="1"/>
  <c r="F306" i="1"/>
  <c r="E31" i="4"/>
  <c r="D30" i="4"/>
  <c r="H31" i="4"/>
  <c r="G31" i="4"/>
  <c r="F32" i="4"/>
  <c r="F235" i="4"/>
  <c r="F128" i="4"/>
  <c r="B56" i="4"/>
  <c r="G55" i="4"/>
  <c r="G54" i="4"/>
  <c r="I592" i="1" l="1"/>
  <c r="A593" i="1"/>
  <c r="A594" i="1" s="1"/>
  <c r="B308" i="1"/>
  <c r="G307" i="1" s="1"/>
  <c r="H30" i="4"/>
  <c r="D29" i="4"/>
  <c r="E30" i="4"/>
  <c r="G30" i="4"/>
  <c r="F234" i="4"/>
  <c r="F31" i="4"/>
  <c r="F127" i="4"/>
  <c r="F126" i="4"/>
  <c r="B57" i="4"/>
  <c r="A595" i="1" l="1"/>
  <c r="A596" i="1" s="1"/>
  <c r="I594" i="1"/>
  <c r="B309" i="1"/>
  <c r="G308" i="1" s="1"/>
  <c r="E29" i="4"/>
  <c r="D28" i="4"/>
  <c r="H29" i="4"/>
  <c r="G29" i="4"/>
  <c r="F233" i="4"/>
  <c r="F30" i="4"/>
  <c r="F125" i="4"/>
  <c r="B58" i="4"/>
  <c r="G57" i="4" s="1"/>
  <c r="G56" i="4"/>
  <c r="I596" i="1" l="1"/>
  <c r="A597" i="1"/>
  <c r="A598" i="1" s="1"/>
  <c r="B310" i="1"/>
  <c r="G309" i="1" s="1"/>
  <c r="D27" i="4"/>
  <c r="H28" i="4"/>
  <c r="E28" i="4"/>
  <c r="G28" i="4"/>
  <c r="F29" i="4"/>
  <c r="F123" i="4"/>
  <c r="F232" i="4"/>
  <c r="F124" i="4"/>
  <c r="B59" i="4"/>
  <c r="G58" i="4"/>
  <c r="A599" i="1" l="1"/>
  <c r="A600" i="1" s="1"/>
  <c r="I598" i="1"/>
  <c r="B311" i="1"/>
  <c r="G310" i="1" s="1"/>
  <c r="E27" i="4"/>
  <c r="D26" i="4"/>
  <c r="H27" i="4"/>
  <c r="G27" i="4"/>
  <c r="F122" i="4"/>
  <c r="F231" i="4"/>
  <c r="F28" i="4"/>
  <c r="B60" i="4"/>
  <c r="I600" i="1" l="1"/>
  <c r="A601" i="1"/>
  <c r="A602" i="1" s="1"/>
  <c r="B312" i="1"/>
  <c r="G311" i="1" s="1"/>
  <c r="H26" i="4"/>
  <c r="E26" i="4"/>
  <c r="D25" i="4"/>
  <c r="G26" i="4"/>
  <c r="F120" i="4"/>
  <c r="F230" i="4"/>
  <c r="F27" i="4"/>
  <c r="F121" i="4"/>
  <c r="B61" i="4"/>
  <c r="G60" i="4"/>
  <c r="G59" i="4"/>
  <c r="A603" i="1" l="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I602" i="1"/>
  <c r="B313" i="1"/>
  <c r="G312" i="1" s="1"/>
  <c r="E25" i="4"/>
  <c r="H25" i="4"/>
  <c r="D24" i="4"/>
  <c r="G25" i="4"/>
  <c r="F229" i="4"/>
  <c r="F119" i="4"/>
  <c r="F26" i="4"/>
  <c r="B62" i="4"/>
  <c r="G61" i="4"/>
  <c r="A680" i="1" l="1"/>
  <c r="A681" i="1" s="1"/>
  <c r="I679" i="1"/>
  <c r="I604" i="1"/>
  <c r="B314" i="1"/>
  <c r="G313" i="1" s="1"/>
  <c r="D23" i="4"/>
  <c r="H24" i="4"/>
  <c r="E24" i="4"/>
  <c r="G24" i="4"/>
  <c r="F117" i="4"/>
  <c r="F118" i="4"/>
  <c r="F228" i="4"/>
  <c r="F25" i="4"/>
  <c r="B63" i="4"/>
  <c r="G62" i="4"/>
  <c r="A682" i="1" l="1"/>
  <c r="A683" i="1" s="1"/>
  <c r="F681" i="1"/>
  <c r="I606" i="1"/>
  <c r="B315" i="1"/>
  <c r="G314" i="1" s="1"/>
  <c r="E23" i="4"/>
  <c r="D22" i="4"/>
  <c r="H23" i="4"/>
  <c r="G23" i="4"/>
  <c r="F227" i="4"/>
  <c r="F24" i="4"/>
  <c r="F116" i="4"/>
  <c r="B64" i="4"/>
  <c r="G63" i="4"/>
  <c r="I683" i="1" l="1"/>
  <c r="A684" i="1"/>
  <c r="A685" i="1" s="1"/>
  <c r="I608" i="1"/>
  <c r="B316" i="1"/>
  <c r="G315" i="1" s="1"/>
  <c r="H22" i="4"/>
  <c r="E22" i="4"/>
  <c r="D21" i="4"/>
  <c r="G22" i="4"/>
  <c r="F23" i="4"/>
  <c r="F115" i="4"/>
  <c r="F114" i="4"/>
  <c r="F226" i="4"/>
  <c r="B65" i="4"/>
  <c r="I685" i="1" l="1"/>
  <c r="A686" i="1"/>
  <c r="A687" i="1" s="1"/>
  <c r="I610" i="1"/>
  <c r="B317" i="1"/>
  <c r="G316" i="1" s="1"/>
  <c r="E21" i="4"/>
  <c r="D20" i="4"/>
  <c r="H21" i="4"/>
  <c r="G21" i="4"/>
  <c r="F225" i="4"/>
  <c r="F22" i="4"/>
  <c r="F113" i="4"/>
  <c r="B66" i="4"/>
  <c r="G65" i="4" s="1"/>
  <c r="G64" i="4"/>
  <c r="I687" i="1" l="1"/>
  <c r="A688" i="1"/>
  <c r="A689" i="1" s="1"/>
  <c r="B318" i="1"/>
  <c r="G317" i="1" s="1"/>
  <c r="D19" i="4"/>
  <c r="H20" i="4"/>
  <c r="E20" i="4"/>
  <c r="G20" i="4"/>
  <c r="F112" i="4"/>
  <c r="F21" i="4"/>
  <c r="F111" i="4"/>
  <c r="F224" i="4"/>
  <c r="B67" i="4"/>
  <c r="G66" i="4"/>
  <c r="A690" i="1" l="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I689" i="1"/>
  <c r="B319" i="1"/>
  <c r="G318" i="1" s="1"/>
  <c r="E19" i="4"/>
  <c r="D18" i="4"/>
  <c r="H19" i="4"/>
  <c r="G19" i="4"/>
  <c r="F110" i="4"/>
  <c r="F223" i="4"/>
  <c r="F20" i="4"/>
  <c r="B68" i="4"/>
  <c r="G67" i="4" s="1"/>
  <c r="I762" i="1" l="1"/>
  <c r="A763" i="1"/>
  <c r="A764" i="1" s="1"/>
  <c r="I691" i="1"/>
  <c r="B320" i="1"/>
  <c r="G319" i="1" s="1"/>
  <c r="H18" i="4"/>
  <c r="E18" i="4"/>
  <c r="D17" i="4"/>
  <c r="G18" i="4"/>
  <c r="F108" i="4"/>
  <c r="F222" i="4"/>
  <c r="F19" i="4"/>
  <c r="F109" i="4"/>
  <c r="B69" i="4"/>
  <c r="F764" i="1" l="1"/>
  <c r="A765" i="1"/>
  <c r="A766" i="1" s="1"/>
  <c r="I693" i="1"/>
  <c r="B321" i="1"/>
  <c r="E17" i="4"/>
  <c r="H17" i="4"/>
  <c r="D16" i="4"/>
  <c r="G17" i="4"/>
  <c r="F221" i="4"/>
  <c r="F107" i="4"/>
  <c r="F18" i="4"/>
  <c r="B70" i="4"/>
  <c r="G69" i="4"/>
  <c r="G68" i="4"/>
  <c r="A767" i="1" l="1"/>
  <c r="A768" i="1" s="1"/>
  <c r="I766" i="1"/>
  <c r="I695" i="1"/>
  <c r="G320" i="1"/>
  <c r="B322" i="1"/>
  <c r="D15" i="4"/>
  <c r="H16" i="4"/>
  <c r="E16" i="4"/>
  <c r="G16" i="4"/>
  <c r="F106" i="4"/>
  <c r="F220" i="4"/>
  <c r="F17" i="4"/>
  <c r="F105" i="4"/>
  <c r="B71" i="4"/>
  <c r="I768" i="1" l="1"/>
  <c r="A769" i="1"/>
  <c r="A770" i="1" s="1"/>
  <c r="I697" i="1"/>
  <c r="G321" i="1"/>
  <c r="B323" i="1"/>
  <c r="E15" i="4"/>
  <c r="D14" i="4"/>
  <c r="H15" i="4"/>
  <c r="G15" i="4"/>
  <c r="F16" i="4"/>
  <c r="F104" i="4"/>
  <c r="F219" i="4"/>
  <c r="B72" i="4"/>
  <c r="G70" i="4"/>
  <c r="A771" i="1" l="1"/>
  <c r="A772" i="1" s="1"/>
  <c r="I770" i="1"/>
  <c r="I699" i="1"/>
  <c r="G322" i="1"/>
  <c r="B324" i="1"/>
  <c r="H14" i="4"/>
  <c r="D13" i="4"/>
  <c r="E14" i="4"/>
  <c r="G14" i="4"/>
  <c r="F15" i="4"/>
  <c r="F103" i="4"/>
  <c r="F102" i="4"/>
  <c r="F218" i="4"/>
  <c r="B73" i="4"/>
  <c r="G71" i="4"/>
  <c r="A773" i="1" l="1"/>
  <c r="A774" i="1" s="1"/>
  <c r="I772" i="1"/>
  <c r="I701" i="1"/>
  <c r="G323" i="1"/>
  <c r="B325" i="1"/>
  <c r="E13" i="4"/>
  <c r="D12" i="4"/>
  <c r="H13" i="4"/>
  <c r="G13" i="4"/>
  <c r="F101" i="4"/>
  <c r="F217" i="4"/>
  <c r="F14" i="4"/>
  <c r="B74" i="4"/>
  <c r="G72" i="4"/>
  <c r="A775" i="1" l="1"/>
  <c r="A776" i="1" s="1"/>
  <c r="I774" i="1"/>
  <c r="I703" i="1"/>
  <c r="G324" i="1"/>
  <c r="B326" i="1"/>
  <c r="D11" i="4"/>
  <c r="H12" i="4"/>
  <c r="E12" i="4"/>
  <c r="G12" i="4"/>
  <c r="F13" i="4"/>
  <c r="F99" i="4"/>
  <c r="F216" i="4"/>
  <c r="F100" i="4"/>
  <c r="B75" i="4"/>
  <c r="G74" i="4" s="1"/>
  <c r="G73" i="4"/>
  <c r="I776" i="1" l="1"/>
  <c r="A777" i="1"/>
  <c r="A778" i="1" s="1"/>
  <c r="G325" i="1"/>
  <c r="B327" i="1"/>
  <c r="E11" i="4"/>
  <c r="D10" i="4"/>
  <c r="H11" i="4"/>
  <c r="G11" i="4"/>
  <c r="F98" i="4"/>
  <c r="F215" i="4"/>
  <c r="F12" i="4"/>
  <c r="B76" i="4"/>
  <c r="A779" i="1" l="1"/>
  <c r="A780" i="1" s="1"/>
  <c r="I778" i="1"/>
  <c r="G326" i="1"/>
  <c r="B328" i="1"/>
  <c r="H10" i="4"/>
  <c r="E10" i="4"/>
  <c r="D9" i="4"/>
  <c r="G10" i="4"/>
  <c r="F214" i="4"/>
  <c r="F97" i="4"/>
  <c r="F11" i="4"/>
  <c r="F96" i="4"/>
  <c r="B77" i="4"/>
  <c r="G76" i="4"/>
  <c r="G75" i="4"/>
  <c r="A781" i="1" l="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I780" i="1"/>
  <c r="G327" i="1"/>
  <c r="B329" i="1"/>
  <c r="E9" i="4"/>
  <c r="H9" i="4"/>
  <c r="D8" i="4"/>
  <c r="G9" i="4"/>
  <c r="F95" i="4"/>
  <c r="F213" i="4"/>
  <c r="F10" i="4"/>
  <c r="B78" i="4"/>
  <c r="G77" i="4" s="1"/>
  <c r="I859" i="1" l="1"/>
  <c r="A860" i="1"/>
  <c r="A861" i="1" s="1"/>
  <c r="I782" i="1"/>
  <c r="G328" i="1"/>
  <c r="B330" i="1"/>
  <c r="D7" i="4"/>
  <c r="H8" i="4"/>
  <c r="E8" i="4"/>
  <c r="G8" i="4"/>
  <c r="F94" i="4"/>
  <c r="F93" i="4"/>
  <c r="F9" i="4"/>
  <c r="F212" i="4"/>
  <c r="B79" i="4"/>
  <c r="G78" i="4"/>
  <c r="F861" i="1" l="1"/>
  <c r="A862" i="1"/>
  <c r="A863" i="1" s="1"/>
  <c r="I784" i="1"/>
  <c r="F519" i="1"/>
  <c r="G329" i="1"/>
  <c r="B331" i="1"/>
  <c r="E7" i="4"/>
  <c r="D6" i="4"/>
  <c r="H7" i="4"/>
  <c r="G7" i="4"/>
  <c r="F211" i="4"/>
  <c r="F8" i="4"/>
  <c r="F92" i="4"/>
  <c r="B80" i="4"/>
  <c r="G79" i="4"/>
  <c r="A864" i="1" l="1"/>
  <c r="A865" i="1" s="1"/>
  <c r="I863" i="1"/>
  <c r="I786" i="1"/>
  <c r="I521" i="1"/>
  <c r="B332" i="1"/>
  <c r="G330" i="1"/>
  <c r="H6" i="4"/>
  <c r="D5" i="4"/>
  <c r="E6" i="4"/>
  <c r="G6" i="4"/>
  <c r="F210" i="4"/>
  <c r="F90" i="4"/>
  <c r="F7" i="4"/>
  <c r="F91" i="4"/>
  <c r="B81" i="4"/>
  <c r="G80" i="4" s="1"/>
  <c r="I865" i="1" l="1"/>
  <c r="A866" i="1"/>
  <c r="A867" i="1" s="1"/>
  <c r="I788" i="1"/>
  <c r="I522" i="1"/>
  <c r="B333" i="1"/>
  <c r="G332" i="1" s="1"/>
  <c r="G331" i="1"/>
  <c r="E5" i="4"/>
  <c r="H5" i="4"/>
  <c r="G5" i="4"/>
  <c r="F89" i="4"/>
  <c r="F209" i="4"/>
  <c r="F6" i="4"/>
  <c r="B82" i="4"/>
  <c r="G81" i="4" s="1"/>
  <c r="A868" i="1" l="1"/>
  <c r="A869" i="1" s="1"/>
  <c r="I867" i="1"/>
  <c r="I790" i="1"/>
  <c r="I524" i="1"/>
  <c r="B334" i="1"/>
  <c r="G333" i="1" s="1"/>
  <c r="F5" i="4"/>
  <c r="F88" i="4"/>
  <c r="F208" i="4"/>
  <c r="F87" i="4"/>
  <c r="B83" i="4"/>
  <c r="G82" i="4"/>
  <c r="A870" i="1" l="1"/>
  <c r="A871" i="1" s="1"/>
  <c r="I869" i="1"/>
  <c r="I525" i="1"/>
  <c r="B335" i="1"/>
  <c r="F207" i="4"/>
  <c r="F86" i="4"/>
  <c r="B84" i="4"/>
  <c r="G83" i="4"/>
  <c r="A872" i="1" l="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I871" i="1"/>
  <c r="I527" i="1"/>
  <c r="B336" i="1"/>
  <c r="G335" i="1" s="1"/>
  <c r="G334" i="1"/>
  <c r="B85" i="4"/>
  <c r="G84" i="4" s="1"/>
  <c r="G4" i="4"/>
  <c r="I949" i="1" l="1"/>
  <c r="A950" i="1"/>
  <c r="A951" i="1" s="1"/>
  <c r="I873" i="1"/>
  <c r="I528" i="1"/>
  <c r="B337" i="1"/>
  <c r="G336" i="1" s="1"/>
  <c r="B86" i="4"/>
  <c r="G85" i="4" s="1"/>
  <c r="F951" i="1" l="1"/>
  <c r="A952" i="1"/>
  <c r="A953" i="1" s="1"/>
  <c r="I875" i="1"/>
  <c r="I530" i="1"/>
  <c r="B338" i="1"/>
  <c r="G337" i="1" s="1"/>
  <c r="B87" i="4"/>
  <c r="A954" i="1" l="1"/>
  <c r="A955" i="1" s="1"/>
  <c r="I953" i="1"/>
  <c r="I877" i="1"/>
  <c r="I531" i="1"/>
  <c r="B339" i="1"/>
  <c r="B88" i="4"/>
  <c r="G87" i="4"/>
  <c r="G86" i="4"/>
  <c r="I955" i="1" l="1"/>
  <c r="A956" i="1"/>
  <c r="A957" i="1" s="1"/>
  <c r="I879" i="1"/>
  <c r="I533" i="1"/>
  <c r="B340" i="1"/>
  <c r="G339" i="1" s="1"/>
  <c r="G338" i="1"/>
  <c r="B89" i="4"/>
  <c r="G88" i="4"/>
  <c r="I957" i="1" l="1"/>
  <c r="A958" i="1"/>
  <c r="A959" i="1" s="1"/>
  <c r="I881" i="1"/>
  <c r="I534" i="1"/>
  <c r="B341" i="1"/>
  <c r="G340" i="1" s="1"/>
  <c r="B90" i="4"/>
  <c r="G89" i="4"/>
  <c r="A960" i="1" l="1"/>
  <c r="A961" i="1" s="1"/>
  <c r="I959" i="1"/>
  <c r="I883" i="1"/>
  <c r="I536" i="1"/>
  <c r="B342" i="1"/>
  <c r="B91" i="4"/>
  <c r="G90" i="4"/>
  <c r="A962" i="1" l="1"/>
  <c r="A963" i="1" s="1"/>
  <c r="I961" i="1"/>
  <c r="I885" i="1"/>
  <c r="I537" i="1"/>
  <c r="B343" i="1"/>
  <c r="G341" i="1"/>
  <c r="B92" i="4"/>
  <c r="I963" i="1" l="1"/>
  <c r="A964" i="1"/>
  <c r="A965" i="1" s="1"/>
  <c r="F611" i="1"/>
  <c r="I539" i="1"/>
  <c r="B344" i="1"/>
  <c r="G342" i="1"/>
  <c r="B93" i="4"/>
  <c r="G91" i="4"/>
  <c r="A966" i="1" l="1"/>
  <c r="A967" i="1" s="1"/>
  <c r="I965" i="1"/>
  <c r="I613" i="1"/>
  <c r="I540" i="1"/>
  <c r="B345" i="1"/>
  <c r="G344" i="1" s="1"/>
  <c r="G343" i="1"/>
  <c r="B94" i="4"/>
  <c r="G92" i="4"/>
  <c r="A968" i="1" l="1"/>
  <c r="A969" i="1" s="1"/>
  <c r="I967" i="1"/>
  <c r="I614" i="1"/>
  <c r="I542" i="1"/>
  <c r="B346" i="1"/>
  <c r="B95" i="4"/>
  <c r="G93" i="4"/>
  <c r="A970" i="1" l="1"/>
  <c r="A971" i="1" s="1"/>
  <c r="I969" i="1"/>
  <c r="I616" i="1"/>
  <c r="I543" i="1"/>
  <c r="B347" i="1"/>
  <c r="G345" i="1"/>
  <c r="B96" i="4"/>
  <c r="G94" i="4"/>
  <c r="I971" i="1" l="1"/>
  <c r="A972" i="1"/>
  <c r="A973" i="1" s="1"/>
  <c r="I617" i="1"/>
  <c r="I545" i="1"/>
  <c r="B348" i="1"/>
  <c r="G347" i="1" s="1"/>
  <c r="G346" i="1"/>
  <c r="G96" i="4"/>
  <c r="B97" i="4"/>
  <c r="G95" i="4"/>
  <c r="I973" i="1" l="1"/>
  <c r="A974" i="1"/>
  <c r="A975" i="1" s="1"/>
  <c r="I619" i="1"/>
  <c r="I546" i="1"/>
  <c r="B349" i="1"/>
  <c r="G97" i="4"/>
  <c r="B98" i="4"/>
  <c r="A976" i="1" l="1"/>
  <c r="A977" i="1" s="1"/>
  <c r="I975" i="1"/>
  <c r="I620" i="1"/>
  <c r="I548" i="1"/>
  <c r="B350" i="1"/>
  <c r="G348" i="1"/>
  <c r="B99" i="4"/>
  <c r="A978" i="1" l="1"/>
  <c r="A979" i="1" s="1"/>
  <c r="I977" i="1"/>
  <c r="I622" i="1"/>
  <c r="I549" i="1"/>
  <c r="B351" i="1"/>
  <c r="G349" i="1"/>
  <c r="B100" i="4"/>
  <c r="G98" i="4"/>
  <c r="A980" i="1" l="1"/>
  <c r="A981" i="1" s="1"/>
  <c r="I979" i="1"/>
  <c r="I623" i="1"/>
  <c r="I551" i="1"/>
  <c r="B352" i="1"/>
  <c r="G350" i="1"/>
  <c r="B101" i="4"/>
  <c r="G99" i="4"/>
  <c r="A982" i="1" l="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I981" i="1"/>
  <c r="I625" i="1"/>
  <c r="I552" i="1"/>
  <c r="B353" i="1"/>
  <c r="G352" i="1" s="1"/>
  <c r="G351" i="1"/>
  <c r="G101" i="4"/>
  <c r="B102" i="4"/>
  <c r="G100" i="4"/>
  <c r="I1060" i="1" l="1"/>
  <c r="F1062" i="1"/>
  <c r="A1063" i="1"/>
  <c r="A1064" i="1" s="1"/>
  <c r="I626" i="1"/>
  <c r="I554" i="1"/>
  <c r="B354" i="1"/>
  <c r="G102" i="4"/>
  <c r="B103" i="4"/>
  <c r="A1065" i="1" l="1"/>
  <c r="A1066" i="1" s="1"/>
  <c r="I1064" i="1"/>
  <c r="F704" i="1"/>
  <c r="I628" i="1"/>
  <c r="I555" i="1"/>
  <c r="B355" i="1"/>
  <c r="G354" i="1" s="1"/>
  <c r="G353" i="1"/>
  <c r="B104" i="4"/>
  <c r="A1067" i="1" l="1"/>
  <c r="A1068" i="1" s="1"/>
  <c r="I1066" i="1"/>
  <c r="I706" i="1"/>
  <c r="I629" i="1"/>
  <c r="B356" i="1"/>
  <c r="B105" i="4"/>
  <c r="G103" i="4"/>
  <c r="I1068" i="1" l="1"/>
  <c r="A1069" i="1"/>
  <c r="A1070" i="1" s="1"/>
  <c r="I707" i="1"/>
  <c r="I631" i="1"/>
  <c r="B357" i="1"/>
  <c r="G355" i="1"/>
  <c r="G105" i="4"/>
  <c r="B106" i="4"/>
  <c r="G104" i="4"/>
  <c r="I1070" i="1" l="1"/>
  <c r="A1071" i="1"/>
  <c r="A1072" i="1" s="1"/>
  <c r="I709" i="1"/>
  <c r="I632" i="1"/>
  <c r="B358" i="1"/>
  <c r="G356" i="1"/>
  <c r="B107" i="4"/>
  <c r="A1073" i="1" l="1"/>
  <c r="A1074" i="1" s="1"/>
  <c r="I1072" i="1"/>
  <c r="I710" i="1"/>
  <c r="I634" i="1"/>
  <c r="B359" i="1"/>
  <c r="G357" i="1"/>
  <c r="B108" i="4"/>
  <c r="G106" i="4"/>
  <c r="A1075" i="1" l="1"/>
  <c r="A1076" i="1" s="1"/>
  <c r="I1074" i="1"/>
  <c r="I712" i="1"/>
  <c r="I635" i="1"/>
  <c r="B360" i="1"/>
  <c r="G358" i="1"/>
  <c r="B109" i="4"/>
  <c r="G107" i="4"/>
  <c r="I1076" i="1" l="1"/>
  <c r="A1077" i="1"/>
  <c r="A1078" i="1" s="1"/>
  <c r="F791" i="1"/>
  <c r="I713" i="1"/>
  <c r="I637" i="1"/>
  <c r="B361" i="1"/>
  <c r="G359" i="1"/>
  <c r="B110" i="4"/>
  <c r="G108" i="4"/>
  <c r="A1079" i="1" l="1"/>
  <c r="A1080" i="1" s="1"/>
  <c r="I1078" i="1"/>
  <c r="I793" i="1"/>
  <c r="I715" i="1"/>
  <c r="I638" i="1"/>
  <c r="B362" i="1"/>
  <c r="G360" i="1"/>
  <c r="B111" i="4"/>
  <c r="G109" i="4"/>
  <c r="A1081" i="1" l="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I1080" i="1"/>
  <c r="I794" i="1"/>
  <c r="I716" i="1"/>
  <c r="I640" i="1"/>
  <c r="B363" i="1"/>
  <c r="G362" i="1" s="1"/>
  <c r="G361" i="1"/>
  <c r="B112" i="4"/>
  <c r="G110" i="4"/>
  <c r="A1151" i="1" l="1"/>
  <c r="A1152" i="1" s="1"/>
  <c r="I1150" i="1"/>
  <c r="I1082" i="1"/>
  <c r="I796" i="1"/>
  <c r="I718" i="1"/>
  <c r="I641" i="1"/>
  <c r="B364" i="1"/>
  <c r="G112" i="4"/>
  <c r="B113" i="4"/>
  <c r="G111" i="4"/>
  <c r="A1153" i="1" l="1"/>
  <c r="A1154" i="1" s="1"/>
  <c r="F1152" i="1"/>
  <c r="I1084" i="1"/>
  <c r="I797" i="1"/>
  <c r="I719" i="1"/>
  <c r="I643" i="1"/>
  <c r="B365" i="1"/>
  <c r="G363" i="1"/>
  <c r="G113" i="4"/>
  <c r="B114" i="4"/>
  <c r="I1154" i="1" l="1"/>
  <c r="A1155" i="1"/>
  <c r="A1156" i="1" s="1"/>
  <c r="I1086" i="1"/>
  <c r="I799" i="1"/>
  <c r="I721" i="1"/>
  <c r="I644" i="1"/>
  <c r="B366" i="1"/>
  <c r="G365" i="1" s="1"/>
  <c r="G364" i="1"/>
  <c r="B115" i="4"/>
  <c r="A1157" i="1" l="1"/>
  <c r="A1158" i="1" s="1"/>
  <c r="I1156" i="1"/>
  <c r="I800" i="1"/>
  <c r="I722" i="1"/>
  <c r="I646" i="1"/>
  <c r="B367" i="1"/>
  <c r="G366" i="1" s="1"/>
  <c r="B116" i="4"/>
  <c r="G114" i="4"/>
  <c r="A1159" i="1" l="1"/>
  <c r="A1160" i="1" s="1"/>
  <c r="I1158" i="1"/>
  <c r="I802" i="1"/>
  <c r="I724" i="1"/>
  <c r="I647" i="1"/>
  <c r="B368" i="1"/>
  <c r="G367" i="1" s="1"/>
  <c r="G116" i="4"/>
  <c r="B117" i="4"/>
  <c r="G115" i="4"/>
  <c r="A1161" i="1" l="1"/>
  <c r="A1162" i="1" s="1"/>
  <c r="I1160" i="1"/>
  <c r="I803" i="1"/>
  <c r="I725" i="1"/>
  <c r="I649" i="1"/>
  <c r="B369" i="1"/>
  <c r="G117" i="4"/>
  <c r="B118" i="4"/>
  <c r="I1162" i="1" l="1"/>
  <c r="A1163" i="1"/>
  <c r="A1164" i="1" s="1"/>
  <c r="I805" i="1"/>
  <c r="I727" i="1"/>
  <c r="I650" i="1"/>
  <c r="B370" i="1"/>
  <c r="G368" i="1"/>
  <c r="B119" i="4"/>
  <c r="A1165" i="1" l="1"/>
  <c r="A1166" i="1" s="1"/>
  <c r="I1164" i="1"/>
  <c r="F886" i="1"/>
  <c r="I806" i="1"/>
  <c r="I728" i="1"/>
  <c r="B371" i="1"/>
  <c r="G370" i="1" s="1"/>
  <c r="G369" i="1"/>
  <c r="G119" i="4"/>
  <c r="B120" i="4"/>
  <c r="G118" i="4"/>
  <c r="A1167" i="1" l="1"/>
  <c r="A1168" i="1" s="1"/>
  <c r="I1166" i="1"/>
  <c r="I888" i="1"/>
  <c r="I808" i="1"/>
  <c r="I730" i="1"/>
  <c r="B372" i="1"/>
  <c r="G120" i="4"/>
  <c r="B121" i="4"/>
  <c r="A1169" i="1" l="1"/>
  <c r="A1170" i="1" s="1"/>
  <c r="I1168" i="1"/>
  <c r="I889" i="1"/>
  <c r="I809" i="1"/>
  <c r="I731" i="1"/>
  <c r="B373" i="1"/>
  <c r="G372" i="1" s="1"/>
  <c r="G371" i="1"/>
  <c r="B122" i="4"/>
  <c r="I1170" i="1" l="1"/>
  <c r="A1171" i="1"/>
  <c r="A1172" i="1" s="1"/>
  <c r="I891" i="1"/>
  <c r="I811" i="1"/>
  <c r="I733" i="1"/>
  <c r="B374" i="1"/>
  <c r="B123" i="4"/>
  <c r="G121" i="4"/>
  <c r="G208" i="4"/>
  <c r="G207" i="4"/>
  <c r="A1173" i="1" l="1"/>
  <c r="A1174" i="1" s="1"/>
  <c r="A1175" i="1" s="1"/>
  <c r="A1176" i="1" s="1"/>
  <c r="A1177" i="1" s="1"/>
  <c r="A1178" i="1" s="1"/>
  <c r="A1179" i="1" s="1"/>
  <c r="A1180" i="1" s="1"/>
  <c r="I1172" i="1"/>
  <c r="I892" i="1"/>
  <c r="I812" i="1"/>
  <c r="I734" i="1"/>
  <c r="B375" i="1"/>
  <c r="G373" i="1"/>
  <c r="B124" i="4"/>
  <c r="G122" i="4"/>
  <c r="A1181" i="1" l="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I1254" i="1" s="1"/>
  <c r="I1180" i="1"/>
  <c r="I1174" i="1"/>
  <c r="I894" i="1"/>
  <c r="I814" i="1"/>
  <c r="I736" i="1"/>
  <c r="B376" i="1"/>
  <c r="G375" i="1" s="1"/>
  <c r="G374" i="1"/>
  <c r="G209" i="4"/>
  <c r="G124" i="4"/>
  <c r="B125" i="4"/>
  <c r="G123" i="4"/>
  <c r="G210" i="4"/>
  <c r="A1255" i="1" l="1"/>
  <c r="A1256" i="1" s="1"/>
  <c r="A1257" i="1" s="1"/>
  <c r="A1258" i="1" s="1"/>
  <c r="I1176" i="1"/>
  <c r="I895" i="1"/>
  <c r="I815" i="1"/>
  <c r="I737" i="1"/>
  <c r="B377" i="1"/>
  <c r="G376" i="1" s="1"/>
  <c r="G125" i="4"/>
  <c r="B126" i="4"/>
  <c r="F1256" i="1" l="1"/>
  <c r="I1258" i="1"/>
  <c r="A1259" i="1"/>
  <c r="A1260" i="1" s="1"/>
  <c r="I1178" i="1"/>
  <c r="F982" i="1"/>
  <c r="I897" i="1"/>
  <c r="I817" i="1"/>
  <c r="B378" i="1"/>
  <c r="G211" i="4"/>
  <c r="G126" i="4"/>
  <c r="B127" i="4"/>
  <c r="A1261" i="1" l="1"/>
  <c r="A1262" i="1" s="1"/>
  <c r="I1260" i="1"/>
  <c r="I984" i="1"/>
  <c r="I898" i="1"/>
  <c r="I818" i="1"/>
  <c r="B379" i="1"/>
  <c r="G377" i="1"/>
  <c r="G127" i="4"/>
  <c r="B128" i="4"/>
  <c r="G212" i="4"/>
  <c r="A1263" i="1" l="1"/>
  <c r="A1264" i="1" s="1"/>
  <c r="I1262" i="1"/>
  <c r="I985" i="1"/>
  <c r="I900" i="1"/>
  <c r="I820" i="1"/>
  <c r="B380" i="1"/>
  <c r="G379" i="1" s="1"/>
  <c r="G378" i="1"/>
  <c r="G213" i="4"/>
  <c r="G128" i="4"/>
  <c r="B129" i="4"/>
  <c r="I1264" i="1" l="1"/>
  <c r="A1265" i="1"/>
  <c r="A1266" i="1" s="1"/>
  <c r="I987" i="1"/>
  <c r="I901" i="1"/>
  <c r="I821" i="1"/>
  <c r="B381" i="1"/>
  <c r="G214" i="4"/>
  <c r="G129" i="4"/>
  <c r="B130" i="4"/>
  <c r="I1266" i="1" l="1"/>
  <c r="A1267" i="1"/>
  <c r="A1268" i="1" s="1"/>
  <c r="I988" i="1"/>
  <c r="I903" i="1"/>
  <c r="I823" i="1"/>
  <c r="B382" i="1"/>
  <c r="G381" i="1" s="1"/>
  <c r="G380" i="1"/>
  <c r="G215" i="4"/>
  <c r="G130" i="4"/>
  <c r="B131" i="4"/>
  <c r="I1268" i="1" l="1"/>
  <c r="A1269" i="1"/>
  <c r="A1270" i="1" s="1"/>
  <c r="I990" i="1"/>
  <c r="I904" i="1"/>
  <c r="I824" i="1"/>
  <c r="B383" i="1"/>
  <c r="G382" i="1" s="1"/>
  <c r="G216" i="4"/>
  <c r="G131" i="4"/>
  <c r="B132" i="4"/>
  <c r="A1271" i="1" l="1"/>
  <c r="A1272" i="1" s="1"/>
  <c r="I1270" i="1"/>
  <c r="I991" i="1"/>
  <c r="I906" i="1"/>
  <c r="I826" i="1"/>
  <c r="B384" i="1"/>
  <c r="G383" i="1" s="1"/>
  <c r="G217" i="4"/>
  <c r="G132" i="4"/>
  <c r="B133" i="4"/>
  <c r="A1273" i="1" l="1"/>
  <c r="A1274" i="1" s="1"/>
  <c r="I1272" i="1"/>
  <c r="I993" i="1"/>
  <c r="I907" i="1"/>
  <c r="I827" i="1"/>
  <c r="B385" i="1"/>
  <c r="G218" i="4"/>
  <c r="G133" i="4"/>
  <c r="B134" i="4"/>
  <c r="I1274" i="1" l="1"/>
  <c r="A1275" i="1"/>
  <c r="A1276" i="1" s="1"/>
  <c r="I994" i="1"/>
  <c r="I909" i="1"/>
  <c r="I829" i="1"/>
  <c r="B386" i="1"/>
  <c r="G384" i="1"/>
  <c r="G219" i="4"/>
  <c r="G134" i="4"/>
  <c r="B135" i="4"/>
  <c r="I1276" i="1" l="1"/>
  <c r="A1277" i="1"/>
  <c r="A1278" i="1" s="1"/>
  <c r="I996" i="1"/>
  <c r="I910" i="1"/>
  <c r="I830" i="1"/>
  <c r="B387" i="1"/>
  <c r="G386" i="1" s="1"/>
  <c r="G385" i="1"/>
  <c r="G220" i="4"/>
  <c r="G135" i="4"/>
  <c r="B136" i="4"/>
  <c r="A1279" i="1" l="1"/>
  <c r="A1280" i="1" s="1"/>
  <c r="I1278" i="1"/>
  <c r="I997" i="1"/>
  <c r="I912" i="1"/>
  <c r="B388" i="1"/>
  <c r="G221" i="4"/>
  <c r="G136" i="4"/>
  <c r="B137" i="4"/>
  <c r="A1281" i="1" l="1"/>
  <c r="A1282" i="1" s="1"/>
  <c r="A1283" i="1" s="1"/>
  <c r="A1284" i="1" s="1"/>
  <c r="I1280" i="1"/>
  <c r="I999" i="1"/>
  <c r="I913" i="1"/>
  <c r="B389" i="1"/>
  <c r="G388" i="1" s="1"/>
  <c r="G387" i="1"/>
  <c r="G222" i="4"/>
  <c r="G137" i="4"/>
  <c r="B138" i="4"/>
  <c r="A1285" i="1" l="1"/>
  <c r="A1286" i="1" s="1"/>
  <c r="I1284" i="1"/>
  <c r="I1282" i="1"/>
  <c r="I1000" i="1"/>
  <c r="I915" i="1"/>
  <c r="B390" i="1"/>
  <c r="G223" i="4"/>
  <c r="G138" i="4"/>
  <c r="B139" i="4"/>
  <c r="A1287" i="1" l="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I1286" i="1"/>
  <c r="I1002" i="1"/>
  <c r="I916" i="1"/>
  <c r="B391" i="1"/>
  <c r="G390" i="1" s="1"/>
  <c r="G389" i="1"/>
  <c r="G139" i="4"/>
  <c r="B140" i="4"/>
  <c r="G224" i="4"/>
  <c r="A1366" i="1" l="1"/>
  <c r="A1367" i="1" s="1"/>
  <c r="I1365" i="1"/>
  <c r="I1003" i="1"/>
  <c r="I918" i="1"/>
  <c r="B392" i="1"/>
  <c r="G391" i="1" s="1"/>
  <c r="G225" i="4"/>
  <c r="G140" i="4"/>
  <c r="B141" i="4"/>
  <c r="F1367" i="1" l="1"/>
  <c r="A1368" i="1"/>
  <c r="A1369" i="1" s="1"/>
  <c r="I1005" i="1"/>
  <c r="I919" i="1"/>
  <c r="B393" i="1"/>
  <c r="G392" i="1" s="1"/>
  <c r="G226" i="4"/>
  <c r="G141" i="4"/>
  <c r="B142" i="4"/>
  <c r="A1370" i="1" l="1"/>
  <c r="A1371" i="1" s="1"/>
  <c r="I1369" i="1"/>
  <c r="F1087" i="1"/>
  <c r="I1006" i="1"/>
  <c r="I921" i="1"/>
  <c r="B394" i="1"/>
  <c r="G393" i="1" s="1"/>
  <c r="G142" i="4"/>
  <c r="B143" i="4"/>
  <c r="G227" i="4"/>
  <c r="A1372" i="1" l="1"/>
  <c r="A1373" i="1" s="1"/>
  <c r="I1371" i="1"/>
  <c r="I1089" i="1"/>
  <c r="I1008" i="1"/>
  <c r="I922" i="1"/>
  <c r="B395" i="1"/>
  <c r="G228" i="4"/>
  <c r="B144" i="4"/>
  <c r="I1373" i="1" l="1"/>
  <c r="A1374" i="1"/>
  <c r="A1375" i="1" s="1"/>
  <c r="I1090" i="1"/>
  <c r="I1009" i="1"/>
  <c r="B396" i="1"/>
  <c r="G395" i="1" s="1"/>
  <c r="B145" i="4"/>
  <c r="G143" i="4"/>
  <c r="G230" i="4"/>
  <c r="G229" i="4"/>
  <c r="A1376" i="1" l="1"/>
  <c r="A1377" i="1" s="1"/>
  <c r="I1375" i="1"/>
  <c r="I1092" i="1"/>
  <c r="I1011" i="1"/>
  <c r="F396" i="1"/>
  <c r="B397" i="1"/>
  <c r="B146" i="4"/>
  <c r="G144" i="4"/>
  <c r="A1378" i="1" l="1"/>
  <c r="A1379" i="1" s="1"/>
  <c r="I1377" i="1"/>
  <c r="I1093" i="1"/>
  <c r="I1012" i="1"/>
  <c r="B398" i="1"/>
  <c r="G397" i="1" s="1"/>
  <c r="G396" i="1"/>
  <c r="G231" i="4"/>
  <c r="G146" i="4"/>
  <c r="B147" i="4"/>
  <c r="G145" i="4"/>
  <c r="A1380" i="1" l="1"/>
  <c r="A1381" i="1" s="1"/>
  <c r="I1379" i="1"/>
  <c r="I1095" i="1"/>
  <c r="I1014" i="1"/>
  <c r="B399" i="1"/>
  <c r="G147" i="4"/>
  <c r="B148" i="4"/>
  <c r="G232" i="4"/>
  <c r="I1381" i="1" l="1"/>
  <c r="A1382" i="1"/>
  <c r="A1383" i="1" s="1"/>
  <c r="I1096" i="1"/>
  <c r="I1015" i="1"/>
  <c r="G398" i="1"/>
  <c r="B400" i="1"/>
  <c r="G238" i="1"/>
  <c r="G233" i="4"/>
  <c r="G148" i="4"/>
  <c r="B149" i="4"/>
  <c r="A1384" i="1" l="1"/>
  <c r="A1385" i="1" s="1"/>
  <c r="I1383" i="1"/>
  <c r="I1098" i="1"/>
  <c r="I1017" i="1"/>
  <c r="B401" i="1"/>
  <c r="G400" i="1" s="1"/>
  <c r="B150" i="4"/>
  <c r="G234" i="4"/>
  <c r="A1386" i="1" l="1"/>
  <c r="A1387" i="1" s="1"/>
  <c r="I1385" i="1"/>
  <c r="I1099" i="1"/>
  <c r="I1018" i="1"/>
  <c r="B402" i="1"/>
  <c r="G401" i="1" s="1"/>
  <c r="G240" i="1"/>
  <c r="G239" i="1"/>
  <c r="G235" i="4"/>
  <c r="G150" i="4"/>
  <c r="B151" i="4"/>
  <c r="G149" i="4"/>
  <c r="G236" i="4"/>
  <c r="A1388" i="1" l="1"/>
  <c r="A1389" i="1" s="1"/>
  <c r="I1387" i="1"/>
  <c r="I1101" i="1"/>
  <c r="I1020" i="1"/>
  <c r="B403" i="1"/>
  <c r="G402" i="1" s="1"/>
  <c r="G151" i="4"/>
  <c r="B152" i="4"/>
  <c r="I1389" i="1" l="1"/>
  <c r="A1390" i="1"/>
  <c r="A1391" i="1" s="1"/>
  <c r="I1102" i="1"/>
  <c r="I1021" i="1"/>
  <c r="B404" i="1"/>
  <c r="G242" i="1"/>
  <c r="G241" i="1"/>
  <c r="G237" i="4"/>
  <c r="G152" i="4"/>
  <c r="B153" i="4"/>
  <c r="A1392" i="1" l="1"/>
  <c r="A1393" i="1" s="1"/>
  <c r="A1394" i="1" s="1"/>
  <c r="I1391" i="1"/>
  <c r="F1181" i="1"/>
  <c r="I1104" i="1"/>
  <c r="I1023" i="1"/>
  <c r="G403" i="1"/>
  <c r="B405" i="1"/>
  <c r="G238" i="4"/>
  <c r="G153" i="4"/>
  <c r="B154" i="4"/>
  <c r="A1395" i="1" l="1"/>
  <c r="I1394" i="1"/>
  <c r="I1183" i="1"/>
  <c r="I1105" i="1"/>
  <c r="I1024" i="1"/>
  <c r="B406" i="1"/>
  <c r="G405" i="1" s="1"/>
  <c r="G244" i="1"/>
  <c r="G243" i="1"/>
  <c r="G239" i="4"/>
  <c r="G154" i="4"/>
  <c r="B155" i="4"/>
  <c r="A1396" i="1" l="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I1395" i="1"/>
  <c r="I1184" i="1"/>
  <c r="I1107" i="1"/>
  <c r="I1026" i="1"/>
  <c r="B407" i="1"/>
  <c r="G406" i="1" s="1"/>
  <c r="G240" i="4"/>
  <c r="G155" i="4"/>
  <c r="B156" i="4"/>
  <c r="A1456" i="1" l="1"/>
  <c r="A1457" i="1" s="1"/>
  <c r="I1455" i="1"/>
  <c r="I1186" i="1"/>
  <c r="I1108" i="1"/>
  <c r="I1027" i="1"/>
  <c r="B408" i="1"/>
  <c r="G407" i="1" s="1"/>
  <c r="G246" i="1"/>
  <c r="G245" i="1"/>
  <c r="G241" i="4"/>
  <c r="G156" i="4"/>
  <c r="B157" i="4"/>
  <c r="A1458" i="1" l="1"/>
  <c r="A1459" i="1" s="1"/>
  <c r="F1457" i="1"/>
  <c r="I1187" i="1"/>
  <c r="I1110" i="1"/>
  <c r="B409" i="1"/>
  <c r="G242" i="4"/>
  <c r="G157" i="4"/>
  <c r="B158" i="4"/>
  <c r="I1459" i="1" l="1"/>
  <c r="A1460" i="1"/>
  <c r="A1461" i="1" s="1"/>
  <c r="I1189" i="1"/>
  <c r="I1111" i="1"/>
  <c r="G408" i="1"/>
  <c r="B410" i="1"/>
  <c r="G243" i="4"/>
  <c r="G158" i="4"/>
  <c r="B159" i="4"/>
  <c r="I1461" i="1" l="1"/>
  <c r="A1462" i="1"/>
  <c r="A1463" i="1" s="1"/>
  <c r="I1190" i="1"/>
  <c r="I1113" i="1"/>
  <c r="B411" i="1"/>
  <c r="G410" i="1" s="1"/>
  <c r="G244" i="4"/>
  <c r="G159" i="4"/>
  <c r="B160" i="4"/>
  <c r="A1464" i="1" l="1"/>
  <c r="A1465" i="1" s="1"/>
  <c r="I1463" i="1"/>
  <c r="I1192" i="1"/>
  <c r="I1114" i="1"/>
  <c r="F556" i="1"/>
  <c r="B412" i="1"/>
  <c r="G411" i="1" s="1"/>
  <c r="G245" i="4"/>
  <c r="G160" i="4"/>
  <c r="B161" i="4"/>
  <c r="A1466" i="1" l="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I1465" i="1"/>
  <c r="I1193" i="1"/>
  <c r="I1116" i="1"/>
  <c r="I558" i="1"/>
  <c r="B413" i="1"/>
  <c r="G412" i="1" s="1"/>
  <c r="G246" i="4"/>
  <c r="B162" i="4"/>
  <c r="G247" i="4"/>
  <c r="A1560" i="1" l="1"/>
  <c r="A1561" i="1" s="1"/>
  <c r="I1559" i="1"/>
  <c r="I1467" i="1"/>
  <c r="I1195" i="1"/>
  <c r="I1117" i="1"/>
  <c r="I560" i="1"/>
  <c r="B414" i="1"/>
  <c r="G162" i="4"/>
  <c r="B163" i="4"/>
  <c r="G161" i="4"/>
  <c r="A1562" i="1" l="1"/>
  <c r="A1563" i="1" s="1"/>
  <c r="F1561" i="1"/>
  <c r="I1469" i="1"/>
  <c r="I1196" i="1"/>
  <c r="I1119" i="1"/>
  <c r="G413" i="1"/>
  <c r="I562" i="1"/>
  <c r="B415" i="1"/>
  <c r="G248" i="4"/>
  <c r="G163" i="4"/>
  <c r="B164" i="4"/>
  <c r="I1563" i="1" l="1"/>
  <c r="A1564" i="1"/>
  <c r="A1565" i="1" s="1"/>
  <c r="I1471" i="1"/>
  <c r="I1198" i="1"/>
  <c r="I1120" i="1"/>
  <c r="I564" i="1"/>
  <c r="B416" i="1"/>
  <c r="G249" i="4"/>
  <c r="B165" i="4"/>
  <c r="A1566" i="1" l="1"/>
  <c r="A1567" i="1" s="1"/>
  <c r="I1565" i="1"/>
  <c r="I1473" i="1"/>
  <c r="F1287" i="1"/>
  <c r="I1199" i="1"/>
  <c r="I1122" i="1"/>
  <c r="I566" i="1"/>
  <c r="B417" i="1"/>
  <c r="G165" i="4"/>
  <c r="B166" i="4"/>
  <c r="G164" i="4"/>
  <c r="G251" i="4"/>
  <c r="G250" i="4"/>
  <c r="A1568" i="1" l="1"/>
  <c r="A1569" i="1" s="1"/>
  <c r="I1567" i="1"/>
  <c r="I1475" i="1"/>
  <c r="I1289" i="1"/>
  <c r="I1201" i="1"/>
  <c r="I1123" i="1"/>
  <c r="I568" i="1"/>
  <c r="B418" i="1"/>
  <c r="G252" i="4"/>
  <c r="B167" i="4"/>
  <c r="I1569" i="1" l="1"/>
  <c r="A1570" i="1"/>
  <c r="A1571" i="1" s="1"/>
  <c r="I1477" i="1"/>
  <c r="I1290" i="1"/>
  <c r="I1202" i="1"/>
  <c r="I570" i="1"/>
  <c r="B419" i="1"/>
  <c r="B168" i="4"/>
  <c r="G166" i="4"/>
  <c r="I1571" i="1" l="1"/>
  <c r="A1572" i="1"/>
  <c r="A1573" i="1" s="1"/>
  <c r="I1479" i="1"/>
  <c r="I1292" i="1"/>
  <c r="I1204" i="1"/>
  <c r="I572" i="1"/>
  <c r="B420" i="1"/>
  <c r="G168" i="4"/>
  <c r="B169" i="4"/>
  <c r="G167" i="4"/>
  <c r="G253" i="4"/>
  <c r="G254" i="4"/>
  <c r="A1574" i="1" l="1"/>
  <c r="A1575" i="1" s="1"/>
  <c r="I1573" i="1"/>
  <c r="I1481" i="1"/>
  <c r="I1293" i="1"/>
  <c r="I1205" i="1"/>
  <c r="I574" i="1"/>
  <c r="B421" i="1"/>
  <c r="G255" i="4"/>
  <c r="B170" i="4"/>
  <c r="A1576" i="1" l="1"/>
  <c r="A1577" i="1" s="1"/>
  <c r="A1578" i="1" s="1"/>
  <c r="A1579" i="1" s="1"/>
  <c r="A1580" i="1" s="1"/>
  <c r="I1575" i="1"/>
  <c r="I1485" i="1"/>
  <c r="I1483" i="1"/>
  <c r="I1295" i="1"/>
  <c r="I1207" i="1"/>
  <c r="I576" i="1"/>
  <c r="B422" i="1"/>
  <c r="B171" i="4"/>
  <c r="G169" i="4"/>
  <c r="A1581" i="1" l="1"/>
  <c r="A1582" i="1" s="1"/>
  <c r="F1580" i="1"/>
  <c r="I1577" i="1"/>
  <c r="I1579" i="1"/>
  <c r="I1296" i="1"/>
  <c r="I1208" i="1"/>
  <c r="I578" i="1"/>
  <c r="B423" i="1"/>
  <c r="G256" i="4"/>
  <c r="G171" i="4"/>
  <c r="B172" i="4"/>
  <c r="G170" i="4"/>
  <c r="G257" i="4"/>
  <c r="A1583" i="1" l="1"/>
  <c r="I1582" i="1"/>
  <c r="I1298" i="1"/>
  <c r="I1210" i="1"/>
  <c r="I580" i="1"/>
  <c r="B424" i="1"/>
  <c r="B173" i="4"/>
  <c r="G258" i="4"/>
  <c r="A1584" i="1" l="1"/>
  <c r="A1585" i="1" s="1"/>
  <c r="I1583" i="1"/>
  <c r="I1299" i="1"/>
  <c r="I1211" i="1"/>
  <c r="F651" i="1"/>
  <c r="B425" i="1"/>
  <c r="B174" i="4"/>
  <c r="G172" i="4"/>
  <c r="A1586" i="1" l="1"/>
  <c r="I1585" i="1"/>
  <c r="I1301" i="1"/>
  <c r="I1213" i="1"/>
  <c r="I653" i="1"/>
  <c r="B426" i="1"/>
  <c r="G259" i="4"/>
  <c r="G174" i="4"/>
  <c r="B175" i="4"/>
  <c r="G173" i="4"/>
  <c r="A1587" i="1" l="1"/>
  <c r="A1588" i="1" s="1"/>
  <c r="I1586" i="1"/>
  <c r="I1302" i="1"/>
  <c r="I1214" i="1"/>
  <c r="I655" i="1"/>
  <c r="B427" i="1"/>
  <c r="G175" i="4"/>
  <c r="B176" i="4"/>
  <c r="G260" i="4"/>
  <c r="A1589" i="1" l="1"/>
  <c r="I1588" i="1"/>
  <c r="I1304" i="1"/>
  <c r="I1216" i="1"/>
  <c r="I657" i="1"/>
  <c r="B428" i="1"/>
  <c r="G261" i="4"/>
  <c r="G176" i="4"/>
  <c r="B177" i="4"/>
  <c r="A1590" i="1" l="1"/>
  <c r="A1591" i="1" s="1"/>
  <c r="I1589" i="1"/>
  <c r="I1305" i="1"/>
  <c r="I1217" i="1"/>
  <c r="I659" i="1"/>
  <c r="B429" i="1"/>
  <c r="G262" i="4"/>
  <c r="G177" i="4"/>
  <c r="B178" i="4"/>
  <c r="A1592" i="1" l="1"/>
  <c r="I1591" i="1"/>
  <c r="I1307" i="1"/>
  <c r="I1219" i="1"/>
  <c r="I661" i="1"/>
  <c r="B430" i="1"/>
  <c r="G263" i="4"/>
  <c r="B179" i="4"/>
  <c r="G264" i="4"/>
  <c r="A1593" i="1" l="1"/>
  <c r="A1594" i="1" s="1"/>
  <c r="I1592" i="1"/>
  <c r="F1392" i="1"/>
  <c r="I1308" i="1"/>
  <c r="I1220" i="1"/>
  <c r="I663" i="1"/>
  <c r="B431" i="1"/>
  <c r="B180" i="4"/>
  <c r="G178" i="4"/>
  <c r="G265" i="4"/>
  <c r="A1595" i="1" l="1"/>
  <c r="I1594" i="1"/>
  <c r="I1310" i="1"/>
  <c r="I1222" i="1"/>
  <c r="I665" i="1"/>
  <c r="B432" i="1"/>
  <c r="G180" i="4"/>
  <c r="B181" i="4"/>
  <c r="G179" i="4"/>
  <c r="A1596" i="1" l="1"/>
  <c r="A1597" i="1" s="1"/>
  <c r="I1595" i="1"/>
  <c r="I1311" i="1"/>
  <c r="I1223" i="1"/>
  <c r="I667" i="1"/>
  <c r="B433" i="1"/>
  <c r="G266" i="4"/>
  <c r="G181" i="4"/>
  <c r="B182" i="4"/>
  <c r="A1598" i="1" l="1"/>
  <c r="I1597" i="1"/>
  <c r="I1397" i="1"/>
  <c r="I1313" i="1"/>
  <c r="I669" i="1"/>
  <c r="B434" i="1"/>
  <c r="G267" i="4"/>
  <c r="G182" i="4"/>
  <c r="B183" i="4"/>
  <c r="A1599" i="1" l="1"/>
  <c r="A1600" i="1" s="1"/>
  <c r="I1598" i="1"/>
  <c r="I1398" i="1"/>
  <c r="I1314" i="1"/>
  <c r="I671" i="1"/>
  <c r="B435" i="1"/>
  <c r="G268" i="4"/>
  <c r="G183" i="4"/>
  <c r="B184" i="4"/>
  <c r="A1601" i="1" l="1"/>
  <c r="I1600" i="1"/>
  <c r="I1400" i="1"/>
  <c r="I1316" i="1"/>
  <c r="F738" i="1"/>
  <c r="I673" i="1"/>
  <c r="B436" i="1"/>
  <c r="G269" i="4"/>
  <c r="G184" i="4"/>
  <c r="B185" i="4"/>
  <c r="A1602" i="1" l="1"/>
  <c r="A1603" i="1" s="1"/>
  <c r="I1601" i="1"/>
  <c r="I1401" i="1"/>
  <c r="I1317" i="1"/>
  <c r="I740" i="1"/>
  <c r="I675" i="1"/>
  <c r="B437" i="1"/>
  <c r="G270" i="4"/>
  <c r="G185" i="4"/>
  <c r="B186" i="4"/>
  <c r="A1604" i="1" l="1"/>
  <c r="I1603" i="1"/>
  <c r="I1403" i="1"/>
  <c r="I1319" i="1"/>
  <c r="I742" i="1"/>
  <c r="I677" i="1"/>
  <c r="B438" i="1"/>
  <c r="G271" i="4"/>
  <c r="G186" i="4"/>
  <c r="B187" i="4"/>
  <c r="G272" i="4"/>
  <c r="A1605" i="1" l="1"/>
  <c r="A1606" i="1" s="1"/>
  <c r="I1604" i="1"/>
  <c r="I1404" i="1"/>
  <c r="I1320" i="1"/>
  <c r="I744" i="1"/>
  <c r="B439" i="1"/>
  <c r="G187" i="4"/>
  <c r="B188" i="4"/>
  <c r="A1607" i="1" l="1"/>
  <c r="I1606" i="1"/>
  <c r="I1406" i="1"/>
  <c r="I1322" i="1"/>
  <c r="I746" i="1"/>
  <c r="B440" i="1"/>
  <c r="G273" i="4"/>
  <c r="G188" i="4"/>
  <c r="B189" i="4"/>
  <c r="A1608" i="1" l="1"/>
  <c r="I1607" i="1"/>
  <c r="I1407" i="1"/>
  <c r="I1323" i="1"/>
  <c r="I748" i="1"/>
  <c r="B441" i="1"/>
  <c r="G274" i="4"/>
  <c r="G189" i="4"/>
  <c r="B190" i="4"/>
  <c r="A1609" i="1" l="1"/>
  <c r="A1610" i="1" s="1"/>
  <c r="F1608" i="1"/>
  <c r="I1409" i="1"/>
  <c r="I1325" i="1"/>
  <c r="F831" i="1"/>
  <c r="I750" i="1"/>
  <c r="B442" i="1"/>
  <c r="G275" i="4"/>
  <c r="G190" i="4"/>
  <c r="B191" i="4"/>
  <c r="A1611" i="1" l="1"/>
  <c r="A1612" i="1" s="1"/>
  <c r="I1610" i="1"/>
  <c r="I1410" i="1"/>
  <c r="I1326" i="1"/>
  <c r="I833" i="1"/>
  <c r="I752" i="1"/>
  <c r="B443" i="1"/>
  <c r="G276" i="4"/>
  <c r="G191" i="4"/>
  <c r="B192" i="4"/>
  <c r="A1613" i="1" l="1"/>
  <c r="A1614" i="1" s="1"/>
  <c r="I1612" i="1"/>
  <c r="F1486" i="1"/>
  <c r="I1412" i="1"/>
  <c r="I1328" i="1"/>
  <c r="I835" i="1"/>
  <c r="I754" i="1"/>
  <c r="B444" i="1"/>
  <c r="G277" i="4"/>
  <c r="G192" i="4"/>
  <c r="B193" i="4"/>
  <c r="A1615" i="1" l="1"/>
  <c r="A1616" i="1" s="1"/>
  <c r="I1614" i="1"/>
  <c r="I1488" i="1"/>
  <c r="I1413" i="1"/>
  <c r="I1329" i="1"/>
  <c r="I837" i="1"/>
  <c r="I756" i="1"/>
  <c r="B445" i="1"/>
  <c r="G278" i="4"/>
  <c r="G193" i="4"/>
  <c r="B194" i="4"/>
  <c r="A1617" i="1" l="1"/>
  <c r="A1618" i="1" s="1"/>
  <c r="I1616" i="1"/>
  <c r="I1489" i="1"/>
  <c r="I1415" i="1"/>
  <c r="I1331" i="1"/>
  <c r="I839" i="1"/>
  <c r="I758" i="1"/>
  <c r="B446" i="1"/>
  <c r="G280" i="4"/>
  <c r="G279" i="4"/>
  <c r="G194" i="4"/>
  <c r="B195" i="4"/>
  <c r="A1619" i="1" l="1"/>
  <c r="A1620" i="1" s="1"/>
  <c r="I1618" i="1"/>
  <c r="I1491" i="1"/>
  <c r="I1416" i="1"/>
  <c r="I1332" i="1"/>
  <c r="I841" i="1"/>
  <c r="I760" i="1"/>
  <c r="B447" i="1"/>
  <c r="B196" i="4"/>
  <c r="A1621" i="1" l="1"/>
  <c r="A1622" i="1" s="1"/>
  <c r="I1620" i="1"/>
  <c r="I1492" i="1"/>
  <c r="I1418" i="1"/>
  <c r="I843" i="1"/>
  <c r="B448" i="1"/>
  <c r="G282" i="4"/>
  <c r="B197" i="4"/>
  <c r="G195" i="4"/>
  <c r="G281" i="4"/>
  <c r="A1623" i="1" l="1"/>
  <c r="A1624" i="1" s="1"/>
  <c r="I1622" i="1"/>
  <c r="I1494" i="1"/>
  <c r="I1419" i="1"/>
  <c r="I845" i="1"/>
  <c r="B449" i="1"/>
  <c r="G197" i="4"/>
  <c r="B198" i="4"/>
  <c r="G196" i="4"/>
  <c r="A1625" i="1" l="1"/>
  <c r="A1626" i="1" s="1"/>
  <c r="I1624" i="1"/>
  <c r="I1495" i="1"/>
  <c r="I1421" i="1"/>
  <c r="I847" i="1"/>
  <c r="B450" i="1"/>
  <c r="G283" i="4"/>
  <c r="G198" i="4"/>
  <c r="B199" i="4"/>
  <c r="A1627" i="1" l="1"/>
  <c r="A1628" i="1" s="1"/>
  <c r="I1626" i="1"/>
  <c r="I1497" i="1"/>
  <c r="I1422" i="1"/>
  <c r="I849" i="1"/>
  <c r="B451" i="1"/>
  <c r="B200" i="4"/>
  <c r="G284" i="4"/>
  <c r="G285" i="4"/>
  <c r="I1628" i="1" l="1"/>
  <c r="A1629" i="1"/>
  <c r="A1630" i="1" s="1"/>
  <c r="I1498" i="1"/>
  <c r="I1424" i="1"/>
  <c r="F923" i="1"/>
  <c r="I851" i="1"/>
  <c r="B452" i="1"/>
  <c r="B201" i="4"/>
  <c r="G199" i="4"/>
  <c r="G286" i="4"/>
  <c r="F1630" i="1" l="1"/>
  <c r="A1631" i="1"/>
  <c r="A1632" i="1" s="1"/>
  <c r="I1500" i="1"/>
  <c r="I1425" i="1"/>
  <c r="I925" i="1"/>
  <c r="I853" i="1"/>
  <c r="B453" i="1"/>
  <c r="B202" i="4"/>
  <c r="G200" i="4"/>
  <c r="G287" i="4"/>
  <c r="F287" i="4"/>
  <c r="A1633" i="1" l="1"/>
  <c r="A1634" i="1" s="1"/>
  <c r="I1632" i="1"/>
  <c r="I1501" i="1"/>
  <c r="I1427" i="1"/>
  <c r="I927" i="1"/>
  <c r="I855" i="1"/>
  <c r="B454" i="1"/>
  <c r="B203" i="4"/>
  <c r="G201" i="4"/>
  <c r="I1634" i="1" l="1"/>
  <c r="A1635" i="1"/>
  <c r="A1636" i="1" s="1"/>
  <c r="I1503" i="1"/>
  <c r="I1428" i="1"/>
  <c r="I929" i="1"/>
  <c r="I857" i="1"/>
  <c r="B455" i="1"/>
  <c r="B204" i="4"/>
  <c r="G202" i="4"/>
  <c r="I1636" i="1" l="1"/>
  <c r="A1637" i="1"/>
  <c r="A1638" i="1" s="1"/>
  <c r="I1504" i="1"/>
  <c r="I931" i="1"/>
  <c r="B456" i="1"/>
  <c r="B205" i="4"/>
  <c r="G203" i="4"/>
  <c r="A1639" i="1" l="1"/>
  <c r="A1640" i="1" s="1"/>
  <c r="I1638" i="1"/>
  <c r="I1506" i="1"/>
  <c r="I933" i="1"/>
  <c r="B457" i="1"/>
  <c r="G204" i="4"/>
  <c r="A1641" i="1" l="1"/>
  <c r="A1642" i="1" s="1"/>
  <c r="I1640" i="1"/>
  <c r="I1507" i="1"/>
  <c r="I935" i="1"/>
  <c r="B458" i="1"/>
  <c r="F249" i="1"/>
  <c r="I1642" i="1" l="1"/>
  <c r="A1643" i="1"/>
  <c r="A1644" i="1" s="1"/>
  <c r="I1509" i="1"/>
  <c r="F1028" i="1"/>
  <c r="I937" i="1"/>
  <c r="B459" i="1"/>
  <c r="F304" i="1"/>
  <c r="A1645" i="1" l="1"/>
  <c r="A1646" i="1" s="1"/>
  <c r="I1644" i="1"/>
  <c r="I1510" i="1"/>
  <c r="I1030" i="1"/>
  <c r="I939" i="1"/>
  <c r="B460" i="1"/>
  <c r="F394" i="1"/>
  <c r="A1647" i="1" l="1"/>
  <c r="A1648" i="1" s="1"/>
  <c r="I1646" i="1"/>
  <c r="I1512" i="1"/>
  <c r="I1032" i="1"/>
  <c r="I941" i="1"/>
  <c r="B461" i="1"/>
  <c r="A1649" i="1" l="1"/>
  <c r="A1650" i="1" s="1"/>
  <c r="I1648" i="1"/>
  <c r="I1513" i="1"/>
  <c r="I1034" i="1"/>
  <c r="I943" i="1"/>
  <c r="B462" i="1"/>
  <c r="I1650" i="1" l="1"/>
  <c r="A1651" i="1"/>
  <c r="I1515" i="1"/>
  <c r="I1036" i="1"/>
  <c r="I945" i="1"/>
  <c r="B463" i="1"/>
  <c r="I1652" i="1" l="1"/>
  <c r="I1516" i="1"/>
  <c r="I1038" i="1"/>
  <c r="I947" i="1"/>
  <c r="B464" i="1"/>
  <c r="I1654" i="1" l="1"/>
  <c r="I1518" i="1"/>
  <c r="I1040" i="1"/>
  <c r="B465" i="1"/>
  <c r="I1519" i="1" l="1"/>
  <c r="I1042" i="1"/>
  <c r="B466" i="1"/>
  <c r="I1521" i="1" l="1"/>
  <c r="I1044" i="1"/>
  <c r="B467" i="1"/>
  <c r="I1522" i="1" l="1"/>
  <c r="I1046" i="1"/>
  <c r="B468" i="1"/>
  <c r="I1524" i="1" l="1"/>
  <c r="I1048" i="1"/>
  <c r="B469" i="1"/>
  <c r="I1525" i="1" l="1"/>
  <c r="I1050" i="1"/>
  <c r="B470" i="1"/>
  <c r="I1527" i="1" l="1"/>
  <c r="I1052" i="1"/>
  <c r="B471" i="1"/>
  <c r="I1528" i="1" l="1"/>
  <c r="I1054" i="1"/>
  <c r="B472" i="1"/>
  <c r="I1056" i="1" l="1"/>
  <c r="B473" i="1"/>
  <c r="I1058" i="1" l="1"/>
  <c r="B474" i="1"/>
  <c r="F1124" i="1" l="1"/>
  <c r="B475" i="1"/>
  <c r="I1126" i="1" l="1"/>
  <c r="B476" i="1"/>
  <c r="I1128" i="1" l="1"/>
  <c r="B477" i="1"/>
  <c r="I1130" i="1" l="1"/>
  <c r="B478" i="1"/>
  <c r="I1132" i="1" l="1"/>
  <c r="B479" i="1"/>
  <c r="I1134" i="1" l="1"/>
  <c r="B480" i="1"/>
  <c r="I1136" i="1" l="1"/>
  <c r="B481" i="1"/>
  <c r="I1138" i="1" l="1"/>
  <c r="B482" i="1"/>
  <c r="I1140" i="1" l="1"/>
  <c r="B483" i="1"/>
  <c r="I1142" i="1" l="1"/>
  <c r="B484" i="1"/>
  <c r="I1144" i="1" l="1"/>
  <c r="B485" i="1"/>
  <c r="F1224" i="1" l="1"/>
  <c r="I1146" i="1"/>
  <c r="B486" i="1"/>
  <c r="I1226" i="1" l="1"/>
  <c r="I1148" i="1"/>
  <c r="B487" i="1"/>
  <c r="I1228" i="1" l="1"/>
  <c r="B488" i="1"/>
  <c r="I1230" i="1" l="1"/>
  <c r="B489" i="1"/>
  <c r="I1232" i="1" l="1"/>
  <c r="B490" i="1"/>
  <c r="I1234" i="1" l="1"/>
  <c r="B491" i="1"/>
  <c r="I1236" i="1" l="1"/>
  <c r="B492" i="1"/>
  <c r="F491" i="1"/>
  <c r="I1238" i="1" l="1"/>
  <c r="B493" i="1"/>
  <c r="F1655" i="1" l="1"/>
  <c r="I1240" i="1"/>
  <c r="F493" i="1"/>
  <c r="B494" i="1"/>
  <c r="I1657" i="1" l="1"/>
  <c r="I1242" i="1"/>
  <c r="B495" i="1"/>
  <c r="I1658" i="1" l="1"/>
  <c r="I1244" i="1"/>
  <c r="B496" i="1"/>
  <c r="I1660" i="1" l="1"/>
  <c r="I1246" i="1"/>
  <c r="B497" i="1"/>
  <c r="I1661" i="1" l="1"/>
  <c r="F1333" i="1"/>
  <c r="I1248" i="1"/>
  <c r="B498" i="1"/>
  <c r="I1663" i="1" l="1"/>
  <c r="I1335" i="1"/>
  <c r="I1250" i="1"/>
  <c r="B499" i="1"/>
  <c r="I1664" i="1" l="1"/>
  <c r="I1337" i="1"/>
  <c r="I1252" i="1"/>
  <c r="B500" i="1"/>
  <c r="I1666" i="1" l="1"/>
  <c r="I1339" i="1"/>
  <c r="B501" i="1"/>
  <c r="I1667" i="1" l="1"/>
  <c r="I1341" i="1"/>
  <c r="B502" i="1"/>
  <c r="I1669" i="1" l="1"/>
  <c r="I1343" i="1"/>
  <c r="B503" i="1"/>
  <c r="I1670" i="1" l="1"/>
  <c r="I1345" i="1"/>
  <c r="B504" i="1"/>
  <c r="I1672" i="1" l="1"/>
  <c r="I1347" i="1"/>
  <c r="B505" i="1"/>
  <c r="I1673" i="1" l="1"/>
  <c r="I1349" i="1"/>
  <c r="B506" i="1"/>
  <c r="I1675" i="1" l="1"/>
  <c r="I1351" i="1"/>
  <c r="B507" i="1"/>
  <c r="I1676" i="1" l="1"/>
  <c r="I1353" i="1"/>
  <c r="B508" i="1"/>
  <c r="I1678" i="1" l="1"/>
  <c r="I1355" i="1"/>
  <c r="B509" i="1"/>
  <c r="I1679" i="1" l="1"/>
  <c r="I1357" i="1"/>
  <c r="B510" i="1"/>
  <c r="I1681" i="1" l="1"/>
  <c r="I1359" i="1"/>
  <c r="B511" i="1"/>
  <c r="I1682" i="1" l="1"/>
  <c r="F1429" i="1"/>
  <c r="I1361" i="1"/>
  <c r="B512" i="1"/>
  <c r="I1684" i="1" l="1"/>
  <c r="I1431" i="1"/>
  <c r="I1363" i="1"/>
  <c r="B513" i="1"/>
  <c r="I1685" i="1" l="1"/>
  <c r="I1433" i="1"/>
  <c r="B514" i="1"/>
  <c r="I1687" i="1" l="1"/>
  <c r="I1435" i="1"/>
  <c r="B515" i="1"/>
  <c r="I1688" i="1" l="1"/>
  <c r="I1437" i="1"/>
  <c r="B516" i="1"/>
  <c r="I1690" i="1" l="1"/>
  <c r="I1439" i="1"/>
  <c r="B517" i="1"/>
  <c r="I1691" i="1" l="1"/>
  <c r="I1441" i="1"/>
  <c r="B518" i="1"/>
  <c r="I1443" i="1" l="1"/>
  <c r="B519" i="1"/>
  <c r="I1445" i="1" l="1"/>
  <c r="B520" i="1"/>
  <c r="I1447" i="1" l="1"/>
  <c r="B521" i="1"/>
  <c r="I1449" i="1" l="1"/>
  <c r="B522" i="1"/>
  <c r="I1451" i="1" l="1"/>
  <c r="B523" i="1"/>
  <c r="I1453" i="1" l="1"/>
  <c r="B524" i="1"/>
  <c r="F1529" i="1" l="1"/>
  <c r="B525" i="1"/>
  <c r="I1531" i="1" l="1"/>
  <c r="B526" i="1"/>
  <c r="I1533" i="1" l="1"/>
  <c r="B527" i="1"/>
  <c r="I1535" i="1" l="1"/>
  <c r="B528" i="1"/>
  <c r="I1537" i="1" l="1"/>
  <c r="B529" i="1"/>
  <c r="I1539" i="1" l="1"/>
  <c r="B530" i="1"/>
  <c r="I1541" i="1" l="1"/>
  <c r="B531" i="1"/>
  <c r="I1543" i="1" l="1"/>
  <c r="B532" i="1"/>
  <c r="I1545" i="1" l="1"/>
  <c r="B533" i="1"/>
  <c r="I1547" i="1" l="1"/>
  <c r="B534" i="1"/>
  <c r="I1549" i="1" l="1"/>
  <c r="B535" i="1"/>
  <c r="I1551" i="1" l="1"/>
  <c r="B536" i="1"/>
  <c r="I1553" i="1" l="1"/>
  <c r="B537" i="1"/>
  <c r="I1555" i="1" l="1"/>
  <c r="B538" i="1"/>
  <c r="I1557" i="1" l="1"/>
  <c r="B539" i="1"/>
  <c r="B540" i="1" l="1"/>
  <c r="B541" i="1" l="1"/>
  <c r="B542" i="1" l="1"/>
  <c r="B543" i="1" l="1"/>
  <c r="B544" i="1" l="1"/>
  <c r="B545" i="1" l="1"/>
  <c r="B546" i="1" l="1"/>
  <c r="B547" i="1" l="1"/>
  <c r="B548" i="1" l="1"/>
  <c r="B549" i="1" l="1"/>
  <c r="B550" i="1" l="1"/>
  <c r="B551" i="1" l="1"/>
  <c r="B552" i="1" l="1"/>
  <c r="B553" i="1" l="1"/>
  <c r="B554" i="1" l="1"/>
  <c r="B555" i="1" l="1"/>
  <c r="B556" i="1" l="1"/>
  <c r="B557" i="1" l="1"/>
  <c r="B558" i="1" l="1"/>
  <c r="B559" i="1" l="1"/>
  <c r="B560" i="1" l="1"/>
  <c r="B561" i="1" l="1"/>
  <c r="B562" i="1" l="1"/>
  <c r="B563" i="1" l="1"/>
  <c r="B564" i="1" l="1"/>
  <c r="B565" i="1" l="1"/>
  <c r="B566" i="1" l="1"/>
  <c r="B567" i="1" l="1"/>
  <c r="B568" i="1" l="1"/>
  <c r="B569" i="1" l="1"/>
  <c r="B570" i="1" l="1"/>
  <c r="B571" i="1" l="1"/>
  <c r="B572" i="1" l="1"/>
  <c r="F1692" i="1" l="1"/>
  <c r="B573" i="1"/>
  <c r="B574" i="1" l="1"/>
  <c r="B575" i="1" l="1"/>
  <c r="I1694" i="1" l="1"/>
  <c r="B576" i="1"/>
  <c r="I1696" i="1" l="1"/>
  <c r="B577" i="1"/>
  <c r="I1698" i="1" l="1"/>
  <c r="B578" i="1"/>
  <c r="I1700" i="1" l="1"/>
  <c r="B579" i="1"/>
  <c r="I1702" i="1" l="1"/>
  <c r="B580" i="1"/>
  <c r="I1704" i="1" l="1"/>
  <c r="B581" i="1"/>
  <c r="I1706" i="1" l="1"/>
  <c r="B582" i="1"/>
  <c r="F581" i="1"/>
  <c r="I1708" i="1" l="1"/>
  <c r="B583" i="1"/>
  <c r="I1710" i="1" l="1"/>
  <c r="F583" i="1"/>
  <c r="B584" i="1"/>
  <c r="I1712" i="1" l="1"/>
  <c r="B585" i="1"/>
  <c r="I1714" i="1" l="1"/>
  <c r="B586" i="1"/>
  <c r="I1716" i="1" l="1"/>
  <c r="B587" i="1"/>
  <c r="B588" i="1" l="1"/>
  <c r="B589" i="1" l="1"/>
  <c r="B590" i="1" l="1"/>
  <c r="B591" i="1" l="1"/>
  <c r="B592" i="1" l="1"/>
  <c r="B593" i="1" l="1"/>
  <c r="B594" i="1" l="1"/>
  <c r="B595" i="1" l="1"/>
  <c r="B596" i="1" l="1"/>
  <c r="B597" i="1" l="1"/>
  <c r="B598" i="1" l="1"/>
  <c r="B599" i="1" l="1"/>
  <c r="B600" i="1" l="1"/>
  <c r="B601" i="1" l="1"/>
  <c r="B602" i="1" l="1"/>
  <c r="B603" i="1" l="1"/>
  <c r="B604" i="1" l="1"/>
  <c r="B605" i="1" l="1"/>
  <c r="B606" i="1" l="1"/>
  <c r="B607" i="1" l="1"/>
  <c r="B608" i="1" l="1"/>
  <c r="B609" i="1" l="1"/>
  <c r="B610" i="1" l="1"/>
  <c r="B611" i="1" l="1"/>
  <c r="B612" i="1" l="1"/>
  <c r="B613" i="1" l="1"/>
  <c r="B614" i="1" l="1"/>
  <c r="B615" i="1" l="1"/>
  <c r="B616" i="1" l="1"/>
  <c r="B617" i="1" l="1"/>
  <c r="B618" i="1" l="1"/>
  <c r="B619" i="1" l="1"/>
  <c r="B620" i="1" l="1"/>
  <c r="B621" i="1" l="1"/>
  <c r="B622" i="1" l="1"/>
  <c r="B623" i="1" l="1"/>
  <c r="B624" i="1" l="1"/>
  <c r="B625" i="1" l="1"/>
  <c r="B626" i="1" l="1"/>
  <c r="B627" i="1" l="1"/>
  <c r="B628" i="1" l="1"/>
  <c r="B629" i="1" l="1"/>
  <c r="B630" i="1" l="1"/>
  <c r="B631" i="1" l="1"/>
  <c r="B632" i="1" l="1"/>
  <c r="B633" i="1" l="1"/>
  <c r="B634" i="1" l="1"/>
  <c r="B635" i="1" l="1"/>
  <c r="B636" i="1" l="1"/>
  <c r="B637" i="1" l="1"/>
  <c r="B638" i="1" l="1"/>
  <c r="B639" i="1" l="1"/>
  <c r="B640" i="1" l="1"/>
  <c r="B641" i="1" l="1"/>
  <c r="B642" i="1" l="1"/>
  <c r="B643" i="1" l="1"/>
  <c r="B644" i="1" l="1"/>
  <c r="B645" i="1" l="1"/>
  <c r="B646" i="1" l="1"/>
  <c r="B647" i="1" l="1"/>
  <c r="B648" i="1" l="1"/>
  <c r="B649" i="1" l="1"/>
  <c r="B650" i="1" l="1"/>
  <c r="B651" i="1" l="1"/>
  <c r="B652" i="1" l="1"/>
  <c r="B653" i="1" l="1"/>
  <c r="B654" i="1" l="1"/>
  <c r="B655" i="1" l="1"/>
  <c r="B656" i="1" l="1"/>
  <c r="B657" i="1" l="1"/>
  <c r="B658" i="1" l="1"/>
  <c r="B659" i="1" l="1"/>
  <c r="B660" i="1" l="1"/>
  <c r="B661" i="1" l="1"/>
  <c r="B662" i="1" l="1"/>
  <c r="B663" i="1" l="1"/>
  <c r="B664" i="1" l="1"/>
  <c r="B665" i="1" l="1"/>
  <c r="B666" i="1" l="1"/>
  <c r="B667" i="1" l="1"/>
  <c r="B668" i="1" l="1"/>
  <c r="B669" i="1" l="1"/>
  <c r="B670" i="1" l="1"/>
  <c r="B671" i="1" l="1"/>
  <c r="B672" i="1" l="1"/>
  <c r="B673" i="1" l="1"/>
  <c r="B674" i="1" l="1"/>
  <c r="B675" i="1" l="1"/>
  <c r="B676" i="1" l="1"/>
  <c r="B677" i="1" l="1"/>
  <c r="B678" i="1" l="1"/>
  <c r="B679" i="1" l="1"/>
  <c r="F678" i="1"/>
  <c r="B680" i="1" l="1"/>
  <c r="B681" i="1" l="1"/>
  <c r="F680" i="1"/>
  <c r="B682" i="1" l="1"/>
  <c r="B683" i="1" l="1"/>
  <c r="B684" i="1" l="1"/>
  <c r="B685" i="1" l="1"/>
  <c r="B686" i="1" l="1"/>
  <c r="B687" i="1" l="1"/>
  <c r="B688" i="1" l="1"/>
  <c r="B689" i="1" l="1"/>
  <c r="B690" i="1" l="1"/>
  <c r="B691" i="1" l="1"/>
  <c r="B692" i="1" l="1"/>
  <c r="B693" i="1" l="1"/>
  <c r="B694" i="1" l="1"/>
  <c r="B695" i="1" l="1"/>
  <c r="B696" i="1" l="1"/>
  <c r="B697" i="1" l="1"/>
  <c r="B698" i="1" l="1"/>
  <c r="B699" i="1" l="1"/>
  <c r="B700" i="1" l="1"/>
  <c r="B701" i="1" l="1"/>
  <c r="B702" i="1" l="1"/>
  <c r="B703" i="1" l="1"/>
  <c r="B704" i="1" l="1"/>
  <c r="B705" i="1" l="1"/>
  <c r="B706" i="1" l="1"/>
  <c r="B707" i="1" l="1"/>
  <c r="B708" i="1" l="1"/>
  <c r="B709" i="1" l="1"/>
  <c r="B710" i="1" l="1"/>
  <c r="B711" i="1" l="1"/>
  <c r="B712" i="1" l="1"/>
  <c r="B713" i="1" l="1"/>
  <c r="B714" i="1" l="1"/>
  <c r="B715" i="1" l="1"/>
  <c r="B716" i="1" l="1"/>
  <c r="B717" i="1" l="1"/>
  <c r="B718" i="1" l="1"/>
  <c r="B719" i="1" l="1"/>
  <c r="B720" i="1" l="1"/>
  <c r="B721" i="1" l="1"/>
  <c r="B722" i="1" l="1"/>
  <c r="B723" i="1" l="1"/>
  <c r="B724" i="1" l="1"/>
  <c r="B725" i="1" l="1"/>
  <c r="B726" i="1" l="1"/>
  <c r="B727" i="1" l="1"/>
  <c r="B728" i="1" l="1"/>
  <c r="B729" i="1" l="1"/>
  <c r="B730" i="1" l="1"/>
  <c r="B731" i="1" l="1"/>
  <c r="B732" i="1" l="1"/>
  <c r="B733" i="1" l="1"/>
  <c r="B734" i="1" l="1"/>
  <c r="B735" i="1" l="1"/>
  <c r="B736" i="1" l="1"/>
  <c r="B737" i="1" l="1"/>
  <c r="B738" i="1" l="1"/>
  <c r="B739" i="1" l="1"/>
  <c r="B740" i="1" l="1"/>
  <c r="B741" i="1" l="1"/>
  <c r="B742" i="1" l="1"/>
  <c r="B743" i="1" l="1"/>
  <c r="B744" i="1" l="1"/>
  <c r="B745" i="1" l="1"/>
  <c r="B746" i="1" l="1"/>
  <c r="B747" i="1" l="1"/>
  <c r="B748" i="1" l="1"/>
  <c r="B749" i="1" l="1"/>
  <c r="B750" i="1" l="1"/>
  <c r="B751" i="1" l="1"/>
  <c r="B752" i="1" l="1"/>
  <c r="B753" i="1" l="1"/>
  <c r="B754" i="1" l="1"/>
  <c r="B755" i="1" l="1"/>
  <c r="B756" i="1" l="1"/>
  <c r="B757" i="1" l="1"/>
  <c r="B758" i="1" l="1"/>
  <c r="B759" i="1" l="1"/>
  <c r="B760" i="1" l="1"/>
  <c r="B761" i="1" l="1"/>
  <c r="B762" i="1" l="1"/>
  <c r="F761" i="1"/>
  <c r="B763" i="1" l="1"/>
  <c r="B764" i="1" l="1"/>
  <c r="F763" i="1"/>
  <c r="B765" i="1" l="1"/>
  <c r="B766" i="1" l="1"/>
  <c r="B767" i="1" l="1"/>
  <c r="B768" i="1" l="1"/>
  <c r="B769" i="1" l="1"/>
  <c r="B770" i="1" l="1"/>
  <c r="B771" i="1" l="1"/>
  <c r="B772" i="1" l="1"/>
  <c r="B773" i="1" l="1"/>
  <c r="B774" i="1" l="1"/>
  <c r="B775" i="1" l="1"/>
  <c r="B776" i="1" l="1"/>
  <c r="B777" i="1" l="1"/>
  <c r="B778" i="1" l="1"/>
  <c r="B779" i="1" l="1"/>
  <c r="B780" i="1" l="1"/>
  <c r="B781" i="1" l="1"/>
  <c r="B782" i="1" l="1"/>
  <c r="B783" i="1" l="1"/>
  <c r="B784" i="1" l="1"/>
  <c r="B785" i="1" l="1"/>
  <c r="B786" i="1" l="1"/>
  <c r="B787" i="1" l="1"/>
  <c r="B788" i="1" l="1"/>
  <c r="B789" i="1" l="1"/>
  <c r="B790" i="1" l="1"/>
  <c r="B791" i="1" l="1"/>
  <c r="B792" i="1" l="1"/>
  <c r="B793" i="1" l="1"/>
  <c r="B794" i="1" l="1"/>
  <c r="B795" i="1" l="1"/>
  <c r="B796" i="1" l="1"/>
  <c r="B797" i="1" l="1"/>
  <c r="B798" i="1" l="1"/>
  <c r="B799" i="1" l="1"/>
  <c r="B800" i="1" l="1"/>
  <c r="B801" i="1" l="1"/>
  <c r="B802" i="1" l="1"/>
  <c r="B803" i="1" l="1"/>
  <c r="B804" i="1" l="1"/>
  <c r="B805" i="1" l="1"/>
  <c r="B806" i="1" l="1"/>
  <c r="B807" i="1" l="1"/>
  <c r="B808" i="1" l="1"/>
  <c r="B809" i="1" l="1"/>
  <c r="B810" i="1" l="1"/>
  <c r="B811" i="1" l="1"/>
  <c r="B812" i="1" l="1"/>
  <c r="B813" i="1" l="1"/>
  <c r="B814" i="1" l="1"/>
  <c r="B815" i="1" l="1"/>
  <c r="B816" i="1" l="1"/>
  <c r="B817" i="1" l="1"/>
  <c r="B818" i="1" l="1"/>
  <c r="B819" i="1" l="1"/>
  <c r="B820" i="1" l="1"/>
  <c r="B821" i="1" l="1"/>
  <c r="B822" i="1" l="1"/>
  <c r="B823" i="1" l="1"/>
  <c r="B824" i="1" l="1"/>
  <c r="B825" i="1" l="1"/>
  <c r="B826" i="1" l="1"/>
  <c r="B827" i="1" l="1"/>
  <c r="B828" i="1" l="1"/>
  <c r="B829" i="1" l="1"/>
  <c r="B830" i="1" l="1"/>
  <c r="B831" i="1" l="1"/>
  <c r="B832" i="1" l="1"/>
  <c r="B833" i="1" l="1"/>
  <c r="B834" i="1" l="1"/>
  <c r="B835" i="1" l="1"/>
  <c r="B836" i="1" l="1"/>
  <c r="B837" i="1" l="1"/>
  <c r="B838" i="1" l="1"/>
  <c r="B839" i="1" l="1"/>
  <c r="B840" i="1" l="1"/>
  <c r="B841" i="1" l="1"/>
  <c r="B842" i="1" l="1"/>
  <c r="B843" i="1" l="1"/>
  <c r="B844" i="1" l="1"/>
  <c r="B845" i="1" l="1"/>
  <c r="B846" i="1" l="1"/>
  <c r="B847" i="1" l="1"/>
  <c r="B848" i="1" l="1"/>
  <c r="B849" i="1" l="1"/>
  <c r="B850" i="1" l="1"/>
  <c r="B851" i="1" l="1"/>
  <c r="B852" i="1" l="1"/>
  <c r="B853" i="1" l="1"/>
  <c r="B854" i="1" l="1"/>
  <c r="B855" i="1" l="1"/>
  <c r="B856" i="1" l="1"/>
  <c r="B857" i="1" l="1"/>
  <c r="B858" i="1" l="1"/>
  <c r="B859" i="1" l="1"/>
  <c r="F858" i="1"/>
  <c r="B860" i="1" l="1"/>
  <c r="B861" i="1" l="1"/>
  <c r="F860" i="1"/>
  <c r="B862" i="1" l="1"/>
  <c r="B863" i="1" l="1"/>
  <c r="B864" i="1" l="1"/>
  <c r="B865" i="1" l="1"/>
  <c r="B866" i="1" l="1"/>
  <c r="B867" i="1" l="1"/>
  <c r="B868" i="1" l="1"/>
  <c r="B869" i="1" l="1"/>
  <c r="B870" i="1" l="1"/>
  <c r="B871" i="1" l="1"/>
  <c r="B872" i="1" l="1"/>
  <c r="B873" i="1" l="1"/>
  <c r="B874" i="1" l="1"/>
  <c r="B875" i="1" l="1"/>
  <c r="B876" i="1" l="1"/>
  <c r="B877" i="1" l="1"/>
  <c r="B878" i="1" l="1"/>
  <c r="B879" i="1" l="1"/>
  <c r="B880" i="1" l="1"/>
  <c r="B881" i="1" l="1"/>
  <c r="B882" i="1" l="1"/>
  <c r="B883" i="1" l="1"/>
  <c r="B884" i="1" l="1"/>
  <c r="B885" i="1" l="1"/>
  <c r="B886" i="1" l="1"/>
  <c r="B887" i="1" l="1"/>
  <c r="B888" i="1" l="1"/>
  <c r="B889" i="1" l="1"/>
  <c r="B890" i="1" l="1"/>
  <c r="B891" i="1" l="1"/>
  <c r="B892" i="1" l="1"/>
  <c r="B893" i="1" l="1"/>
  <c r="B894" i="1" l="1"/>
  <c r="B895" i="1" l="1"/>
  <c r="B896" i="1" l="1"/>
  <c r="B897" i="1" l="1"/>
  <c r="G896" i="1" s="1"/>
  <c r="B898" i="1" l="1"/>
  <c r="G897" i="1" s="1"/>
  <c r="B899" i="1" l="1"/>
  <c r="G898" i="1"/>
  <c r="B900" i="1" l="1"/>
  <c r="G899" i="1" s="1"/>
  <c r="B901" i="1" l="1"/>
  <c r="B902" i="1" l="1"/>
  <c r="G900" i="1"/>
  <c r="B903" i="1" l="1"/>
  <c r="G902" i="1"/>
  <c r="G901" i="1"/>
  <c r="B904" i="1" l="1"/>
  <c r="B905" i="1" l="1"/>
  <c r="G904" i="1" s="1"/>
  <c r="G903" i="1"/>
  <c r="B906" i="1" l="1"/>
  <c r="B907" i="1" l="1"/>
  <c r="G906" i="1"/>
  <c r="G905" i="1"/>
  <c r="B908" i="1" l="1"/>
  <c r="B909" i="1" l="1"/>
  <c r="G908" i="1" s="1"/>
  <c r="G907" i="1"/>
  <c r="B910" i="1" l="1"/>
  <c r="B911" i="1" l="1"/>
  <c r="G910" i="1"/>
  <c r="G909" i="1"/>
  <c r="B912" i="1" l="1"/>
  <c r="B913" i="1" l="1"/>
  <c r="G912" i="1" s="1"/>
  <c r="G911" i="1"/>
  <c r="B914" i="1" l="1"/>
  <c r="B915" i="1" l="1"/>
  <c r="G914" i="1"/>
  <c r="G913" i="1"/>
  <c r="B916" i="1" l="1"/>
  <c r="G915" i="1" s="1"/>
  <c r="B917" i="1" l="1"/>
  <c r="B918" i="1" l="1"/>
  <c r="G917" i="1" s="1"/>
  <c r="G916" i="1"/>
  <c r="B919" i="1" l="1"/>
  <c r="G918" i="1"/>
  <c r="B920" i="1" l="1"/>
  <c r="G919" i="1" s="1"/>
  <c r="B921" i="1" l="1"/>
  <c r="B922" i="1" l="1"/>
  <c r="G920" i="1"/>
  <c r="B923" i="1" l="1"/>
  <c r="G922" i="1"/>
  <c r="G921" i="1"/>
  <c r="B924" i="1" l="1"/>
  <c r="B925" i="1" l="1"/>
  <c r="G923" i="1"/>
  <c r="B926" i="1" l="1"/>
  <c r="G924" i="1"/>
  <c r="B927" i="1" l="1"/>
  <c r="G926" i="1"/>
  <c r="G925" i="1"/>
  <c r="B928" i="1" l="1"/>
  <c r="G927" i="1" s="1"/>
  <c r="B929" i="1" l="1"/>
  <c r="G928" i="1" s="1"/>
  <c r="B930" i="1" l="1"/>
  <c r="B931" i="1" l="1"/>
  <c r="G930" i="1"/>
  <c r="G929" i="1"/>
  <c r="B932" i="1" l="1"/>
  <c r="G931" i="1" s="1"/>
  <c r="B933" i="1" l="1"/>
  <c r="B934" i="1" l="1"/>
  <c r="G933" i="1" s="1"/>
  <c r="G932" i="1"/>
  <c r="B935" i="1" l="1"/>
  <c r="G934" i="1"/>
  <c r="B936" i="1" l="1"/>
  <c r="B937" i="1" l="1"/>
  <c r="G936" i="1" s="1"/>
  <c r="G935" i="1"/>
  <c r="B938" i="1" l="1"/>
  <c r="G937" i="1" s="1"/>
  <c r="B939" i="1" l="1"/>
  <c r="G938" i="1"/>
  <c r="B940" i="1" l="1"/>
  <c r="G939" i="1" s="1"/>
  <c r="B941" i="1" l="1"/>
  <c r="G940" i="1" s="1"/>
  <c r="B942" i="1" l="1"/>
  <c r="G941" i="1" s="1"/>
  <c r="B943" i="1" l="1"/>
  <c r="G942" i="1"/>
  <c r="B944" i="1" l="1"/>
  <c r="G943" i="1" s="1"/>
  <c r="B945" i="1" l="1"/>
  <c r="G944" i="1" s="1"/>
  <c r="B946" i="1" l="1"/>
  <c r="G945" i="1" s="1"/>
  <c r="B947" i="1" l="1"/>
  <c r="G946" i="1"/>
  <c r="B948" i="1" l="1"/>
  <c r="G947" i="1" l="1"/>
  <c r="B949" i="1"/>
  <c r="G949" i="1" s="1"/>
  <c r="F948" i="1"/>
  <c r="G948" i="1" l="1"/>
  <c r="B950" i="1"/>
  <c r="F950" i="1" l="1"/>
  <c r="B951" i="1"/>
  <c r="G950" i="1" s="1"/>
  <c r="B952" i="1" l="1"/>
  <c r="G952" i="1" s="1"/>
  <c r="G951" i="1" l="1"/>
  <c r="B953" i="1"/>
  <c r="B954" i="1" l="1"/>
  <c r="G953" i="1" l="1"/>
  <c r="B955" i="1"/>
  <c r="G955" i="1" s="1"/>
  <c r="G954" i="1" l="1"/>
  <c r="B956" i="1"/>
  <c r="B957" i="1" l="1"/>
  <c r="G956" i="1" l="1"/>
  <c r="B958" i="1"/>
  <c r="G958" i="1" s="1"/>
  <c r="G957" i="1" l="1"/>
  <c r="B959" i="1"/>
  <c r="B960" i="1" l="1"/>
  <c r="G959" i="1" s="1"/>
  <c r="B961" i="1" l="1"/>
  <c r="G961" i="1" s="1"/>
  <c r="G960" i="1" l="1"/>
  <c r="B962" i="1"/>
  <c r="B963" i="1" l="1"/>
  <c r="G962" i="1" s="1"/>
  <c r="B964" i="1" l="1"/>
  <c r="G964" i="1" s="1"/>
  <c r="G963" i="1" l="1"/>
  <c r="B965" i="1"/>
  <c r="B966" i="1" l="1"/>
  <c r="G965" i="1" l="1"/>
  <c r="B967" i="1"/>
  <c r="G967" i="1" s="1"/>
  <c r="G966" i="1" l="1"/>
  <c r="B968" i="1"/>
  <c r="B969" i="1" l="1"/>
  <c r="G968" i="1" l="1"/>
  <c r="B970" i="1"/>
  <c r="G970" i="1" s="1"/>
  <c r="G969" i="1" l="1"/>
  <c r="B971" i="1"/>
  <c r="B972" i="1" l="1"/>
  <c r="G971" i="1" l="1"/>
  <c r="B973" i="1"/>
  <c r="G973" i="1" s="1"/>
  <c r="G972" i="1" l="1"/>
  <c r="B974" i="1"/>
  <c r="B975" i="1" l="1"/>
  <c r="G974" i="1" s="1"/>
  <c r="B976" i="1" l="1"/>
  <c r="G976" i="1" s="1"/>
  <c r="G975" i="1" l="1"/>
  <c r="B977" i="1"/>
  <c r="B978" i="1" l="1"/>
  <c r="G977" i="1" s="1"/>
  <c r="B979" i="1" l="1"/>
  <c r="G979" i="1" s="1"/>
  <c r="G978" i="1" l="1"/>
  <c r="B980" i="1"/>
  <c r="B981" i="1" l="1"/>
  <c r="G980" i="1" s="1"/>
  <c r="B982" i="1" l="1"/>
  <c r="B983" i="1" l="1"/>
  <c r="G982" i="1"/>
  <c r="G981" i="1"/>
  <c r="B984" i="1" l="1"/>
  <c r="G983" i="1" s="1"/>
  <c r="B985" i="1" l="1"/>
  <c r="B986" i="1" l="1"/>
  <c r="G985" i="1"/>
  <c r="G984" i="1"/>
  <c r="B987" i="1" l="1"/>
  <c r="G986" i="1" s="1"/>
  <c r="B988" i="1" l="1"/>
  <c r="B989" i="1" l="1"/>
  <c r="G988" i="1"/>
  <c r="G987" i="1"/>
  <c r="B990" i="1" l="1"/>
  <c r="B991" i="1" l="1"/>
  <c r="G990" i="1" s="1"/>
  <c r="G989" i="1"/>
  <c r="B992" i="1" l="1"/>
  <c r="G991" i="1"/>
  <c r="B993" i="1" l="1"/>
  <c r="B994" i="1" l="1"/>
  <c r="G993" i="1" s="1"/>
  <c r="G992" i="1"/>
  <c r="B995" i="1" l="1"/>
  <c r="G994" i="1"/>
  <c r="B996" i="1" l="1"/>
  <c r="B997" i="1" l="1"/>
  <c r="G996" i="1" s="1"/>
  <c r="G995" i="1"/>
  <c r="B998" i="1" l="1"/>
  <c r="G997" i="1"/>
  <c r="B999" i="1" l="1"/>
  <c r="G998" i="1" s="1"/>
  <c r="B1000" i="1" l="1"/>
  <c r="G999" i="1" s="1"/>
  <c r="B1001" i="1" l="1"/>
  <c r="G1000" i="1"/>
  <c r="B1002" i="1" l="1"/>
  <c r="G1001" i="1" s="1"/>
  <c r="B1003" i="1" l="1"/>
  <c r="B1004" i="1" l="1"/>
  <c r="G1003" i="1"/>
  <c r="G1002" i="1"/>
  <c r="B1005" i="1" l="1"/>
  <c r="B1006" i="1" l="1"/>
  <c r="G1004" i="1"/>
  <c r="B1007" i="1" l="1"/>
  <c r="G1006" i="1"/>
  <c r="G1005" i="1"/>
  <c r="B1008" i="1" l="1"/>
  <c r="G1007" i="1" s="1"/>
  <c r="B1009" i="1" l="1"/>
  <c r="G1008" i="1" s="1"/>
  <c r="B1010" i="1" l="1"/>
  <c r="G1009" i="1"/>
  <c r="B1011" i="1" l="1"/>
  <c r="G1010" i="1" s="1"/>
  <c r="B1012" i="1" l="1"/>
  <c r="B1013" i="1" l="1"/>
  <c r="G1012" i="1"/>
  <c r="G1011" i="1"/>
  <c r="B1014" i="1" l="1"/>
  <c r="B1015" i="1" l="1"/>
  <c r="G1013" i="1"/>
  <c r="B1016" i="1" l="1"/>
  <c r="G1015" i="1"/>
  <c r="G1014" i="1"/>
  <c r="B1017" i="1" l="1"/>
  <c r="G1016" i="1" s="1"/>
  <c r="B1018" i="1" l="1"/>
  <c r="G1017" i="1" s="1"/>
  <c r="B1019" i="1" l="1"/>
  <c r="G1018" i="1"/>
  <c r="B1020" i="1" l="1"/>
  <c r="G1019" i="1" s="1"/>
  <c r="B1021" i="1" l="1"/>
  <c r="B1022" i="1" l="1"/>
  <c r="G1021" i="1"/>
  <c r="G1020" i="1"/>
  <c r="B1023" i="1" l="1"/>
  <c r="G1022" i="1" s="1"/>
  <c r="B1024" i="1" l="1"/>
  <c r="B1025" i="1" l="1"/>
  <c r="G1024" i="1"/>
  <c r="G1023" i="1"/>
  <c r="B1026" i="1" l="1"/>
  <c r="G1025" i="1" s="1"/>
  <c r="B1027" i="1" l="1"/>
  <c r="G1026" i="1" s="1"/>
  <c r="B1028" i="1" l="1"/>
  <c r="G1027" i="1"/>
  <c r="B1029" i="1" l="1"/>
  <c r="G1028" i="1" s="1"/>
  <c r="B1030" i="1" l="1"/>
  <c r="G1029" i="1" s="1"/>
  <c r="B1031" i="1" l="1"/>
  <c r="G1030" i="1"/>
  <c r="B1032" i="1" l="1"/>
  <c r="G1031" i="1" s="1"/>
  <c r="B1033" i="1" l="1"/>
  <c r="G1032" i="1" s="1"/>
  <c r="B1034" i="1" l="1"/>
  <c r="G1033" i="1"/>
  <c r="B1035" i="1" l="1"/>
  <c r="G1034" i="1" s="1"/>
  <c r="B1036" i="1" l="1"/>
  <c r="G1035" i="1" s="1"/>
  <c r="B1037" i="1" l="1"/>
  <c r="G1036" i="1"/>
  <c r="B1038" i="1" l="1"/>
  <c r="G1037" i="1" s="1"/>
  <c r="B1039" i="1" l="1"/>
  <c r="G1038" i="1" s="1"/>
  <c r="B1040" i="1" l="1"/>
  <c r="G1039" i="1"/>
  <c r="B1041" i="1" l="1"/>
  <c r="G1040" i="1" s="1"/>
  <c r="B1042" i="1" l="1"/>
  <c r="G1041" i="1" s="1"/>
  <c r="B1043" i="1" l="1"/>
  <c r="G1042" i="1"/>
  <c r="B1044" i="1" l="1"/>
  <c r="G1043" i="1" s="1"/>
  <c r="B1045" i="1" l="1"/>
  <c r="G1044" i="1" s="1"/>
  <c r="B1046" i="1" l="1"/>
  <c r="G1045" i="1"/>
  <c r="B1047" i="1" l="1"/>
  <c r="G1046" i="1" s="1"/>
  <c r="B1048" i="1" l="1"/>
  <c r="G1047" i="1" s="1"/>
  <c r="B1049" i="1" l="1"/>
  <c r="G1048" i="1"/>
  <c r="B1050" i="1" l="1"/>
  <c r="G1049" i="1" s="1"/>
  <c r="B1051" i="1" l="1"/>
  <c r="G1050" i="1" s="1"/>
  <c r="B1052" i="1" l="1"/>
  <c r="G1051" i="1"/>
  <c r="B1053" i="1" l="1"/>
  <c r="G1052" i="1" s="1"/>
  <c r="B1054" i="1" l="1"/>
  <c r="B1055" i="1" l="1"/>
  <c r="G1054" i="1"/>
  <c r="G1053" i="1"/>
  <c r="B1056" i="1" l="1"/>
  <c r="G1056" i="1" s="1"/>
  <c r="G1055" i="1" l="1"/>
  <c r="B1057" i="1"/>
  <c r="B1058" i="1" l="1"/>
  <c r="G1058" i="1" s="1"/>
  <c r="G1057" i="1" l="1"/>
  <c r="B1059" i="1"/>
  <c r="B1060" i="1" l="1"/>
  <c r="G1060" i="1" s="1"/>
  <c r="F1059" i="1"/>
  <c r="G1059" i="1" l="1"/>
  <c r="B1061" i="1"/>
  <c r="B1062" i="1" l="1"/>
  <c r="G1062" i="1" s="1"/>
  <c r="F1061" i="1"/>
  <c r="G1061" i="1" l="1"/>
  <c r="B1063" i="1"/>
  <c r="B1064" i="1" l="1"/>
  <c r="G1064" i="1" s="1"/>
  <c r="G1063" i="1" l="1"/>
  <c r="B1065" i="1"/>
  <c r="B1066" i="1" l="1"/>
  <c r="G1066" i="1" s="1"/>
  <c r="G1065" i="1" l="1"/>
  <c r="B1067" i="1"/>
  <c r="B1068" i="1" l="1"/>
  <c r="G1068" i="1" s="1"/>
  <c r="G1067" i="1" l="1"/>
  <c r="B1069" i="1"/>
  <c r="B1070" i="1" l="1"/>
  <c r="G1070" i="1" s="1"/>
  <c r="G1069" i="1" l="1"/>
  <c r="B1071" i="1"/>
  <c r="B1072" i="1" l="1"/>
  <c r="G1072" i="1" s="1"/>
  <c r="G1071" i="1" l="1"/>
  <c r="B1073" i="1"/>
  <c r="B1074" i="1" l="1"/>
  <c r="G1074" i="1" s="1"/>
  <c r="G1073" i="1" l="1"/>
  <c r="B1075" i="1"/>
  <c r="B1076" i="1" l="1"/>
  <c r="G1076" i="1" s="1"/>
  <c r="G1075" i="1" l="1"/>
  <c r="B1077" i="1"/>
  <c r="B1078" i="1" l="1"/>
  <c r="G1078" i="1" s="1"/>
  <c r="G1077" i="1" l="1"/>
  <c r="B1079" i="1"/>
  <c r="B1080" i="1" l="1"/>
  <c r="G1080" i="1" s="1"/>
  <c r="G1079" i="1" l="1"/>
  <c r="B1081" i="1"/>
  <c r="B1082" i="1" l="1"/>
  <c r="G1082" i="1" l="1"/>
  <c r="B1083" i="1"/>
  <c r="G1081" i="1"/>
  <c r="B1084" i="1" l="1"/>
  <c r="G1083" i="1" s="1"/>
  <c r="G1084" i="1" l="1"/>
  <c r="B1085" i="1"/>
  <c r="B1086" i="1" l="1"/>
  <c r="B1087" i="1" l="1"/>
  <c r="G1086" i="1"/>
  <c r="G1085" i="1"/>
  <c r="B1088" i="1" l="1"/>
  <c r="B1089" i="1" l="1"/>
  <c r="G1088" i="1"/>
  <c r="G1087" i="1"/>
  <c r="B1090" i="1" l="1"/>
  <c r="G1089" i="1" s="1"/>
  <c r="B1091" i="1" l="1"/>
  <c r="G1090" i="1"/>
  <c r="B1092" i="1" l="1"/>
  <c r="G1091" i="1" s="1"/>
  <c r="B1093" i="1" l="1"/>
  <c r="G1092" i="1"/>
  <c r="B1094" i="1" l="1"/>
  <c r="G1093" i="1" s="1"/>
  <c r="B1095" i="1" l="1"/>
  <c r="G1094" i="1"/>
  <c r="B1096" i="1" l="1"/>
  <c r="G1095" i="1" s="1"/>
  <c r="B1097" i="1" l="1"/>
  <c r="G1096" i="1"/>
  <c r="B1098" i="1" l="1"/>
  <c r="G1097" i="1" s="1"/>
  <c r="B1099" i="1" l="1"/>
  <c r="G1098" i="1"/>
  <c r="B1100" i="1" l="1"/>
  <c r="G1099" i="1" s="1"/>
  <c r="B1101" i="1" l="1"/>
  <c r="G1100" i="1"/>
  <c r="B1102" i="1" l="1"/>
  <c r="G1101" i="1" s="1"/>
  <c r="B1103" i="1" l="1"/>
  <c r="G1102" i="1"/>
  <c r="B1104" i="1" l="1"/>
  <c r="G1103" i="1" s="1"/>
  <c r="B1105" i="1" l="1"/>
  <c r="G1104" i="1"/>
  <c r="B1106" i="1" l="1"/>
  <c r="B1107" i="1" l="1"/>
  <c r="G1106" i="1"/>
  <c r="G1105" i="1"/>
  <c r="B1108" i="1" l="1"/>
  <c r="G1107" i="1" s="1"/>
  <c r="B1109" i="1" l="1"/>
  <c r="G1108" i="1"/>
  <c r="B1110" i="1" l="1"/>
  <c r="B1111" i="1" l="1"/>
  <c r="G1110" i="1"/>
  <c r="G1109" i="1"/>
  <c r="B1112" i="1" l="1"/>
  <c r="G1111" i="1" s="1"/>
  <c r="B1113" i="1" l="1"/>
  <c r="G1112" i="1"/>
  <c r="B1114" i="1" l="1"/>
  <c r="G1113" i="1" s="1"/>
  <c r="B1115" i="1" l="1"/>
  <c r="G1114" i="1"/>
  <c r="B1116" i="1" l="1"/>
  <c r="B1117" i="1" l="1"/>
  <c r="G1116" i="1"/>
  <c r="G1115" i="1"/>
  <c r="B1118" i="1" l="1"/>
  <c r="G1117" i="1" s="1"/>
  <c r="B1119" i="1" l="1"/>
  <c r="G1118" i="1"/>
  <c r="B1120" i="1" l="1"/>
  <c r="G1119" i="1" s="1"/>
  <c r="B1121" i="1" l="1"/>
  <c r="G1120" i="1"/>
  <c r="B1122" i="1" l="1"/>
  <c r="G1121" i="1" s="1"/>
  <c r="B1123" i="1" l="1"/>
  <c r="G1122" i="1"/>
  <c r="B1124" i="1" l="1"/>
  <c r="G1123" i="1" s="1"/>
  <c r="B1125" i="1" l="1"/>
  <c r="G1124" i="1"/>
  <c r="B1126" i="1" l="1"/>
  <c r="G1125" i="1" s="1"/>
  <c r="B1127" i="1" l="1"/>
  <c r="G1126" i="1"/>
  <c r="B1128" i="1" l="1"/>
  <c r="G1127" i="1" s="1"/>
  <c r="B1129" i="1" l="1"/>
  <c r="G1128" i="1"/>
  <c r="B1130" i="1" l="1"/>
  <c r="G1129" i="1" s="1"/>
  <c r="B1131" i="1" l="1"/>
  <c r="G1130" i="1"/>
  <c r="B1132" i="1" l="1"/>
  <c r="G1131" i="1" s="1"/>
  <c r="B1133" i="1" l="1"/>
  <c r="G1132" i="1"/>
  <c r="B1134" i="1" l="1"/>
  <c r="G1133" i="1" s="1"/>
  <c r="B1135" i="1" l="1"/>
  <c r="G1134" i="1"/>
  <c r="B1136" i="1" l="1"/>
  <c r="G1135" i="1" s="1"/>
  <c r="B1137" i="1" l="1"/>
  <c r="G1136" i="1"/>
  <c r="B1138" i="1" l="1"/>
  <c r="B1139" i="1" l="1"/>
  <c r="G1138" i="1"/>
  <c r="G1137" i="1"/>
  <c r="B1140" i="1" l="1"/>
  <c r="B1141" i="1" l="1"/>
  <c r="G1140" i="1"/>
  <c r="G1139" i="1"/>
  <c r="B1142" i="1" l="1"/>
  <c r="G1141" i="1" s="1"/>
  <c r="B1143" i="1" l="1"/>
  <c r="G1142" i="1"/>
  <c r="B1144" i="1" l="1"/>
  <c r="B1145" i="1" l="1"/>
  <c r="G1144" i="1"/>
  <c r="G1143" i="1"/>
  <c r="B1146" i="1" l="1"/>
  <c r="G1145" i="1" s="1"/>
  <c r="B1147" i="1" l="1"/>
  <c r="G1146" i="1"/>
  <c r="B1148" i="1" l="1"/>
  <c r="B1149" i="1" l="1"/>
  <c r="G1148" i="1"/>
  <c r="G1147" i="1"/>
  <c r="B1150" i="1" l="1"/>
  <c r="F1149" i="1"/>
  <c r="B1151" i="1" l="1"/>
  <c r="G1151" i="1" s="1"/>
  <c r="G1150" i="1" l="1"/>
  <c r="B1152" i="1"/>
  <c r="F1151" i="1"/>
  <c r="B1153" i="1" l="1"/>
  <c r="B1154" i="1" l="1"/>
  <c r="G1154" i="1" s="1"/>
  <c r="G1153" i="1" l="1"/>
  <c r="B1155" i="1"/>
  <c r="B1156" i="1" l="1"/>
  <c r="B1157" i="1" l="1"/>
  <c r="G1157" i="1" s="1"/>
  <c r="G1156" i="1" l="1"/>
  <c r="B1158" i="1"/>
  <c r="B1159" i="1" l="1"/>
  <c r="B1160" i="1" l="1"/>
  <c r="G1160" i="1" s="1"/>
  <c r="G1159" i="1" l="1"/>
  <c r="B1161" i="1"/>
  <c r="B1162" i="1" l="1"/>
  <c r="B1163" i="1" l="1"/>
  <c r="G1162" i="1" l="1"/>
  <c r="B1164" i="1"/>
  <c r="B1165" i="1" l="1"/>
  <c r="B1166" i="1" l="1"/>
  <c r="B1167" i="1" l="1"/>
  <c r="B1168" i="1" l="1"/>
  <c r="B1169" i="1" l="1"/>
  <c r="B1170" i="1" l="1"/>
  <c r="B1171" i="1" l="1"/>
  <c r="B1172" i="1" l="1"/>
  <c r="B1173" i="1" l="1"/>
  <c r="B1174" i="1" l="1"/>
  <c r="B1175" i="1" l="1"/>
  <c r="B1176" i="1" l="1"/>
  <c r="B1177" i="1" l="1"/>
  <c r="B1178" i="1" l="1"/>
  <c r="B1179" i="1" l="1"/>
  <c r="B1180" i="1" l="1"/>
  <c r="B1181" i="1" l="1"/>
  <c r="B1182" i="1" l="1"/>
  <c r="B1183" i="1" l="1"/>
  <c r="B1184" i="1" l="1"/>
  <c r="B1185" i="1" l="1"/>
  <c r="B1186" i="1" l="1"/>
  <c r="B1187" i="1" l="1"/>
  <c r="B1188" i="1" l="1"/>
  <c r="B1189" i="1" l="1"/>
  <c r="B1190" i="1" l="1"/>
  <c r="B1191" i="1" l="1"/>
  <c r="B1192" i="1" l="1"/>
  <c r="B1193" i="1" l="1"/>
  <c r="B1194" i="1" l="1"/>
  <c r="B1195" i="1" l="1"/>
  <c r="B1196" i="1" l="1"/>
  <c r="B1197" i="1" l="1"/>
  <c r="B1198" i="1" l="1"/>
  <c r="B1199" i="1" l="1"/>
  <c r="B1200" i="1" l="1"/>
  <c r="B1201" i="1" l="1"/>
  <c r="B1202" i="1" l="1"/>
  <c r="B1203" i="1" l="1"/>
  <c r="B1204" i="1" l="1"/>
  <c r="B1205" i="1" l="1"/>
  <c r="B1206" i="1" l="1"/>
  <c r="B1207" i="1" l="1"/>
  <c r="B1208" i="1" l="1"/>
  <c r="B1209" i="1" l="1"/>
  <c r="B1210" i="1" l="1"/>
  <c r="B1211" i="1" l="1"/>
  <c r="B1212" i="1" l="1"/>
  <c r="B1213" i="1" l="1"/>
  <c r="B1214" i="1" l="1"/>
  <c r="B1215" i="1" l="1"/>
  <c r="B1216" i="1" l="1"/>
  <c r="B1217" i="1" l="1"/>
  <c r="B1218" i="1" l="1"/>
  <c r="B1219" i="1" l="1"/>
  <c r="B1220" i="1" l="1"/>
  <c r="B1221" i="1" l="1"/>
  <c r="B1222" i="1" l="1"/>
  <c r="B1223" i="1" l="1"/>
  <c r="B1224" i="1" l="1"/>
  <c r="B1225" i="1" l="1"/>
  <c r="B1226" i="1" l="1"/>
  <c r="B1227" i="1" l="1"/>
  <c r="B1228" i="1" l="1"/>
  <c r="B1229" i="1" l="1"/>
  <c r="B1230" i="1" l="1"/>
  <c r="B1231" i="1" l="1"/>
  <c r="B1232" i="1" l="1"/>
  <c r="B1233" i="1" l="1"/>
  <c r="B1234" i="1" l="1"/>
  <c r="B1235" i="1" l="1"/>
  <c r="B1236" i="1" l="1"/>
  <c r="B1237" i="1" l="1"/>
  <c r="B1238" i="1" l="1"/>
  <c r="B1239" i="1" l="1"/>
  <c r="B1240" i="1" l="1"/>
  <c r="B1241" i="1" l="1"/>
  <c r="B1242" i="1" l="1"/>
  <c r="B1243" i="1" l="1"/>
  <c r="B1244" i="1" l="1"/>
  <c r="B1245" i="1" l="1"/>
  <c r="B1246" i="1" l="1"/>
  <c r="B1247" i="1" l="1"/>
  <c r="B1248" i="1" l="1"/>
  <c r="B1249" i="1" l="1"/>
  <c r="B1250" i="1" l="1"/>
  <c r="B1251" i="1" l="1"/>
  <c r="B1252" i="1" l="1"/>
  <c r="B1253" i="1" l="1"/>
  <c r="B1254" i="1" l="1"/>
  <c r="F1253" i="1"/>
  <c r="B1255" i="1" l="1"/>
  <c r="B1256" i="1" l="1"/>
  <c r="F1255" i="1"/>
  <c r="B1257" i="1" l="1"/>
  <c r="B1258" i="1" l="1"/>
  <c r="B1259" i="1" l="1"/>
  <c r="B1260" i="1" l="1"/>
  <c r="B1261" i="1" l="1"/>
  <c r="B1262" i="1" l="1"/>
  <c r="B1263" i="1" l="1"/>
  <c r="B1264" i="1" l="1"/>
  <c r="B1265" i="1" l="1"/>
  <c r="B1266" i="1" l="1"/>
  <c r="B1267" i="1" l="1"/>
  <c r="B1268" i="1" l="1"/>
  <c r="B1269" i="1" l="1"/>
  <c r="B1270" i="1" l="1"/>
  <c r="B1271" i="1" l="1"/>
  <c r="B1272" i="1" l="1"/>
  <c r="B1273" i="1" l="1"/>
  <c r="B1274" i="1" l="1"/>
  <c r="B1275" i="1" l="1"/>
  <c r="B1276" i="1" l="1"/>
  <c r="B1277" i="1" l="1"/>
  <c r="B1278" i="1" l="1"/>
  <c r="B1279" i="1" l="1"/>
  <c r="B1280" i="1" l="1"/>
  <c r="B1281" i="1" l="1"/>
  <c r="B1282" i="1" l="1"/>
  <c r="B1283" i="1" l="1"/>
  <c r="B1284" i="1" l="1"/>
  <c r="B1285" i="1" l="1"/>
  <c r="B1286" i="1" l="1"/>
  <c r="B1287" i="1" l="1"/>
  <c r="B1288" i="1" l="1"/>
  <c r="B1289" i="1" l="1"/>
  <c r="B1290" i="1" l="1"/>
  <c r="B1291" i="1" l="1"/>
  <c r="B1292" i="1" l="1"/>
  <c r="B1293" i="1" l="1"/>
  <c r="B1294" i="1" l="1"/>
  <c r="B1295" i="1" l="1"/>
  <c r="B1296" i="1" l="1"/>
  <c r="B1297" i="1" l="1"/>
  <c r="B1298" i="1" l="1"/>
  <c r="B1299" i="1" l="1"/>
  <c r="B1300" i="1" l="1"/>
  <c r="B1301" i="1" l="1"/>
  <c r="B1302" i="1" l="1"/>
  <c r="B1303" i="1" l="1"/>
  <c r="B1304" i="1" l="1"/>
  <c r="B1305" i="1" l="1"/>
  <c r="B1306" i="1" l="1"/>
  <c r="B1307" i="1" l="1"/>
  <c r="B1308" i="1" l="1"/>
  <c r="B1309" i="1" l="1"/>
  <c r="B1310" i="1" l="1"/>
  <c r="B1311" i="1" l="1"/>
  <c r="B1312" i="1" l="1"/>
  <c r="B1313" i="1" l="1"/>
  <c r="B1314" i="1" l="1"/>
  <c r="B1315" i="1" l="1"/>
  <c r="B1316" i="1" l="1"/>
  <c r="B1317" i="1" l="1"/>
  <c r="B1318" i="1" l="1"/>
  <c r="B1319" i="1" l="1"/>
  <c r="B1320" i="1" l="1"/>
  <c r="B1321" i="1" l="1"/>
  <c r="B1322" i="1" l="1"/>
  <c r="B1323" i="1" l="1"/>
  <c r="B1324" i="1" l="1"/>
  <c r="B1325" i="1" l="1"/>
  <c r="B1326" i="1" l="1"/>
  <c r="B1327" i="1" l="1"/>
  <c r="B1328" i="1" l="1"/>
  <c r="B1329" i="1" l="1"/>
  <c r="B1330" i="1" l="1"/>
  <c r="B1331" i="1" l="1"/>
  <c r="B1332" i="1" l="1"/>
  <c r="B1333" i="1" l="1"/>
  <c r="B1334" i="1" l="1"/>
  <c r="B1335" i="1" l="1"/>
  <c r="B1336" i="1" l="1"/>
  <c r="B1337" i="1" l="1"/>
  <c r="B1338" i="1" l="1"/>
  <c r="B1339" i="1" l="1"/>
  <c r="B1340" i="1" l="1"/>
  <c r="B1341" i="1" l="1"/>
  <c r="B1342" i="1" l="1"/>
  <c r="B1343" i="1" l="1"/>
  <c r="B1344" i="1" l="1"/>
  <c r="B1345" i="1" l="1"/>
  <c r="B1346" i="1" l="1"/>
  <c r="B1347" i="1" l="1"/>
  <c r="B1348" i="1" l="1"/>
  <c r="B1349" i="1" l="1"/>
  <c r="B1350" i="1" l="1"/>
  <c r="B1351" i="1" l="1"/>
  <c r="B1352" i="1" l="1"/>
  <c r="B1353" i="1" l="1"/>
  <c r="B1354" i="1" l="1"/>
  <c r="B1355" i="1" l="1"/>
  <c r="B1356" i="1" l="1"/>
  <c r="B1357" i="1" l="1"/>
  <c r="B1358" i="1" l="1"/>
  <c r="B1359" i="1" l="1"/>
  <c r="B1360" i="1" l="1"/>
  <c r="B1361" i="1" l="1"/>
  <c r="B1362" i="1" l="1"/>
  <c r="B1363" i="1" l="1"/>
  <c r="B1364" i="1" l="1"/>
  <c r="B1365" i="1" l="1"/>
  <c r="F1364" i="1"/>
  <c r="B1366" i="1" l="1"/>
  <c r="B1367" i="1" l="1"/>
  <c r="F1366" i="1"/>
  <c r="B1368" i="1" l="1"/>
  <c r="B1369" i="1" l="1"/>
  <c r="B1370" i="1" l="1"/>
  <c r="B1371" i="1" l="1"/>
  <c r="B1372" i="1" l="1"/>
  <c r="B1373" i="1" l="1"/>
  <c r="B1374" i="1" l="1"/>
  <c r="B1375" i="1" l="1"/>
  <c r="B1376" i="1" l="1"/>
  <c r="B1377" i="1" l="1"/>
  <c r="B1378" i="1" l="1"/>
  <c r="B1379" i="1" l="1"/>
  <c r="B1380" i="1" l="1"/>
  <c r="B1381" i="1" l="1"/>
  <c r="B1382" i="1" l="1"/>
  <c r="B1383" i="1" l="1"/>
  <c r="B1384" i="1" l="1"/>
  <c r="B1385" i="1" l="1"/>
  <c r="B1386" i="1" l="1"/>
  <c r="B1387" i="1" l="1"/>
  <c r="B1388" i="1" l="1"/>
  <c r="B1389" i="1" l="1"/>
  <c r="B1390" i="1" l="1"/>
  <c r="B1391" i="1" l="1"/>
  <c r="B1392" i="1" l="1"/>
  <c r="B1393" i="1" l="1"/>
  <c r="B1394" i="1" l="1"/>
  <c r="B1395" i="1" l="1"/>
  <c r="B1396" i="1" l="1"/>
  <c r="B1397" i="1" l="1"/>
  <c r="B1398" i="1" l="1"/>
  <c r="B1399" i="1" l="1"/>
  <c r="B1400" i="1" l="1"/>
  <c r="B1401" i="1" l="1"/>
  <c r="B1402" i="1" l="1"/>
  <c r="B1403" i="1" l="1"/>
  <c r="B1404" i="1" l="1"/>
  <c r="B1405" i="1" l="1"/>
  <c r="B1406" i="1" l="1"/>
  <c r="B1407" i="1" l="1"/>
  <c r="B1408" i="1" l="1"/>
  <c r="B1409" i="1" l="1"/>
  <c r="B1410" i="1" l="1"/>
  <c r="B1411" i="1" l="1"/>
  <c r="B1412" i="1" l="1"/>
  <c r="B1413" i="1" l="1"/>
  <c r="B1414" i="1" l="1"/>
  <c r="B1415" i="1" l="1"/>
  <c r="B1416" i="1" l="1"/>
  <c r="B1417" i="1" l="1"/>
  <c r="B1418" i="1" l="1"/>
  <c r="B1419" i="1" l="1"/>
  <c r="B1420" i="1" l="1"/>
  <c r="B1421" i="1" l="1"/>
  <c r="B1422" i="1" l="1"/>
  <c r="B1423" i="1" l="1"/>
  <c r="B1424" i="1" l="1"/>
  <c r="B1425" i="1" l="1"/>
  <c r="B1426" i="1" l="1"/>
  <c r="B1427" i="1" l="1"/>
  <c r="B1428" i="1" l="1"/>
  <c r="B1429" i="1" l="1"/>
  <c r="B1430" i="1" l="1"/>
  <c r="B1431" i="1" l="1"/>
  <c r="B1432" i="1" l="1"/>
  <c r="B1433" i="1" l="1"/>
  <c r="B1434" i="1" l="1"/>
  <c r="B1435" i="1" l="1"/>
  <c r="B1436" i="1" l="1"/>
  <c r="B1437" i="1" l="1"/>
  <c r="B1438" i="1" l="1"/>
  <c r="B1439" i="1" l="1"/>
  <c r="B1440" i="1" l="1"/>
  <c r="B1441" i="1" l="1"/>
  <c r="B1442" i="1" l="1"/>
  <c r="B1443" i="1" l="1"/>
  <c r="B1444" i="1" l="1"/>
  <c r="B1445" i="1" l="1"/>
  <c r="B1446" i="1" l="1"/>
  <c r="B1447" i="1" l="1"/>
  <c r="B1448" i="1" l="1"/>
  <c r="B1449" i="1" l="1"/>
  <c r="B1450" i="1" l="1"/>
  <c r="B1451" i="1" l="1"/>
  <c r="B1452" i="1" l="1"/>
  <c r="B1453" i="1" l="1"/>
  <c r="B1454" i="1" l="1"/>
  <c r="B1455" i="1" l="1"/>
  <c r="F1454" i="1"/>
  <c r="B1456" i="1" l="1"/>
  <c r="B1457" i="1" l="1"/>
  <c r="F1456" i="1"/>
  <c r="B1458" i="1" l="1"/>
  <c r="B1459" i="1" l="1"/>
  <c r="B1460" i="1" l="1"/>
  <c r="B1461" i="1" l="1"/>
  <c r="B1462" i="1" l="1"/>
  <c r="B1463" i="1" l="1"/>
  <c r="B1464" i="1" l="1"/>
  <c r="B1465" i="1" l="1"/>
  <c r="B1466" i="1" l="1"/>
  <c r="B1467" i="1" l="1"/>
  <c r="B1468" i="1" l="1"/>
  <c r="B1469" i="1" l="1"/>
  <c r="B1470" i="1" l="1"/>
  <c r="B1471" i="1" l="1"/>
  <c r="B1472" i="1" l="1"/>
  <c r="B1473" i="1" l="1"/>
  <c r="B1474" i="1" l="1"/>
  <c r="B1475" i="1" l="1"/>
  <c r="B1476" i="1" l="1"/>
  <c r="B1477" i="1" l="1"/>
  <c r="B1478" i="1" l="1"/>
  <c r="B1479" i="1" l="1"/>
  <c r="B1480" i="1" l="1"/>
  <c r="B1481" i="1" l="1"/>
  <c r="B1482" i="1" l="1"/>
  <c r="B1483" i="1" l="1"/>
  <c r="B1484" i="1" l="1"/>
  <c r="B1485" i="1" l="1"/>
  <c r="B1486" i="1" l="1"/>
  <c r="B1487" i="1" l="1"/>
  <c r="B1488" i="1" l="1"/>
  <c r="B1489" i="1" l="1"/>
  <c r="B1490" i="1" l="1"/>
  <c r="B1491" i="1" l="1"/>
  <c r="B1492" i="1" l="1"/>
  <c r="B1493" i="1" l="1"/>
  <c r="B1494" i="1" l="1"/>
  <c r="B1495" i="1" l="1"/>
  <c r="B1496" i="1" l="1"/>
  <c r="B1497" i="1" l="1"/>
  <c r="B1498" i="1" l="1"/>
  <c r="B1499" i="1" l="1"/>
  <c r="B1500" i="1" l="1"/>
  <c r="B1501" i="1" l="1"/>
  <c r="B1502" i="1" l="1"/>
  <c r="B1503" i="1" l="1"/>
  <c r="B1504" i="1" l="1"/>
  <c r="B1505" i="1" l="1"/>
  <c r="B1506" i="1" l="1"/>
  <c r="B1507" i="1" l="1"/>
  <c r="B1508" i="1" l="1"/>
  <c r="B1509" i="1" l="1"/>
  <c r="B1510" i="1" l="1"/>
  <c r="B1511" i="1" l="1"/>
  <c r="B1512" i="1" l="1"/>
  <c r="B1513" i="1" l="1"/>
  <c r="B1514" i="1" l="1"/>
  <c r="B1515" i="1" l="1"/>
  <c r="B1516" i="1" l="1"/>
  <c r="B1517" i="1" l="1"/>
  <c r="B1518" i="1" l="1"/>
  <c r="B1519" i="1" l="1"/>
  <c r="B1520" i="1" l="1"/>
  <c r="B1521" i="1" l="1"/>
  <c r="B1522" i="1" l="1"/>
  <c r="B1523" i="1" l="1"/>
  <c r="B1524" i="1" l="1"/>
  <c r="B1525" i="1" l="1"/>
  <c r="B1526" i="1" l="1"/>
  <c r="B1527" i="1" l="1"/>
  <c r="B1528" i="1" l="1"/>
  <c r="B1529" i="1" l="1"/>
  <c r="B1530" i="1" l="1"/>
  <c r="B1531" i="1" l="1"/>
  <c r="B1532" i="1" l="1"/>
  <c r="B1533" i="1" l="1"/>
  <c r="B1534" i="1" l="1"/>
  <c r="B1535" i="1" l="1"/>
  <c r="B1536" i="1" l="1"/>
  <c r="B1537" i="1" l="1"/>
  <c r="B1538" i="1" l="1"/>
  <c r="B1539" i="1" l="1"/>
  <c r="B1540" i="1" l="1"/>
  <c r="B1541" i="1" l="1"/>
  <c r="B1542" i="1" l="1"/>
  <c r="B1543" i="1" l="1"/>
  <c r="B1544" i="1" l="1"/>
  <c r="B1545" i="1" l="1"/>
  <c r="B1546" i="1" l="1"/>
  <c r="B1547" i="1" l="1"/>
  <c r="B1548" i="1" l="1"/>
  <c r="B1549" i="1" l="1"/>
  <c r="G1548" i="1" s="1"/>
  <c r="B1550" i="1" l="1"/>
  <c r="G1549" i="1"/>
  <c r="B1551" i="1" l="1"/>
  <c r="G1550" i="1" s="1"/>
  <c r="B1552" i="1" l="1"/>
  <c r="G1551" i="1" s="1"/>
  <c r="B1553" i="1" l="1"/>
  <c r="G1552" i="1"/>
  <c r="B1554" i="1" l="1"/>
  <c r="G1553" i="1" s="1"/>
  <c r="B1555" i="1" l="1"/>
  <c r="G1554" i="1"/>
  <c r="B1556" i="1" l="1"/>
  <c r="G1555" i="1" s="1"/>
  <c r="B1557" i="1" l="1"/>
  <c r="G1556" i="1" s="1"/>
  <c r="B1558" i="1" l="1"/>
  <c r="G1557" i="1"/>
  <c r="B1559" i="1" l="1"/>
  <c r="G1558" i="1" s="1"/>
  <c r="F1558" i="1"/>
  <c r="B1560" i="1" l="1"/>
  <c r="G1559" i="1" s="1"/>
  <c r="G394" i="1"/>
  <c r="G1149" i="1"/>
  <c r="B1561" i="1" l="1"/>
  <c r="F1560" i="1"/>
  <c r="G173" i="1"/>
  <c r="G249" i="1"/>
  <c r="B1562" i="1" l="1"/>
  <c r="G1561" i="1" s="1"/>
  <c r="G1560" i="1"/>
  <c r="B1563" i="1" l="1"/>
  <c r="G1562" i="1" s="1"/>
  <c r="G1152" i="1"/>
  <c r="B1564" i="1" l="1"/>
  <c r="G1563" i="1" s="1"/>
  <c r="B1565" i="1" l="1"/>
  <c r="G1564" i="1" s="1"/>
  <c r="G399" i="1"/>
  <c r="B1566" i="1" l="1"/>
  <c r="G1155" i="1"/>
  <c r="G1565" i="1" l="1"/>
  <c r="B1567" i="1"/>
  <c r="G1566" i="1" l="1"/>
  <c r="B1568" i="1"/>
  <c r="G1567" i="1" l="1"/>
  <c r="B1569" i="1"/>
  <c r="G1158" i="1"/>
  <c r="G1568" i="1" l="1"/>
  <c r="B1570" i="1"/>
  <c r="G1569" i="1" s="1"/>
  <c r="G404" i="1"/>
  <c r="B1571" i="1" l="1"/>
  <c r="G1570" i="1" l="1"/>
  <c r="B1572" i="1"/>
  <c r="G1571" i="1" s="1"/>
  <c r="G1161" i="1"/>
  <c r="B1573" i="1" l="1"/>
  <c r="G1572" i="1" l="1"/>
  <c r="B1574" i="1"/>
  <c r="G1573" i="1" l="1"/>
  <c r="B1575" i="1"/>
  <c r="G1574" i="1" s="1"/>
  <c r="G409" i="1"/>
  <c r="B1576" i="1" l="1"/>
  <c r="B1577" i="1" l="1"/>
  <c r="G1575" i="1"/>
  <c r="B1578" i="1" l="1"/>
  <c r="G1577" i="1" s="1"/>
  <c r="G1576" i="1"/>
  <c r="B1579" i="1" l="1"/>
  <c r="B1580" i="1" l="1"/>
  <c r="G1579" i="1"/>
  <c r="G414" i="1"/>
  <c r="G1578" i="1"/>
  <c r="B1581" i="1" l="1"/>
  <c r="B1582" i="1" l="1"/>
  <c r="G1581" i="1" s="1"/>
  <c r="G1580" i="1"/>
  <c r="B1583" i="1" l="1"/>
  <c r="B1584" i="1" l="1"/>
  <c r="G1582" i="1"/>
  <c r="B1585" i="1" l="1"/>
  <c r="G1583" i="1"/>
  <c r="B1586" i="1" l="1"/>
  <c r="G1585" i="1"/>
  <c r="G1584" i="1"/>
  <c r="B1587" i="1" l="1"/>
  <c r="B1588" i="1" l="1"/>
  <c r="G1587" i="1" s="1"/>
  <c r="G1586" i="1"/>
  <c r="B1589" i="1" l="1"/>
  <c r="G1588" i="1" s="1"/>
  <c r="B1590" i="1" l="1"/>
  <c r="G1589" i="1" s="1"/>
  <c r="B1591" i="1" l="1"/>
  <c r="G1590" i="1"/>
  <c r="B1592" i="1" l="1"/>
  <c r="G1591" i="1" s="1"/>
  <c r="B1593" i="1" l="1"/>
  <c r="G1592" i="1" s="1"/>
  <c r="B1594" i="1" l="1"/>
  <c r="G1593" i="1" s="1"/>
  <c r="B1595" i="1" l="1"/>
  <c r="G1594" i="1" s="1"/>
  <c r="B1596" i="1" l="1"/>
  <c r="G1595" i="1" s="1"/>
  <c r="B1597" i="1" l="1"/>
  <c r="G1596" i="1" s="1"/>
  <c r="B1598" i="1" l="1"/>
  <c r="G1597" i="1" s="1"/>
  <c r="B1599" i="1" l="1"/>
  <c r="G1598" i="1" s="1"/>
  <c r="B1600" i="1" l="1"/>
  <c r="G1599" i="1" s="1"/>
  <c r="B1601" i="1" l="1"/>
  <c r="G1600" i="1" s="1"/>
  <c r="B1602" i="1" l="1"/>
  <c r="G1601" i="1" s="1"/>
  <c r="B1603" i="1" l="1"/>
  <c r="G1602" i="1" s="1"/>
  <c r="B1604" i="1" l="1"/>
  <c r="G1603" i="1" s="1"/>
  <c r="B1605" i="1" l="1"/>
  <c r="B1606" i="1" l="1"/>
  <c r="G1604" i="1"/>
  <c r="B1607" i="1" l="1"/>
  <c r="G1605" i="1"/>
  <c r="B1608" i="1" l="1"/>
  <c r="G1607" i="1"/>
  <c r="G1606" i="1"/>
  <c r="B1609" i="1" l="1"/>
  <c r="G1608" i="1" s="1"/>
  <c r="B1610" i="1" l="1"/>
  <c r="G1609" i="1" s="1"/>
  <c r="B1611" i="1" l="1"/>
  <c r="B1612" i="1" l="1"/>
  <c r="G1611" i="1" s="1"/>
  <c r="G1610" i="1"/>
  <c r="B1613" i="1" l="1"/>
  <c r="B1614" i="1" l="1"/>
  <c r="G1613" i="1"/>
  <c r="G1612" i="1"/>
  <c r="B1615" i="1" l="1"/>
  <c r="B1616" i="1" l="1"/>
  <c r="G1614" i="1"/>
  <c r="B1617" i="1" l="1"/>
  <c r="G1615" i="1"/>
  <c r="B1618" i="1" l="1"/>
  <c r="G1617" i="1" s="1"/>
  <c r="G1616" i="1"/>
  <c r="B1619" i="1" l="1"/>
  <c r="G1618" i="1" s="1"/>
  <c r="B1620" i="1" l="1"/>
  <c r="G1619" i="1" s="1"/>
  <c r="B1621" i="1" l="1"/>
  <c r="G1620" i="1"/>
  <c r="B1622" i="1" l="1"/>
  <c r="G1621" i="1" s="1"/>
  <c r="B1623" i="1" l="1"/>
  <c r="G1622" i="1" s="1"/>
  <c r="B1624" i="1" l="1"/>
  <c r="G1623" i="1"/>
  <c r="B1625" i="1" l="1"/>
  <c r="G1624" i="1" s="1"/>
  <c r="B1626" i="1" l="1"/>
  <c r="G1625" i="1" s="1"/>
  <c r="B1627" i="1" l="1"/>
  <c r="G1626" i="1" s="1"/>
  <c r="B1628" i="1" l="1"/>
  <c r="G1627" i="1"/>
  <c r="F1627" i="1"/>
  <c r="B1629" i="1" l="1"/>
  <c r="B1630" i="1" l="1"/>
  <c r="F1629" i="1"/>
  <c r="G1628" i="1"/>
  <c r="B1631" i="1" l="1"/>
  <c r="B1632" i="1" l="1"/>
  <c r="B1633" i="1" l="1"/>
  <c r="B1634" i="1" l="1"/>
  <c r="B1635" i="1" l="1"/>
  <c r="B1636" i="1" l="1"/>
  <c r="B1637" i="1" l="1"/>
  <c r="B1638" i="1" l="1"/>
  <c r="B1639" i="1" l="1"/>
  <c r="B1640" i="1" l="1"/>
  <c r="B1641" i="1" l="1"/>
  <c r="B1642" i="1" l="1"/>
  <c r="B1643" i="1" l="1"/>
  <c r="B1644" i="1" l="1"/>
  <c r="B1645" i="1" l="1"/>
  <c r="B1646" i="1" l="1"/>
  <c r="B1647" i="1" l="1"/>
  <c r="B1648" i="1" l="1"/>
  <c r="B1649" i="1" l="1"/>
  <c r="B1650" i="1" l="1"/>
  <c r="B1651" i="1" l="1"/>
  <c r="F1717" i="1" l="1"/>
</calcChain>
</file>

<file path=xl/sharedStrings.xml><?xml version="1.0" encoding="utf-8"?>
<sst xmlns="http://schemas.openxmlformats.org/spreadsheetml/2006/main" count="2325" uniqueCount="896">
  <si>
    <t>LangID</t>
    <phoneticPr fontId="1"/>
  </si>
  <si>
    <t>StageID</t>
    <phoneticPr fontId="1"/>
  </si>
  <si>
    <t>LogID</t>
    <phoneticPr fontId="1"/>
  </si>
  <si>
    <t>Log</t>
    <phoneticPr fontId="1"/>
  </si>
  <si>
    <t>Chara</t>
    <phoneticPr fontId="1"/>
  </si>
  <si>
    <t>Name</t>
    <phoneticPr fontId="1"/>
  </si>
  <si>
    <t>Chara</t>
    <phoneticPr fontId="1"/>
  </si>
  <si>
    <t>Name</t>
    <phoneticPr fontId="1"/>
  </si>
  <si>
    <t>Schneider.</t>
    <phoneticPr fontId="1"/>
  </si>
  <si>
    <t>とても良くできました。レッスン1はこれで終了です。</t>
    <rPh sb="3" eb="4">
      <t>ヨ</t>
    </rPh>
    <rPh sb="20" eb="22">
      <t>シュウリョウ</t>
    </rPh>
    <phoneticPr fontId="1"/>
  </si>
  <si>
    <t>Weber</t>
  </si>
  <si>
    <t>パス</t>
    <phoneticPr fontId="1"/>
  </si>
  <si>
    <t>画像</t>
    <rPh sb="0" eb="2">
      <t>ガゾウ</t>
    </rPh>
    <phoneticPr fontId="1"/>
  </si>
  <si>
    <t>フランス語</t>
    <rPh sb="4" eb="5">
      <t>ゴ</t>
    </rPh>
    <phoneticPr fontId="1"/>
  </si>
  <si>
    <t>Leçon un</t>
  </si>
  <si>
    <t>Et vous, vous êtes français ?</t>
  </si>
  <si>
    <t>レッスン 1</t>
  </si>
  <si>
    <t>Minako</t>
    <phoneticPr fontId="1"/>
  </si>
  <si>
    <t>こんにちは。美奈子と申します。それで、あなたは。</t>
  </si>
  <si>
    <t>Céline</t>
    <phoneticPr fontId="1"/>
  </si>
  <si>
    <t>私の名前はセリーヌです。あなたは日本人ですか?</t>
  </si>
  <si>
    <t>はい。京都出身です。</t>
  </si>
  <si>
    <t>私はフランス人です。私はオルレアン出身です。</t>
  </si>
  <si>
    <t>Luigi</t>
    <phoneticPr fontId="1"/>
  </si>
  <si>
    <t>いいえ、私はイタリア人です。はじめまして。</t>
  </si>
  <si>
    <t>はじめまして。</t>
  </si>
  <si>
    <t>次の日本語をフランス語に訳して答えてね！</t>
    <rPh sb="0" eb="1">
      <t>ツギ</t>
    </rPh>
    <rPh sb="2" eb="5">
      <t>ニホンゴ</t>
    </rPh>
    <rPh sb="10" eb="11">
      <t>ゴ</t>
    </rPh>
    <rPh sb="12" eb="13">
      <t>ヤク</t>
    </rPh>
    <rPh sb="15" eb="16">
      <t>コタ</t>
    </rPh>
    <phoneticPr fontId="1"/>
  </si>
  <si>
    <t>Leçon deux</t>
  </si>
  <si>
    <t>Elle est très jolie.</t>
  </si>
  <si>
    <t>Et ça, qu'est-ce que c'est ?</t>
  </si>
  <si>
    <t>レッスン 2</t>
  </si>
  <si>
    <t>M. Dubois</t>
    <phoneticPr fontId="1"/>
  </si>
  <si>
    <t>ベッド、机、箪笥があります。</t>
  </si>
  <si>
    <t>ベッドサイドテーブルです。</t>
  </si>
  <si>
    <t>これらは電源コンセントです。</t>
  </si>
  <si>
    <t>type</t>
    <phoneticPr fontId="1"/>
  </si>
  <si>
    <t>icon</t>
    <phoneticPr fontId="1"/>
  </si>
  <si>
    <t>assets/icons/image326.png</t>
  </si>
  <si>
    <t>assets/icons/image014.png</t>
  </si>
  <si>
    <t>assets/icons/image013.png</t>
  </si>
  <si>
    <t>assets/icons/image003.png</t>
  </si>
  <si>
    <t>assets/icons/image016.png</t>
  </si>
  <si>
    <t>assets/icons/image086.png</t>
  </si>
  <si>
    <t>assets/icons/image078.png</t>
  </si>
  <si>
    <t>assets/icons/image023.png</t>
  </si>
  <si>
    <t>assets/icons/image033.png</t>
  </si>
  <si>
    <t>Tanaka</t>
    <phoneticPr fontId="1"/>
  </si>
  <si>
    <t>Navigator</t>
    <phoneticPr fontId="1"/>
  </si>
  <si>
    <t>Player</t>
    <phoneticPr fontId="1"/>
  </si>
  <si>
    <t>Bauer</t>
  </si>
  <si>
    <t>assets/icons/image009.png</t>
    <phoneticPr fontId="1"/>
  </si>
  <si>
    <t>Passantin</t>
  </si>
  <si>
    <t>assets/icons/image081.png</t>
    <phoneticPr fontId="1"/>
  </si>
  <si>
    <t>李明</t>
  </si>
  <si>
    <t>assets/icons/image144.png</t>
    <phoneticPr fontId="1"/>
  </si>
  <si>
    <t>鈴木</t>
    <rPh sb="0" eb="2">
      <t>スズキ</t>
    </rPh>
    <phoneticPr fontId="1"/>
  </si>
  <si>
    <t>assets/icons/image037.png</t>
    <phoneticPr fontId="1"/>
  </si>
  <si>
    <t>url</t>
    <phoneticPr fontId="1"/>
  </si>
  <si>
    <t>Kellnerin</t>
  </si>
  <si>
    <t>assets/icons/image021.png</t>
    <phoneticPr fontId="1"/>
  </si>
  <si>
    <t>Angestellte</t>
  </si>
  <si>
    <t>assets/icons/image022.png</t>
  </si>
  <si>
    <t>Navigator</t>
  </si>
  <si>
    <t>e</t>
  </si>
  <si>
    <t>a</t>
  </si>
  <si>
    <t>Player</t>
  </si>
  <si>
    <t>q</t>
  </si>
  <si>
    <t>まずは対話文を流します。その後に、日本語とフランス語を一文ずつ流すのでフランス語を真似して下さい。最後に日本語のみを流すので、フランス語で答えてください。</t>
  </si>
  <si>
    <t>Minako</t>
  </si>
  <si>
    <t>Céline</t>
  </si>
  <si>
    <t>Luigi</t>
  </si>
  <si>
    <t>次のフランス語を真似してね！</t>
  </si>
  <si>
    <t>M. Dubois</t>
  </si>
  <si>
    <t>とても良くできました。レッスン2はこれで終了です。</t>
  </si>
  <si>
    <t>Verkäuferin</t>
  </si>
  <si>
    <t>assets/icons/image088.png</t>
    <phoneticPr fontId="1"/>
  </si>
  <si>
    <t>Mayer</t>
  </si>
  <si>
    <t>assets/icons/image208.png</t>
    <phoneticPr fontId="1"/>
  </si>
  <si>
    <t>Herr Bauer</t>
    <phoneticPr fontId="1"/>
  </si>
  <si>
    <t>Frau Bauer</t>
    <phoneticPr fontId="1"/>
  </si>
  <si>
    <t>assets/icons/image026.png</t>
    <phoneticPr fontId="1"/>
  </si>
  <si>
    <t>assets/icons/image035.png</t>
    <phoneticPr fontId="1"/>
  </si>
  <si>
    <t>ドイツ語</t>
  </si>
  <si>
    <t>英語</t>
  </si>
  <si>
    <t>フランス語</t>
  </si>
  <si>
    <t>中国語</t>
  </si>
  <si>
    <t>ロシア語</t>
  </si>
  <si>
    <t>ウクライナ語</t>
  </si>
  <si>
    <t>アラビア語</t>
  </si>
  <si>
    <t>フィンランド語</t>
  </si>
  <si>
    <t>ラテン語</t>
  </si>
  <si>
    <t>en</t>
  </si>
  <si>
    <t>de</t>
  </si>
  <si>
    <t>fr</t>
  </si>
  <si>
    <t>zh</t>
  </si>
  <si>
    <t>アフリカーンス語</t>
  </si>
  <si>
    <t>Afrikaans</t>
  </si>
  <si>
    <t>af</t>
  </si>
  <si>
    <t>アルバニア語</t>
  </si>
  <si>
    <t>Gjuha shqipe</t>
  </si>
  <si>
    <t>sq</t>
  </si>
  <si>
    <t>アムハラ語</t>
  </si>
  <si>
    <t>አማርኛ</t>
  </si>
  <si>
    <t>am</t>
  </si>
  <si>
    <t>العربية</t>
  </si>
  <si>
    <t>ar</t>
  </si>
  <si>
    <t>アルメニア語</t>
  </si>
  <si>
    <t>Հայերեն</t>
  </si>
  <si>
    <t>hy</t>
  </si>
  <si>
    <t>アゼルバイジャン語</t>
  </si>
  <si>
    <t>Azərbaycan dili,</t>
  </si>
  <si>
    <t>Azərbaycanca,</t>
  </si>
  <si>
    <t>تورک دیلی‎</t>
  </si>
  <si>
    <t>az</t>
  </si>
  <si>
    <t>euskara</t>
  </si>
  <si>
    <t>eu</t>
  </si>
  <si>
    <t>ベラルーシ語</t>
  </si>
  <si>
    <t>беларуская мова</t>
  </si>
  <si>
    <t>be</t>
  </si>
  <si>
    <t>ベンガル語</t>
  </si>
  <si>
    <t>বাংলা</t>
  </si>
  <si>
    <t>bn</t>
  </si>
  <si>
    <t>ボスニア語</t>
  </si>
  <si>
    <t>bosanski jezik</t>
  </si>
  <si>
    <t>bs</t>
  </si>
  <si>
    <t>ブルガリア語</t>
  </si>
  <si>
    <t>български език</t>
  </si>
  <si>
    <t>bg</t>
  </si>
  <si>
    <t>ミャンマー語</t>
  </si>
  <si>
    <t>မြန်မာဘာသာ</t>
  </si>
  <si>
    <t>my</t>
  </si>
  <si>
    <t>"カタルーニャ語、</t>
  </si>
  <si>
    <t>バレンシア語"</t>
  </si>
  <si>
    <t>català,</t>
  </si>
  <si>
    <t>valencià</t>
  </si>
  <si>
    <t>ca</t>
  </si>
  <si>
    <t>チェワ語</t>
  </si>
  <si>
    <t>Chicheŵa,</t>
  </si>
  <si>
    <t>Chichewa</t>
  </si>
  <si>
    <t>ny</t>
  </si>
  <si>
    <t>中文</t>
  </si>
  <si>
    <t>中国語（簡体字）</t>
  </si>
  <si>
    <t>汉语</t>
  </si>
  <si>
    <t>zh-CN</t>
  </si>
  <si>
    <t>中国語（繁体字）</t>
  </si>
  <si>
    <t>漢語</t>
  </si>
  <si>
    <t>zh-TW</t>
  </si>
  <si>
    <t>コルシカ語</t>
  </si>
  <si>
    <t>corsu,</t>
  </si>
  <si>
    <t>lingua corsa</t>
  </si>
  <si>
    <t>co</t>
  </si>
  <si>
    <t>クロアチア語</t>
  </si>
  <si>
    <t>hrvatski</t>
  </si>
  <si>
    <t>hr</t>
  </si>
  <si>
    <t>チェコ語</t>
  </si>
  <si>
    <t>čeština,</t>
  </si>
  <si>
    <t>český jazyk</t>
  </si>
  <si>
    <t>cs</t>
  </si>
  <si>
    <t>デンマーク語</t>
  </si>
  <si>
    <t>dansk</t>
  </si>
  <si>
    <t>da</t>
  </si>
  <si>
    <t>オランダ語</t>
  </si>
  <si>
    <t>Nederlands</t>
  </si>
  <si>
    <t>nl</t>
  </si>
  <si>
    <t>English</t>
  </si>
  <si>
    <t>エスペラント</t>
  </si>
  <si>
    <t>Esperanto</t>
  </si>
  <si>
    <t>eo</t>
  </si>
  <si>
    <t>エストニア語</t>
  </si>
  <si>
    <t>eesti keel</t>
  </si>
  <si>
    <t>et</t>
  </si>
  <si>
    <t>suomi,</t>
  </si>
  <si>
    <t>suomen kieli</t>
  </si>
  <si>
    <t>fi</t>
  </si>
  <si>
    <t>français</t>
  </si>
  <si>
    <t>ガリシア語</t>
  </si>
  <si>
    <t>galego</t>
  </si>
  <si>
    <t>gl</t>
  </si>
  <si>
    <t>グルジア語</t>
  </si>
  <si>
    <t>ქართული</t>
  </si>
  <si>
    <t>ka</t>
  </si>
  <si>
    <t>Deutsch</t>
  </si>
  <si>
    <t>ギリシア語</t>
  </si>
  <si>
    <t>ελληνικά</t>
  </si>
  <si>
    <t>el</t>
  </si>
  <si>
    <t>グジャラート語</t>
  </si>
  <si>
    <t>ગુજરાતી</t>
  </si>
  <si>
    <t>gu</t>
  </si>
  <si>
    <t>ハイチ語</t>
  </si>
  <si>
    <t>Kreyòl ayisyen</t>
  </si>
  <si>
    <t>ht</t>
  </si>
  <si>
    <t>ハウサ語</t>
  </si>
  <si>
    <t>Hausa,</t>
  </si>
  <si>
    <t>هَوُسَ</t>
  </si>
  <si>
    <t>ha</t>
  </si>
  <si>
    <t>ヘブライ語</t>
  </si>
  <si>
    <t>עברית</t>
  </si>
  <si>
    <t>he</t>
  </si>
  <si>
    <t>ヒンディー語</t>
  </si>
  <si>
    <t>हिन्दी</t>
  </si>
  <si>
    <t>hi</t>
  </si>
  <si>
    <t>ハンガリー語</t>
  </si>
  <si>
    <t>magyar</t>
  </si>
  <si>
    <t>hu</t>
  </si>
  <si>
    <t>インドネシア語</t>
  </si>
  <si>
    <t>Bahasa Indonesia</t>
  </si>
  <si>
    <t>id</t>
  </si>
  <si>
    <t>アイルランド語</t>
  </si>
  <si>
    <t>Gaeilge</t>
  </si>
  <si>
    <t>ga</t>
  </si>
  <si>
    <t>イボ語</t>
  </si>
  <si>
    <t>asụsụ Igbo</t>
  </si>
  <si>
    <t>ig</t>
  </si>
  <si>
    <t>アイスランド語</t>
  </si>
  <si>
    <t>íslenska</t>
  </si>
  <si>
    <t>is</t>
  </si>
  <si>
    <t>イタリア語</t>
  </si>
  <si>
    <t>Italiano</t>
  </si>
  <si>
    <t>it</t>
  </si>
  <si>
    <t>日本語</t>
  </si>
  <si>
    <t>ja</t>
  </si>
  <si>
    <t>ジャワ語</t>
  </si>
  <si>
    <t>Basa Jawa,</t>
  </si>
  <si>
    <t>ꦧꦱꦗꦮ</t>
  </si>
  <si>
    <t>jv</t>
  </si>
  <si>
    <t>カンナダ語</t>
  </si>
  <si>
    <t>ಕನ್ನಡ</t>
  </si>
  <si>
    <t>kn</t>
  </si>
  <si>
    <t>カザフ語</t>
  </si>
  <si>
    <t>Қазақ тілі,</t>
  </si>
  <si>
    <t>Qazaq tili,</t>
  </si>
  <si>
    <t>قازاق ٴتىلى‎</t>
  </si>
  <si>
    <t>kk</t>
  </si>
  <si>
    <t>クメール語</t>
  </si>
  <si>
    <t>ភាសាខ្មែរ</t>
  </si>
  <si>
    <t>km</t>
  </si>
  <si>
    <t>キルギス語</t>
  </si>
  <si>
    <t>Кыргызча,</t>
  </si>
  <si>
    <t>Кыргыз тили,</t>
  </si>
  <si>
    <t>قىرعىز تىلى‎</t>
  </si>
  <si>
    <t>ky</t>
  </si>
  <si>
    <t>韓国語</t>
  </si>
  <si>
    <t>한국어 (韓國語),</t>
  </si>
  <si>
    <t>조선어 (朝鮮語)</t>
  </si>
  <si>
    <t>ko</t>
  </si>
  <si>
    <t>クルド語</t>
  </si>
  <si>
    <t>Kurdî,</t>
  </si>
  <si>
    <t>كوردی‎</t>
  </si>
  <si>
    <t>ku</t>
  </si>
  <si>
    <t>latina</t>
  </si>
  <si>
    <t>la</t>
  </si>
  <si>
    <t>ルクセンブルク語</t>
  </si>
  <si>
    <t>Lëtzebuergesch</t>
  </si>
  <si>
    <t>lb</t>
  </si>
  <si>
    <t>ラーオ語</t>
  </si>
  <si>
    <t>ພາສາລາວ</t>
  </si>
  <si>
    <t>lo</t>
  </si>
  <si>
    <t>リトアニア語</t>
  </si>
  <si>
    <t>lietuvių</t>
  </si>
  <si>
    <t>lt</t>
  </si>
  <si>
    <t>ラトビア語</t>
  </si>
  <si>
    <t>latviešu</t>
  </si>
  <si>
    <t>lv</t>
  </si>
  <si>
    <t>マケドニア語</t>
  </si>
  <si>
    <t>македонски јазик</t>
  </si>
  <si>
    <t>mk</t>
  </si>
  <si>
    <t>マダガスカル語</t>
  </si>
  <si>
    <t>Malagasy</t>
  </si>
  <si>
    <t>mg</t>
  </si>
  <si>
    <t>マレー語</t>
  </si>
  <si>
    <t>bahasa Melayu,</t>
  </si>
  <si>
    <t>بهاس ملايو‎</t>
  </si>
  <si>
    <t>ms</t>
  </si>
  <si>
    <t>マラヤーラム語</t>
  </si>
  <si>
    <t>മലയാളം</t>
  </si>
  <si>
    <t>ml</t>
  </si>
  <si>
    <t>マルタ語</t>
  </si>
  <si>
    <t>Malti</t>
  </si>
  <si>
    <t>mt</t>
  </si>
  <si>
    <t>マオリ語</t>
  </si>
  <si>
    <t>reo Māori</t>
  </si>
  <si>
    <t>mi</t>
  </si>
  <si>
    <t>マラーティー語</t>
  </si>
  <si>
    <t>मराठी</t>
  </si>
  <si>
    <t>mr</t>
  </si>
  <si>
    <t>モンゴル語</t>
  </si>
  <si>
    <t>Монгол хэл,</t>
  </si>
  <si>
    <t>ᠮᠣᠨᠭᠭᠣᠯ ᠬᠡᠯᠡ</t>
  </si>
  <si>
    <t>mn</t>
  </si>
  <si>
    <t>"ノルウェー語</t>
  </si>
  <si>
    <t>(ブークモール)"</t>
  </si>
  <si>
    <t>norsk bokmål</t>
  </si>
  <si>
    <t>nb</t>
  </si>
  <si>
    <t>ネパール語</t>
  </si>
  <si>
    <t>नेपाली भाषा</t>
  </si>
  <si>
    <t>ne</t>
  </si>
  <si>
    <t>ノルウェー語</t>
  </si>
  <si>
    <t>norsk</t>
  </si>
  <si>
    <t>no</t>
  </si>
  <si>
    <t>パンジャーブ語</t>
  </si>
  <si>
    <t>ਪੰਜਾਬੀ,</t>
  </si>
  <si>
    <t>پنجابی‎</t>
  </si>
  <si>
    <t>pa</t>
  </si>
  <si>
    <t>ペルシア語</t>
  </si>
  <si>
    <t>فارسی</t>
  </si>
  <si>
    <t>fa</t>
  </si>
  <si>
    <t>ポーランド語</t>
  </si>
  <si>
    <t>język polski,</t>
  </si>
  <si>
    <t>polszczyzna</t>
  </si>
  <si>
    <t>pl</t>
  </si>
  <si>
    <t>パシュトー語</t>
  </si>
  <si>
    <t>پښتو</t>
  </si>
  <si>
    <t>ps</t>
  </si>
  <si>
    <t>ポルトガル語</t>
  </si>
  <si>
    <t>português</t>
  </si>
  <si>
    <t>pt</t>
  </si>
  <si>
    <t>ルーマニア語、</t>
  </si>
  <si>
    <t>モルドバ語[1]</t>
  </si>
  <si>
    <t>limba română,</t>
  </si>
  <si>
    <t>limba moldovenească</t>
  </si>
  <si>
    <t>ro</t>
  </si>
  <si>
    <t>русский язык</t>
  </si>
  <si>
    <t>ru</t>
  </si>
  <si>
    <t>シンド語</t>
  </si>
  <si>
    <t>सिन्धी,</t>
  </si>
  <si>
    <t>سنڌي‎</t>
  </si>
  <si>
    <t>sd</t>
  </si>
  <si>
    <t>サモア語</t>
  </si>
  <si>
    <t>Gagana fa'a Sāmoa</t>
  </si>
  <si>
    <t>sm</t>
  </si>
  <si>
    <t>セルビア語</t>
  </si>
  <si>
    <t>српски језик,</t>
  </si>
  <si>
    <t>srpski jezik</t>
  </si>
  <si>
    <t>sr</t>
  </si>
  <si>
    <t>スコットランド・ゲール語</t>
  </si>
  <si>
    <t>Gàidhlig</t>
  </si>
  <si>
    <t>gd</t>
  </si>
  <si>
    <t>ショナ語</t>
  </si>
  <si>
    <t>chiShona</t>
  </si>
  <si>
    <t>sn</t>
  </si>
  <si>
    <t>シンハラ語</t>
  </si>
  <si>
    <t>සිංහල</t>
  </si>
  <si>
    <t>si</t>
  </si>
  <si>
    <t>スロバキア語</t>
  </si>
  <si>
    <t>slovenčina,</t>
  </si>
  <si>
    <t>slovenský jazyk</t>
  </si>
  <si>
    <t>sk</t>
  </si>
  <si>
    <t>スロベニア語</t>
  </si>
  <si>
    <t>slovenščina,</t>
  </si>
  <si>
    <t>slovenski jezik</t>
  </si>
  <si>
    <t>sl</t>
  </si>
  <si>
    <t>ソマリ語</t>
  </si>
  <si>
    <t>af Soomaali</t>
  </si>
  <si>
    <t>so</t>
  </si>
  <si>
    <t>ソト語</t>
  </si>
  <si>
    <t>Sesotho</t>
  </si>
  <si>
    <t>st</t>
  </si>
  <si>
    <t>スペイン語</t>
  </si>
  <si>
    <t>español,</t>
  </si>
  <si>
    <t>castellano</t>
  </si>
  <si>
    <t>es</t>
  </si>
  <si>
    <t>スンダ語</t>
  </si>
  <si>
    <t>Basa Sunda</t>
  </si>
  <si>
    <t>su</t>
  </si>
  <si>
    <t>スワヒリ語</t>
  </si>
  <si>
    <t>Kiswahili</t>
  </si>
  <si>
    <t>sw</t>
  </si>
  <si>
    <t>スウェーデン語</t>
  </si>
  <si>
    <t>svenska</t>
  </si>
  <si>
    <t>sv</t>
  </si>
  <si>
    <t>タミル語</t>
  </si>
  <si>
    <t>தமிழ்</t>
  </si>
  <si>
    <t>ta</t>
  </si>
  <si>
    <t>テルグ語</t>
  </si>
  <si>
    <t>తెలుగు</t>
  </si>
  <si>
    <t>te</t>
  </si>
  <si>
    <t>タジク語</t>
  </si>
  <si>
    <t>тоҷикӣ,</t>
  </si>
  <si>
    <t>tojikī,</t>
  </si>
  <si>
    <t>تاجیکی‎</t>
  </si>
  <si>
    <t>tg</t>
  </si>
  <si>
    <t>タイ語</t>
  </si>
  <si>
    <t>ภาษาไทย</t>
  </si>
  <si>
    <t>th</t>
  </si>
  <si>
    <t>タガログ語</t>
  </si>
  <si>
    <t>Wikang Tagalog</t>
  </si>
  <si>
    <t>tl</t>
  </si>
  <si>
    <t>トルコ語</t>
  </si>
  <si>
    <t>Türkçe</t>
  </si>
  <si>
    <t>tr</t>
  </si>
  <si>
    <t>українська мова</t>
  </si>
  <si>
    <t>uk</t>
  </si>
  <si>
    <t>ウルドゥー語</t>
  </si>
  <si>
    <t>اردو</t>
  </si>
  <si>
    <t>ur</t>
  </si>
  <si>
    <t>ウズベク語</t>
  </si>
  <si>
    <t>Oʻzbek tili,</t>
  </si>
  <si>
    <t>Ўзбек тили,</t>
  </si>
  <si>
    <t>ئۇزبېك تیلى‎</t>
  </si>
  <si>
    <t>uz</t>
  </si>
  <si>
    <t>ベトナム語</t>
  </si>
  <si>
    <t>Tiếng Việt</t>
  </si>
  <si>
    <t>vi</t>
  </si>
  <si>
    <t>ウェールズ語</t>
  </si>
  <si>
    <t>Cymraeg</t>
  </si>
  <si>
    <t>cy</t>
  </si>
  <si>
    <t>西フリジア語</t>
  </si>
  <si>
    <t>Frysk</t>
  </si>
  <si>
    <t>fy</t>
  </si>
  <si>
    <t>コサ語</t>
  </si>
  <si>
    <t>isiXhosa</t>
  </si>
  <si>
    <t>xh</t>
  </si>
  <si>
    <t>イディッシュ語</t>
  </si>
  <si>
    <t>ייִדיש</t>
  </si>
  <si>
    <t>yi</t>
  </si>
  <si>
    <t>ヨルバ語</t>
  </si>
  <si>
    <t>èdè Yorùbá</t>
  </si>
  <si>
    <t>yo</t>
  </si>
  <si>
    <t>ズールー語</t>
  </si>
  <si>
    <t>isiZulu</t>
  </si>
  <si>
    <t>zu</t>
  </si>
  <si>
    <t>バスク語</t>
    <phoneticPr fontId="1"/>
  </si>
  <si>
    <t>say</t>
    <phoneticPr fontId="1"/>
  </si>
  <si>
    <t>Bonjour. Je m'appelle Minako. Et vous ?</t>
    <phoneticPr fontId="1"/>
  </si>
  <si>
    <t>Bonjour. Je m'appelle Minako. Et vous ?</t>
    <phoneticPr fontId="1"/>
  </si>
  <si>
    <t>Je m'appelle Céline. Vous êtes japonaise ?</t>
    <phoneticPr fontId="1"/>
  </si>
  <si>
    <t>Oui. Je suis de Kyoto.</t>
    <phoneticPr fontId="1"/>
  </si>
  <si>
    <t>Je suis française. Je suis d'Orléans.</t>
    <phoneticPr fontId="1"/>
  </si>
  <si>
    <t>そして、あなたはフランス人ですか?</t>
    <phoneticPr fontId="1"/>
  </si>
  <si>
    <t>Non, je suis italien. Enchanté.</t>
    <phoneticPr fontId="1"/>
  </si>
  <si>
    <t>Enchantée.</t>
    <phoneticPr fontId="1"/>
  </si>
  <si>
    <t>Bonjour. Je m'appelle Minako. Et vous ?</t>
    <phoneticPr fontId="1"/>
  </si>
  <si>
    <t>Oui. Je suis de Kyoto.</t>
    <phoneticPr fontId="1"/>
  </si>
  <si>
    <t>そして、あなたはフランス人ですか?</t>
    <phoneticPr fontId="1"/>
  </si>
  <si>
    <t>Non, je suis italien. Enchanté.</t>
    <phoneticPr fontId="1"/>
  </si>
  <si>
    <t>ここがあなたの部屋です。</t>
    <phoneticPr fontId="1"/>
  </si>
  <si>
    <t>Voilà votre chambre.</t>
    <phoneticPr fontId="1"/>
  </si>
  <si>
    <t>（それは）とてもきれいですね。</t>
    <phoneticPr fontId="1"/>
  </si>
  <si>
    <t>Vous avez un lit, un bureau et une commode.</t>
    <phoneticPr fontId="1"/>
  </si>
  <si>
    <t>（そして、）それは何ですか?</t>
    <phoneticPr fontId="1"/>
  </si>
  <si>
    <t>C'est une table de nuit.</t>
    <phoneticPr fontId="1"/>
  </si>
  <si>
    <t>それで、これは?</t>
    <phoneticPr fontId="1"/>
  </si>
  <si>
    <t>Et ça ?</t>
    <phoneticPr fontId="1"/>
  </si>
  <si>
    <t>Ce sont des prises de courant.</t>
    <phoneticPr fontId="1"/>
  </si>
  <si>
    <t>en-GB</t>
  </si>
  <si>
    <t>de-DE</t>
  </si>
  <si>
    <t>fr-FR</t>
  </si>
  <si>
    <t>ru-RU</t>
  </si>
  <si>
    <t>fi-FI</t>
  </si>
  <si>
    <t>Céline, qu'est-ce que c'est ?</t>
  </si>
  <si>
    <t>Leçon trois</t>
    <phoneticPr fontId="1"/>
  </si>
  <si>
    <t>Elles sont très bonnes.</t>
  </si>
  <si>
    <t xml:space="preserve">C'est marrant. </t>
  </si>
  <si>
    <t>Les poires japonaises sont rondes.</t>
  </si>
  <si>
    <t>Ce sont des framboises.</t>
  </si>
  <si>
    <t>Vraiment, on trouve tout au marché.</t>
  </si>
  <si>
    <t>セリーヌ、これは何ですか?</t>
    <phoneticPr fontId="1"/>
  </si>
  <si>
    <t>それらは梨です。</t>
    <phoneticPr fontId="1"/>
  </si>
  <si>
    <t xml:space="preserve">Ce sont des poires. </t>
    <phoneticPr fontId="1"/>
  </si>
  <si>
    <t>日本の梨は丸いです。</t>
  </si>
  <si>
    <t>これらはラズベリーです。</t>
  </si>
  <si>
    <t>それはおもしろいです。</t>
    <phoneticPr fontId="1"/>
  </si>
  <si>
    <t>本当に市場でなんでも見つけることができますね。</t>
    <phoneticPr fontId="1"/>
  </si>
  <si>
    <t>ja-JP</t>
  </si>
  <si>
    <t>Leçon quatre</t>
    <phoneticPr fontId="1"/>
  </si>
  <si>
    <t>On fait un pique-nique dimanche.</t>
  </si>
  <si>
    <t>C'est super !</t>
  </si>
  <si>
    <t>J'achète des sandwiches.</t>
  </si>
  <si>
    <t>Non, on n'achète pas de sandwiches.</t>
  </si>
  <si>
    <t>Ah, bon ?</t>
  </si>
  <si>
    <t>Je prépare des sandwiches avec Minako.</t>
  </si>
  <si>
    <t>Au Japon, je fais des sandwiches avec des œufs.</t>
  </si>
  <si>
    <t>Vous aimez ça ?</t>
  </si>
  <si>
    <t>Oui, oui.</t>
  </si>
  <si>
    <t>日曜日にピクニックがあります。</t>
  </si>
  <si>
    <t>素晴らしい！</t>
  </si>
  <si>
    <t>サンドイッチを買います。</t>
  </si>
  <si>
    <t>いいえ、サンドイッチは購入しません。</t>
  </si>
  <si>
    <t>美奈子と一緒にサンドイッチを作ります。</t>
  </si>
  <si>
    <t>そうなのですか？</t>
    <phoneticPr fontId="1"/>
  </si>
  <si>
    <t>日本では、卵でサンドイッチを作ります。</t>
  </si>
  <si>
    <t>お好きですか。</t>
  </si>
  <si>
    <t>もちろん。</t>
    <phoneticPr fontId="1"/>
  </si>
  <si>
    <t>Leçon cinq</t>
  </si>
  <si>
    <t>Minako, où est-ce que tu habites?</t>
  </si>
  <si>
    <t>J'habite près de la place de la Sorbonne.</t>
  </si>
  <si>
    <t>Ma chambre n'est pas grande, mais confortable.</t>
  </si>
  <si>
    <t>En bus.</t>
  </si>
  <si>
    <t>Et Luigi, est-ce que tu vis seul ou avec tes parents?</t>
  </si>
  <si>
    <t>Je vis avec mon frère dans un petit appartement.</t>
  </si>
  <si>
    <t>美奈子、どこに住んでいるの?</t>
  </si>
  <si>
    <t>私はソルボンヌ広場の近くに住んでいます。</t>
  </si>
  <si>
    <t>私の部屋は広くはありませんが、快適です。</t>
  </si>
  <si>
    <t>Comment est-ce que tu viens à l'école, en bus ou en métro ?</t>
    <phoneticPr fontId="1"/>
  </si>
  <si>
    <t>どうやって学校に行きますか、バスですか、それとも電車ですか？</t>
    <rPh sb="8" eb="9">
      <t>イ</t>
    </rPh>
    <rPh sb="24" eb="26">
      <t>デンシャ</t>
    </rPh>
    <phoneticPr fontId="1"/>
  </si>
  <si>
    <t>バスです。</t>
    <phoneticPr fontId="1"/>
  </si>
  <si>
    <t>私は兄と一緒に小さなアパートに住んでいます。</t>
  </si>
  <si>
    <t>それでルイージ、あなたは一人暮らしですか、それとも両親と一緒に住んでいますか?</t>
    <phoneticPr fontId="1"/>
  </si>
  <si>
    <t>それらはとても美味しいです。</t>
    <rPh sb="7" eb="9">
      <t>オイ</t>
    </rPh>
    <phoneticPr fontId="1"/>
  </si>
  <si>
    <t>ではそれは何ですか?</t>
    <phoneticPr fontId="1"/>
  </si>
  <si>
    <t>Leçon six</t>
  </si>
  <si>
    <t>Qu'est-ce que tu vas préparer pour ce soir ?</t>
  </si>
  <si>
    <t>Je vais préparer de la ratatouille.</t>
  </si>
  <si>
    <t>C'est une spécialité du Midi.</t>
  </si>
  <si>
    <t>Qu'est-ce qu'on achète alors ?</t>
  </si>
  <si>
    <t xml:space="preserve">On achète des tomates, </t>
    <phoneticPr fontId="1"/>
  </si>
  <si>
    <t xml:space="preserve">des poivrons, </t>
  </si>
  <si>
    <t>et des courgettes.</t>
    <phoneticPr fontId="1"/>
  </si>
  <si>
    <t>On achète beaucoup de légumes.</t>
  </si>
  <si>
    <t>C'est tout ?</t>
  </si>
  <si>
    <t>Il faut de l'huile d'olive et un peu de sel</t>
    <phoneticPr fontId="1"/>
  </si>
  <si>
    <t>Je choisis le vin.</t>
  </si>
  <si>
    <t>Le vin blanc frais va bien avec la ratatouille.</t>
  </si>
  <si>
    <t>ラタトゥイユを作ります。</t>
  </si>
  <si>
    <t>今夜は何を作るの?</t>
    <rPh sb="5" eb="6">
      <t>ツク</t>
    </rPh>
    <phoneticPr fontId="1"/>
  </si>
  <si>
    <t>それは南部の名物です。</t>
  </si>
  <si>
    <t>では、何を買うのでしょうか。</t>
  </si>
  <si>
    <t>買うのはトマトと、</t>
    <phoneticPr fontId="1"/>
  </si>
  <si>
    <t>ピーマン、</t>
    <phoneticPr fontId="1"/>
  </si>
  <si>
    <t>それとズッキーニ。</t>
    <phoneticPr fontId="1"/>
  </si>
  <si>
    <t>オリーブオイルと少量の塩も必要です。</t>
    <phoneticPr fontId="1"/>
  </si>
  <si>
    <t>それで全部ですか？</t>
    <rPh sb="3" eb="5">
      <t>ゼンブ</t>
    </rPh>
    <phoneticPr fontId="1"/>
  </si>
  <si>
    <t>私はワインを選びます。</t>
  </si>
  <si>
    <t>野菜をたくさん買いますね。</t>
    <phoneticPr fontId="1"/>
  </si>
  <si>
    <t>冷えた白ワインはラタトゥイユによく合います。</t>
    <rPh sb="0" eb="1">
      <t>ヒ</t>
    </rPh>
    <phoneticPr fontId="1"/>
  </si>
  <si>
    <t>Leçon sept</t>
  </si>
  <si>
    <t>Minako, Qu'est-ce que tu as ?</t>
  </si>
  <si>
    <t>J'ai mal à la tête et j'ai froid.</t>
  </si>
  <si>
    <t xml:space="preserve">Ah, tu es enrhumée. </t>
  </si>
  <si>
    <t>Je ne sais pas.</t>
  </si>
  <si>
    <t>Tune vas pas bien ?</t>
    <phoneticPr fontId="1"/>
  </si>
  <si>
    <t>As-tu de la fièvre ?</t>
    <phoneticPr fontId="1"/>
  </si>
  <si>
    <t xml:space="preserve">Non, ça va. </t>
  </si>
  <si>
    <t>Prends du vin chaud et dors bien.</t>
  </si>
  <si>
    <t>As-tu des médicaments ?</t>
  </si>
  <si>
    <t>Je crois que j'ai des aspirines dans ce sac.</t>
  </si>
  <si>
    <t>Prends un comprimé tout de suite.</t>
  </si>
  <si>
    <t>C'est bien.</t>
    <phoneticPr fontId="1"/>
  </si>
  <si>
    <t>体調が悪いですか?</t>
  </si>
  <si>
    <t>美奈子、どうしたの?</t>
    <phoneticPr fontId="1"/>
  </si>
  <si>
    <t>頭が痛くて寒気がします。</t>
    <rPh sb="2" eb="3">
      <t>イタ</t>
    </rPh>
    <rPh sb="5" eb="7">
      <t>サムケ</t>
    </rPh>
    <phoneticPr fontId="1"/>
  </si>
  <si>
    <t>熱はありますか?</t>
  </si>
  <si>
    <t>ああ、あなたは風邪をひいていますね。</t>
    <phoneticPr fontId="1"/>
  </si>
  <si>
    <t>わかりません。</t>
  </si>
  <si>
    <t>Va voir le médecin.</t>
    <phoneticPr fontId="1"/>
  </si>
  <si>
    <t>医者に診てもらいましょう。</t>
  </si>
  <si>
    <t>いいえ、大丈夫です。</t>
    <phoneticPr fontId="1"/>
  </si>
  <si>
    <t>グリューワインを飲んでよく眠ってください。</t>
  </si>
  <si>
    <t>薬はありますか?</t>
  </si>
  <si>
    <t>このバッグにはアスピリンが入っていると思います。</t>
  </si>
  <si>
    <t>それは良いです。</t>
    <rPh sb="3" eb="4">
      <t>ヨ</t>
    </rPh>
    <phoneticPr fontId="1"/>
  </si>
  <si>
    <t>すぐに1錠服用してください。</t>
  </si>
  <si>
    <t>Leçon huit</t>
  </si>
  <si>
    <t>Bonjour, Mademoiselle.</t>
  </si>
  <si>
    <t>Bibliothécaire</t>
    <phoneticPr fontId="1"/>
  </si>
  <si>
    <t>assets/icons/image112.png</t>
    <phoneticPr fontId="1"/>
  </si>
  <si>
    <t>Bonjour.</t>
  </si>
  <si>
    <t>Je cherche des livres sur le peintre Monet.</t>
  </si>
  <si>
    <t xml:space="preserve">Voyons. </t>
    <phoneticPr fontId="1"/>
  </si>
  <si>
    <t>Oui, nous avons plusieurs livres sur Monet.</t>
  </si>
  <si>
    <t>S'il y a un livre sur ses relations avec le Japon,</t>
  </si>
  <si>
    <t>je voudrais l'emprunter.</t>
    <phoneticPr fontId="1"/>
  </si>
  <si>
    <t>Pour le prêt, il faut remplir cette fiche.</t>
  </si>
  <si>
    <t>Ecrivez votre nom et votre adresse.</t>
  </si>
  <si>
    <t>Voilà.</t>
  </si>
  <si>
    <t>Quand est-ce que je le rends?</t>
  </si>
  <si>
    <t>Vous devez le rendre dans deux semaines.</t>
  </si>
  <si>
    <t>おはようございます、お嬢さん。</t>
  </si>
  <si>
    <t>こんにちは。</t>
  </si>
  <si>
    <t>画家モネに関する本を探しています。</t>
  </si>
  <si>
    <t>はい、モネに関する本がいくつかあります。</t>
  </si>
  <si>
    <t>探します。</t>
    <rPh sb="0" eb="1">
      <t>サガ</t>
    </rPh>
    <phoneticPr fontId="1"/>
  </si>
  <si>
    <t>日本との関係についての本があれば、</t>
  </si>
  <si>
    <t>借りてみたいです。</t>
  </si>
  <si>
    <t>貸出については、この申込書に記入する必要があります。</t>
    <rPh sb="0" eb="2">
      <t>カシダシ</t>
    </rPh>
    <rPh sb="10" eb="13">
      <t>モウシコミショ</t>
    </rPh>
    <phoneticPr fontId="1"/>
  </si>
  <si>
    <t>あなたの名前と住所を書いてください。</t>
  </si>
  <si>
    <t>どうぞ。</t>
    <phoneticPr fontId="1"/>
  </si>
  <si>
    <t>いつ返却すればいいですか?</t>
    <rPh sb="2" eb="4">
      <t>ヘンキャク</t>
    </rPh>
    <phoneticPr fontId="1"/>
  </si>
  <si>
    <t>2週間以内に返品する必要があります。</t>
  </si>
  <si>
    <t>Leçon neuf</t>
  </si>
  <si>
    <t>Je peux vous aider ?</t>
  </si>
  <si>
    <t>Je voudrais une veste.</t>
  </si>
  <si>
    <t>Vendeur</t>
  </si>
  <si>
    <t>assets/icons/image025.png</t>
    <phoneticPr fontId="1"/>
  </si>
  <si>
    <t>Quelle est votre taille ?</t>
  </si>
  <si>
    <t>Celle-ci, par exemple.</t>
  </si>
  <si>
    <t>Elle vous va très bien.</t>
  </si>
  <si>
    <t>Oui, elle me plaît.</t>
  </si>
  <si>
    <t>Je fais du trente-huit.</t>
    <phoneticPr fontId="1"/>
  </si>
  <si>
    <t>quatre-vingt-dix euros.</t>
    <phoneticPr fontId="1"/>
  </si>
  <si>
    <t>Alors, je prends celle-ci.</t>
  </si>
  <si>
    <t>Vous payez comment ?</t>
  </si>
  <si>
    <t>Par carte de crédit.</t>
  </si>
  <si>
    <t>お手伝いしましょうか?</t>
    <rPh sb="1" eb="3">
      <t>テツダ</t>
    </rPh>
    <phoneticPr fontId="1"/>
  </si>
  <si>
    <t>ジャケットをお願いします。</t>
  </si>
  <si>
    <t>あなたの身長は?</t>
  </si>
  <si>
    <t>私は38です。</t>
    <rPh sb="0" eb="1">
      <t>ワタシ</t>
    </rPh>
    <phoneticPr fontId="1"/>
  </si>
  <si>
    <t>たとえば、こちらなどです。</t>
    <phoneticPr fontId="1"/>
  </si>
  <si>
    <t>あなたにとてもよく似合いです。</t>
    <rPh sb="9" eb="11">
      <t>ニア</t>
    </rPh>
    <phoneticPr fontId="1"/>
  </si>
  <si>
    <t>ええ、良いですね。</t>
    <rPh sb="3" eb="4">
      <t>ヨ</t>
    </rPh>
    <phoneticPr fontId="1"/>
  </si>
  <si>
    <t>Elle coûte combien ?</t>
  </si>
  <si>
    <t>おいくらですか。</t>
    <phoneticPr fontId="1"/>
  </si>
  <si>
    <t>90ユーロです。</t>
    <phoneticPr fontId="1"/>
  </si>
  <si>
    <t>では、これを買います。</t>
    <rPh sb="6" eb="7">
      <t>カ</t>
    </rPh>
    <phoneticPr fontId="1"/>
  </si>
  <si>
    <t>お支払い方法は?</t>
    <phoneticPr fontId="1"/>
  </si>
  <si>
    <t>クレジットカードでお願いします。</t>
    <rPh sb="10" eb="11">
      <t>ネガ</t>
    </rPh>
    <phoneticPr fontId="1"/>
  </si>
  <si>
    <t>Leçon dix</t>
  </si>
  <si>
    <t>Bon anniversaire, Minako !</t>
  </si>
  <si>
    <t>Merci beaucoup.</t>
    <phoneticPr fontId="1"/>
  </si>
  <si>
    <t>Tu as quel âge maintenant ?</t>
    <phoneticPr fontId="1"/>
  </si>
  <si>
    <t>Je viens d'avoir vingt-deux ans.</t>
    <phoneticPr fontId="1"/>
  </si>
  <si>
    <t>Nous avons une surprise pour toi.</t>
  </si>
  <si>
    <t>Voilà un gâteau d'anniversaire.</t>
  </si>
  <si>
    <t>Super!</t>
  </si>
  <si>
    <t>Vous avez fait ce gâteau ?</t>
  </si>
  <si>
    <t>C'est Céline qui l'a fait.</t>
    <phoneticPr fontId="1"/>
  </si>
  <si>
    <t>Je lui ai donné un petit coup de main.</t>
  </si>
  <si>
    <t>Vous êtes trop gentils.</t>
  </si>
  <si>
    <t>美奈子さん、お誕生日おめでとう!</t>
  </si>
  <si>
    <t>ありがとうございます。</t>
    <phoneticPr fontId="1"/>
  </si>
  <si>
    <t>あなたは何歳になったのですか?</t>
    <phoneticPr fontId="1"/>
  </si>
  <si>
    <t>私はちょうど22歳になりました。</t>
  </si>
  <si>
    <t>サプライズがあります。</t>
  </si>
  <si>
    <t>これはバースデーケーキです。</t>
  </si>
  <si>
    <t>すごい！</t>
    <phoneticPr fontId="1"/>
  </si>
  <si>
    <t>このケーキは作ったんですか?</t>
    <rPh sb="6" eb="7">
      <t>ツク</t>
    </rPh>
    <phoneticPr fontId="1"/>
  </si>
  <si>
    <t>セリーヌが作りました。</t>
    <rPh sb="5" eb="6">
      <t>ツク</t>
    </rPh>
    <phoneticPr fontId="1"/>
  </si>
  <si>
    <t>私はそれを少し手伝いました。</t>
    <rPh sb="7" eb="9">
      <t>テツダ</t>
    </rPh>
    <phoneticPr fontId="1"/>
  </si>
  <si>
    <t>本当にありがとうございます。</t>
    <rPh sb="0" eb="2">
      <t>ホントウ</t>
    </rPh>
    <phoneticPr fontId="1"/>
  </si>
  <si>
    <t>Leçon onze</t>
  </si>
  <si>
    <t>Salut, Minako.</t>
  </si>
  <si>
    <t>Tu es toute bronzée.</t>
  </si>
  <si>
    <t>Tu as passé de bonnes vacances ?</t>
  </si>
  <si>
    <t>Oui, je suis allée dans le Midi avec une amie japonaise.</t>
  </si>
  <si>
    <t>Où êtes-vous allées exactement ?</t>
  </si>
  <si>
    <t>Nous sommes parties le 1er août.</t>
  </si>
  <si>
    <t>Nous sommes allées d'abord à Avignon,</t>
  </si>
  <si>
    <t>puis à Aix-en-Provence.</t>
    <phoneticPr fontId="1"/>
  </si>
  <si>
    <t>Vous avez sans doute dansé sur le pont d'Avignon.</t>
  </si>
  <si>
    <t xml:space="preserve">Bien sûr. </t>
  </si>
  <si>
    <t>Et vous, vous êtes partis où ?</t>
  </si>
  <si>
    <t>Je suis allée chez ma tante, à Besançon.</t>
  </si>
  <si>
    <t>Moi, je suis resté à Paris pour un petit travail.</t>
  </si>
  <si>
    <t>こんにちは、美奈子さん。</t>
  </si>
  <si>
    <t>良い休日を過ごしましたか?</t>
  </si>
  <si>
    <t>あなたはすっかり日焼けしています。</t>
    <phoneticPr fontId="1"/>
  </si>
  <si>
    <t>はい、日本人の友達と南に行きました。</t>
  </si>
  <si>
    <t>いったいどこへ行ったの?</t>
  </si>
  <si>
    <t>私たちは8月1日に出発しました。</t>
  </si>
  <si>
    <t>私たちは最初にアヴィニョンに行きました、</t>
  </si>
  <si>
    <t>その後、エクス-アン-プロヴァンスへ。</t>
    <phoneticPr fontId="1"/>
  </si>
  <si>
    <t>きっとアヴィニョンの橋で踊ったのでしょう。</t>
    <phoneticPr fontId="1"/>
  </si>
  <si>
    <t>もちろんです。</t>
  </si>
  <si>
    <t>ブザンソンの叔母の家に行きました。</t>
  </si>
  <si>
    <t>それで、あなた方、あなた方はどこに行きましたか?</t>
    <rPh sb="7" eb="8">
      <t>ガタ</t>
    </rPh>
    <rPh sb="12" eb="13">
      <t>ガタ</t>
    </rPh>
    <phoneticPr fontId="1"/>
  </si>
  <si>
    <t>私はちょっとした仕事のためにパリに滞在しました。</t>
  </si>
  <si>
    <t>Leçon douze</t>
  </si>
  <si>
    <t>Et je voudrais envoyer ce colis au Japon.</t>
  </si>
  <si>
    <t>Par bateau ou par avion ?</t>
  </si>
  <si>
    <t>Employé</t>
  </si>
  <si>
    <t>assets/icons/image008.png</t>
    <phoneticPr fontId="1"/>
  </si>
  <si>
    <t>Par avion, c'est combien ?</t>
  </si>
  <si>
    <t>Et par bateau ?</t>
  </si>
  <si>
    <t>C'est moins cher que par avion.</t>
  </si>
  <si>
    <t>Par bateau, c'est moins cher, mais ça met plus de temps.</t>
    <phoneticPr fontId="1"/>
  </si>
  <si>
    <t>Alors, par avion, s'il vous plaît.</t>
  </si>
  <si>
    <t>Vous venez du Japon ?</t>
  </si>
  <si>
    <t>Oui, et j'y retourne dans quelques mois.</t>
  </si>
  <si>
    <t>それで、このパッケージを日本に送りたいです。</t>
    <phoneticPr fontId="1"/>
  </si>
  <si>
    <t>すみません、90セントの切手をください。</t>
    <phoneticPr fontId="1"/>
  </si>
  <si>
    <t>飛行機で、いくらですか?</t>
  </si>
  <si>
    <t>ボートですか、飛行機ですか?</t>
    <phoneticPr fontId="1"/>
  </si>
  <si>
    <t>8ユーロ 40セントです。</t>
    <phoneticPr fontId="1"/>
  </si>
  <si>
    <t>Monsieur, donnez-moi un timbre à quatre-vingt-dix centimes.</t>
    <phoneticPr fontId="1"/>
  </si>
  <si>
    <t>huit euros quarante.</t>
    <phoneticPr fontId="1"/>
  </si>
  <si>
    <t>それでボートでは?</t>
    <phoneticPr fontId="1"/>
  </si>
  <si>
    <t>飛行機よりも安いです。</t>
  </si>
  <si>
    <t>5ユーロ80です。</t>
    <phoneticPr fontId="1"/>
  </si>
  <si>
    <t>Ça vous fait cinq euros quatre-vingts.</t>
    <phoneticPr fontId="1"/>
  </si>
  <si>
    <t>ボートでは安いですが、時間がかかります。</t>
  </si>
  <si>
    <t>では、飛行機でお願いします。</t>
    <phoneticPr fontId="1"/>
  </si>
  <si>
    <t>あなたは日本から来ましたか?</t>
  </si>
  <si>
    <t>はい、そして私は数ヶ月後に戻ります。</t>
  </si>
  <si>
    <t>Lecon treize</t>
  </si>
  <si>
    <t>Ça te dit d'aller au cinéma après le cours ?</t>
  </si>
  <si>
    <t>Oui, volontiers.</t>
  </si>
  <si>
    <t>Très bien.</t>
  </si>
  <si>
    <t>Alors, à tout à l'heure.</t>
  </si>
  <si>
    <t>(A la sortie du cinéma)</t>
  </si>
  <si>
    <t>Je l'ai bien aimé.</t>
  </si>
  <si>
    <t>Le héros est un jeune homme sympathique.</t>
    <phoneticPr fontId="1"/>
  </si>
  <si>
    <t>Mais j'ai ri quand il s'est caché sous le lit de sa petite amie.</t>
    <phoneticPr fontId="1"/>
  </si>
  <si>
    <t>Ah oui, un peu ridicule.</t>
  </si>
  <si>
    <t>Et le dénouement, je ne l'aime pas.</t>
    <phoneticPr fontId="1"/>
  </si>
  <si>
    <t>Le héros et l'héroïne s'aiment.</t>
    <phoneticPr fontId="1"/>
  </si>
  <si>
    <t>Pourquoi ils doivent se quitter ?</t>
    <phoneticPr fontId="1"/>
  </si>
  <si>
    <t>La vie est souvent comme ça.</t>
  </si>
  <si>
    <t>授業の後に映画を見に行きませんか?</t>
    <phoneticPr fontId="1"/>
  </si>
  <si>
    <t>はい、喜んで。</t>
  </si>
  <si>
    <t>Alors, on se donne rendez-vous à la cafétéria à quatre heures.</t>
    <phoneticPr fontId="1"/>
  </si>
  <si>
    <t>それでは、4時にカフェテリアで会いましょう。</t>
    <phoneticPr fontId="1"/>
  </si>
  <si>
    <t>良いですね。</t>
    <rPh sb="0" eb="1">
      <t>ヨ</t>
    </rPh>
    <phoneticPr fontId="1"/>
  </si>
  <si>
    <t>それでは、また後でお会いしましょう。</t>
  </si>
  <si>
    <t>(映画館の出口で)</t>
  </si>
  <si>
    <t>この映画をどうでしたか?</t>
    <phoneticPr fontId="1"/>
  </si>
  <si>
    <t>気に入りました。</t>
    <rPh sb="0" eb="1">
      <t>キ</t>
    </rPh>
    <rPh sb="2" eb="3">
      <t>イ</t>
    </rPh>
    <phoneticPr fontId="1"/>
  </si>
  <si>
    <t>Comment as-tu trouvé le film ?</t>
    <phoneticPr fontId="1"/>
  </si>
  <si>
    <t>主人公は感じの良い若者ですね。</t>
    <rPh sb="4" eb="5">
      <t>カン</t>
    </rPh>
    <rPh sb="7" eb="8">
      <t>ヨ</t>
    </rPh>
    <phoneticPr fontId="1"/>
  </si>
  <si>
    <t>しかし、彼がガールフレンドのベッドの下に隠れたのには、笑いました。</t>
    <phoneticPr fontId="1"/>
  </si>
  <si>
    <t>そうそう、少しばかげてますね。</t>
    <phoneticPr fontId="1"/>
  </si>
  <si>
    <t>そして結末、私は気に入りません。</t>
    <rPh sb="4" eb="5">
      <t>マツ</t>
    </rPh>
    <rPh sb="8" eb="9">
      <t>キ</t>
    </rPh>
    <rPh sb="10" eb="11">
      <t>イ</t>
    </rPh>
    <phoneticPr fontId="1"/>
  </si>
  <si>
    <t>主人公とヒロインはお互いを愛しています。</t>
  </si>
  <si>
    <t>なぜ彼らはお互いを離れなければならないのですか?</t>
  </si>
  <si>
    <t>人生はしばしばそのようなものです。</t>
  </si>
  <si>
    <t>Leçon quatorze</t>
  </si>
  <si>
    <t xml:space="preserve"> Tu étais comment quand tu étais au lycée ?</t>
  </si>
  <si>
    <t>Oh, j'étais une petite lycéenne plutôt rêveuse...</t>
  </si>
  <si>
    <t>De quoi est-ce que tu rêvais ?</t>
  </si>
  <si>
    <t>Je rêvais de devenir chanteuse.</t>
  </si>
  <si>
    <t>Et toi, Céline ?</t>
  </si>
  <si>
    <t>Mes parents se sont séparés quand j'avais seize ans.</t>
    <phoneticPr fontId="1"/>
  </si>
  <si>
    <t>J'ai travaillé dur pour faire plaisir à ma mère ... être une fille modèle...</t>
    <phoneticPr fontId="1"/>
  </si>
  <si>
    <t>Et toi, Luigi ?</t>
  </si>
  <si>
    <t>Tu étais comment ?</t>
  </si>
  <si>
    <t>Oh, je me suis bien amusé.</t>
  </si>
  <si>
    <t>Je suis sorti avec des filles, on a dansé, on a chanté</t>
    <phoneticPr fontId="1"/>
  </si>
  <si>
    <t>La vie est belle en Italie.</t>
    <phoneticPr fontId="1"/>
  </si>
  <si>
    <t>高校生の頃はどんな感じでしたか?</t>
  </si>
  <si>
    <t>ああ、私は少し夢見がちな高校生でした...</t>
    <rPh sb="5" eb="6">
      <t>スコ</t>
    </rPh>
    <rPh sb="7" eb="9">
      <t>ユメミ</t>
    </rPh>
    <phoneticPr fontId="1"/>
  </si>
  <si>
    <t>何を夢見ていましたか?</t>
  </si>
  <si>
    <t>私は歌手になることを夢見ていました。</t>
  </si>
  <si>
    <t>セリーヌ、あなたはどうですか?</t>
  </si>
  <si>
    <t>両親はわたしが16歳のときに離婚しました。</t>
    <rPh sb="14" eb="16">
      <t>リコン</t>
    </rPh>
    <phoneticPr fontId="1"/>
  </si>
  <si>
    <t>私は母を喜ばせるために一生懸命勉強しました…模範的な女の子であるために...</t>
    <rPh sb="0" eb="1">
      <t>ワタシ</t>
    </rPh>
    <rPh sb="2" eb="3">
      <t>ハハ</t>
    </rPh>
    <rPh sb="4" eb="5">
      <t>ヨロコ</t>
    </rPh>
    <rPh sb="11" eb="15">
      <t>イッショウケンメイ</t>
    </rPh>
    <rPh sb="15" eb="17">
      <t>ベンキョウ</t>
    </rPh>
    <rPh sb="22" eb="24">
      <t>モハン</t>
    </rPh>
    <rPh sb="24" eb="25">
      <t>テキ</t>
    </rPh>
    <rPh sb="26" eb="27">
      <t>オンナ</t>
    </rPh>
    <rPh sb="28" eb="29">
      <t>コ</t>
    </rPh>
    <phoneticPr fontId="1"/>
  </si>
  <si>
    <t>ルイージ、あなたはどうですか?</t>
  </si>
  <si>
    <t>どうでしたか?</t>
    <phoneticPr fontId="1"/>
  </si>
  <si>
    <t>ああ、とても楽しかったです。</t>
  </si>
  <si>
    <t>私は女の子と出かけ、踊り、歌いました</t>
  </si>
  <si>
    <t>イタリアの生活は良いですね。</t>
    <phoneticPr fontId="1"/>
  </si>
  <si>
    <t>Leçon quinze</t>
    <phoneticPr fontId="1"/>
  </si>
  <si>
    <t>C'est la première fois que tu viens au Musée du Louvre ?</t>
  </si>
  <si>
    <t xml:space="preserve">Oui, ça fait longtemps que je voulais venir, </t>
    <phoneticPr fontId="1"/>
  </si>
  <si>
    <t>mais je n'avais pas eu le temps.</t>
  </si>
  <si>
    <t>Il faut voir avant tout La Joconde et la Vénus de Milo.</t>
    <phoneticPr fontId="1"/>
  </si>
  <si>
    <t>Oui, mais je m'intéresse aussi à la peinture de la Renaissance.</t>
    <phoneticPr fontId="1"/>
  </si>
  <si>
    <t xml:space="preserve">Il est impossible de tout voir en un jour. </t>
  </si>
  <si>
    <t>Il faut choisir.</t>
  </si>
  <si>
    <t>(Après la visite)</t>
  </si>
  <si>
    <t>Je ne savais pas que le Musée du Louvre était aussi grand.</t>
    <phoneticPr fontId="1"/>
  </si>
  <si>
    <t>Je suis complètement épuisée.</t>
  </si>
  <si>
    <t>Moi aussi.</t>
  </si>
  <si>
    <t>Si on allait au café qui se trouve juste devant le Musée ?</t>
    <phoneticPr fontId="1"/>
  </si>
  <si>
    <t>Bonne idée.</t>
    <phoneticPr fontId="1"/>
  </si>
  <si>
    <t>J'ai soif.</t>
  </si>
  <si>
    <t>ルーブル美術館に来るのは初めてですか?</t>
  </si>
  <si>
    <t>はい、ずっと来たいと思っていましたが、</t>
  </si>
  <si>
    <t>しかし、私には時間がありませんでした。</t>
  </si>
  <si>
    <t>何よりもモナリザとミロのヴィーナスを見なければなりません。</t>
  </si>
  <si>
    <t>はい、でもルネッサンス絵画にも興味があります。</t>
  </si>
  <si>
    <t>一日ですべてを見ることは不可能です。</t>
  </si>
  <si>
    <t>あなたは選ばなければなりません。</t>
  </si>
  <si>
    <t>(見学後)</t>
  </si>
  <si>
    <t>ルーブル美術館がこんなに大きいとは知りませんでした。</t>
  </si>
  <si>
    <t>疲れ果てました。</t>
    <phoneticPr fontId="1"/>
  </si>
  <si>
    <t>私もそうです。</t>
  </si>
  <si>
    <t>美術館の目の前のカフェに行かない?</t>
    <phoneticPr fontId="1"/>
  </si>
  <si>
    <t>いい考え。</t>
  </si>
  <si>
    <t>喉が渇いていますし。</t>
    <phoneticPr fontId="1"/>
  </si>
  <si>
    <t>Leçon seize</t>
    <phoneticPr fontId="1"/>
  </si>
  <si>
    <t>Monsieur, j'ai perdu mon portefeuille.</t>
  </si>
  <si>
    <t>Où est-ce que vous l'avez perdu ?</t>
  </si>
  <si>
    <t>Agent de police</t>
  </si>
  <si>
    <t>assets/icons/image052.png</t>
    <phoneticPr fontId="1"/>
  </si>
  <si>
    <t>Peut-être dans le métro.</t>
  </si>
  <si>
    <t>Des portefeuilles,</t>
  </si>
  <si>
    <t xml:space="preserve"> il y en a plein dans cette boîte.</t>
  </si>
  <si>
    <t>De quelle couleur est le vôtre ?</t>
  </si>
  <si>
    <t>Rouge.</t>
  </si>
  <si>
    <t>C'est celui-ci ?</t>
  </si>
  <si>
    <t>Qui est ce gentil monsieur ?</t>
  </si>
  <si>
    <t>Vous pouvez me donner son nom et son adresse?</t>
  </si>
  <si>
    <t>Oui, une seconde, s'il vous plaît.</t>
  </si>
  <si>
    <t>すみません、財布をなくしたのですが。</t>
    <phoneticPr fontId="1"/>
  </si>
  <si>
    <t>多分地下鉄で。</t>
  </si>
  <si>
    <t>あなたの財布の色は何色ですか?</t>
    <rPh sb="4" eb="6">
      <t>サイフ</t>
    </rPh>
    <phoneticPr fontId="1"/>
  </si>
  <si>
    <t>財布なら</t>
    <rPh sb="0" eb="2">
      <t>サイフ</t>
    </rPh>
    <phoneticPr fontId="1"/>
  </si>
  <si>
    <t>この箱にたくさんあります。</t>
    <phoneticPr fontId="1"/>
  </si>
  <si>
    <t>赤です。</t>
    <phoneticPr fontId="1"/>
  </si>
  <si>
    <t>これですか?</t>
  </si>
  <si>
    <t>Ah, oui.</t>
  </si>
  <si>
    <t>C'est le mien.</t>
  </si>
  <si>
    <t>Un jeune homme l'a apporté ici tout à l'heure.</t>
    <phoneticPr fontId="1"/>
  </si>
  <si>
    <t>ああ、そうです。</t>
  </si>
  <si>
    <t>それが私のです。</t>
    <phoneticPr fontId="1"/>
  </si>
  <si>
    <t>ちょうど今、若い男がそれをここに持ってきました。</t>
  </si>
  <si>
    <t>この親切な方は誰ですか?</t>
    <rPh sb="2" eb="4">
      <t>シンセツ</t>
    </rPh>
    <rPh sb="5" eb="6">
      <t>カタ</t>
    </rPh>
    <phoneticPr fontId="1"/>
  </si>
  <si>
    <t>彼の名前と住所を教えていただけますか?</t>
  </si>
  <si>
    <t>はい、少しお待ちください。</t>
    <rPh sb="3" eb="4">
      <t>スコ</t>
    </rPh>
    <rPh sb="6" eb="7">
      <t>マ</t>
    </rPh>
    <phoneticPr fontId="1"/>
  </si>
  <si>
    <t>どこで失くしたのですか?</t>
    <phoneticPr fontId="1"/>
  </si>
  <si>
    <t>Leçon dix-sept</t>
  </si>
  <si>
    <t>Minako, qu'est-ce que tu penses faire dans l'avenir ?</t>
  </si>
  <si>
    <t>J'espère travailler dans une agence de voyages.</t>
  </si>
  <si>
    <t>Je voyagerai dans le monde entier.</t>
  </si>
  <si>
    <t>Tu parles bien français.</t>
  </si>
  <si>
    <t>Et vous, qu'est-ce que vous ferez ?</t>
  </si>
  <si>
    <t>Ça te servira beaucoup.</t>
    <phoneticPr fontId="1"/>
  </si>
  <si>
    <t>Moi, j'aimerais travailler dans le monde du cinéma.</t>
  </si>
  <si>
    <t>Comme ce sera bien de travailler avec des vedettes!</t>
  </si>
  <si>
    <t>Moi, j'irai sans doute en Argentine.</t>
  </si>
  <si>
    <t>J'ai un oncle qui a une ferme là-bas.</t>
    <phoneticPr fontId="1"/>
  </si>
  <si>
    <t>Je reviendrai en Italie quand j'aurai fait fortune.</t>
  </si>
  <si>
    <t>Tu es ambitieux.</t>
  </si>
  <si>
    <t>美奈子さん、今後はどうするつもりですか?</t>
  </si>
  <si>
    <t>旅行会社で働きたいと思っています。</t>
  </si>
  <si>
    <t>私は世界中を旅します。</t>
  </si>
  <si>
    <t>あなたはフランス語が上手です。</t>
  </si>
  <si>
    <t>それはあなたにたくさん役立つでしょう。</t>
  </si>
  <si>
    <t>それで、あなた、あなたは何をしますか?</t>
    <phoneticPr fontId="1"/>
  </si>
  <si>
    <t>映画の世界で働きたいです。</t>
  </si>
  <si>
    <t>スターと一緒に仕事するの、なんて素晴らしいことでしょう!</t>
    <phoneticPr fontId="1"/>
  </si>
  <si>
    <t>私はおそらくアルゼンチンに行きます。</t>
  </si>
  <si>
    <t>私にはそこに農場を持っている叔父がいます。</t>
  </si>
  <si>
    <t>財産を築いたらイタリアに戻ります。</t>
  </si>
  <si>
    <t>あなたは野心的だね。</t>
    <phoneticPr fontId="1"/>
  </si>
  <si>
    <t>Leçon dix-huit</t>
  </si>
  <si>
    <t>Salut, Céline.</t>
  </si>
  <si>
    <t>Quoi de neuf ?</t>
  </si>
  <si>
    <t>J'ai déménagé le week-end dernier.</t>
  </si>
  <si>
    <t>Ah, bon.</t>
  </si>
  <si>
    <t>Si j'avais su, je t'aurais aidée.</t>
  </si>
  <si>
    <t>Il est spacieux et il donne sur une cour pleine d'arbres.</t>
    <phoneticPr fontId="1"/>
  </si>
  <si>
    <t>Si j'étais à ta place,</t>
  </si>
  <si>
    <t>je le partagerais avec une copine.</t>
    <phoneticPr fontId="1"/>
  </si>
  <si>
    <t>Comme je peins des tableaux,</t>
  </si>
  <si>
    <t>j'ai besoin d'espace.</t>
  </si>
  <si>
    <t>J'aimerais bien voir tes tableaux un jour.</t>
  </si>
  <si>
    <t>こんにちは、セリーヌ。</t>
  </si>
  <si>
    <t>最近どうですか。</t>
  </si>
  <si>
    <t>先週末引っ越しました。</t>
  </si>
  <si>
    <t>ほんとですか。</t>
  </si>
  <si>
    <t>もし知っていたら、あなたを手伝ったのに。</t>
    <rPh sb="13" eb="15">
      <t>テツダ</t>
    </rPh>
    <phoneticPr fontId="1"/>
  </si>
  <si>
    <t xml:space="preserve">Merci, tu es gentil. </t>
  </si>
  <si>
    <t>Minako m'a donné un coup de main.</t>
  </si>
  <si>
    <t>美奈子が私を手伝ってくれました。</t>
    <rPh sb="6" eb="8">
      <t>テツダ</t>
    </rPh>
    <phoneticPr fontId="1"/>
  </si>
  <si>
    <t>ありがとう、あなたは親切ですね。</t>
    <phoneticPr fontId="1"/>
  </si>
  <si>
    <t>Le nouveau studio de Céline est super.</t>
    <phoneticPr fontId="1"/>
  </si>
  <si>
    <t>セリーヌの新しいワンルームマンションは素晴らしいです。</t>
    <phoneticPr fontId="1"/>
  </si>
  <si>
    <t>広々としており、木々でいっぱいの中庭を見渡せます。</t>
  </si>
  <si>
    <t>もし私があなたの立場にいたら、</t>
    <rPh sb="8" eb="10">
      <t>タチバ</t>
    </rPh>
    <phoneticPr fontId="1"/>
  </si>
  <si>
    <t>私は友達と共有します。</t>
    <rPh sb="2" eb="4">
      <t>トモダチ</t>
    </rPh>
    <phoneticPr fontId="1"/>
  </si>
  <si>
    <t>絵を描いているから、</t>
    <phoneticPr fontId="1"/>
  </si>
  <si>
    <t>スペースが必要なのです。</t>
    <phoneticPr fontId="1"/>
  </si>
  <si>
    <t>いつかあなたの絵を見たいです。</t>
  </si>
  <si>
    <t>Leçon dix-neuf</t>
  </si>
  <si>
    <t>Voilà mon nouveau studio.</t>
  </si>
  <si>
    <t>Nous sommes enfin invités chez toi.</t>
  </si>
  <si>
    <t>Comme il est mignon, le chat!</t>
  </si>
  <si>
    <t>Et ce sont des tableaux que tu as peints?</t>
  </si>
  <si>
    <t>Oui.</t>
  </si>
  <si>
    <t>Tu travailles comment ?</t>
  </si>
  <si>
    <t>D'habitude, je peins en écoutant de la musique.</t>
  </si>
  <si>
    <t>Je ne pense qu'à mon tableau et j'oublie tout ce qui ne le regarde pas.</t>
    <phoneticPr fontId="1"/>
  </si>
  <si>
    <t>Tu es une vraie artiste.</t>
  </si>
  <si>
    <t>これが私の新しいワンルームです。</t>
    <phoneticPr fontId="1"/>
  </si>
  <si>
    <t>なんてかわいいのでしょう、猫!</t>
  </si>
  <si>
    <t>ようやくあなたの家に招待されました。</t>
    <phoneticPr fontId="1"/>
  </si>
  <si>
    <t>それで、これらはあなたが描いた絵ですか?</t>
    <phoneticPr fontId="1"/>
  </si>
  <si>
    <t>はい</t>
    <phoneticPr fontId="1"/>
  </si>
  <si>
    <t>どのように働いていますか?</t>
  </si>
  <si>
    <t>普段は音楽を聴きながら絵を描いています。</t>
  </si>
  <si>
    <t>私は自分の絵のことだけを考え、それに関係のないことはすべて忘れます。</t>
  </si>
  <si>
    <t>あなたは真のアーティストです。</t>
  </si>
  <si>
    <t>Leçon vingt</t>
  </si>
  <si>
    <t>Tu vas nous quitter dans quelques jours.</t>
  </si>
  <si>
    <t>Oui, merci pour tout ce que vous avez fait pour moi.</t>
  </si>
  <si>
    <t>Je regrette que tu doives retourner au Japon si tôt.</t>
  </si>
  <si>
    <t xml:space="preserve">Moi aussi. </t>
  </si>
  <si>
    <t>Je souhaite que vous veniez au Japon un jour.</t>
    <phoneticPr fontId="1"/>
  </si>
  <si>
    <t xml:space="preserve">Oui, oui. </t>
  </si>
  <si>
    <t>Nous irons ensemble au Japon pour revoir Minako.</t>
    <phoneticPr fontId="1"/>
  </si>
  <si>
    <t xml:space="preserve">C'est promis. </t>
  </si>
  <si>
    <t>Je vous ferai découvrir les beautés du Japon.</t>
    <phoneticPr fontId="1"/>
  </si>
  <si>
    <t>Grâce à Internet, le monde est devenu petit.</t>
  </si>
  <si>
    <t>Envoie-nous des e-mails.</t>
  </si>
  <si>
    <t>Je n'y manquerai pas.</t>
  </si>
  <si>
    <t>あなたは数日で帰る予定ですね。</t>
    <rPh sb="7" eb="8">
      <t>カエ</t>
    </rPh>
    <rPh sb="9" eb="11">
      <t>ヨテイ</t>
    </rPh>
    <phoneticPr fontId="1"/>
  </si>
  <si>
    <t>はい、あなたたちが私のためにしてくれたすべてに感謝します。</t>
    <phoneticPr fontId="1"/>
  </si>
  <si>
    <t>こんなに早く日本に帰らなくてはならないのは、残念です。</t>
    <rPh sb="22" eb="24">
      <t>ザンネン</t>
    </rPh>
    <phoneticPr fontId="1"/>
  </si>
  <si>
    <t>いつか日本に来てほしいです。</t>
  </si>
  <si>
    <t>ぜひぜひ。</t>
    <phoneticPr fontId="1"/>
  </si>
  <si>
    <t>美奈子にまた会うために一緒に日本に行きますよ。</t>
    <phoneticPr fontId="1"/>
  </si>
  <si>
    <t>約束ですよ。</t>
    <phoneticPr fontId="1"/>
  </si>
  <si>
    <t>日本の美しさを見せてあげます。</t>
    <rPh sb="7" eb="8">
      <t>ミ</t>
    </rPh>
    <phoneticPr fontId="1"/>
  </si>
  <si>
    <t>インターネットのおかげで、世界は近くなりました。</t>
    <rPh sb="16" eb="17">
      <t>チカ</t>
    </rPh>
    <phoneticPr fontId="1"/>
  </si>
  <si>
    <t>私達に電子メールを送ってください。</t>
  </si>
  <si>
    <t>必ず送ります。</t>
    <rPh sb="0" eb="1">
      <t>カナラ</t>
    </rPh>
    <rPh sb="2" eb="3">
      <t>オク</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</si>
</sst>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2">
    <xf numFmtId="0" fontId="0" fillId="0" borderId="0" xfId="0">
      <alignment vertical="center"/>
    </xf>
    <xf numFmtId="0" fontId="0" fillId="0" borderId="0" xfId="0" applyAlignment="1">
      <alignment vertical="center" wrapText="1"/>
    </xf>
  </cellXfs>
  <cellStyles count="1">
    <cellStyle name="標準" xfId="0" builtinId="0"/>
  </cellStyles>
  <dxfs count="16">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erman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lk"/>
      <sheetName val="lng"/>
      <sheetName val="name"/>
      <sheetName val="img"/>
      <sheetName val="templete"/>
    </sheetNames>
    <sheetDataSet>
      <sheetData sheetId="0" refreshError="1"/>
      <sheetData sheetId="1">
        <row r="2">
          <cell r="A2" t="str">
            <v>英語</v>
          </cell>
          <cell r="B2" t="str">
            <v>en-GB</v>
          </cell>
        </row>
        <row r="3">
          <cell r="A3" t="str">
            <v>ドイツ語</v>
          </cell>
          <cell r="B3" t="str">
            <v>de-DE</v>
          </cell>
        </row>
        <row r="4">
          <cell r="A4" t="str">
            <v>フランス語</v>
          </cell>
          <cell r="B4" t="str">
            <v>fr-FR</v>
          </cell>
        </row>
        <row r="5">
          <cell r="A5" t="str">
            <v>中国語</v>
          </cell>
          <cell r="B5" t="str">
            <v>zh-CN</v>
          </cell>
        </row>
        <row r="6">
          <cell r="A6" t="str">
            <v>ロシア語</v>
          </cell>
          <cell r="B6" t="str">
            <v>ru-RU</v>
          </cell>
        </row>
        <row r="7">
          <cell r="A7" t="str">
            <v>ウクライナ語</v>
          </cell>
          <cell r="B7" t="str">
            <v>uk</v>
          </cell>
        </row>
        <row r="8">
          <cell r="A8" t="str">
            <v>アラビア語</v>
          </cell>
          <cell r="B8" t="str">
            <v>ar</v>
          </cell>
        </row>
        <row r="9">
          <cell r="A9" t="str">
            <v>フィンランド語</v>
          </cell>
          <cell r="B9" t="str">
            <v>fi-FI</v>
          </cell>
        </row>
        <row r="10">
          <cell r="A10" t="str">
            <v>ラテン語</v>
          </cell>
          <cell r="B10" t="str">
            <v>la</v>
          </cell>
        </row>
      </sheetData>
      <sheetData sheetId="2" refreshError="1"/>
      <sheetData sheetId="3" refreshError="1"/>
      <sheetData sheetId="4"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717"/>
  <sheetViews>
    <sheetView tabSelected="1" topLeftCell="A1513" zoomScale="62" zoomScaleNormal="62" workbookViewId="0">
      <selection activeCell="L1529" sqref="L1529"/>
    </sheetView>
  </sheetViews>
  <sheetFormatPr defaultRowHeight="13.5" x14ac:dyDescent="0.15"/>
  <cols>
    <col min="1" max="1" width="9.625" bestFit="1" customWidth="1"/>
    <col min="2" max="2" width="7.75" bestFit="1" customWidth="1"/>
    <col min="3" max="4" width="6.125" bestFit="1" customWidth="1"/>
    <col min="5" max="5" width="9.875" bestFit="1" customWidth="1"/>
    <col min="6" max="6" width="48.125" bestFit="1" customWidth="1"/>
    <col min="7" max="7" width="4.875" bestFit="1" customWidth="1"/>
    <col min="12" max="12" width="48.125" customWidth="1"/>
  </cols>
  <sheetData>
    <row r="1" spans="1:9" x14ac:dyDescent="0.15">
      <c r="A1" t="s">
        <v>0</v>
      </c>
      <c r="B1" t="s">
        <v>1</v>
      </c>
      <c r="C1" t="s">
        <v>2</v>
      </c>
      <c r="D1" t="s">
        <v>4</v>
      </c>
      <c r="E1" t="s">
        <v>5</v>
      </c>
      <c r="F1" t="s">
        <v>3</v>
      </c>
      <c r="G1" t="s">
        <v>35</v>
      </c>
      <c r="H1" t="s">
        <v>36</v>
      </c>
      <c r="I1" t="s">
        <v>422</v>
      </c>
    </row>
    <row r="2" spans="1:9" x14ac:dyDescent="0.15">
      <c r="A2" t="s">
        <v>13</v>
      </c>
      <c r="B2">
        <v>1</v>
      </c>
      <c r="C2">
        <v>1</v>
      </c>
      <c r="D2">
        <v>1</v>
      </c>
      <c r="E2" t="s">
        <v>62</v>
      </c>
      <c r="F2" t="s">
        <v>14</v>
      </c>
      <c r="G2" t="s">
        <v>64</v>
      </c>
      <c r="H2" t="s">
        <v>38</v>
      </c>
      <c r="I2" t="str">
        <f>IF(A2="","",VLOOKUP(A2,[1]lng!A:B,2,0))</f>
        <v>fr-FR</v>
      </c>
    </row>
    <row r="3" spans="1:9" x14ac:dyDescent="0.15">
      <c r="A3" t="s">
        <v>13</v>
      </c>
      <c r="B3">
        <v>1</v>
      </c>
      <c r="C3">
        <v>2</v>
      </c>
      <c r="D3">
        <v>1</v>
      </c>
      <c r="E3" t="s">
        <v>62</v>
      </c>
      <c r="F3" t="s">
        <v>16</v>
      </c>
      <c r="G3" t="s">
        <v>64</v>
      </c>
      <c r="H3" t="s">
        <v>38</v>
      </c>
      <c r="I3" t="s">
        <v>463</v>
      </c>
    </row>
    <row r="4" spans="1:9" ht="40.5" x14ac:dyDescent="0.15">
      <c r="A4" t="s">
        <v>13</v>
      </c>
      <c r="B4">
        <v>1</v>
      </c>
      <c r="C4">
        <v>3</v>
      </c>
      <c r="D4">
        <v>1</v>
      </c>
      <c r="E4" t="s">
        <v>62</v>
      </c>
      <c r="F4" s="1" t="s">
        <v>67</v>
      </c>
      <c r="G4" t="s">
        <v>64</v>
      </c>
      <c r="H4" t="s">
        <v>38</v>
      </c>
      <c r="I4" t="s">
        <v>463</v>
      </c>
    </row>
    <row r="5" spans="1:9" x14ac:dyDescent="0.15">
      <c r="A5" t="s">
        <v>13</v>
      </c>
      <c r="B5">
        <v>1</v>
      </c>
      <c r="C5">
        <v>4</v>
      </c>
      <c r="D5">
        <v>5</v>
      </c>
      <c r="E5" t="s">
        <v>68</v>
      </c>
      <c r="F5" t="s">
        <v>18</v>
      </c>
      <c r="G5" t="s">
        <v>64</v>
      </c>
      <c r="H5" t="s">
        <v>42</v>
      </c>
      <c r="I5" t="s">
        <v>463</v>
      </c>
    </row>
    <row r="6" spans="1:9" x14ac:dyDescent="0.15">
      <c r="A6" t="s">
        <v>13</v>
      </c>
      <c r="B6">
        <v>1</v>
      </c>
      <c r="C6">
        <v>5</v>
      </c>
      <c r="D6">
        <v>5</v>
      </c>
      <c r="E6" t="s">
        <v>68</v>
      </c>
      <c r="F6" t="s">
        <v>424</v>
      </c>
      <c r="G6" t="s">
        <v>64</v>
      </c>
      <c r="H6" t="s">
        <v>42</v>
      </c>
      <c r="I6" t="str">
        <f>IF(A6="","",VLOOKUP(A6,lng!A:B,2,0))</f>
        <v>fr-FR</v>
      </c>
    </row>
    <row r="7" spans="1:9" x14ac:dyDescent="0.15">
      <c r="A7" t="s">
        <v>13</v>
      </c>
      <c r="B7">
        <v>1</v>
      </c>
      <c r="C7">
        <v>6</v>
      </c>
      <c r="D7">
        <v>6</v>
      </c>
      <c r="E7" t="s">
        <v>69</v>
      </c>
      <c r="F7" t="s">
        <v>20</v>
      </c>
      <c r="G7" t="s">
        <v>64</v>
      </c>
      <c r="H7" t="s">
        <v>43</v>
      </c>
      <c r="I7" t="s">
        <v>463</v>
      </c>
    </row>
    <row r="8" spans="1:9" x14ac:dyDescent="0.15">
      <c r="A8" t="s">
        <v>13</v>
      </c>
      <c r="B8">
        <v>1</v>
      </c>
      <c r="C8">
        <v>7</v>
      </c>
      <c r="D8">
        <v>6</v>
      </c>
      <c r="E8" t="s">
        <v>69</v>
      </c>
      <c r="F8" t="s">
        <v>425</v>
      </c>
      <c r="G8" t="s">
        <v>64</v>
      </c>
      <c r="H8" t="s">
        <v>43</v>
      </c>
      <c r="I8" t="str">
        <f>IF(A8="","",VLOOKUP(A8,lng!A:B,2,0))</f>
        <v>fr-FR</v>
      </c>
    </row>
    <row r="9" spans="1:9" x14ac:dyDescent="0.15">
      <c r="A9" t="s">
        <v>13</v>
      </c>
      <c r="B9">
        <v>1</v>
      </c>
      <c r="C9">
        <v>8</v>
      </c>
      <c r="D9">
        <v>5</v>
      </c>
      <c r="E9" t="s">
        <v>68</v>
      </c>
      <c r="F9" t="s">
        <v>21</v>
      </c>
      <c r="G9" t="s">
        <v>64</v>
      </c>
      <c r="H9" t="s">
        <v>42</v>
      </c>
      <c r="I9" t="s">
        <v>463</v>
      </c>
    </row>
    <row r="10" spans="1:9" x14ac:dyDescent="0.15">
      <c r="A10" t="s">
        <v>13</v>
      </c>
      <c r="B10">
        <v>1</v>
      </c>
      <c r="C10">
        <v>9</v>
      </c>
      <c r="D10">
        <v>5</v>
      </c>
      <c r="E10" t="s">
        <v>68</v>
      </c>
      <c r="F10" t="s">
        <v>426</v>
      </c>
      <c r="G10" t="s">
        <v>64</v>
      </c>
      <c r="H10" t="s">
        <v>42</v>
      </c>
      <c r="I10" t="str">
        <f>IF(A10="","",VLOOKUP(A10,lng!A:B,2,0))</f>
        <v>fr-FR</v>
      </c>
    </row>
    <row r="11" spans="1:9" x14ac:dyDescent="0.15">
      <c r="A11" t="s">
        <v>13</v>
      </c>
      <c r="B11">
        <v>1</v>
      </c>
      <c r="C11">
        <v>10</v>
      </c>
      <c r="D11">
        <v>6</v>
      </c>
      <c r="E11" t="s">
        <v>69</v>
      </c>
      <c r="F11" t="s">
        <v>22</v>
      </c>
      <c r="G11" t="s">
        <v>64</v>
      </c>
      <c r="H11" t="s">
        <v>43</v>
      </c>
      <c r="I11" t="s">
        <v>463</v>
      </c>
    </row>
    <row r="12" spans="1:9" x14ac:dyDescent="0.15">
      <c r="A12" t="s">
        <v>13</v>
      </c>
      <c r="B12">
        <v>1</v>
      </c>
      <c r="C12">
        <v>11</v>
      </c>
      <c r="D12">
        <v>6</v>
      </c>
      <c r="E12" t="s">
        <v>69</v>
      </c>
      <c r="F12" t="s">
        <v>427</v>
      </c>
      <c r="G12" t="s">
        <v>64</v>
      </c>
      <c r="H12" t="s">
        <v>43</v>
      </c>
      <c r="I12" t="str">
        <f>IF(A12="","",VLOOKUP(A12,lng!A:B,2,0))</f>
        <v>fr-FR</v>
      </c>
    </row>
    <row r="13" spans="1:9" x14ac:dyDescent="0.15">
      <c r="A13" t="s">
        <v>13</v>
      </c>
      <c r="B13">
        <v>1</v>
      </c>
      <c r="C13">
        <v>12</v>
      </c>
      <c r="D13">
        <v>6</v>
      </c>
      <c r="E13" t="s">
        <v>69</v>
      </c>
      <c r="F13" t="s">
        <v>428</v>
      </c>
      <c r="G13" t="s">
        <v>64</v>
      </c>
      <c r="H13" t="s">
        <v>43</v>
      </c>
      <c r="I13" t="s">
        <v>463</v>
      </c>
    </row>
    <row r="14" spans="1:9" x14ac:dyDescent="0.15">
      <c r="A14" t="s">
        <v>13</v>
      </c>
      <c r="B14">
        <v>1</v>
      </c>
      <c r="C14">
        <v>13</v>
      </c>
      <c r="D14">
        <v>6</v>
      </c>
      <c r="E14" t="s">
        <v>69</v>
      </c>
      <c r="F14" t="s">
        <v>15</v>
      </c>
      <c r="G14" t="s">
        <v>64</v>
      </c>
      <c r="H14" t="s">
        <v>43</v>
      </c>
      <c r="I14" t="str">
        <f>IF(A14="","",VLOOKUP(A14,lng!A:B,2,0))</f>
        <v>fr-FR</v>
      </c>
    </row>
    <row r="15" spans="1:9" x14ac:dyDescent="0.15">
      <c r="A15" t="s">
        <v>13</v>
      </c>
      <c r="B15">
        <v>1</v>
      </c>
      <c r="C15">
        <v>14</v>
      </c>
      <c r="D15">
        <v>7</v>
      </c>
      <c r="E15" t="s">
        <v>70</v>
      </c>
      <c r="F15" t="s">
        <v>24</v>
      </c>
      <c r="G15" t="s">
        <v>64</v>
      </c>
      <c r="H15" t="s">
        <v>44</v>
      </c>
      <c r="I15" t="s">
        <v>463</v>
      </c>
    </row>
    <row r="16" spans="1:9" x14ac:dyDescent="0.15">
      <c r="A16" t="s">
        <v>13</v>
      </c>
      <c r="B16">
        <v>1</v>
      </c>
      <c r="C16">
        <v>15</v>
      </c>
      <c r="D16">
        <v>7</v>
      </c>
      <c r="E16" t="s">
        <v>70</v>
      </c>
      <c r="F16" t="s">
        <v>429</v>
      </c>
      <c r="G16" t="s">
        <v>64</v>
      </c>
      <c r="H16" t="s">
        <v>44</v>
      </c>
      <c r="I16" t="str">
        <f>IF(A16="","",VLOOKUP(A16,lng!A:B,2,0))</f>
        <v>fr-FR</v>
      </c>
    </row>
    <row r="17" spans="1:9" x14ac:dyDescent="0.15">
      <c r="A17" t="s">
        <v>13</v>
      </c>
      <c r="B17">
        <v>1</v>
      </c>
      <c r="C17">
        <v>16</v>
      </c>
      <c r="D17">
        <v>5</v>
      </c>
      <c r="E17" t="s">
        <v>68</v>
      </c>
      <c r="F17" t="s">
        <v>25</v>
      </c>
      <c r="G17" t="s">
        <v>64</v>
      </c>
      <c r="H17" t="s">
        <v>42</v>
      </c>
      <c r="I17" t="s">
        <v>463</v>
      </c>
    </row>
    <row r="18" spans="1:9" x14ac:dyDescent="0.15">
      <c r="A18" t="s">
        <v>13</v>
      </c>
      <c r="B18">
        <v>1</v>
      </c>
      <c r="C18">
        <v>17</v>
      </c>
      <c r="D18">
        <v>5</v>
      </c>
      <c r="E18" t="s">
        <v>68</v>
      </c>
      <c r="F18" t="s">
        <v>430</v>
      </c>
      <c r="G18" t="s">
        <v>64</v>
      </c>
      <c r="H18" t="s">
        <v>42</v>
      </c>
      <c r="I18" t="str">
        <f>IF(A18="","",VLOOKUP(A18,lng!A:B,2,0))</f>
        <v>fr-FR</v>
      </c>
    </row>
    <row r="19" spans="1:9" x14ac:dyDescent="0.15">
      <c r="A19" t="s">
        <v>13</v>
      </c>
      <c r="B19">
        <v>1</v>
      </c>
      <c r="C19">
        <v>18</v>
      </c>
      <c r="D19">
        <v>1</v>
      </c>
      <c r="E19" t="s">
        <v>62</v>
      </c>
      <c r="F19" t="s">
        <v>71</v>
      </c>
      <c r="G19" t="s">
        <v>64</v>
      </c>
      <c r="H19" t="s">
        <v>38</v>
      </c>
      <c r="I19" t="s">
        <v>463</v>
      </c>
    </row>
    <row r="20" spans="1:9" x14ac:dyDescent="0.15">
      <c r="A20" t="s">
        <v>13</v>
      </c>
      <c r="B20">
        <v>1</v>
      </c>
      <c r="C20">
        <v>19</v>
      </c>
      <c r="D20">
        <v>5</v>
      </c>
      <c r="E20" t="s">
        <v>68</v>
      </c>
      <c r="F20" t="s">
        <v>18</v>
      </c>
      <c r="G20" t="s">
        <v>64</v>
      </c>
      <c r="H20" t="s">
        <v>42</v>
      </c>
      <c r="I20" t="s">
        <v>463</v>
      </c>
    </row>
    <row r="21" spans="1:9" x14ac:dyDescent="0.15">
      <c r="A21" t="s">
        <v>13</v>
      </c>
      <c r="B21">
        <v>1</v>
      </c>
      <c r="C21">
        <v>20</v>
      </c>
      <c r="D21">
        <v>5</v>
      </c>
      <c r="E21" t="s">
        <v>68</v>
      </c>
      <c r="F21" t="s">
        <v>424</v>
      </c>
      <c r="G21" t="s">
        <v>64</v>
      </c>
      <c r="H21" t="s">
        <v>42</v>
      </c>
      <c r="I21" t="str">
        <f>IF(A21="","",VLOOKUP(A21,[1]lng!A:B,2,0))</f>
        <v>fr-FR</v>
      </c>
    </row>
    <row r="22" spans="1:9" x14ac:dyDescent="0.15">
      <c r="A22" t="s">
        <v>13</v>
      </c>
      <c r="B22">
        <v>1</v>
      </c>
      <c r="C22">
        <v>21</v>
      </c>
      <c r="D22">
        <v>0</v>
      </c>
      <c r="E22" t="s">
        <v>65</v>
      </c>
      <c r="F22" t="s">
        <v>431</v>
      </c>
      <c r="G22" t="s">
        <v>66</v>
      </c>
      <c r="H22" t="s">
        <v>37</v>
      </c>
      <c r="I22" t="str">
        <f>IF(A22="","",VLOOKUP(A22,[1]lng!A:B,2,0))</f>
        <v>fr-FR</v>
      </c>
    </row>
    <row r="23" spans="1:9" x14ac:dyDescent="0.15">
      <c r="A23" t="s">
        <v>13</v>
      </c>
      <c r="B23">
        <v>1</v>
      </c>
      <c r="C23">
        <v>22</v>
      </c>
      <c r="D23">
        <v>6</v>
      </c>
      <c r="E23" t="s">
        <v>69</v>
      </c>
      <c r="F23" t="s">
        <v>20</v>
      </c>
      <c r="G23" t="s">
        <v>64</v>
      </c>
      <c r="H23" t="s">
        <v>43</v>
      </c>
      <c r="I23" t="s">
        <v>463</v>
      </c>
    </row>
    <row r="24" spans="1:9" x14ac:dyDescent="0.15">
      <c r="A24" t="s">
        <v>13</v>
      </c>
      <c r="B24">
        <v>1</v>
      </c>
      <c r="C24">
        <v>23</v>
      </c>
      <c r="D24">
        <v>6</v>
      </c>
      <c r="E24" t="s">
        <v>69</v>
      </c>
      <c r="F24" t="s">
        <v>425</v>
      </c>
      <c r="G24" t="s">
        <v>64</v>
      </c>
      <c r="H24" t="s">
        <v>43</v>
      </c>
      <c r="I24" t="str">
        <f>IF(A24="","",VLOOKUP(A24,[1]lng!A:B,2,0))</f>
        <v>fr-FR</v>
      </c>
    </row>
    <row r="25" spans="1:9" x14ac:dyDescent="0.15">
      <c r="A25" t="s">
        <v>13</v>
      </c>
      <c r="B25">
        <v>1</v>
      </c>
      <c r="C25">
        <v>24</v>
      </c>
      <c r="D25">
        <v>0</v>
      </c>
      <c r="E25" t="s">
        <v>65</v>
      </c>
      <c r="F25" t="s">
        <v>425</v>
      </c>
      <c r="G25" t="s">
        <v>66</v>
      </c>
      <c r="H25" t="s">
        <v>37</v>
      </c>
      <c r="I25" t="str">
        <f>IF(A25="","",VLOOKUP(A25,[1]lng!A:B,2,0))</f>
        <v>fr-FR</v>
      </c>
    </row>
    <row r="26" spans="1:9" x14ac:dyDescent="0.15">
      <c r="A26" t="s">
        <v>13</v>
      </c>
      <c r="B26">
        <v>1</v>
      </c>
      <c r="C26">
        <v>25</v>
      </c>
      <c r="D26">
        <v>5</v>
      </c>
      <c r="E26" t="s">
        <v>68</v>
      </c>
      <c r="F26" t="s">
        <v>21</v>
      </c>
      <c r="G26" t="s">
        <v>64</v>
      </c>
      <c r="H26" t="s">
        <v>42</v>
      </c>
      <c r="I26" t="s">
        <v>463</v>
      </c>
    </row>
    <row r="27" spans="1:9" x14ac:dyDescent="0.15">
      <c r="A27" t="s">
        <v>13</v>
      </c>
      <c r="B27">
        <v>1</v>
      </c>
      <c r="C27">
        <v>26</v>
      </c>
      <c r="D27">
        <v>5</v>
      </c>
      <c r="E27" t="s">
        <v>68</v>
      </c>
      <c r="F27" t="s">
        <v>432</v>
      </c>
      <c r="G27" t="s">
        <v>64</v>
      </c>
      <c r="H27" t="s">
        <v>42</v>
      </c>
      <c r="I27" t="str">
        <f>IF(A27="","",VLOOKUP(A27,[1]lng!A:B,2,0))</f>
        <v>fr-FR</v>
      </c>
    </row>
    <row r="28" spans="1:9" x14ac:dyDescent="0.15">
      <c r="A28" t="s">
        <v>13</v>
      </c>
      <c r="B28">
        <v>1</v>
      </c>
      <c r="C28">
        <v>27</v>
      </c>
      <c r="D28">
        <v>0</v>
      </c>
      <c r="E28" t="s">
        <v>65</v>
      </c>
      <c r="F28" t="s">
        <v>426</v>
      </c>
      <c r="G28" t="s">
        <v>66</v>
      </c>
      <c r="H28" t="s">
        <v>37</v>
      </c>
      <c r="I28" t="str">
        <f>IF(A28="","",VLOOKUP(A28,[1]lng!A:B,2,0))</f>
        <v>fr-FR</v>
      </c>
    </row>
    <row r="29" spans="1:9" x14ac:dyDescent="0.15">
      <c r="A29" t="s">
        <v>13</v>
      </c>
      <c r="B29">
        <v>1</v>
      </c>
      <c r="C29">
        <v>28</v>
      </c>
      <c r="D29">
        <v>6</v>
      </c>
      <c r="E29" t="s">
        <v>69</v>
      </c>
      <c r="F29" t="s">
        <v>22</v>
      </c>
      <c r="G29" t="s">
        <v>64</v>
      </c>
      <c r="H29" t="s">
        <v>43</v>
      </c>
      <c r="I29" t="s">
        <v>463</v>
      </c>
    </row>
    <row r="30" spans="1:9" x14ac:dyDescent="0.15">
      <c r="A30" t="s">
        <v>13</v>
      </c>
      <c r="B30">
        <v>1</v>
      </c>
      <c r="C30">
        <v>29</v>
      </c>
      <c r="D30">
        <v>6</v>
      </c>
      <c r="E30" t="s">
        <v>69</v>
      </c>
      <c r="F30" t="s">
        <v>427</v>
      </c>
      <c r="G30" t="s">
        <v>64</v>
      </c>
      <c r="H30" t="s">
        <v>43</v>
      </c>
      <c r="I30" t="str">
        <f>IF(A30="","",VLOOKUP(A30,[1]lng!A:B,2,0))</f>
        <v>fr-FR</v>
      </c>
    </row>
    <row r="31" spans="1:9" x14ac:dyDescent="0.15">
      <c r="A31" t="s">
        <v>13</v>
      </c>
      <c r="B31">
        <v>1</v>
      </c>
      <c r="C31">
        <v>30</v>
      </c>
      <c r="D31">
        <v>0</v>
      </c>
      <c r="E31" t="s">
        <v>65</v>
      </c>
      <c r="F31" t="s">
        <v>427</v>
      </c>
      <c r="G31" t="s">
        <v>66</v>
      </c>
      <c r="H31" t="s">
        <v>37</v>
      </c>
      <c r="I31" t="str">
        <f>IF(A31="","",VLOOKUP(A31,[1]lng!A:B,2,0))</f>
        <v>fr-FR</v>
      </c>
    </row>
    <row r="32" spans="1:9" x14ac:dyDescent="0.15">
      <c r="A32" t="s">
        <v>13</v>
      </c>
      <c r="B32">
        <v>1</v>
      </c>
      <c r="C32">
        <v>31</v>
      </c>
      <c r="D32">
        <v>6</v>
      </c>
      <c r="E32" t="s">
        <v>69</v>
      </c>
      <c r="F32" t="s">
        <v>433</v>
      </c>
      <c r="G32" t="s">
        <v>64</v>
      </c>
      <c r="H32" t="s">
        <v>43</v>
      </c>
      <c r="I32" t="s">
        <v>463</v>
      </c>
    </row>
    <row r="33" spans="1:9" x14ac:dyDescent="0.15">
      <c r="A33" t="s">
        <v>13</v>
      </c>
      <c r="B33">
        <v>1</v>
      </c>
      <c r="C33">
        <v>32</v>
      </c>
      <c r="D33">
        <v>6</v>
      </c>
      <c r="E33" t="s">
        <v>69</v>
      </c>
      <c r="F33" t="s">
        <v>15</v>
      </c>
      <c r="G33" t="s">
        <v>64</v>
      </c>
      <c r="H33" t="s">
        <v>43</v>
      </c>
      <c r="I33" t="str">
        <f>IF(A33="","",VLOOKUP(A33,[1]lng!A:B,2,0))</f>
        <v>fr-FR</v>
      </c>
    </row>
    <row r="34" spans="1:9" x14ac:dyDescent="0.15">
      <c r="A34" t="s">
        <v>13</v>
      </c>
      <c r="B34">
        <v>1</v>
      </c>
      <c r="C34">
        <v>33</v>
      </c>
      <c r="D34">
        <v>0</v>
      </c>
      <c r="E34" t="s">
        <v>65</v>
      </c>
      <c r="F34" t="s">
        <v>15</v>
      </c>
      <c r="G34" t="s">
        <v>66</v>
      </c>
      <c r="H34" t="s">
        <v>37</v>
      </c>
      <c r="I34" t="str">
        <f>IF(A34="","",VLOOKUP(A34,[1]lng!A:B,2,0))</f>
        <v>fr-FR</v>
      </c>
    </row>
    <row r="35" spans="1:9" x14ac:dyDescent="0.15">
      <c r="A35" t="s">
        <v>13</v>
      </c>
      <c r="B35">
        <v>1</v>
      </c>
      <c r="C35">
        <v>34</v>
      </c>
      <c r="D35">
        <v>7</v>
      </c>
      <c r="E35" t="s">
        <v>70</v>
      </c>
      <c r="F35" t="s">
        <v>24</v>
      </c>
      <c r="G35" t="s">
        <v>64</v>
      </c>
      <c r="H35" t="s">
        <v>44</v>
      </c>
      <c r="I35" t="s">
        <v>463</v>
      </c>
    </row>
    <row r="36" spans="1:9" x14ac:dyDescent="0.15">
      <c r="A36" t="s">
        <v>13</v>
      </c>
      <c r="B36">
        <v>1</v>
      </c>
      <c r="C36">
        <v>35</v>
      </c>
      <c r="D36">
        <v>7</v>
      </c>
      <c r="E36" t="s">
        <v>70</v>
      </c>
      <c r="F36" t="s">
        <v>429</v>
      </c>
      <c r="G36" t="s">
        <v>64</v>
      </c>
      <c r="H36" t="s">
        <v>44</v>
      </c>
      <c r="I36" t="str">
        <f>IF(A36="","",VLOOKUP(A36,[1]lng!A:B,2,0))</f>
        <v>fr-FR</v>
      </c>
    </row>
    <row r="37" spans="1:9" x14ac:dyDescent="0.15">
      <c r="A37" t="s">
        <v>13</v>
      </c>
      <c r="B37">
        <v>1</v>
      </c>
      <c r="C37">
        <v>36</v>
      </c>
      <c r="D37">
        <v>0</v>
      </c>
      <c r="E37" t="s">
        <v>65</v>
      </c>
      <c r="F37" t="s">
        <v>429</v>
      </c>
      <c r="G37" t="s">
        <v>66</v>
      </c>
      <c r="H37" t="s">
        <v>37</v>
      </c>
      <c r="I37" t="str">
        <f>IF(A37="","",VLOOKUP(A37,[1]lng!A:B,2,0))</f>
        <v>fr-FR</v>
      </c>
    </row>
    <row r="38" spans="1:9" x14ac:dyDescent="0.15">
      <c r="A38" t="s">
        <v>13</v>
      </c>
      <c r="B38">
        <v>1</v>
      </c>
      <c r="C38">
        <v>37</v>
      </c>
      <c r="D38">
        <v>5</v>
      </c>
      <c r="E38" t="s">
        <v>68</v>
      </c>
      <c r="F38" t="s">
        <v>25</v>
      </c>
      <c r="G38" t="s">
        <v>64</v>
      </c>
      <c r="H38" t="s">
        <v>42</v>
      </c>
      <c r="I38" t="s">
        <v>463</v>
      </c>
    </row>
    <row r="39" spans="1:9" x14ac:dyDescent="0.15">
      <c r="A39" t="s">
        <v>13</v>
      </c>
      <c r="B39">
        <v>1</v>
      </c>
      <c r="C39">
        <v>38</v>
      </c>
      <c r="D39">
        <v>5</v>
      </c>
      <c r="E39" t="s">
        <v>68</v>
      </c>
      <c r="F39" t="s">
        <v>430</v>
      </c>
      <c r="G39" t="s">
        <v>64</v>
      </c>
      <c r="H39" t="s">
        <v>42</v>
      </c>
      <c r="I39" t="str">
        <f>IF(A39="","",VLOOKUP(A39,[1]lng!A:B,2,0))</f>
        <v>fr-FR</v>
      </c>
    </row>
    <row r="40" spans="1:9" x14ac:dyDescent="0.15">
      <c r="A40" t="s">
        <v>13</v>
      </c>
      <c r="B40">
        <v>1</v>
      </c>
      <c r="C40">
        <v>39</v>
      </c>
      <c r="D40">
        <v>0</v>
      </c>
      <c r="E40" t="s">
        <v>65</v>
      </c>
      <c r="F40" t="s">
        <v>430</v>
      </c>
      <c r="G40" t="s">
        <v>66</v>
      </c>
      <c r="H40" t="s">
        <v>37</v>
      </c>
      <c r="I40" t="str">
        <f>IF(A40="","",VLOOKUP(A40,[1]lng!A:B,2,0))</f>
        <v>fr-FR</v>
      </c>
    </row>
    <row r="41" spans="1:9" x14ac:dyDescent="0.15">
      <c r="A41" t="s">
        <v>13</v>
      </c>
      <c r="B41">
        <v>1</v>
      </c>
      <c r="C41">
        <v>40</v>
      </c>
      <c r="D41">
        <v>1</v>
      </c>
      <c r="E41" t="s">
        <v>62</v>
      </c>
      <c r="F41" t="s">
        <v>26</v>
      </c>
      <c r="G41" t="s">
        <v>64</v>
      </c>
      <c r="H41" t="s">
        <v>38</v>
      </c>
      <c r="I41" t="s">
        <v>463</v>
      </c>
    </row>
    <row r="42" spans="1:9" x14ac:dyDescent="0.15">
      <c r="A42" t="s">
        <v>13</v>
      </c>
      <c r="B42">
        <v>1</v>
      </c>
      <c r="C42">
        <v>41</v>
      </c>
      <c r="D42">
        <v>5</v>
      </c>
      <c r="E42" t="s">
        <v>68</v>
      </c>
      <c r="F42" t="s">
        <v>18</v>
      </c>
      <c r="G42" t="s">
        <v>64</v>
      </c>
      <c r="H42" t="s">
        <v>42</v>
      </c>
      <c r="I42" t="s">
        <v>463</v>
      </c>
    </row>
    <row r="43" spans="1:9" x14ac:dyDescent="0.15">
      <c r="A43" t="s">
        <v>13</v>
      </c>
      <c r="B43">
        <v>1</v>
      </c>
      <c r="C43">
        <v>42</v>
      </c>
      <c r="D43">
        <v>0</v>
      </c>
      <c r="E43" t="s">
        <v>65</v>
      </c>
      <c r="F43" t="s">
        <v>423</v>
      </c>
      <c r="G43" t="s">
        <v>66</v>
      </c>
      <c r="H43" t="s">
        <v>37</v>
      </c>
      <c r="I43" t="str">
        <f>IF(A43="","",VLOOKUP(A43,[1]lng!A:B,2,0))</f>
        <v>fr-FR</v>
      </c>
    </row>
    <row r="44" spans="1:9" x14ac:dyDescent="0.15">
      <c r="A44" t="s">
        <v>13</v>
      </c>
      <c r="B44">
        <v>1</v>
      </c>
      <c r="C44">
        <v>43</v>
      </c>
      <c r="D44">
        <v>6</v>
      </c>
      <c r="E44" t="s">
        <v>69</v>
      </c>
      <c r="F44" t="s">
        <v>20</v>
      </c>
      <c r="G44" t="s">
        <v>64</v>
      </c>
      <c r="H44" t="s">
        <v>43</v>
      </c>
      <c r="I44" t="s">
        <v>463</v>
      </c>
    </row>
    <row r="45" spans="1:9" x14ac:dyDescent="0.15">
      <c r="A45" t="s">
        <v>13</v>
      </c>
      <c r="B45">
        <v>1</v>
      </c>
      <c r="C45">
        <v>44</v>
      </c>
      <c r="D45">
        <v>0</v>
      </c>
      <c r="E45" t="s">
        <v>65</v>
      </c>
      <c r="F45" t="s">
        <v>425</v>
      </c>
      <c r="G45" t="s">
        <v>66</v>
      </c>
      <c r="H45" t="s">
        <v>37</v>
      </c>
      <c r="I45" t="str">
        <f>IF(A45="","",VLOOKUP(A45,[1]lng!A:B,2,0))</f>
        <v>fr-FR</v>
      </c>
    </row>
    <row r="46" spans="1:9" x14ac:dyDescent="0.15">
      <c r="A46" t="s">
        <v>13</v>
      </c>
      <c r="B46">
        <v>1</v>
      </c>
      <c r="C46">
        <v>45</v>
      </c>
      <c r="D46">
        <v>5</v>
      </c>
      <c r="E46" t="s">
        <v>68</v>
      </c>
      <c r="F46" t="s">
        <v>21</v>
      </c>
      <c r="G46" t="s">
        <v>64</v>
      </c>
      <c r="H46" t="s">
        <v>42</v>
      </c>
      <c r="I46" t="s">
        <v>463</v>
      </c>
    </row>
    <row r="47" spans="1:9" x14ac:dyDescent="0.15">
      <c r="A47" t="s">
        <v>13</v>
      </c>
      <c r="B47">
        <v>1</v>
      </c>
      <c r="C47">
        <v>46</v>
      </c>
      <c r="D47">
        <v>0</v>
      </c>
      <c r="E47" t="s">
        <v>65</v>
      </c>
      <c r="F47" t="s">
        <v>426</v>
      </c>
      <c r="G47" t="s">
        <v>66</v>
      </c>
      <c r="H47" t="s">
        <v>37</v>
      </c>
      <c r="I47" t="str">
        <f>IF(A47="","",VLOOKUP(A47,[1]lng!A:B,2,0))</f>
        <v>fr-FR</v>
      </c>
    </row>
    <row r="48" spans="1:9" x14ac:dyDescent="0.15">
      <c r="A48" t="s">
        <v>13</v>
      </c>
      <c r="B48">
        <v>1</v>
      </c>
      <c r="C48">
        <v>47</v>
      </c>
      <c r="D48">
        <v>6</v>
      </c>
      <c r="E48" t="s">
        <v>69</v>
      </c>
      <c r="F48" t="s">
        <v>22</v>
      </c>
      <c r="G48" t="s">
        <v>64</v>
      </c>
      <c r="H48" t="s">
        <v>43</v>
      </c>
      <c r="I48" t="s">
        <v>463</v>
      </c>
    </row>
    <row r="49" spans="1:9" x14ac:dyDescent="0.15">
      <c r="A49" t="s">
        <v>13</v>
      </c>
      <c r="B49">
        <v>1</v>
      </c>
      <c r="C49">
        <v>48</v>
      </c>
      <c r="D49">
        <v>0</v>
      </c>
      <c r="E49" t="s">
        <v>65</v>
      </c>
      <c r="F49" t="s">
        <v>427</v>
      </c>
      <c r="G49" t="s">
        <v>66</v>
      </c>
      <c r="H49" t="s">
        <v>37</v>
      </c>
      <c r="I49" t="str">
        <f>IF(A49="","",VLOOKUP(A49,[1]lng!A:B,2,0))</f>
        <v>fr-FR</v>
      </c>
    </row>
    <row r="50" spans="1:9" x14ac:dyDescent="0.15">
      <c r="A50" t="s">
        <v>13</v>
      </c>
      <c r="B50">
        <v>1</v>
      </c>
      <c r="C50">
        <v>49</v>
      </c>
      <c r="D50">
        <v>6</v>
      </c>
      <c r="E50" t="s">
        <v>69</v>
      </c>
      <c r="F50" t="s">
        <v>433</v>
      </c>
      <c r="G50" t="s">
        <v>64</v>
      </c>
      <c r="H50" t="s">
        <v>43</v>
      </c>
      <c r="I50" t="s">
        <v>463</v>
      </c>
    </row>
    <row r="51" spans="1:9" x14ac:dyDescent="0.15">
      <c r="A51" t="s">
        <v>13</v>
      </c>
      <c r="B51">
        <v>1</v>
      </c>
      <c r="C51">
        <v>50</v>
      </c>
      <c r="D51">
        <v>0</v>
      </c>
      <c r="E51" t="s">
        <v>65</v>
      </c>
      <c r="F51" t="s">
        <v>15</v>
      </c>
      <c r="G51" t="s">
        <v>66</v>
      </c>
      <c r="H51" t="s">
        <v>37</v>
      </c>
      <c r="I51" t="str">
        <f>IF(A51="","",VLOOKUP(A51,[1]lng!A:B,2,0))</f>
        <v>fr-FR</v>
      </c>
    </row>
    <row r="52" spans="1:9" x14ac:dyDescent="0.15">
      <c r="A52" t="s">
        <v>13</v>
      </c>
      <c r="B52">
        <v>1</v>
      </c>
      <c r="C52">
        <v>51</v>
      </c>
      <c r="D52">
        <v>7</v>
      </c>
      <c r="E52" t="s">
        <v>70</v>
      </c>
      <c r="F52" t="s">
        <v>24</v>
      </c>
      <c r="G52" t="s">
        <v>64</v>
      </c>
      <c r="H52" t="s">
        <v>44</v>
      </c>
      <c r="I52" t="s">
        <v>463</v>
      </c>
    </row>
    <row r="53" spans="1:9" x14ac:dyDescent="0.15">
      <c r="A53" t="s">
        <v>13</v>
      </c>
      <c r="B53">
        <v>1</v>
      </c>
      <c r="C53">
        <v>52</v>
      </c>
      <c r="D53">
        <v>0</v>
      </c>
      <c r="E53" t="s">
        <v>65</v>
      </c>
      <c r="F53" t="s">
        <v>434</v>
      </c>
      <c r="G53" t="s">
        <v>66</v>
      </c>
      <c r="H53" t="s">
        <v>37</v>
      </c>
      <c r="I53" t="str">
        <f>IF(A53="","",VLOOKUP(A53,[1]lng!A:B,2,0))</f>
        <v>fr-FR</v>
      </c>
    </row>
    <row r="54" spans="1:9" x14ac:dyDescent="0.15">
      <c r="A54" t="s">
        <v>13</v>
      </c>
      <c r="B54">
        <v>1</v>
      </c>
      <c r="C54">
        <v>53</v>
      </c>
      <c r="D54">
        <v>5</v>
      </c>
      <c r="E54" t="s">
        <v>68</v>
      </c>
      <c r="F54" t="s">
        <v>25</v>
      </c>
      <c r="G54" t="s">
        <v>64</v>
      </c>
      <c r="H54" t="s">
        <v>42</v>
      </c>
      <c r="I54" t="s">
        <v>463</v>
      </c>
    </row>
    <row r="55" spans="1:9" x14ac:dyDescent="0.15">
      <c r="A55" t="s">
        <v>13</v>
      </c>
      <c r="B55">
        <v>1</v>
      </c>
      <c r="C55">
        <v>54</v>
      </c>
      <c r="D55">
        <v>0</v>
      </c>
      <c r="E55" t="s">
        <v>65</v>
      </c>
      <c r="F55" t="s">
        <v>430</v>
      </c>
      <c r="G55" t="s">
        <v>66</v>
      </c>
      <c r="H55" t="s">
        <v>37</v>
      </c>
      <c r="I55" t="str">
        <f>IF(A55="","",VLOOKUP(A55,[1]lng!A:B,2,0))</f>
        <v>fr-FR</v>
      </c>
    </row>
    <row r="56" spans="1:9" x14ac:dyDescent="0.15">
      <c r="A56" t="s">
        <v>13</v>
      </c>
      <c r="B56">
        <v>1</v>
      </c>
      <c r="C56">
        <v>55</v>
      </c>
      <c r="D56">
        <v>1</v>
      </c>
      <c r="E56" t="s">
        <v>62</v>
      </c>
      <c r="F56" t="s">
        <v>9</v>
      </c>
      <c r="G56" t="s">
        <v>63</v>
      </c>
      <c r="H56" t="s">
        <v>38</v>
      </c>
      <c r="I56" t="s">
        <v>463</v>
      </c>
    </row>
    <row r="57" spans="1:9" x14ac:dyDescent="0.15">
      <c r="A57" t="s">
        <v>13</v>
      </c>
      <c r="B57">
        <v>2</v>
      </c>
      <c r="C57">
        <v>1</v>
      </c>
      <c r="D57">
        <v>1</v>
      </c>
      <c r="E57" t="s">
        <v>62</v>
      </c>
      <c r="F57" t="s">
        <v>27</v>
      </c>
      <c r="G57" t="s">
        <v>64</v>
      </c>
      <c r="H57" t="s">
        <v>38</v>
      </c>
      <c r="I57" t="str">
        <f>IF(A57="","",VLOOKUP(A57,[1]lng!A:B,2,0))</f>
        <v>fr-FR</v>
      </c>
    </row>
    <row r="58" spans="1:9" x14ac:dyDescent="0.15">
      <c r="A58" t="s">
        <v>13</v>
      </c>
      <c r="B58">
        <v>2</v>
      </c>
      <c r="C58">
        <v>2</v>
      </c>
      <c r="D58">
        <v>1</v>
      </c>
      <c r="E58" t="s">
        <v>62</v>
      </c>
      <c r="F58" t="s">
        <v>30</v>
      </c>
      <c r="G58" t="s">
        <v>64</v>
      </c>
      <c r="H58" t="s">
        <v>38</v>
      </c>
      <c r="I58" t="s">
        <v>463</v>
      </c>
    </row>
    <row r="59" spans="1:9" ht="40.5" x14ac:dyDescent="0.15">
      <c r="A59" t="s">
        <v>13</v>
      </c>
      <c r="B59">
        <v>2</v>
      </c>
      <c r="C59">
        <v>3</v>
      </c>
      <c r="D59">
        <v>1</v>
      </c>
      <c r="E59" t="s">
        <v>62</v>
      </c>
      <c r="F59" s="1" t="s">
        <v>67</v>
      </c>
      <c r="G59" t="s">
        <v>64</v>
      </c>
      <c r="H59" t="s">
        <v>38</v>
      </c>
      <c r="I59" t="s">
        <v>463</v>
      </c>
    </row>
    <row r="60" spans="1:9" x14ac:dyDescent="0.15">
      <c r="A60" t="s">
        <v>13</v>
      </c>
      <c r="B60">
        <v>2</v>
      </c>
      <c r="C60">
        <v>4</v>
      </c>
      <c r="D60">
        <v>8</v>
      </c>
      <c r="E60" t="s">
        <v>72</v>
      </c>
      <c r="F60" t="s">
        <v>435</v>
      </c>
      <c r="G60" t="s">
        <v>64</v>
      </c>
      <c r="H60" t="s">
        <v>45</v>
      </c>
      <c r="I60" t="s">
        <v>463</v>
      </c>
    </row>
    <row r="61" spans="1:9" x14ac:dyDescent="0.15">
      <c r="A61" t="s">
        <v>13</v>
      </c>
      <c r="B61">
        <v>2</v>
      </c>
      <c r="C61">
        <v>5</v>
      </c>
      <c r="D61">
        <v>8</v>
      </c>
      <c r="E61" t="s">
        <v>72</v>
      </c>
      <c r="F61" t="s">
        <v>436</v>
      </c>
      <c r="G61" t="s">
        <v>64</v>
      </c>
      <c r="H61" t="s">
        <v>45</v>
      </c>
      <c r="I61" t="str">
        <f>IF(A61="","",VLOOKUP(A61,[1]lng!A:B,2,0))</f>
        <v>fr-FR</v>
      </c>
    </row>
    <row r="62" spans="1:9" x14ac:dyDescent="0.15">
      <c r="A62" t="s">
        <v>13</v>
      </c>
      <c r="B62">
        <v>2</v>
      </c>
      <c r="C62">
        <v>6</v>
      </c>
      <c r="D62">
        <v>5</v>
      </c>
      <c r="E62" t="s">
        <v>68</v>
      </c>
      <c r="F62" t="s">
        <v>437</v>
      </c>
      <c r="G62" t="s">
        <v>64</v>
      </c>
      <c r="H62" t="s">
        <v>42</v>
      </c>
      <c r="I62" t="s">
        <v>463</v>
      </c>
    </row>
    <row r="63" spans="1:9" x14ac:dyDescent="0.15">
      <c r="A63" t="s">
        <v>13</v>
      </c>
      <c r="B63">
        <v>2</v>
      </c>
      <c r="C63">
        <v>7</v>
      </c>
      <c r="D63">
        <v>5</v>
      </c>
      <c r="E63" t="s">
        <v>68</v>
      </c>
      <c r="F63" t="s">
        <v>28</v>
      </c>
      <c r="G63" t="s">
        <v>64</v>
      </c>
      <c r="H63" t="s">
        <v>42</v>
      </c>
      <c r="I63" t="str">
        <f>IF(A63="","",VLOOKUP(A63,[1]lng!A:B,2,0))</f>
        <v>fr-FR</v>
      </c>
    </row>
    <row r="64" spans="1:9" x14ac:dyDescent="0.15">
      <c r="A64" t="s">
        <v>13</v>
      </c>
      <c r="B64">
        <v>2</v>
      </c>
      <c r="C64">
        <v>8</v>
      </c>
      <c r="D64">
        <v>8</v>
      </c>
      <c r="E64" t="s">
        <v>72</v>
      </c>
      <c r="F64" t="s">
        <v>32</v>
      </c>
      <c r="G64" t="s">
        <v>64</v>
      </c>
      <c r="H64" t="s">
        <v>45</v>
      </c>
      <c r="I64" t="s">
        <v>463</v>
      </c>
    </row>
    <row r="65" spans="1:9" x14ac:dyDescent="0.15">
      <c r="A65" t="s">
        <v>13</v>
      </c>
      <c r="B65">
        <v>2</v>
      </c>
      <c r="C65">
        <v>9</v>
      </c>
      <c r="D65">
        <v>8</v>
      </c>
      <c r="E65" t="s">
        <v>72</v>
      </c>
      <c r="F65" t="s">
        <v>438</v>
      </c>
      <c r="G65" t="s">
        <v>64</v>
      </c>
      <c r="H65" t="s">
        <v>45</v>
      </c>
      <c r="I65" t="str">
        <f>IF(A65="","",VLOOKUP(A65,[1]lng!A:B,2,0))</f>
        <v>fr-FR</v>
      </c>
    </row>
    <row r="66" spans="1:9" x14ac:dyDescent="0.15">
      <c r="A66" t="s">
        <v>13</v>
      </c>
      <c r="B66">
        <v>2</v>
      </c>
      <c r="C66">
        <v>10</v>
      </c>
      <c r="D66">
        <v>5</v>
      </c>
      <c r="E66" t="s">
        <v>68</v>
      </c>
      <c r="F66" t="s">
        <v>439</v>
      </c>
      <c r="G66" t="s">
        <v>64</v>
      </c>
      <c r="H66" t="s">
        <v>42</v>
      </c>
      <c r="I66" t="s">
        <v>463</v>
      </c>
    </row>
    <row r="67" spans="1:9" x14ac:dyDescent="0.15">
      <c r="A67" t="s">
        <v>13</v>
      </c>
      <c r="B67">
        <v>2</v>
      </c>
      <c r="C67">
        <v>11</v>
      </c>
      <c r="D67">
        <v>5</v>
      </c>
      <c r="E67" t="s">
        <v>68</v>
      </c>
      <c r="F67" t="s">
        <v>29</v>
      </c>
      <c r="G67" t="s">
        <v>64</v>
      </c>
      <c r="H67" t="s">
        <v>42</v>
      </c>
      <c r="I67" t="str">
        <f>IF(A67="","",VLOOKUP(A67,[1]lng!A:B,2,0))</f>
        <v>fr-FR</v>
      </c>
    </row>
    <row r="68" spans="1:9" x14ac:dyDescent="0.15">
      <c r="A68" t="s">
        <v>13</v>
      </c>
      <c r="B68">
        <v>2</v>
      </c>
      <c r="C68">
        <v>12</v>
      </c>
      <c r="D68">
        <v>8</v>
      </c>
      <c r="E68" t="s">
        <v>72</v>
      </c>
      <c r="F68" t="s">
        <v>33</v>
      </c>
      <c r="G68" t="s">
        <v>64</v>
      </c>
      <c r="H68" t="s">
        <v>45</v>
      </c>
      <c r="I68" t="s">
        <v>463</v>
      </c>
    </row>
    <row r="69" spans="1:9" x14ac:dyDescent="0.15">
      <c r="A69" t="s">
        <v>13</v>
      </c>
      <c r="B69">
        <v>2</v>
      </c>
      <c r="C69">
        <v>13</v>
      </c>
      <c r="D69">
        <v>8</v>
      </c>
      <c r="E69" t="s">
        <v>72</v>
      </c>
      <c r="F69" t="s">
        <v>440</v>
      </c>
      <c r="G69" t="s">
        <v>64</v>
      </c>
      <c r="H69" t="s">
        <v>45</v>
      </c>
      <c r="I69" t="str">
        <f>IF(A69="","",VLOOKUP(A69,[1]lng!A:B,2,0))</f>
        <v>fr-FR</v>
      </c>
    </row>
    <row r="70" spans="1:9" x14ac:dyDescent="0.15">
      <c r="A70" t="s">
        <v>13</v>
      </c>
      <c r="B70">
        <v>2</v>
      </c>
      <c r="C70">
        <v>14</v>
      </c>
      <c r="D70">
        <v>5</v>
      </c>
      <c r="E70" t="s">
        <v>68</v>
      </c>
      <c r="F70" t="s">
        <v>441</v>
      </c>
      <c r="G70" t="s">
        <v>64</v>
      </c>
      <c r="H70" t="s">
        <v>42</v>
      </c>
      <c r="I70" t="s">
        <v>463</v>
      </c>
    </row>
    <row r="71" spans="1:9" x14ac:dyDescent="0.15">
      <c r="A71" t="s">
        <v>13</v>
      </c>
      <c r="B71">
        <v>2</v>
      </c>
      <c r="C71">
        <v>15</v>
      </c>
      <c r="D71">
        <v>5</v>
      </c>
      <c r="E71" t="s">
        <v>68</v>
      </c>
      <c r="F71" t="s">
        <v>442</v>
      </c>
      <c r="G71" t="s">
        <v>64</v>
      </c>
      <c r="H71" t="s">
        <v>42</v>
      </c>
      <c r="I71" t="str">
        <f>IF(A71="","",VLOOKUP(A71,[1]lng!A:B,2,0))</f>
        <v>fr-FR</v>
      </c>
    </row>
    <row r="72" spans="1:9" x14ac:dyDescent="0.15">
      <c r="A72" t="s">
        <v>13</v>
      </c>
      <c r="B72">
        <v>2</v>
      </c>
      <c r="C72">
        <v>16</v>
      </c>
      <c r="D72">
        <v>8</v>
      </c>
      <c r="E72" t="s">
        <v>72</v>
      </c>
      <c r="F72" t="s">
        <v>34</v>
      </c>
      <c r="G72" t="s">
        <v>64</v>
      </c>
      <c r="H72" t="s">
        <v>45</v>
      </c>
      <c r="I72" t="s">
        <v>463</v>
      </c>
    </row>
    <row r="73" spans="1:9" x14ac:dyDescent="0.15">
      <c r="A73" t="s">
        <v>13</v>
      </c>
      <c r="B73">
        <v>2</v>
      </c>
      <c r="C73">
        <v>17</v>
      </c>
      <c r="D73">
        <v>8</v>
      </c>
      <c r="E73" t="s">
        <v>72</v>
      </c>
      <c r="F73" t="s">
        <v>443</v>
      </c>
      <c r="G73" t="s">
        <v>64</v>
      </c>
      <c r="H73" t="s">
        <v>45</v>
      </c>
      <c r="I73" t="str">
        <f>IF(A73="","",VLOOKUP(A73,[1]lng!A:B,2,0))</f>
        <v>fr-FR</v>
      </c>
    </row>
    <row r="74" spans="1:9" x14ac:dyDescent="0.15">
      <c r="A74" t="s">
        <v>13</v>
      </c>
      <c r="B74">
        <v>2</v>
      </c>
      <c r="C74">
        <v>18</v>
      </c>
      <c r="D74">
        <v>1</v>
      </c>
      <c r="E74" t="s">
        <v>62</v>
      </c>
      <c r="F74" t="s">
        <v>71</v>
      </c>
      <c r="G74" t="s">
        <v>64</v>
      </c>
      <c r="H74" t="s">
        <v>38</v>
      </c>
      <c r="I74" t="s">
        <v>463</v>
      </c>
    </row>
    <row r="75" spans="1:9" x14ac:dyDescent="0.15">
      <c r="A75" t="s">
        <v>13</v>
      </c>
      <c r="B75">
        <v>2</v>
      </c>
      <c r="C75">
        <v>19</v>
      </c>
      <c r="D75">
        <v>8</v>
      </c>
      <c r="E75" t="s">
        <v>72</v>
      </c>
      <c r="F75" t="s">
        <v>435</v>
      </c>
      <c r="G75" t="s">
        <v>64</v>
      </c>
      <c r="H75" t="s">
        <v>45</v>
      </c>
      <c r="I75" t="s">
        <v>463</v>
      </c>
    </row>
    <row r="76" spans="1:9" x14ac:dyDescent="0.15">
      <c r="A76" t="s">
        <v>13</v>
      </c>
      <c r="B76">
        <v>2</v>
      </c>
      <c r="C76">
        <v>20</v>
      </c>
      <c r="D76">
        <v>8</v>
      </c>
      <c r="E76" t="s">
        <v>72</v>
      </c>
      <c r="F76" t="s">
        <v>436</v>
      </c>
      <c r="G76" t="s">
        <v>64</v>
      </c>
      <c r="H76" t="s">
        <v>45</v>
      </c>
      <c r="I76" t="str">
        <f>IF(A76="","",VLOOKUP(A76,[1]lng!A:B,2,0))</f>
        <v>fr-FR</v>
      </c>
    </row>
    <row r="77" spans="1:9" x14ac:dyDescent="0.15">
      <c r="A77" t="s">
        <v>13</v>
      </c>
      <c r="B77">
        <v>2</v>
      </c>
      <c r="C77">
        <v>21</v>
      </c>
      <c r="D77">
        <v>0</v>
      </c>
      <c r="E77" t="s">
        <v>65</v>
      </c>
      <c r="F77" t="s">
        <v>436</v>
      </c>
      <c r="G77" t="s">
        <v>66</v>
      </c>
      <c r="H77" t="s">
        <v>37</v>
      </c>
      <c r="I77" t="str">
        <f>IF(A77="","",VLOOKUP(A77,[1]lng!A:B,2,0))</f>
        <v>fr-FR</v>
      </c>
    </row>
    <row r="78" spans="1:9" x14ac:dyDescent="0.15">
      <c r="A78" t="s">
        <v>13</v>
      </c>
      <c r="B78">
        <v>2</v>
      </c>
      <c r="C78">
        <v>22</v>
      </c>
      <c r="D78">
        <v>5</v>
      </c>
      <c r="E78" t="s">
        <v>68</v>
      </c>
      <c r="F78" t="s">
        <v>437</v>
      </c>
      <c r="G78" t="s">
        <v>64</v>
      </c>
      <c r="H78" t="s">
        <v>42</v>
      </c>
      <c r="I78" t="s">
        <v>463</v>
      </c>
    </row>
    <row r="79" spans="1:9" x14ac:dyDescent="0.15">
      <c r="A79" t="s">
        <v>13</v>
      </c>
      <c r="B79">
        <v>2</v>
      </c>
      <c r="C79">
        <v>23</v>
      </c>
      <c r="D79">
        <v>5</v>
      </c>
      <c r="E79" t="s">
        <v>68</v>
      </c>
      <c r="F79" t="s">
        <v>28</v>
      </c>
      <c r="G79" t="s">
        <v>64</v>
      </c>
      <c r="H79" t="s">
        <v>42</v>
      </c>
      <c r="I79" t="str">
        <f>IF(A79="","",VLOOKUP(A79,[1]lng!A:B,2,0))</f>
        <v>fr-FR</v>
      </c>
    </row>
    <row r="80" spans="1:9" x14ac:dyDescent="0.15">
      <c r="A80" t="s">
        <v>13</v>
      </c>
      <c r="B80">
        <v>2</v>
      </c>
      <c r="C80">
        <v>24</v>
      </c>
      <c r="D80">
        <v>0</v>
      </c>
      <c r="E80" t="s">
        <v>65</v>
      </c>
      <c r="F80" t="s">
        <v>28</v>
      </c>
      <c r="G80" t="s">
        <v>66</v>
      </c>
      <c r="H80" t="s">
        <v>37</v>
      </c>
      <c r="I80" t="str">
        <f>IF(A80="","",VLOOKUP(A80,[1]lng!A:B,2,0))</f>
        <v>fr-FR</v>
      </c>
    </row>
    <row r="81" spans="1:9" x14ac:dyDescent="0.15">
      <c r="A81" t="s">
        <v>13</v>
      </c>
      <c r="B81">
        <v>2</v>
      </c>
      <c r="C81">
        <v>25</v>
      </c>
      <c r="D81">
        <v>8</v>
      </c>
      <c r="E81" t="s">
        <v>72</v>
      </c>
      <c r="F81" t="s">
        <v>32</v>
      </c>
      <c r="G81" t="s">
        <v>64</v>
      </c>
      <c r="H81" t="s">
        <v>45</v>
      </c>
      <c r="I81" t="s">
        <v>463</v>
      </c>
    </row>
    <row r="82" spans="1:9" x14ac:dyDescent="0.15">
      <c r="A82" t="s">
        <v>13</v>
      </c>
      <c r="B82">
        <v>2</v>
      </c>
      <c r="C82">
        <v>26</v>
      </c>
      <c r="D82">
        <v>8</v>
      </c>
      <c r="E82" t="s">
        <v>72</v>
      </c>
      <c r="F82" t="s">
        <v>438</v>
      </c>
      <c r="G82" t="s">
        <v>64</v>
      </c>
      <c r="H82" t="s">
        <v>45</v>
      </c>
      <c r="I82" t="str">
        <f>IF(A82="","",VLOOKUP(A82,[1]lng!A:B,2,0))</f>
        <v>fr-FR</v>
      </c>
    </row>
    <row r="83" spans="1:9" x14ac:dyDescent="0.15">
      <c r="A83" t="s">
        <v>13</v>
      </c>
      <c r="B83">
        <v>2</v>
      </c>
      <c r="C83">
        <v>27</v>
      </c>
      <c r="D83">
        <v>0</v>
      </c>
      <c r="E83" t="s">
        <v>65</v>
      </c>
      <c r="F83" t="s">
        <v>438</v>
      </c>
      <c r="G83" t="s">
        <v>66</v>
      </c>
      <c r="H83" t="s">
        <v>37</v>
      </c>
      <c r="I83" t="str">
        <f>IF(A83="","",VLOOKUP(A83,[1]lng!A:B,2,0))</f>
        <v>fr-FR</v>
      </c>
    </row>
    <row r="84" spans="1:9" x14ac:dyDescent="0.15">
      <c r="A84" t="s">
        <v>13</v>
      </c>
      <c r="B84">
        <v>2</v>
      </c>
      <c r="C84">
        <v>28</v>
      </c>
      <c r="D84">
        <v>5</v>
      </c>
      <c r="E84" t="s">
        <v>68</v>
      </c>
      <c r="F84" t="s">
        <v>439</v>
      </c>
      <c r="G84" t="s">
        <v>64</v>
      </c>
      <c r="H84" t="s">
        <v>42</v>
      </c>
      <c r="I84" t="s">
        <v>463</v>
      </c>
    </row>
    <row r="85" spans="1:9" x14ac:dyDescent="0.15">
      <c r="A85" t="s">
        <v>13</v>
      </c>
      <c r="B85">
        <v>2</v>
      </c>
      <c r="C85">
        <v>29</v>
      </c>
      <c r="D85">
        <v>5</v>
      </c>
      <c r="E85" t="s">
        <v>68</v>
      </c>
      <c r="F85" t="s">
        <v>29</v>
      </c>
      <c r="G85" t="s">
        <v>64</v>
      </c>
      <c r="H85" t="s">
        <v>42</v>
      </c>
      <c r="I85" t="str">
        <f>IF(A85="","",VLOOKUP(A85,[1]lng!A:B,2,0))</f>
        <v>fr-FR</v>
      </c>
    </row>
    <row r="86" spans="1:9" x14ac:dyDescent="0.15">
      <c r="A86" t="s">
        <v>13</v>
      </c>
      <c r="B86">
        <v>2</v>
      </c>
      <c r="C86">
        <v>30</v>
      </c>
      <c r="D86">
        <v>0</v>
      </c>
      <c r="E86" t="s">
        <v>65</v>
      </c>
      <c r="F86" t="s">
        <v>29</v>
      </c>
      <c r="G86" t="s">
        <v>66</v>
      </c>
      <c r="H86" t="s">
        <v>37</v>
      </c>
      <c r="I86" t="str">
        <f>IF(A86="","",VLOOKUP(A86,[1]lng!A:B,2,0))</f>
        <v>fr-FR</v>
      </c>
    </row>
    <row r="87" spans="1:9" x14ac:dyDescent="0.15">
      <c r="A87" t="s">
        <v>13</v>
      </c>
      <c r="B87">
        <v>2</v>
      </c>
      <c r="C87">
        <v>31</v>
      </c>
      <c r="D87">
        <v>8</v>
      </c>
      <c r="E87" t="s">
        <v>72</v>
      </c>
      <c r="F87" t="s">
        <v>33</v>
      </c>
      <c r="G87" t="s">
        <v>64</v>
      </c>
      <c r="H87" t="s">
        <v>45</v>
      </c>
      <c r="I87" t="s">
        <v>463</v>
      </c>
    </row>
    <row r="88" spans="1:9" x14ac:dyDescent="0.15">
      <c r="A88" t="s">
        <v>13</v>
      </c>
      <c r="B88">
        <v>2</v>
      </c>
      <c r="C88">
        <v>32</v>
      </c>
      <c r="D88">
        <v>8</v>
      </c>
      <c r="E88" t="s">
        <v>72</v>
      </c>
      <c r="F88" t="s">
        <v>440</v>
      </c>
      <c r="G88" t="s">
        <v>64</v>
      </c>
      <c r="H88" t="s">
        <v>45</v>
      </c>
      <c r="I88" t="str">
        <f>IF(A88="","",VLOOKUP(A88,[1]lng!A:B,2,0))</f>
        <v>fr-FR</v>
      </c>
    </row>
    <row r="89" spans="1:9" x14ac:dyDescent="0.15">
      <c r="A89" t="s">
        <v>13</v>
      </c>
      <c r="B89">
        <v>2</v>
      </c>
      <c r="C89">
        <v>33</v>
      </c>
      <c r="D89">
        <v>0</v>
      </c>
      <c r="E89" t="s">
        <v>65</v>
      </c>
      <c r="F89" t="s">
        <v>440</v>
      </c>
      <c r="G89" t="s">
        <v>66</v>
      </c>
      <c r="H89" t="s">
        <v>37</v>
      </c>
      <c r="I89" t="str">
        <f>IF(A89="","",VLOOKUP(A89,[1]lng!A:B,2,0))</f>
        <v>fr-FR</v>
      </c>
    </row>
    <row r="90" spans="1:9" x14ac:dyDescent="0.15">
      <c r="A90" t="s">
        <v>13</v>
      </c>
      <c r="B90">
        <v>2</v>
      </c>
      <c r="C90">
        <v>34</v>
      </c>
      <c r="D90">
        <v>5</v>
      </c>
      <c r="E90" t="s">
        <v>68</v>
      </c>
      <c r="F90" t="s">
        <v>441</v>
      </c>
      <c r="G90" t="s">
        <v>64</v>
      </c>
      <c r="H90" t="s">
        <v>42</v>
      </c>
      <c r="I90" t="s">
        <v>463</v>
      </c>
    </row>
    <row r="91" spans="1:9" x14ac:dyDescent="0.15">
      <c r="A91" t="s">
        <v>13</v>
      </c>
      <c r="B91">
        <v>2</v>
      </c>
      <c r="C91">
        <v>35</v>
      </c>
      <c r="D91">
        <v>5</v>
      </c>
      <c r="E91" t="s">
        <v>68</v>
      </c>
      <c r="F91" t="s">
        <v>442</v>
      </c>
      <c r="G91" t="s">
        <v>64</v>
      </c>
      <c r="H91" t="s">
        <v>42</v>
      </c>
      <c r="I91" t="str">
        <f>IF(A91="","",VLOOKUP(A91,[1]lng!A:B,2,0))</f>
        <v>fr-FR</v>
      </c>
    </row>
    <row r="92" spans="1:9" x14ac:dyDescent="0.15">
      <c r="A92" t="s">
        <v>13</v>
      </c>
      <c r="B92">
        <v>2</v>
      </c>
      <c r="C92">
        <v>36</v>
      </c>
      <c r="D92">
        <v>0</v>
      </c>
      <c r="E92" t="s">
        <v>65</v>
      </c>
      <c r="F92" t="s">
        <v>442</v>
      </c>
      <c r="G92" t="s">
        <v>66</v>
      </c>
      <c r="H92" t="s">
        <v>37</v>
      </c>
      <c r="I92" t="str">
        <f>IF(A92="","",VLOOKUP(A92,[1]lng!A:B,2,0))</f>
        <v>fr-FR</v>
      </c>
    </row>
    <row r="93" spans="1:9" x14ac:dyDescent="0.15">
      <c r="A93" t="s">
        <v>13</v>
      </c>
      <c r="B93">
        <v>2</v>
      </c>
      <c r="C93">
        <v>37</v>
      </c>
      <c r="D93">
        <v>8</v>
      </c>
      <c r="E93" t="s">
        <v>72</v>
      </c>
      <c r="F93" t="s">
        <v>34</v>
      </c>
      <c r="G93" t="s">
        <v>64</v>
      </c>
      <c r="H93" t="s">
        <v>45</v>
      </c>
      <c r="I93" t="s">
        <v>463</v>
      </c>
    </row>
    <row r="94" spans="1:9" x14ac:dyDescent="0.15">
      <c r="A94" t="s">
        <v>13</v>
      </c>
      <c r="B94">
        <v>2</v>
      </c>
      <c r="C94">
        <v>38</v>
      </c>
      <c r="D94">
        <v>8</v>
      </c>
      <c r="E94" t="s">
        <v>72</v>
      </c>
      <c r="F94" t="s">
        <v>443</v>
      </c>
      <c r="G94" t="s">
        <v>64</v>
      </c>
      <c r="H94" t="s">
        <v>45</v>
      </c>
      <c r="I94" t="str">
        <f>IF(A94="","",VLOOKUP(A94,[1]lng!A:B,2,0))</f>
        <v>fr-FR</v>
      </c>
    </row>
    <row r="95" spans="1:9" x14ac:dyDescent="0.15">
      <c r="A95" t="s">
        <v>13</v>
      </c>
      <c r="B95">
        <v>2</v>
      </c>
      <c r="C95">
        <v>39</v>
      </c>
      <c r="D95">
        <v>0</v>
      </c>
      <c r="E95" t="s">
        <v>65</v>
      </c>
      <c r="F95" t="s">
        <v>443</v>
      </c>
      <c r="G95" t="s">
        <v>66</v>
      </c>
      <c r="H95" t="s">
        <v>37</v>
      </c>
      <c r="I95" t="str">
        <f>IF(A95="","",VLOOKUP(A95,[1]lng!A:B,2,0))</f>
        <v>fr-FR</v>
      </c>
    </row>
    <row r="96" spans="1:9" x14ac:dyDescent="0.15">
      <c r="A96" t="s">
        <v>13</v>
      </c>
      <c r="B96">
        <v>2</v>
      </c>
      <c r="C96">
        <v>40</v>
      </c>
      <c r="D96">
        <v>1</v>
      </c>
      <c r="E96" t="s">
        <v>62</v>
      </c>
      <c r="F96" t="s">
        <v>26</v>
      </c>
      <c r="G96" t="s">
        <v>64</v>
      </c>
      <c r="H96" t="s">
        <v>38</v>
      </c>
      <c r="I96" t="s">
        <v>463</v>
      </c>
    </row>
    <row r="97" spans="1:9" x14ac:dyDescent="0.15">
      <c r="A97" t="s">
        <v>13</v>
      </c>
      <c r="B97">
        <v>2</v>
      </c>
      <c r="C97">
        <v>41</v>
      </c>
      <c r="D97">
        <v>8</v>
      </c>
      <c r="E97" t="s">
        <v>72</v>
      </c>
      <c r="F97" t="s">
        <v>435</v>
      </c>
      <c r="G97" t="s">
        <v>64</v>
      </c>
      <c r="H97" t="s">
        <v>45</v>
      </c>
      <c r="I97" t="s">
        <v>463</v>
      </c>
    </row>
    <row r="98" spans="1:9" x14ac:dyDescent="0.15">
      <c r="A98" t="s">
        <v>13</v>
      </c>
      <c r="B98">
        <v>2</v>
      </c>
      <c r="C98">
        <v>42</v>
      </c>
      <c r="D98">
        <v>0</v>
      </c>
      <c r="E98" t="s">
        <v>65</v>
      </c>
      <c r="F98" t="s">
        <v>436</v>
      </c>
      <c r="G98" t="s">
        <v>66</v>
      </c>
      <c r="H98" t="s">
        <v>37</v>
      </c>
      <c r="I98" t="str">
        <f>IF(A98="","",VLOOKUP(A98,[1]lng!A:B,2,0))</f>
        <v>fr-FR</v>
      </c>
    </row>
    <row r="99" spans="1:9" x14ac:dyDescent="0.15">
      <c r="A99" t="s">
        <v>13</v>
      </c>
      <c r="B99">
        <v>2</v>
      </c>
      <c r="C99">
        <v>43</v>
      </c>
      <c r="D99">
        <v>5</v>
      </c>
      <c r="E99" t="s">
        <v>68</v>
      </c>
      <c r="F99" t="s">
        <v>437</v>
      </c>
      <c r="G99" t="s">
        <v>64</v>
      </c>
      <c r="H99" t="s">
        <v>42</v>
      </c>
      <c r="I99" t="s">
        <v>463</v>
      </c>
    </row>
    <row r="100" spans="1:9" x14ac:dyDescent="0.15">
      <c r="A100" t="s">
        <v>13</v>
      </c>
      <c r="B100">
        <v>2</v>
      </c>
      <c r="C100">
        <v>44</v>
      </c>
      <c r="D100">
        <v>0</v>
      </c>
      <c r="E100" t="s">
        <v>65</v>
      </c>
      <c r="F100" t="s">
        <v>28</v>
      </c>
      <c r="G100" t="s">
        <v>66</v>
      </c>
      <c r="H100" t="s">
        <v>37</v>
      </c>
      <c r="I100" t="str">
        <f>IF(A100="","",VLOOKUP(A100,[1]lng!A:B,2,0))</f>
        <v>fr-FR</v>
      </c>
    </row>
    <row r="101" spans="1:9" x14ac:dyDescent="0.15">
      <c r="A101" t="s">
        <v>13</v>
      </c>
      <c r="B101">
        <v>2</v>
      </c>
      <c r="C101">
        <v>45</v>
      </c>
      <c r="D101">
        <v>8</v>
      </c>
      <c r="E101" t="s">
        <v>72</v>
      </c>
      <c r="F101" t="s">
        <v>32</v>
      </c>
      <c r="G101" t="s">
        <v>64</v>
      </c>
      <c r="H101" t="s">
        <v>45</v>
      </c>
      <c r="I101" t="s">
        <v>463</v>
      </c>
    </row>
    <row r="102" spans="1:9" x14ac:dyDescent="0.15">
      <c r="A102" t="s">
        <v>13</v>
      </c>
      <c r="B102">
        <v>2</v>
      </c>
      <c r="C102">
        <v>46</v>
      </c>
      <c r="D102">
        <v>0</v>
      </c>
      <c r="E102" t="s">
        <v>65</v>
      </c>
      <c r="F102" t="s">
        <v>438</v>
      </c>
      <c r="G102" t="s">
        <v>66</v>
      </c>
      <c r="H102" t="s">
        <v>37</v>
      </c>
      <c r="I102" t="str">
        <f>IF(A102="","",VLOOKUP(A102,[1]lng!A:B,2,0))</f>
        <v>fr-FR</v>
      </c>
    </row>
    <row r="103" spans="1:9" x14ac:dyDescent="0.15">
      <c r="A103" t="s">
        <v>13</v>
      </c>
      <c r="B103">
        <v>2</v>
      </c>
      <c r="C103">
        <v>47</v>
      </c>
      <c r="D103">
        <v>5</v>
      </c>
      <c r="E103" t="s">
        <v>68</v>
      </c>
      <c r="F103" t="s">
        <v>439</v>
      </c>
      <c r="G103" t="s">
        <v>64</v>
      </c>
      <c r="H103" t="s">
        <v>42</v>
      </c>
      <c r="I103" t="s">
        <v>463</v>
      </c>
    </row>
    <row r="104" spans="1:9" x14ac:dyDescent="0.15">
      <c r="A104" t="s">
        <v>13</v>
      </c>
      <c r="B104">
        <v>2</v>
      </c>
      <c r="C104">
        <v>48</v>
      </c>
      <c r="D104">
        <v>0</v>
      </c>
      <c r="E104" t="s">
        <v>65</v>
      </c>
      <c r="F104" t="s">
        <v>29</v>
      </c>
      <c r="G104" t="s">
        <v>66</v>
      </c>
      <c r="H104" t="s">
        <v>37</v>
      </c>
      <c r="I104" t="str">
        <f>IF(A104="","",VLOOKUP(A104,[1]lng!A:B,2,0))</f>
        <v>fr-FR</v>
      </c>
    </row>
    <row r="105" spans="1:9" x14ac:dyDescent="0.15">
      <c r="A105" t="s">
        <v>13</v>
      </c>
      <c r="B105">
        <v>2</v>
      </c>
      <c r="C105">
        <v>49</v>
      </c>
      <c r="D105">
        <v>8</v>
      </c>
      <c r="E105" t="s">
        <v>72</v>
      </c>
      <c r="F105" t="s">
        <v>33</v>
      </c>
      <c r="G105" t="s">
        <v>64</v>
      </c>
      <c r="H105" t="s">
        <v>45</v>
      </c>
      <c r="I105" t="s">
        <v>463</v>
      </c>
    </row>
    <row r="106" spans="1:9" x14ac:dyDescent="0.15">
      <c r="A106" t="s">
        <v>13</v>
      </c>
      <c r="B106">
        <v>2</v>
      </c>
      <c r="C106">
        <v>50</v>
      </c>
      <c r="D106">
        <v>0</v>
      </c>
      <c r="E106" t="s">
        <v>65</v>
      </c>
      <c r="F106" t="s">
        <v>440</v>
      </c>
      <c r="G106" t="s">
        <v>66</v>
      </c>
      <c r="H106" t="s">
        <v>37</v>
      </c>
      <c r="I106" t="str">
        <f>IF(A106="","",VLOOKUP(A106,[1]lng!A:B,2,0))</f>
        <v>fr-FR</v>
      </c>
    </row>
    <row r="107" spans="1:9" x14ac:dyDescent="0.15">
      <c r="A107" t="s">
        <v>13</v>
      </c>
      <c r="B107">
        <v>2</v>
      </c>
      <c r="C107">
        <v>51</v>
      </c>
      <c r="D107">
        <v>5</v>
      </c>
      <c r="E107" t="s">
        <v>68</v>
      </c>
      <c r="F107" t="s">
        <v>441</v>
      </c>
      <c r="G107" t="s">
        <v>64</v>
      </c>
      <c r="H107" t="s">
        <v>42</v>
      </c>
      <c r="I107" t="s">
        <v>463</v>
      </c>
    </row>
    <row r="108" spans="1:9" x14ac:dyDescent="0.15">
      <c r="A108" t="s">
        <v>13</v>
      </c>
      <c r="B108">
        <v>2</v>
      </c>
      <c r="C108">
        <v>52</v>
      </c>
      <c r="D108">
        <v>0</v>
      </c>
      <c r="E108" t="s">
        <v>65</v>
      </c>
      <c r="F108" t="s">
        <v>442</v>
      </c>
      <c r="G108" t="s">
        <v>66</v>
      </c>
      <c r="H108" t="s">
        <v>37</v>
      </c>
      <c r="I108" t="str">
        <f>IF(A108="","",VLOOKUP(A108,[1]lng!A:B,2,0))</f>
        <v>fr-FR</v>
      </c>
    </row>
    <row r="109" spans="1:9" x14ac:dyDescent="0.15">
      <c r="A109" t="s">
        <v>13</v>
      </c>
      <c r="B109">
        <v>2</v>
      </c>
      <c r="C109">
        <v>53</v>
      </c>
      <c r="D109">
        <v>8</v>
      </c>
      <c r="E109" t="s">
        <v>72</v>
      </c>
      <c r="F109" t="s">
        <v>34</v>
      </c>
      <c r="G109" t="s">
        <v>64</v>
      </c>
      <c r="H109" t="s">
        <v>45</v>
      </c>
      <c r="I109" t="s">
        <v>463</v>
      </c>
    </row>
    <row r="110" spans="1:9" x14ac:dyDescent="0.15">
      <c r="A110" t="s">
        <v>13</v>
      </c>
      <c r="B110">
        <v>2</v>
      </c>
      <c r="C110">
        <v>54</v>
      </c>
      <c r="D110">
        <v>0</v>
      </c>
      <c r="E110" t="s">
        <v>65</v>
      </c>
      <c r="F110" t="s">
        <v>443</v>
      </c>
      <c r="G110" t="s">
        <v>66</v>
      </c>
      <c r="H110" t="s">
        <v>37</v>
      </c>
      <c r="I110" t="str">
        <f>IF(A110="","",VLOOKUP(A110,[1]lng!A:B,2,0))</f>
        <v>fr-FR</v>
      </c>
    </row>
    <row r="111" spans="1:9" x14ac:dyDescent="0.15">
      <c r="A111" t="s">
        <v>13</v>
      </c>
      <c r="B111">
        <v>2</v>
      </c>
      <c r="C111">
        <v>55</v>
      </c>
      <c r="D111">
        <v>1</v>
      </c>
      <c r="E111" t="s">
        <v>62</v>
      </c>
      <c r="F111" t="s">
        <v>73</v>
      </c>
      <c r="G111" t="s">
        <v>63</v>
      </c>
      <c r="H111" t="s">
        <v>38</v>
      </c>
      <c r="I111" t="s">
        <v>463</v>
      </c>
    </row>
    <row r="112" spans="1:9" x14ac:dyDescent="0.15">
      <c r="A112" t="str">
        <f>A111</f>
        <v>フランス語</v>
      </c>
      <c r="B112">
        <f>B111+1</f>
        <v>3</v>
      </c>
      <c r="C112">
        <v>1</v>
      </c>
      <c r="D112">
        <v>1</v>
      </c>
      <c r="E112" t="str">
        <f>VLOOKUP(D112,name!A:B,2,1)</f>
        <v>Navigator</v>
      </c>
      <c r="F112" t="s">
        <v>450</v>
      </c>
      <c r="G112" t="str">
        <f>IF(B112&lt;&gt;B113,"e",IF(D112=0,"q","a"))</f>
        <v>a</v>
      </c>
      <c r="H112" t="str">
        <f>VLOOKUP(D112,name!A:C,3,1)</f>
        <v>assets/icons/image014.png</v>
      </c>
      <c r="I112" t="str">
        <f>IF(A112="","",VLOOKUP(A112,[1]lng!A:B,2,0))</f>
        <v>fr-FR</v>
      </c>
    </row>
    <row r="113" spans="1:11" x14ac:dyDescent="0.15">
      <c r="A113" t="str">
        <f t="shared" ref="A113:B128" si="0">A112</f>
        <v>フランス語</v>
      </c>
      <c r="B113">
        <f>B112</f>
        <v>3</v>
      </c>
      <c r="C113">
        <f>C112+1</f>
        <v>2</v>
      </c>
      <c r="D113">
        <v>1</v>
      </c>
      <c r="E113" t="str">
        <f>VLOOKUP(D113,name!A:B,2,1)</f>
        <v>Navigator</v>
      </c>
      <c r="F113" t="str">
        <f>"レッスン"&amp;B113</f>
        <v>レッスン3</v>
      </c>
      <c r="G113" t="str">
        <f t="shared" ref="G113:G135" si="1">IF(B113&lt;&gt;B114,"e",IF(D113=0,"q","a"))</f>
        <v>a</v>
      </c>
      <c r="H113" t="str">
        <f>VLOOKUP(D113,name!A:C,3,1)</f>
        <v>assets/icons/image014.png</v>
      </c>
      <c r="I113" t="s">
        <v>463</v>
      </c>
    </row>
    <row r="114" spans="1:11" ht="40.5" x14ac:dyDescent="0.15">
      <c r="A114" t="str">
        <f t="shared" si="0"/>
        <v>フランス語</v>
      </c>
      <c r="B114">
        <f t="shared" si="0"/>
        <v>3</v>
      </c>
      <c r="C114">
        <f t="shared" ref="C114:C141" si="2">C113+1</f>
        <v>3</v>
      </c>
      <c r="D114">
        <v>1</v>
      </c>
      <c r="E114" t="str">
        <f>VLOOKUP(D114,name!A:B,2,1)</f>
        <v>Navigator</v>
      </c>
      <c r="F114" s="1" t="str">
        <f>"まずは対話文を流します。その後に、日本語と"&amp;A114&amp;"を一文ずつ流すので"&amp;A114&amp;"を真似して下さい。最後に日本語のみを流すので、"&amp;A114&amp;"で答えてください。"</f>
        <v>まずは対話文を流します。その後に、日本語とフランス語を一文ずつ流すのでフランス語を真似して下さい。最後に日本語のみを流すので、フランス語で答えてください。</v>
      </c>
      <c r="G114" t="str">
        <f t="shared" si="1"/>
        <v>a</v>
      </c>
      <c r="H114" t="str">
        <f>VLOOKUP(D114,name!A:C,3,1)</f>
        <v>assets/icons/image014.png</v>
      </c>
      <c r="I114" t="s">
        <v>463</v>
      </c>
      <c r="K114" s="1"/>
    </row>
    <row r="115" spans="1:11" x14ac:dyDescent="0.15">
      <c r="A115" t="str">
        <f t="shared" si="0"/>
        <v>フランス語</v>
      </c>
      <c r="B115">
        <f t="shared" si="0"/>
        <v>3</v>
      </c>
      <c r="C115">
        <f t="shared" si="2"/>
        <v>4</v>
      </c>
      <c r="D115">
        <f>D116</f>
        <v>5</v>
      </c>
      <c r="E115" t="str">
        <f>VLOOKUP(D115,name!A:B,2,1)</f>
        <v>Minako</v>
      </c>
      <c r="F115" t="s">
        <v>456</v>
      </c>
      <c r="G115" t="str">
        <f t="shared" si="1"/>
        <v>a</v>
      </c>
      <c r="H115" t="str">
        <f>VLOOKUP(D115,name!A:C,3,1)</f>
        <v>assets/icons/image086.png</v>
      </c>
      <c r="I115" t="s">
        <v>463</v>
      </c>
    </row>
    <row r="116" spans="1:11" x14ac:dyDescent="0.15">
      <c r="A116" t="str">
        <f t="shared" si="0"/>
        <v>フランス語</v>
      </c>
      <c r="B116">
        <f t="shared" si="0"/>
        <v>3</v>
      </c>
      <c r="C116">
        <f t="shared" si="2"/>
        <v>5</v>
      </c>
      <c r="D116">
        <v>5</v>
      </c>
      <c r="E116" t="str">
        <f>VLOOKUP(D116,name!A:B,2,1)</f>
        <v>Minako</v>
      </c>
      <c r="F116" t="s">
        <v>449</v>
      </c>
      <c r="G116" t="str">
        <f t="shared" si="1"/>
        <v>a</v>
      </c>
      <c r="H116" t="str">
        <f>VLOOKUP(D116,name!A:C,3,1)</f>
        <v>assets/icons/image086.png</v>
      </c>
      <c r="I116" t="str">
        <f>IF(A116="","",VLOOKUP(A116,lng!A:B,2,0))</f>
        <v>fr-FR</v>
      </c>
    </row>
    <row r="117" spans="1:11" x14ac:dyDescent="0.15">
      <c r="A117" t="str">
        <f t="shared" si="0"/>
        <v>フランス語</v>
      </c>
      <c r="B117">
        <f t="shared" si="0"/>
        <v>3</v>
      </c>
      <c r="C117">
        <f t="shared" si="2"/>
        <v>6</v>
      </c>
      <c r="D117">
        <f t="shared" ref="D117:D129" si="3">D118</f>
        <v>6</v>
      </c>
      <c r="E117" t="str">
        <f>VLOOKUP(D117,name!A:B,2,1)</f>
        <v>Céline</v>
      </c>
      <c r="F117" t="s">
        <v>457</v>
      </c>
      <c r="G117" t="str">
        <f t="shared" si="1"/>
        <v>a</v>
      </c>
      <c r="H117" t="str">
        <f>VLOOKUP(D117,name!A:C,3,1)</f>
        <v>assets/icons/image078.png</v>
      </c>
      <c r="I117" t="s">
        <v>463</v>
      </c>
    </row>
    <row r="118" spans="1:11" x14ac:dyDescent="0.15">
      <c r="A118" t="str">
        <f t="shared" si="0"/>
        <v>フランス語</v>
      </c>
      <c r="B118">
        <f t="shared" si="0"/>
        <v>3</v>
      </c>
      <c r="C118">
        <f t="shared" si="2"/>
        <v>7</v>
      </c>
      <c r="D118">
        <f t="shared" si="3"/>
        <v>6</v>
      </c>
      <c r="E118" t="str">
        <f>VLOOKUP(D118,name!A:B,2,1)</f>
        <v>Céline</v>
      </c>
      <c r="F118" t="s">
        <v>458</v>
      </c>
      <c r="G118" t="str">
        <f t="shared" si="1"/>
        <v>a</v>
      </c>
      <c r="H118" t="str">
        <f>VLOOKUP(D118,name!A:C,3,1)</f>
        <v>assets/icons/image078.png</v>
      </c>
      <c r="I118" t="str">
        <f>IF(A118="","",VLOOKUP(A118,lng!A:B,2,0))</f>
        <v>fr-FR</v>
      </c>
    </row>
    <row r="119" spans="1:11" x14ac:dyDescent="0.15">
      <c r="A119" t="str">
        <f t="shared" si="0"/>
        <v>フランス語</v>
      </c>
      <c r="B119">
        <f t="shared" si="0"/>
        <v>3</v>
      </c>
      <c r="C119">
        <f t="shared" si="2"/>
        <v>8</v>
      </c>
      <c r="D119">
        <f t="shared" si="3"/>
        <v>6</v>
      </c>
      <c r="E119" t="str">
        <f>VLOOKUP(D119,name!A:B,2,1)</f>
        <v>Céline</v>
      </c>
      <c r="F119" t="s">
        <v>498</v>
      </c>
      <c r="G119" t="str">
        <f t="shared" si="1"/>
        <v>a</v>
      </c>
      <c r="H119" t="str">
        <f>VLOOKUP(D119,name!A:C,3,1)</f>
        <v>assets/icons/image078.png</v>
      </c>
      <c r="I119" t="s">
        <v>463</v>
      </c>
    </row>
    <row r="120" spans="1:11" x14ac:dyDescent="0.15">
      <c r="A120" t="str">
        <f t="shared" si="0"/>
        <v>フランス語</v>
      </c>
      <c r="B120">
        <f t="shared" si="0"/>
        <v>3</v>
      </c>
      <c r="C120">
        <f t="shared" si="2"/>
        <v>9</v>
      </c>
      <c r="D120">
        <v>6</v>
      </c>
      <c r="E120" t="str">
        <f>VLOOKUP(D120,name!A:B,2,1)</f>
        <v>Céline</v>
      </c>
      <c r="F120" t="s">
        <v>451</v>
      </c>
      <c r="G120" t="str">
        <f t="shared" si="1"/>
        <v>a</v>
      </c>
      <c r="H120" t="str">
        <f>VLOOKUP(D120,name!A:C,3,1)</f>
        <v>assets/icons/image078.png</v>
      </c>
      <c r="I120" t="str">
        <f>IF(A120="","",VLOOKUP(A120,lng!A:B,2,0))</f>
        <v>fr-FR</v>
      </c>
    </row>
    <row r="121" spans="1:11" x14ac:dyDescent="0.15">
      <c r="A121" t="str">
        <f t="shared" si="0"/>
        <v>フランス語</v>
      </c>
      <c r="B121">
        <f t="shared" si="0"/>
        <v>3</v>
      </c>
      <c r="C121">
        <f t="shared" si="2"/>
        <v>10</v>
      </c>
      <c r="D121">
        <f t="shared" si="3"/>
        <v>5</v>
      </c>
      <c r="E121" t="str">
        <f>VLOOKUP(D121,name!A:B,2,1)</f>
        <v>Minako</v>
      </c>
      <c r="F121" t="s">
        <v>461</v>
      </c>
      <c r="G121" t="str">
        <f t="shared" si="1"/>
        <v>a</v>
      </c>
      <c r="H121" t="str">
        <f>VLOOKUP(D121,name!A:C,3,1)</f>
        <v>assets/icons/image086.png</v>
      </c>
      <c r="I121" t="s">
        <v>463</v>
      </c>
    </row>
    <row r="122" spans="1:11" x14ac:dyDescent="0.15">
      <c r="A122" t="str">
        <f t="shared" si="0"/>
        <v>フランス語</v>
      </c>
      <c r="B122">
        <f t="shared" si="0"/>
        <v>3</v>
      </c>
      <c r="C122">
        <f t="shared" si="2"/>
        <v>11</v>
      </c>
      <c r="D122">
        <f t="shared" si="3"/>
        <v>5</v>
      </c>
      <c r="E122" t="str">
        <f>VLOOKUP(D122,name!A:B,2,1)</f>
        <v>Minako</v>
      </c>
      <c r="F122" t="s">
        <v>452</v>
      </c>
      <c r="G122" t="str">
        <f t="shared" si="1"/>
        <v>a</v>
      </c>
      <c r="H122" t="str">
        <f>VLOOKUP(D122,name!A:C,3,1)</f>
        <v>assets/icons/image086.png</v>
      </c>
      <c r="I122" t="str">
        <f>IF(A122="","",VLOOKUP(A122,lng!A:B,2,0))</f>
        <v>fr-FR</v>
      </c>
    </row>
    <row r="123" spans="1:11" x14ac:dyDescent="0.15">
      <c r="A123" t="str">
        <f t="shared" si="0"/>
        <v>フランス語</v>
      </c>
      <c r="B123">
        <f t="shared" si="0"/>
        <v>3</v>
      </c>
      <c r="C123">
        <f t="shared" si="2"/>
        <v>12</v>
      </c>
      <c r="D123">
        <f t="shared" si="3"/>
        <v>5</v>
      </c>
      <c r="E123" t="str">
        <f>VLOOKUP(D123,name!A:B,2,1)</f>
        <v>Minako</v>
      </c>
      <c r="F123" t="s">
        <v>459</v>
      </c>
      <c r="G123" t="str">
        <f t="shared" si="1"/>
        <v>a</v>
      </c>
      <c r="H123" t="str">
        <f>VLOOKUP(D123,name!A:C,3,1)</f>
        <v>assets/icons/image086.png</v>
      </c>
      <c r="I123" t="s">
        <v>463</v>
      </c>
    </row>
    <row r="124" spans="1:11" x14ac:dyDescent="0.15">
      <c r="A124" t="str">
        <f t="shared" si="0"/>
        <v>フランス語</v>
      </c>
      <c r="B124">
        <f t="shared" si="0"/>
        <v>3</v>
      </c>
      <c r="C124">
        <f t="shared" si="2"/>
        <v>13</v>
      </c>
      <c r="D124">
        <v>5</v>
      </c>
      <c r="E124" t="str">
        <f>VLOOKUP(D124,name!A:B,2,1)</f>
        <v>Minako</v>
      </c>
      <c r="F124" t="s">
        <v>453</v>
      </c>
      <c r="G124" t="str">
        <f t="shared" si="1"/>
        <v>a</v>
      </c>
      <c r="H124" t="str">
        <f>VLOOKUP(D124,name!A:C,3,1)</f>
        <v>assets/icons/image086.png</v>
      </c>
      <c r="I124" t="str">
        <f>IF(A124="","",VLOOKUP(A124,lng!A:B,2,0))</f>
        <v>fr-FR</v>
      </c>
    </row>
    <row r="125" spans="1:11" x14ac:dyDescent="0.15">
      <c r="A125" t="str">
        <f t="shared" si="0"/>
        <v>フランス語</v>
      </c>
      <c r="B125">
        <f t="shared" si="0"/>
        <v>3</v>
      </c>
      <c r="C125">
        <f t="shared" si="2"/>
        <v>14</v>
      </c>
      <c r="D125">
        <f t="shared" si="3"/>
        <v>5</v>
      </c>
      <c r="E125" t="str">
        <f>VLOOKUP(D125,name!A:B,2,1)</f>
        <v>Minako</v>
      </c>
      <c r="F125" t="s">
        <v>499</v>
      </c>
      <c r="G125" t="str">
        <f t="shared" si="1"/>
        <v>a</v>
      </c>
      <c r="H125" t="str">
        <f>VLOOKUP(D125,name!A:C,3,1)</f>
        <v>assets/icons/image086.png</v>
      </c>
      <c r="I125" t="s">
        <v>463</v>
      </c>
    </row>
    <row r="126" spans="1:11" x14ac:dyDescent="0.15">
      <c r="A126" t="str">
        <f t="shared" si="0"/>
        <v>フランス語</v>
      </c>
      <c r="B126">
        <f t="shared" si="0"/>
        <v>3</v>
      </c>
      <c r="C126">
        <f t="shared" si="2"/>
        <v>15</v>
      </c>
      <c r="D126">
        <v>5</v>
      </c>
      <c r="E126" t="str">
        <f>VLOOKUP(D126,name!A:B,2,1)</f>
        <v>Minako</v>
      </c>
      <c r="F126" t="s">
        <v>29</v>
      </c>
      <c r="G126" t="str">
        <f t="shared" si="1"/>
        <v>a</v>
      </c>
      <c r="H126" t="str">
        <f>VLOOKUP(D126,name!A:C,3,1)</f>
        <v>assets/icons/image086.png</v>
      </c>
      <c r="I126" t="str">
        <f>IF(A126="","",VLOOKUP(A126,lng!A:B,2,0))</f>
        <v>fr-FR</v>
      </c>
    </row>
    <row r="127" spans="1:11" x14ac:dyDescent="0.15">
      <c r="A127" t="str">
        <f t="shared" si="0"/>
        <v>フランス語</v>
      </c>
      <c r="B127">
        <f t="shared" si="0"/>
        <v>3</v>
      </c>
      <c r="C127">
        <f t="shared" si="2"/>
        <v>16</v>
      </c>
      <c r="D127">
        <f t="shared" si="3"/>
        <v>6</v>
      </c>
      <c r="E127" t="str">
        <f>VLOOKUP(D127,name!A:B,2,1)</f>
        <v>Céline</v>
      </c>
      <c r="F127" t="s">
        <v>460</v>
      </c>
      <c r="G127" t="str">
        <f t="shared" si="1"/>
        <v>a</v>
      </c>
      <c r="H127" t="str">
        <f>VLOOKUP(D127,name!A:C,3,1)</f>
        <v>assets/icons/image078.png</v>
      </c>
      <c r="I127" t="s">
        <v>463</v>
      </c>
    </row>
    <row r="128" spans="1:11" x14ac:dyDescent="0.15">
      <c r="A128" t="str">
        <f t="shared" si="0"/>
        <v>フランス語</v>
      </c>
      <c r="B128">
        <f t="shared" si="0"/>
        <v>3</v>
      </c>
      <c r="C128">
        <f t="shared" si="2"/>
        <v>17</v>
      </c>
      <c r="D128">
        <v>6</v>
      </c>
      <c r="E128" t="str">
        <f>VLOOKUP(D128,name!A:B,2,1)</f>
        <v>Céline</v>
      </c>
      <c r="F128" t="s">
        <v>454</v>
      </c>
      <c r="G128" t="str">
        <f t="shared" si="1"/>
        <v>a</v>
      </c>
      <c r="H128" t="str">
        <f>VLOOKUP(D128,name!A:C,3,1)</f>
        <v>assets/icons/image078.png</v>
      </c>
      <c r="I128" t="str">
        <f>IF(A128="","",VLOOKUP(A128,lng!A:B,2,0))</f>
        <v>fr-FR</v>
      </c>
    </row>
    <row r="129" spans="1:9" x14ac:dyDescent="0.15">
      <c r="A129" t="str">
        <f t="shared" ref="A129:B129" si="4">A128</f>
        <v>フランス語</v>
      </c>
      <c r="B129">
        <f t="shared" si="4"/>
        <v>3</v>
      </c>
      <c r="C129">
        <f t="shared" si="2"/>
        <v>18</v>
      </c>
      <c r="D129">
        <f t="shared" si="3"/>
        <v>5</v>
      </c>
      <c r="E129" t="str">
        <f>VLOOKUP(D129,name!A:B,2,1)</f>
        <v>Minako</v>
      </c>
      <c r="F129" t="s">
        <v>462</v>
      </c>
      <c r="G129" t="str">
        <f t="shared" si="1"/>
        <v>a</v>
      </c>
      <c r="H129" t="str">
        <f>VLOOKUP(D129,name!A:C,3,1)</f>
        <v>assets/icons/image086.png</v>
      </c>
      <c r="I129" t="s">
        <v>463</v>
      </c>
    </row>
    <row r="130" spans="1:9" x14ac:dyDescent="0.15">
      <c r="A130" t="str">
        <f t="shared" ref="A130:B130" si="5">A129</f>
        <v>フランス語</v>
      </c>
      <c r="B130">
        <f t="shared" si="5"/>
        <v>3</v>
      </c>
      <c r="C130">
        <f t="shared" si="2"/>
        <v>19</v>
      </c>
      <c r="D130">
        <v>5</v>
      </c>
      <c r="E130" t="str">
        <f>VLOOKUP(D130,name!A:B,2,1)</f>
        <v>Minako</v>
      </c>
      <c r="F130" t="s">
        <v>455</v>
      </c>
      <c r="G130" t="str">
        <f t="shared" si="1"/>
        <v>a</v>
      </c>
      <c r="H130" t="str">
        <f>VLOOKUP(D130,name!A:C,3,1)</f>
        <v>assets/icons/image086.png</v>
      </c>
      <c r="I130" t="str">
        <f>IF(A130="","",VLOOKUP(A130,lng!A:B,2,0))</f>
        <v>fr-FR</v>
      </c>
    </row>
    <row r="131" spans="1:9" x14ac:dyDescent="0.15">
      <c r="A131" t="str">
        <f t="shared" ref="A131:B131" si="6">A130</f>
        <v>フランス語</v>
      </c>
      <c r="B131">
        <f t="shared" si="6"/>
        <v>3</v>
      </c>
      <c r="C131">
        <f t="shared" si="2"/>
        <v>20</v>
      </c>
      <c r="D131">
        <v>1</v>
      </c>
      <c r="E131" t="str">
        <f>VLOOKUP(D131,name!A:B,2,1)</f>
        <v>Navigator</v>
      </c>
      <c r="F131" t="str">
        <f>"次の"&amp;A131&amp;"を真似してね！"</f>
        <v>次のフランス語を真似してね！</v>
      </c>
      <c r="G131" t="str">
        <f t="shared" si="1"/>
        <v>a</v>
      </c>
      <c r="H131" t="str">
        <f>VLOOKUP(D131,name!A:C,3,1)</f>
        <v>assets/icons/image014.png</v>
      </c>
      <c r="I131" t="s">
        <v>463</v>
      </c>
    </row>
    <row r="132" spans="1:9" x14ac:dyDescent="0.15">
      <c r="A132" t="str">
        <f t="shared" ref="A132:B132" si="7">A131</f>
        <v>フランス語</v>
      </c>
      <c r="B132">
        <f t="shared" si="7"/>
        <v>3</v>
      </c>
      <c r="C132">
        <f t="shared" si="2"/>
        <v>21</v>
      </c>
      <c r="D132">
        <f>D115</f>
        <v>5</v>
      </c>
      <c r="E132" t="str">
        <f>VLOOKUP(D132,name!A:B,2,1)</f>
        <v>Minako</v>
      </c>
      <c r="F132" t="str">
        <f>F115</f>
        <v>セリーヌ、これは何ですか?</v>
      </c>
      <c r="G132" t="str">
        <f t="shared" si="1"/>
        <v>a</v>
      </c>
      <c r="H132" t="str">
        <f>VLOOKUP(D132,name!A:C,3,1)</f>
        <v>assets/icons/image086.png</v>
      </c>
      <c r="I132" t="s">
        <v>463</v>
      </c>
    </row>
    <row r="133" spans="1:9" x14ac:dyDescent="0.15">
      <c r="A133" t="str">
        <f t="shared" ref="A133:B133" si="8">A132</f>
        <v>フランス語</v>
      </c>
      <c r="B133">
        <f t="shared" si="8"/>
        <v>3</v>
      </c>
      <c r="C133">
        <f t="shared" si="2"/>
        <v>22</v>
      </c>
      <c r="D133">
        <f>D116</f>
        <v>5</v>
      </c>
      <c r="E133" t="str">
        <f>VLOOKUP(D133,name!A:B,2,1)</f>
        <v>Minako</v>
      </c>
      <c r="F133" t="str">
        <f>F116</f>
        <v>Céline, qu'est-ce que c'est ?</v>
      </c>
      <c r="G133" t="str">
        <f t="shared" si="1"/>
        <v>a</v>
      </c>
      <c r="H133" t="str">
        <f>VLOOKUP(D133,name!A:C,3,1)</f>
        <v>assets/icons/image086.png</v>
      </c>
      <c r="I133" t="str">
        <f>IF(A133="","",VLOOKUP(A133,lng!A:B,2,0))</f>
        <v>fr-FR</v>
      </c>
    </row>
    <row r="134" spans="1:9" x14ac:dyDescent="0.15">
      <c r="A134" t="str">
        <f t="shared" ref="A134:B134" si="9">A133</f>
        <v>フランス語</v>
      </c>
      <c r="B134">
        <f t="shared" si="9"/>
        <v>3</v>
      </c>
      <c r="C134">
        <f t="shared" si="2"/>
        <v>23</v>
      </c>
      <c r="D134">
        <v>0</v>
      </c>
      <c r="E134" t="str">
        <f>VLOOKUP(D134,name!A:B,2,1)</f>
        <v>Player</v>
      </c>
      <c r="F134" t="str">
        <f>F116</f>
        <v>Céline, qu'est-ce que c'est ?</v>
      </c>
      <c r="G134" t="str">
        <f t="shared" si="1"/>
        <v>q</v>
      </c>
      <c r="H134" t="str">
        <f>VLOOKUP(D134,name!A:C,3,1)</f>
        <v>assets/icons/image326.png</v>
      </c>
      <c r="I134" t="str">
        <f>IF(A134="","",VLOOKUP(A134,lng!A:B,2,0))</f>
        <v>fr-FR</v>
      </c>
    </row>
    <row r="135" spans="1:9" x14ac:dyDescent="0.15">
      <c r="A135" t="str">
        <f t="shared" ref="A135:B135" si="10">A134</f>
        <v>フランス語</v>
      </c>
      <c r="B135">
        <f t="shared" si="10"/>
        <v>3</v>
      </c>
      <c r="C135">
        <f t="shared" si="2"/>
        <v>24</v>
      </c>
      <c r="D135">
        <f>D117</f>
        <v>6</v>
      </c>
      <c r="E135" t="str">
        <f>VLOOKUP(D135,name!A:B,2,1)</f>
        <v>Céline</v>
      </c>
      <c r="F135" t="str">
        <f>F117</f>
        <v>それらは梨です。</v>
      </c>
      <c r="G135" t="str">
        <f t="shared" si="1"/>
        <v>a</v>
      </c>
      <c r="H135" t="str">
        <f>VLOOKUP(D135,name!A:C,3,1)</f>
        <v>assets/icons/image078.png</v>
      </c>
      <c r="I135" t="s">
        <v>463</v>
      </c>
    </row>
    <row r="136" spans="1:9" x14ac:dyDescent="0.15">
      <c r="A136" t="str">
        <f t="shared" ref="A136:B136" si="11">A135</f>
        <v>フランス語</v>
      </c>
      <c r="B136">
        <f t="shared" si="11"/>
        <v>3</v>
      </c>
      <c r="C136">
        <f t="shared" si="2"/>
        <v>25</v>
      </c>
      <c r="D136">
        <f>D118</f>
        <v>6</v>
      </c>
      <c r="E136" t="str">
        <f>VLOOKUP(D136,name!A:B,2,1)</f>
        <v>Céline</v>
      </c>
      <c r="F136" t="str">
        <f>F118</f>
        <v xml:space="preserve">Ce sont des poires. </v>
      </c>
      <c r="G136" t="str">
        <f t="shared" ref="G136:G154" si="12">IF(B136&lt;&gt;B137,"e",IF(D136=0,"q","a"))</f>
        <v>a</v>
      </c>
      <c r="H136" t="str">
        <f>VLOOKUP(D136,name!A:C,3,1)</f>
        <v>assets/icons/image078.png</v>
      </c>
      <c r="I136" t="str">
        <f>IF(A136="","",VLOOKUP(A136,lng!A:B,2,0))</f>
        <v>fr-FR</v>
      </c>
    </row>
    <row r="137" spans="1:9" x14ac:dyDescent="0.15">
      <c r="A137" t="str">
        <f t="shared" ref="A137:B137" si="13">A136</f>
        <v>フランス語</v>
      </c>
      <c r="B137">
        <f t="shared" si="13"/>
        <v>3</v>
      </c>
      <c r="C137">
        <f t="shared" si="2"/>
        <v>26</v>
      </c>
      <c r="D137">
        <v>0</v>
      </c>
      <c r="E137" t="str">
        <f>VLOOKUP(D137,name!A:B,2,1)</f>
        <v>Player</v>
      </c>
      <c r="F137" t="str">
        <f>F118</f>
        <v xml:space="preserve">Ce sont des poires. </v>
      </c>
      <c r="G137" t="str">
        <f t="shared" si="12"/>
        <v>q</v>
      </c>
      <c r="H137" t="str">
        <f>VLOOKUP(D137,name!A:C,3,1)</f>
        <v>assets/icons/image326.png</v>
      </c>
      <c r="I137" t="str">
        <f>IF(A137="","",VLOOKUP(A137,lng!A:B,2,0))</f>
        <v>fr-FR</v>
      </c>
    </row>
    <row r="138" spans="1:9" x14ac:dyDescent="0.15">
      <c r="A138" t="str">
        <f t="shared" ref="A138:B138" si="14">A137</f>
        <v>フランス語</v>
      </c>
      <c r="B138">
        <f t="shared" si="14"/>
        <v>3</v>
      </c>
      <c r="C138">
        <f t="shared" si="2"/>
        <v>27</v>
      </c>
      <c r="D138">
        <f>D119</f>
        <v>6</v>
      </c>
      <c r="E138" t="str">
        <f>VLOOKUP(D138,name!A:B,2,1)</f>
        <v>Céline</v>
      </c>
      <c r="F138" t="str">
        <f>F119</f>
        <v>それらはとても美味しいです。</v>
      </c>
      <c r="G138" t="str">
        <f t="shared" si="12"/>
        <v>a</v>
      </c>
      <c r="H138" t="str">
        <f>VLOOKUP(D138,name!A:C,3,1)</f>
        <v>assets/icons/image078.png</v>
      </c>
      <c r="I138" t="s">
        <v>463</v>
      </c>
    </row>
    <row r="139" spans="1:9" x14ac:dyDescent="0.15">
      <c r="A139" t="str">
        <f t="shared" ref="A139:B139" si="15">A138</f>
        <v>フランス語</v>
      </c>
      <c r="B139">
        <f t="shared" si="15"/>
        <v>3</v>
      </c>
      <c r="C139">
        <f t="shared" si="2"/>
        <v>28</v>
      </c>
      <c r="D139">
        <f>D120</f>
        <v>6</v>
      </c>
      <c r="E139" t="str">
        <f>VLOOKUP(D139,name!A:B,2,1)</f>
        <v>Céline</v>
      </c>
      <c r="F139" t="str">
        <f>F120</f>
        <v>Elles sont très bonnes.</v>
      </c>
      <c r="G139" t="str">
        <f t="shared" si="12"/>
        <v>a</v>
      </c>
      <c r="H139" t="str">
        <f>VLOOKUP(D139,name!A:C,3,1)</f>
        <v>assets/icons/image078.png</v>
      </c>
      <c r="I139" t="str">
        <f>IF(A139="","",VLOOKUP(A139,lng!A:B,2,0))</f>
        <v>fr-FR</v>
      </c>
    </row>
    <row r="140" spans="1:9" x14ac:dyDescent="0.15">
      <c r="A140" t="str">
        <f t="shared" ref="A140:B140" si="16">A139</f>
        <v>フランス語</v>
      </c>
      <c r="B140">
        <f t="shared" si="16"/>
        <v>3</v>
      </c>
      <c r="C140">
        <f t="shared" si="2"/>
        <v>29</v>
      </c>
      <c r="D140">
        <v>0</v>
      </c>
      <c r="E140" t="str">
        <f>VLOOKUP(D140,name!A:B,2,1)</f>
        <v>Player</v>
      </c>
      <c r="F140" t="str">
        <f>F120</f>
        <v>Elles sont très bonnes.</v>
      </c>
      <c r="G140" t="str">
        <f t="shared" si="12"/>
        <v>q</v>
      </c>
      <c r="H140" t="str">
        <f>VLOOKUP(D140,name!A:C,3,1)</f>
        <v>assets/icons/image326.png</v>
      </c>
      <c r="I140" t="str">
        <f>IF(A140="","",VLOOKUP(A140,lng!A:B,2,0))</f>
        <v>fr-FR</v>
      </c>
    </row>
    <row r="141" spans="1:9" x14ac:dyDescent="0.15">
      <c r="A141" t="str">
        <f t="shared" ref="A141:B141" si="17">A140</f>
        <v>フランス語</v>
      </c>
      <c r="B141">
        <f t="shared" si="17"/>
        <v>3</v>
      </c>
      <c r="C141">
        <f t="shared" si="2"/>
        <v>30</v>
      </c>
      <c r="D141">
        <f>D121</f>
        <v>5</v>
      </c>
      <c r="E141" t="str">
        <f>VLOOKUP(D141,name!A:B,2,1)</f>
        <v>Minako</v>
      </c>
      <c r="F141" t="str">
        <f>F121</f>
        <v>それはおもしろいです。</v>
      </c>
      <c r="G141" t="str">
        <f t="shared" si="12"/>
        <v>a</v>
      </c>
      <c r="H141" t="str">
        <f>VLOOKUP(D141,name!A:C,3,1)</f>
        <v>assets/icons/image086.png</v>
      </c>
      <c r="I141" t="s">
        <v>463</v>
      </c>
    </row>
    <row r="142" spans="1:9" x14ac:dyDescent="0.15">
      <c r="A142" t="str">
        <f t="shared" ref="A142:B144" si="18">A141</f>
        <v>フランス語</v>
      </c>
      <c r="B142">
        <f t="shared" si="18"/>
        <v>3</v>
      </c>
      <c r="C142">
        <f t="shared" ref="C142:C163" si="19">C141+1</f>
        <v>31</v>
      </c>
      <c r="D142">
        <f>D122</f>
        <v>5</v>
      </c>
      <c r="E142" t="str">
        <f>VLOOKUP(D142,name!A:B,2,1)</f>
        <v>Minako</v>
      </c>
      <c r="F142" t="str">
        <f>F122</f>
        <v xml:space="preserve">C'est marrant. </v>
      </c>
      <c r="G142" t="str">
        <f t="shared" si="12"/>
        <v>a</v>
      </c>
      <c r="H142" t="str">
        <f>VLOOKUP(D142,name!A:C,3,1)</f>
        <v>assets/icons/image086.png</v>
      </c>
      <c r="I142" t="str">
        <f>IF(A142="","",VLOOKUP(A142,lng!A:B,2,0))</f>
        <v>fr-FR</v>
      </c>
    </row>
    <row r="143" spans="1:9" x14ac:dyDescent="0.15">
      <c r="A143" t="str">
        <f t="shared" si="18"/>
        <v>フランス語</v>
      </c>
      <c r="B143">
        <f t="shared" si="18"/>
        <v>3</v>
      </c>
      <c r="C143">
        <f t="shared" si="19"/>
        <v>32</v>
      </c>
      <c r="D143">
        <v>0</v>
      </c>
      <c r="E143" t="str">
        <f>VLOOKUP(D143,name!A:B,2,1)</f>
        <v>Player</v>
      </c>
      <c r="F143" t="str">
        <f>F122</f>
        <v xml:space="preserve">C'est marrant. </v>
      </c>
      <c r="G143" t="str">
        <f t="shared" si="12"/>
        <v>q</v>
      </c>
      <c r="H143" t="str">
        <f>VLOOKUP(D143,name!A:C,3,1)</f>
        <v>assets/icons/image326.png</v>
      </c>
      <c r="I143" t="str">
        <f>IF(A143="","",VLOOKUP(A143,lng!A:B,2,0))</f>
        <v>fr-FR</v>
      </c>
    </row>
    <row r="144" spans="1:9" x14ac:dyDescent="0.15">
      <c r="A144" t="str">
        <f t="shared" si="18"/>
        <v>フランス語</v>
      </c>
      <c r="B144">
        <f t="shared" si="18"/>
        <v>3</v>
      </c>
      <c r="C144">
        <f t="shared" si="19"/>
        <v>33</v>
      </c>
      <c r="D144">
        <f>D123</f>
        <v>5</v>
      </c>
      <c r="E144" t="str">
        <f>VLOOKUP(D144,name!A:B,2,1)</f>
        <v>Minako</v>
      </c>
      <c r="F144" t="str">
        <f>F123</f>
        <v>日本の梨は丸いです。</v>
      </c>
      <c r="G144" t="str">
        <f t="shared" si="12"/>
        <v>a</v>
      </c>
      <c r="H144" t="str">
        <f>VLOOKUP(D144,name!A:C,3,1)</f>
        <v>assets/icons/image086.png</v>
      </c>
      <c r="I144" t="s">
        <v>463</v>
      </c>
    </row>
    <row r="145" spans="1:9" x14ac:dyDescent="0.15">
      <c r="A145" t="str">
        <f t="shared" ref="A145:B155" si="20">A144</f>
        <v>フランス語</v>
      </c>
      <c r="B145">
        <f t="shared" si="20"/>
        <v>3</v>
      </c>
      <c r="C145">
        <f t="shared" si="19"/>
        <v>34</v>
      </c>
      <c r="D145">
        <f>D124</f>
        <v>5</v>
      </c>
      <c r="E145" t="str">
        <f>VLOOKUP(D145,name!A:B,2,1)</f>
        <v>Minako</v>
      </c>
      <c r="F145" t="str">
        <f>F124</f>
        <v>Les poires japonaises sont rondes.</v>
      </c>
      <c r="G145" t="str">
        <f t="shared" si="12"/>
        <v>a</v>
      </c>
      <c r="H145" t="str">
        <f>VLOOKUP(D145,name!A:C,3,1)</f>
        <v>assets/icons/image086.png</v>
      </c>
      <c r="I145" t="str">
        <f>IF(A145="","",VLOOKUP(A145,lng!A:B,2,0))</f>
        <v>fr-FR</v>
      </c>
    </row>
    <row r="146" spans="1:9" x14ac:dyDescent="0.15">
      <c r="A146" t="str">
        <f t="shared" si="20"/>
        <v>フランス語</v>
      </c>
      <c r="B146">
        <f t="shared" si="20"/>
        <v>3</v>
      </c>
      <c r="C146">
        <f t="shared" si="19"/>
        <v>35</v>
      </c>
      <c r="D146">
        <v>0</v>
      </c>
      <c r="E146" t="str">
        <f>VLOOKUP(D146,name!A:B,2,1)</f>
        <v>Player</v>
      </c>
      <c r="F146" t="str">
        <f>F124</f>
        <v>Les poires japonaises sont rondes.</v>
      </c>
      <c r="G146" t="str">
        <f t="shared" si="12"/>
        <v>q</v>
      </c>
      <c r="H146" t="str">
        <f>VLOOKUP(D146,name!A:C,3,1)</f>
        <v>assets/icons/image326.png</v>
      </c>
      <c r="I146" t="str">
        <f>IF(A146="","",VLOOKUP(A146,lng!A:B,2,0))</f>
        <v>fr-FR</v>
      </c>
    </row>
    <row r="147" spans="1:9" x14ac:dyDescent="0.15">
      <c r="A147" t="str">
        <f t="shared" si="20"/>
        <v>フランス語</v>
      </c>
      <c r="B147">
        <f t="shared" si="20"/>
        <v>3</v>
      </c>
      <c r="C147">
        <f t="shared" si="19"/>
        <v>36</v>
      </c>
      <c r="D147">
        <f>D125</f>
        <v>5</v>
      </c>
      <c r="E147" t="str">
        <f>VLOOKUP(D147,name!A:B,2,1)</f>
        <v>Minako</v>
      </c>
      <c r="F147" t="str">
        <f>F125</f>
        <v>ではそれは何ですか?</v>
      </c>
      <c r="G147" t="str">
        <f t="shared" si="12"/>
        <v>a</v>
      </c>
      <c r="H147" t="str">
        <f>VLOOKUP(D147,name!A:C,3,1)</f>
        <v>assets/icons/image086.png</v>
      </c>
      <c r="I147" t="s">
        <v>463</v>
      </c>
    </row>
    <row r="148" spans="1:9" x14ac:dyDescent="0.15">
      <c r="A148" t="str">
        <f t="shared" si="20"/>
        <v>フランス語</v>
      </c>
      <c r="B148">
        <f t="shared" si="20"/>
        <v>3</v>
      </c>
      <c r="C148">
        <f t="shared" si="19"/>
        <v>37</v>
      </c>
      <c r="D148">
        <f>D126</f>
        <v>5</v>
      </c>
      <c r="E148" t="str">
        <f>VLOOKUP(D148,name!A:B,2,1)</f>
        <v>Minako</v>
      </c>
      <c r="F148" t="str">
        <f>F126</f>
        <v>Et ça, qu'est-ce que c'est ?</v>
      </c>
      <c r="G148" t="str">
        <f t="shared" si="12"/>
        <v>a</v>
      </c>
      <c r="H148" t="str">
        <f>VLOOKUP(D148,name!A:C,3,1)</f>
        <v>assets/icons/image086.png</v>
      </c>
      <c r="I148" t="str">
        <f>IF(A148="","",VLOOKUP(A148,lng!A:B,2,0))</f>
        <v>fr-FR</v>
      </c>
    </row>
    <row r="149" spans="1:9" x14ac:dyDescent="0.15">
      <c r="A149" t="str">
        <f t="shared" si="20"/>
        <v>フランス語</v>
      </c>
      <c r="B149">
        <f t="shared" si="20"/>
        <v>3</v>
      </c>
      <c r="C149">
        <f t="shared" si="19"/>
        <v>38</v>
      </c>
      <c r="D149">
        <v>0</v>
      </c>
      <c r="E149" t="str">
        <f>VLOOKUP(D149,name!A:B,2,1)</f>
        <v>Player</v>
      </c>
      <c r="F149" t="str">
        <f>F126</f>
        <v>Et ça, qu'est-ce que c'est ?</v>
      </c>
      <c r="G149" t="str">
        <f t="shared" si="12"/>
        <v>q</v>
      </c>
      <c r="H149" t="str">
        <f>VLOOKUP(D149,name!A:C,3,1)</f>
        <v>assets/icons/image326.png</v>
      </c>
      <c r="I149" t="str">
        <f>IF(A149="","",VLOOKUP(A149,lng!A:B,2,0))</f>
        <v>fr-FR</v>
      </c>
    </row>
    <row r="150" spans="1:9" x14ac:dyDescent="0.15">
      <c r="A150" t="str">
        <f t="shared" si="20"/>
        <v>フランス語</v>
      </c>
      <c r="B150">
        <f t="shared" si="20"/>
        <v>3</v>
      </c>
      <c r="C150">
        <f t="shared" si="19"/>
        <v>39</v>
      </c>
      <c r="D150">
        <f>D127</f>
        <v>6</v>
      </c>
      <c r="E150" t="str">
        <f>VLOOKUP(D150,name!A:B,2,1)</f>
        <v>Céline</v>
      </c>
      <c r="F150" t="str">
        <f>F127</f>
        <v>これらはラズベリーです。</v>
      </c>
      <c r="G150" t="str">
        <f t="shared" si="12"/>
        <v>a</v>
      </c>
      <c r="H150" t="str">
        <f>VLOOKUP(D150,name!A:C,3,1)</f>
        <v>assets/icons/image078.png</v>
      </c>
      <c r="I150" t="s">
        <v>463</v>
      </c>
    </row>
    <row r="151" spans="1:9" x14ac:dyDescent="0.15">
      <c r="A151" t="str">
        <f t="shared" si="20"/>
        <v>フランス語</v>
      </c>
      <c r="B151">
        <f t="shared" si="20"/>
        <v>3</v>
      </c>
      <c r="C151">
        <f t="shared" si="19"/>
        <v>40</v>
      </c>
      <c r="D151">
        <f>D128</f>
        <v>6</v>
      </c>
      <c r="E151" t="str">
        <f>VLOOKUP(D151,name!A:B,2,1)</f>
        <v>Céline</v>
      </c>
      <c r="F151" t="str">
        <f>F128</f>
        <v>Ce sont des framboises.</v>
      </c>
      <c r="G151" t="str">
        <f t="shared" si="12"/>
        <v>a</v>
      </c>
      <c r="H151" t="str">
        <f>VLOOKUP(D151,name!A:C,3,1)</f>
        <v>assets/icons/image078.png</v>
      </c>
      <c r="I151" t="str">
        <f>IF(A151="","",VLOOKUP(A151,lng!A:B,2,0))</f>
        <v>fr-FR</v>
      </c>
    </row>
    <row r="152" spans="1:9" x14ac:dyDescent="0.15">
      <c r="A152" t="str">
        <f t="shared" si="20"/>
        <v>フランス語</v>
      </c>
      <c r="B152">
        <f t="shared" si="20"/>
        <v>3</v>
      </c>
      <c r="C152">
        <f t="shared" si="19"/>
        <v>41</v>
      </c>
      <c r="D152">
        <v>0</v>
      </c>
      <c r="E152" t="str">
        <f>VLOOKUP(D152,name!A:B,2,1)</f>
        <v>Player</v>
      </c>
      <c r="F152" t="str">
        <f>F128</f>
        <v>Ce sont des framboises.</v>
      </c>
      <c r="G152" t="str">
        <f t="shared" si="12"/>
        <v>q</v>
      </c>
      <c r="H152" t="str">
        <f>VLOOKUP(D152,name!A:C,3,1)</f>
        <v>assets/icons/image326.png</v>
      </c>
      <c r="I152" t="str">
        <f>IF(A152="","",VLOOKUP(A152,lng!A:B,2,0))</f>
        <v>fr-FR</v>
      </c>
    </row>
    <row r="153" spans="1:9" x14ac:dyDescent="0.15">
      <c r="A153" t="str">
        <f t="shared" si="20"/>
        <v>フランス語</v>
      </c>
      <c r="B153">
        <f t="shared" si="20"/>
        <v>3</v>
      </c>
      <c r="C153">
        <f t="shared" si="19"/>
        <v>42</v>
      </c>
      <c r="D153">
        <f>D129</f>
        <v>5</v>
      </c>
      <c r="E153" t="str">
        <f>VLOOKUP(D153,name!A:B,2,1)</f>
        <v>Minako</v>
      </c>
      <c r="F153" t="str">
        <f>F129</f>
        <v>本当に市場でなんでも見つけることができますね。</v>
      </c>
      <c r="G153" t="str">
        <f t="shared" si="12"/>
        <v>a</v>
      </c>
      <c r="H153" t="str">
        <f>VLOOKUP(D153,name!A:C,3,1)</f>
        <v>assets/icons/image086.png</v>
      </c>
      <c r="I153" t="s">
        <v>463</v>
      </c>
    </row>
    <row r="154" spans="1:9" x14ac:dyDescent="0.15">
      <c r="A154" t="str">
        <f t="shared" si="20"/>
        <v>フランス語</v>
      </c>
      <c r="B154">
        <f t="shared" si="20"/>
        <v>3</v>
      </c>
      <c r="C154">
        <f t="shared" si="19"/>
        <v>43</v>
      </c>
      <c r="D154">
        <f>D130</f>
        <v>5</v>
      </c>
      <c r="E154" t="str">
        <f>VLOOKUP(D154,name!A:B,2,1)</f>
        <v>Minako</v>
      </c>
      <c r="F154" t="str">
        <f>F130</f>
        <v>Vraiment, on trouve tout au marché.</v>
      </c>
      <c r="G154" t="str">
        <f t="shared" si="12"/>
        <v>a</v>
      </c>
      <c r="H154" t="str">
        <f>VLOOKUP(D154,name!A:C,3,1)</f>
        <v>assets/icons/image086.png</v>
      </c>
      <c r="I154" t="str">
        <f>IF(A154="","",VLOOKUP(A154,lng!A:B,2,0))</f>
        <v>fr-FR</v>
      </c>
    </row>
    <row r="155" spans="1:9" x14ac:dyDescent="0.15">
      <c r="A155" t="str">
        <f t="shared" si="20"/>
        <v>フランス語</v>
      </c>
      <c r="B155">
        <f t="shared" si="20"/>
        <v>3</v>
      </c>
      <c r="C155">
        <f t="shared" si="19"/>
        <v>44</v>
      </c>
      <c r="D155">
        <v>0</v>
      </c>
      <c r="E155" t="str">
        <f>VLOOKUP(D155,name!A:B,2,1)</f>
        <v>Player</v>
      </c>
      <c r="F155" t="str">
        <f>F130</f>
        <v>Vraiment, on trouve tout au marché.</v>
      </c>
      <c r="G155" t="str">
        <f t="shared" ref="G155" si="21">IF(B155&lt;&gt;B156,"e",IF(D155=0,"q","a"))</f>
        <v>q</v>
      </c>
      <c r="H155" t="str">
        <f>VLOOKUP(D155,name!A:C,3,1)</f>
        <v>assets/icons/image326.png</v>
      </c>
      <c r="I155" t="str">
        <f>IF(A155="","",VLOOKUP(A155,lng!A:B,2,0))</f>
        <v>fr-FR</v>
      </c>
    </row>
    <row r="156" spans="1:9" x14ac:dyDescent="0.15">
      <c r="A156" t="str">
        <f t="shared" ref="A156:B156" si="22">A155</f>
        <v>フランス語</v>
      </c>
      <c r="B156">
        <f t="shared" si="22"/>
        <v>3</v>
      </c>
      <c r="C156">
        <f t="shared" si="19"/>
        <v>45</v>
      </c>
      <c r="D156">
        <v>1</v>
      </c>
      <c r="E156" t="str">
        <f>VLOOKUP(D156,name!A:B,2,1)</f>
        <v>Navigator</v>
      </c>
      <c r="F156" t="str">
        <f>"次の日本語を"&amp;A156&amp;"に訳して答えてね！"</f>
        <v>次の日本語をフランス語に訳して答えてね！</v>
      </c>
      <c r="G156" t="str">
        <f>IF(B156&lt;&gt;B157,"e",IF(D156=0,"q","a"))</f>
        <v>a</v>
      </c>
      <c r="H156" t="str">
        <f>VLOOKUP(D156,name!A:C,3,1)</f>
        <v>assets/icons/image014.png</v>
      </c>
      <c r="I156" t="s">
        <v>463</v>
      </c>
    </row>
    <row r="157" spans="1:9" x14ac:dyDescent="0.15">
      <c r="A157" t="str">
        <f t="shared" ref="A157:B157" si="23">A156</f>
        <v>フランス語</v>
      </c>
      <c r="B157">
        <f t="shared" si="23"/>
        <v>3</v>
      </c>
      <c r="C157">
        <f t="shared" si="19"/>
        <v>46</v>
      </c>
      <c r="D157">
        <f>D115</f>
        <v>5</v>
      </c>
      <c r="E157" t="str">
        <f>VLOOKUP(D157,name!A:B,2,1)</f>
        <v>Minako</v>
      </c>
      <c r="F157" t="str">
        <f t="shared" ref="F157:F172" si="24">F115</f>
        <v>セリーヌ、これは何ですか?</v>
      </c>
      <c r="G157" t="str">
        <f t="shared" ref="G157:G171" si="25">IF(B157&lt;&gt;B158,"e",IF(D157=0,"q","a"))</f>
        <v>a</v>
      </c>
      <c r="H157" t="str">
        <f>VLOOKUP(D157,name!A:C,3,1)</f>
        <v>assets/icons/image086.png</v>
      </c>
      <c r="I157" t="s">
        <v>463</v>
      </c>
    </row>
    <row r="158" spans="1:9" x14ac:dyDescent="0.15">
      <c r="A158" t="str">
        <f t="shared" ref="A158:B158" si="26">A157</f>
        <v>フランス語</v>
      </c>
      <c r="B158">
        <f t="shared" si="26"/>
        <v>3</v>
      </c>
      <c r="C158">
        <f t="shared" si="19"/>
        <v>47</v>
      </c>
      <c r="D158">
        <v>0</v>
      </c>
      <c r="E158" t="str">
        <f>VLOOKUP(D158,name!A:B,2,1)</f>
        <v>Player</v>
      </c>
      <c r="F158" t="str">
        <f t="shared" si="24"/>
        <v>Céline, qu'est-ce que c'est ?</v>
      </c>
      <c r="G158" t="str">
        <f t="shared" si="25"/>
        <v>q</v>
      </c>
      <c r="H158" t="str">
        <f>VLOOKUP(D158,name!A:C,3,1)</f>
        <v>assets/icons/image326.png</v>
      </c>
      <c r="I158" t="str">
        <f>IF(A158="","",VLOOKUP(A158,lng!A:B,2,0))</f>
        <v>fr-FR</v>
      </c>
    </row>
    <row r="159" spans="1:9" x14ac:dyDescent="0.15">
      <c r="A159" t="str">
        <f t="shared" ref="A159:B159" si="27">A158</f>
        <v>フランス語</v>
      </c>
      <c r="B159">
        <f t="shared" si="27"/>
        <v>3</v>
      </c>
      <c r="C159">
        <f t="shared" si="19"/>
        <v>48</v>
      </c>
      <c r="D159">
        <f>D117</f>
        <v>6</v>
      </c>
      <c r="E159" t="str">
        <f>VLOOKUP(D159,name!A:B,2,1)</f>
        <v>Céline</v>
      </c>
      <c r="F159" t="str">
        <f t="shared" si="24"/>
        <v>それらは梨です。</v>
      </c>
      <c r="G159" t="str">
        <f t="shared" si="25"/>
        <v>a</v>
      </c>
      <c r="H159" t="str">
        <f>VLOOKUP(D159,name!A:C,3,1)</f>
        <v>assets/icons/image078.png</v>
      </c>
      <c r="I159" t="s">
        <v>463</v>
      </c>
    </row>
    <row r="160" spans="1:9" x14ac:dyDescent="0.15">
      <c r="A160" t="str">
        <f t="shared" ref="A160:B160" si="28">A159</f>
        <v>フランス語</v>
      </c>
      <c r="B160">
        <f t="shared" si="28"/>
        <v>3</v>
      </c>
      <c r="C160">
        <f t="shared" si="19"/>
        <v>49</v>
      </c>
      <c r="D160">
        <v>0</v>
      </c>
      <c r="E160" t="str">
        <f>VLOOKUP(D160,name!A:B,2,1)</f>
        <v>Player</v>
      </c>
      <c r="F160" t="str">
        <f t="shared" si="24"/>
        <v xml:space="preserve">Ce sont des poires. </v>
      </c>
      <c r="G160" t="str">
        <f t="shared" si="25"/>
        <v>q</v>
      </c>
      <c r="H160" t="str">
        <f>VLOOKUP(D160,name!A:C,3,1)</f>
        <v>assets/icons/image326.png</v>
      </c>
      <c r="I160" t="str">
        <f>IF(A160="","",VLOOKUP(A160,lng!A:B,2,0))</f>
        <v>fr-FR</v>
      </c>
    </row>
    <row r="161" spans="1:12" x14ac:dyDescent="0.15">
      <c r="A161" t="str">
        <f t="shared" ref="A161:B161" si="29">A160</f>
        <v>フランス語</v>
      </c>
      <c r="B161">
        <f t="shared" si="29"/>
        <v>3</v>
      </c>
      <c r="C161">
        <f t="shared" si="19"/>
        <v>50</v>
      </c>
      <c r="D161">
        <f>D119</f>
        <v>6</v>
      </c>
      <c r="E161" t="str">
        <f>VLOOKUP(D161,name!A:B,2,1)</f>
        <v>Céline</v>
      </c>
      <c r="F161" t="str">
        <f t="shared" si="24"/>
        <v>それらはとても美味しいです。</v>
      </c>
      <c r="G161" t="str">
        <f t="shared" si="25"/>
        <v>a</v>
      </c>
      <c r="H161" t="str">
        <f>VLOOKUP(D161,name!A:C,3,1)</f>
        <v>assets/icons/image078.png</v>
      </c>
      <c r="I161" t="s">
        <v>463</v>
      </c>
    </row>
    <row r="162" spans="1:12" x14ac:dyDescent="0.15">
      <c r="A162" t="str">
        <f t="shared" ref="A162:B162" si="30">A161</f>
        <v>フランス語</v>
      </c>
      <c r="B162">
        <f t="shared" si="30"/>
        <v>3</v>
      </c>
      <c r="C162">
        <f t="shared" si="19"/>
        <v>51</v>
      </c>
      <c r="D162">
        <v>0</v>
      </c>
      <c r="E162" t="str">
        <f>VLOOKUP(D162,name!A:B,2,1)</f>
        <v>Player</v>
      </c>
      <c r="F162" t="str">
        <f t="shared" si="24"/>
        <v>Elles sont très bonnes.</v>
      </c>
      <c r="G162" t="str">
        <f t="shared" si="25"/>
        <v>q</v>
      </c>
      <c r="H162" t="str">
        <f>VLOOKUP(D162,name!A:C,3,1)</f>
        <v>assets/icons/image326.png</v>
      </c>
      <c r="I162" t="str">
        <f>IF(A162="","",VLOOKUP(A162,lng!A:B,2,0))</f>
        <v>fr-FR</v>
      </c>
    </row>
    <row r="163" spans="1:12" x14ac:dyDescent="0.15">
      <c r="A163" t="str">
        <f t="shared" ref="A163:B163" si="31">A162</f>
        <v>フランス語</v>
      </c>
      <c r="B163">
        <f t="shared" si="31"/>
        <v>3</v>
      </c>
      <c r="C163">
        <f t="shared" si="19"/>
        <v>52</v>
      </c>
      <c r="D163">
        <f>D121</f>
        <v>5</v>
      </c>
      <c r="E163" t="str">
        <f>VLOOKUP(D163,name!A:B,2,1)</f>
        <v>Minako</v>
      </c>
      <c r="F163" t="str">
        <f t="shared" si="24"/>
        <v>それはおもしろいです。</v>
      </c>
      <c r="G163" t="str">
        <f t="shared" si="25"/>
        <v>a</v>
      </c>
      <c r="H163" t="str">
        <f>VLOOKUP(D163,name!A:C,3,1)</f>
        <v>assets/icons/image086.png</v>
      </c>
      <c r="I163" t="s">
        <v>463</v>
      </c>
    </row>
    <row r="164" spans="1:12" x14ac:dyDescent="0.15">
      <c r="A164" t="str">
        <f t="shared" ref="A164:B172" si="32">A163</f>
        <v>フランス語</v>
      </c>
      <c r="B164">
        <f t="shared" si="32"/>
        <v>3</v>
      </c>
      <c r="C164">
        <f t="shared" ref="C164:C173" si="33">C163+1</f>
        <v>53</v>
      </c>
      <c r="D164">
        <v>0</v>
      </c>
      <c r="E164" t="str">
        <f>VLOOKUP(D164,name!A:B,2,1)</f>
        <v>Player</v>
      </c>
      <c r="F164" t="str">
        <f t="shared" si="24"/>
        <v xml:space="preserve">C'est marrant. </v>
      </c>
      <c r="G164" t="str">
        <f t="shared" si="25"/>
        <v>q</v>
      </c>
      <c r="H164" t="str">
        <f>VLOOKUP(D164,name!A:C,3,1)</f>
        <v>assets/icons/image326.png</v>
      </c>
      <c r="I164" t="str">
        <f>IF(A164="","",VLOOKUP(A164,lng!A:B,2,0))</f>
        <v>fr-FR</v>
      </c>
    </row>
    <row r="165" spans="1:12" x14ac:dyDescent="0.15">
      <c r="A165" t="str">
        <f t="shared" si="32"/>
        <v>フランス語</v>
      </c>
      <c r="B165">
        <f t="shared" si="32"/>
        <v>3</v>
      </c>
      <c r="C165">
        <f t="shared" si="33"/>
        <v>54</v>
      </c>
      <c r="D165">
        <f>D123</f>
        <v>5</v>
      </c>
      <c r="E165" t="str">
        <f>VLOOKUP(D165,name!A:B,2,1)</f>
        <v>Minako</v>
      </c>
      <c r="F165" t="str">
        <f t="shared" si="24"/>
        <v>日本の梨は丸いです。</v>
      </c>
      <c r="G165" t="str">
        <f t="shared" si="25"/>
        <v>a</v>
      </c>
      <c r="H165" t="str">
        <f>VLOOKUP(D165,name!A:C,3,1)</f>
        <v>assets/icons/image086.png</v>
      </c>
      <c r="I165" t="s">
        <v>463</v>
      </c>
    </row>
    <row r="166" spans="1:12" x14ac:dyDescent="0.15">
      <c r="A166" t="str">
        <f t="shared" si="32"/>
        <v>フランス語</v>
      </c>
      <c r="B166">
        <f t="shared" si="32"/>
        <v>3</v>
      </c>
      <c r="C166">
        <f t="shared" si="33"/>
        <v>55</v>
      </c>
      <c r="D166">
        <v>0</v>
      </c>
      <c r="E166" t="str">
        <f>VLOOKUP(D166,name!A:B,2,1)</f>
        <v>Player</v>
      </c>
      <c r="F166" t="str">
        <f t="shared" si="24"/>
        <v>Les poires japonaises sont rondes.</v>
      </c>
      <c r="G166" t="str">
        <f t="shared" si="25"/>
        <v>q</v>
      </c>
      <c r="H166" t="str">
        <f>VLOOKUP(D166,name!A:C,3,1)</f>
        <v>assets/icons/image326.png</v>
      </c>
      <c r="I166" t="str">
        <f>IF(A166="","",VLOOKUP(A166,lng!A:B,2,0))</f>
        <v>fr-FR</v>
      </c>
    </row>
    <row r="167" spans="1:12" x14ac:dyDescent="0.15">
      <c r="A167" t="str">
        <f t="shared" si="32"/>
        <v>フランス語</v>
      </c>
      <c r="B167">
        <f t="shared" si="32"/>
        <v>3</v>
      </c>
      <c r="C167">
        <f t="shared" si="33"/>
        <v>56</v>
      </c>
      <c r="D167">
        <f>D125</f>
        <v>5</v>
      </c>
      <c r="E167" t="str">
        <f>VLOOKUP(D167,name!A:B,2,1)</f>
        <v>Minako</v>
      </c>
      <c r="F167" t="str">
        <f t="shared" si="24"/>
        <v>ではそれは何ですか?</v>
      </c>
      <c r="G167" t="str">
        <f t="shared" si="25"/>
        <v>a</v>
      </c>
      <c r="H167" t="str">
        <f>VLOOKUP(D167,name!A:C,3,1)</f>
        <v>assets/icons/image086.png</v>
      </c>
      <c r="I167" t="s">
        <v>463</v>
      </c>
    </row>
    <row r="168" spans="1:12" x14ac:dyDescent="0.15">
      <c r="A168" t="str">
        <f t="shared" si="32"/>
        <v>フランス語</v>
      </c>
      <c r="B168">
        <f t="shared" si="32"/>
        <v>3</v>
      </c>
      <c r="C168">
        <f t="shared" si="33"/>
        <v>57</v>
      </c>
      <c r="D168">
        <v>0</v>
      </c>
      <c r="E168" t="str">
        <f>VLOOKUP(D168,name!A:B,2,1)</f>
        <v>Player</v>
      </c>
      <c r="F168" t="str">
        <f t="shared" si="24"/>
        <v>Et ça, qu'est-ce que c'est ?</v>
      </c>
      <c r="G168" t="str">
        <f t="shared" si="25"/>
        <v>q</v>
      </c>
      <c r="H168" t="str">
        <f>VLOOKUP(D168,name!A:C,3,1)</f>
        <v>assets/icons/image326.png</v>
      </c>
      <c r="I168" t="str">
        <f>IF(A168="","",VLOOKUP(A168,lng!A:B,2,0))</f>
        <v>fr-FR</v>
      </c>
    </row>
    <row r="169" spans="1:12" x14ac:dyDescent="0.15">
      <c r="A169" t="str">
        <f t="shared" si="32"/>
        <v>フランス語</v>
      </c>
      <c r="B169">
        <f t="shared" si="32"/>
        <v>3</v>
      </c>
      <c r="C169">
        <f t="shared" si="33"/>
        <v>58</v>
      </c>
      <c r="D169">
        <f>D127</f>
        <v>6</v>
      </c>
      <c r="E169" t="str">
        <f>VLOOKUP(D169,name!A:B,2,1)</f>
        <v>Céline</v>
      </c>
      <c r="F169" t="str">
        <f t="shared" si="24"/>
        <v>これらはラズベリーです。</v>
      </c>
      <c r="G169" t="str">
        <f t="shared" si="25"/>
        <v>a</v>
      </c>
      <c r="H169" t="str">
        <f>VLOOKUP(D169,name!A:C,3,1)</f>
        <v>assets/icons/image078.png</v>
      </c>
      <c r="I169" t="s">
        <v>463</v>
      </c>
    </row>
    <row r="170" spans="1:12" x14ac:dyDescent="0.15">
      <c r="A170" t="str">
        <f t="shared" si="32"/>
        <v>フランス語</v>
      </c>
      <c r="B170">
        <f t="shared" si="32"/>
        <v>3</v>
      </c>
      <c r="C170">
        <f t="shared" si="33"/>
        <v>59</v>
      </c>
      <c r="D170">
        <v>0</v>
      </c>
      <c r="E170" t="str">
        <f>VLOOKUP(D170,name!A:B,2,1)</f>
        <v>Player</v>
      </c>
      <c r="F170" t="str">
        <f t="shared" si="24"/>
        <v>Ce sont des framboises.</v>
      </c>
      <c r="G170" t="str">
        <f t="shared" si="25"/>
        <v>q</v>
      </c>
      <c r="H170" t="str">
        <f>VLOOKUP(D170,name!A:C,3,1)</f>
        <v>assets/icons/image326.png</v>
      </c>
      <c r="I170" t="str">
        <f>IF(A170="","",VLOOKUP(A170,lng!A:B,2,0))</f>
        <v>fr-FR</v>
      </c>
    </row>
    <row r="171" spans="1:12" x14ac:dyDescent="0.15">
      <c r="A171" t="str">
        <f t="shared" si="32"/>
        <v>フランス語</v>
      </c>
      <c r="B171">
        <f t="shared" si="32"/>
        <v>3</v>
      </c>
      <c r="C171">
        <f t="shared" si="33"/>
        <v>60</v>
      </c>
      <c r="D171">
        <f>D129</f>
        <v>5</v>
      </c>
      <c r="E171" t="str">
        <f>VLOOKUP(D171,name!A:B,2,1)</f>
        <v>Minako</v>
      </c>
      <c r="F171" t="str">
        <f t="shared" si="24"/>
        <v>本当に市場でなんでも見つけることができますね。</v>
      </c>
      <c r="G171" t="str">
        <f t="shared" si="25"/>
        <v>a</v>
      </c>
      <c r="H171" t="str">
        <f>VLOOKUP(D171,name!A:C,3,1)</f>
        <v>assets/icons/image086.png</v>
      </c>
      <c r="I171" t="s">
        <v>463</v>
      </c>
    </row>
    <row r="172" spans="1:12" x14ac:dyDescent="0.15">
      <c r="A172" t="str">
        <f t="shared" si="32"/>
        <v>フランス語</v>
      </c>
      <c r="B172">
        <f t="shared" si="32"/>
        <v>3</v>
      </c>
      <c r="C172">
        <f t="shared" si="33"/>
        <v>61</v>
      </c>
      <c r="D172">
        <v>0</v>
      </c>
      <c r="E172" t="str">
        <f>VLOOKUP(D172,name!A:B,2,1)</f>
        <v>Player</v>
      </c>
      <c r="F172" t="str">
        <f t="shared" si="24"/>
        <v>Vraiment, on trouve tout au marché.</v>
      </c>
      <c r="G172" t="str">
        <f t="shared" ref="G172" si="34">IF(B172&lt;&gt;B173,"e",IF(D172=0,"q","a"))</f>
        <v>q</v>
      </c>
      <c r="H172" t="str">
        <f>VLOOKUP(D172,name!A:C,3,1)</f>
        <v>assets/icons/image326.png</v>
      </c>
      <c r="I172" t="str">
        <f>IF(A172="","",VLOOKUP(A172,lng!A:B,2,0))</f>
        <v>fr-FR</v>
      </c>
    </row>
    <row r="173" spans="1:12" x14ac:dyDescent="0.15">
      <c r="A173" t="str">
        <f t="shared" ref="A173" si="35">A172</f>
        <v>フランス語</v>
      </c>
      <c r="B173">
        <f t="shared" ref="B173" si="36">B172</f>
        <v>3</v>
      </c>
      <c r="C173">
        <f t="shared" si="33"/>
        <v>62</v>
      </c>
      <c r="D173">
        <v>1</v>
      </c>
      <c r="E173" t="str">
        <f>VLOOKUP(D173,name!A:B,2,1)</f>
        <v>Navigator</v>
      </c>
      <c r="F173" t="str">
        <f>"とても良くできました。レッスン"&amp;B173&amp;"はこれで終了です。"</f>
        <v>とても良くできました。レッスン3はこれで終了です。</v>
      </c>
      <c r="G173" t="str">
        <f>IF(B173&lt;&gt;B1560,"e",IF(D173=0,"q","a"))</f>
        <v>e</v>
      </c>
      <c r="H173" t="str">
        <f>VLOOKUP(D173,name!A:C,3,1)</f>
        <v>assets/icons/image014.png</v>
      </c>
      <c r="I173" t="s">
        <v>463</v>
      </c>
    </row>
    <row r="174" spans="1:12" x14ac:dyDescent="0.15">
      <c r="A174" t="str">
        <f>A173</f>
        <v>フランス語</v>
      </c>
      <c r="B174">
        <f>B173+1</f>
        <v>4</v>
      </c>
      <c r="C174">
        <v>1</v>
      </c>
      <c r="D174">
        <v>1</v>
      </c>
      <c r="E174" t="str">
        <f>VLOOKUP(D174,name!A:B,2,1)</f>
        <v>Navigator</v>
      </c>
      <c r="F174" t="s">
        <v>464</v>
      </c>
      <c r="G174" t="str">
        <f>IF(B174&lt;&gt;B175,"e",IF(D174=0,"q","a"))</f>
        <v>a</v>
      </c>
      <c r="H174" t="str">
        <f>VLOOKUP(D174,name!A:C,3,1)</f>
        <v>assets/icons/image014.png</v>
      </c>
      <c r="I174" t="str">
        <f>IF(A174="","",VLOOKUP(A174,lng!A:B,2,0))</f>
        <v>fr-FR</v>
      </c>
    </row>
    <row r="175" spans="1:12" x14ac:dyDescent="0.15">
      <c r="A175" t="str">
        <f t="shared" ref="A175:B190" si="37">A174</f>
        <v>フランス語</v>
      </c>
      <c r="B175">
        <f>B174</f>
        <v>4</v>
      </c>
      <c r="C175">
        <f>C174+1</f>
        <v>2</v>
      </c>
      <c r="D175">
        <v>1</v>
      </c>
      <c r="E175" t="str">
        <f>VLOOKUP(D175,name!A:B,2,1)</f>
        <v>Navigator</v>
      </c>
      <c r="F175" t="str">
        <f>"レッスン"&amp;B175</f>
        <v>レッスン4</v>
      </c>
      <c r="G175" t="str">
        <f t="shared" ref="G175:G237" si="38">IF(B175&lt;&gt;B176,"e",IF(D175=0,"q","a"))</f>
        <v>a</v>
      </c>
      <c r="H175" t="str">
        <f>VLOOKUP(D175,name!A:C,3,1)</f>
        <v>assets/icons/image014.png</v>
      </c>
      <c r="I175" t="s">
        <v>463</v>
      </c>
    </row>
    <row r="176" spans="1:12" ht="40.5" x14ac:dyDescent="0.15">
      <c r="A176" t="str">
        <f t="shared" si="37"/>
        <v>フランス語</v>
      </c>
      <c r="B176">
        <f t="shared" si="37"/>
        <v>4</v>
      </c>
      <c r="C176">
        <f t="shared" ref="C176:C239" si="39">C175+1</f>
        <v>3</v>
      </c>
      <c r="D176">
        <v>1</v>
      </c>
      <c r="E176" t="str">
        <f>VLOOKUP(D176,name!A:B,2,1)</f>
        <v>Navigator</v>
      </c>
      <c r="F176" s="1" t="str">
        <f>"まずは対話文を流します。その後に、日本語と"&amp;A176&amp;"を一文ずつ流すので"&amp;A176&amp;"を真似して下さい。最後に日本語のみを流すので、"&amp;A176&amp;"で答えてください。"</f>
        <v>まずは対話文を流します。その後に、日本語とフランス語を一文ずつ流すのでフランス語を真似して下さい。最後に日本語のみを流すので、フランス語で答えてください。</v>
      </c>
      <c r="G176" t="str">
        <f t="shared" si="38"/>
        <v>a</v>
      </c>
      <c r="H176" t="str">
        <f>VLOOKUP(D176,name!A:C,3,1)</f>
        <v>assets/icons/image014.png</v>
      </c>
      <c r="I176" t="s">
        <v>463</v>
      </c>
      <c r="L176" s="1"/>
    </row>
    <row r="177" spans="1:9" x14ac:dyDescent="0.15">
      <c r="A177" t="str">
        <f t="shared" si="37"/>
        <v>フランス語</v>
      </c>
      <c r="B177">
        <f t="shared" si="37"/>
        <v>4</v>
      </c>
      <c r="C177">
        <f t="shared" si="39"/>
        <v>4</v>
      </c>
      <c r="D177">
        <f>D178</f>
        <v>6</v>
      </c>
      <c r="E177" t="str">
        <f>VLOOKUP(D177,name!A:B,2,1)</f>
        <v>Céline</v>
      </c>
      <c r="F177" t="s">
        <v>474</v>
      </c>
      <c r="G177" t="str">
        <f t="shared" si="38"/>
        <v>a</v>
      </c>
      <c r="H177" t="str">
        <f>VLOOKUP(D177,name!A:C,3,1)</f>
        <v>assets/icons/image078.png</v>
      </c>
      <c r="I177" t="s">
        <v>463</v>
      </c>
    </row>
    <row r="178" spans="1:9" x14ac:dyDescent="0.15">
      <c r="A178" t="str">
        <f t="shared" si="37"/>
        <v>フランス語</v>
      </c>
      <c r="B178">
        <f t="shared" si="37"/>
        <v>4</v>
      </c>
      <c r="C178">
        <f t="shared" si="39"/>
        <v>5</v>
      </c>
      <c r="D178">
        <v>6</v>
      </c>
      <c r="E178" t="str">
        <f>VLOOKUP(D178,name!A:B,2,1)</f>
        <v>Céline</v>
      </c>
      <c r="F178" t="s">
        <v>465</v>
      </c>
      <c r="G178" t="str">
        <f t="shared" si="38"/>
        <v>a</v>
      </c>
      <c r="H178" t="str">
        <f>VLOOKUP(D178,name!A:C,3,1)</f>
        <v>assets/icons/image078.png</v>
      </c>
      <c r="I178" t="str">
        <f>IF(A178="","",VLOOKUP(A178,lng!A:B,2,0))</f>
        <v>fr-FR</v>
      </c>
    </row>
    <row r="179" spans="1:9" x14ac:dyDescent="0.15">
      <c r="A179" t="str">
        <f t="shared" si="37"/>
        <v>フランス語</v>
      </c>
      <c r="B179">
        <f t="shared" si="37"/>
        <v>4</v>
      </c>
      <c r="C179">
        <f t="shared" si="39"/>
        <v>6</v>
      </c>
      <c r="D179">
        <f t="shared" ref="D179:D195" si="40">D180</f>
        <v>5</v>
      </c>
      <c r="E179" t="str">
        <f>VLOOKUP(D179,name!A:B,2,1)</f>
        <v>Minako</v>
      </c>
      <c r="F179" t="s">
        <v>475</v>
      </c>
      <c r="G179" t="str">
        <f t="shared" si="38"/>
        <v>a</v>
      </c>
      <c r="H179" t="str">
        <f>VLOOKUP(D179,name!A:C,3,1)</f>
        <v>assets/icons/image086.png</v>
      </c>
      <c r="I179" t="s">
        <v>463</v>
      </c>
    </row>
    <row r="180" spans="1:9" x14ac:dyDescent="0.15">
      <c r="A180" t="str">
        <f t="shared" si="37"/>
        <v>フランス語</v>
      </c>
      <c r="B180">
        <f t="shared" si="37"/>
        <v>4</v>
      </c>
      <c r="C180">
        <f t="shared" si="39"/>
        <v>7</v>
      </c>
      <c r="D180">
        <v>5</v>
      </c>
      <c r="E180" t="str">
        <f>VLOOKUP(D180,name!A:B,2,1)</f>
        <v>Minako</v>
      </c>
      <c r="F180" t="s">
        <v>466</v>
      </c>
      <c r="G180" t="str">
        <f t="shared" si="38"/>
        <v>a</v>
      </c>
      <c r="H180" t="str">
        <f>VLOOKUP(D180,name!A:C,3,1)</f>
        <v>assets/icons/image086.png</v>
      </c>
      <c r="I180" t="str">
        <f>IF(A180="","",VLOOKUP(A180,lng!A:B,2,0))</f>
        <v>fr-FR</v>
      </c>
    </row>
    <row r="181" spans="1:9" x14ac:dyDescent="0.15">
      <c r="A181" t="str">
        <f t="shared" si="37"/>
        <v>フランス語</v>
      </c>
      <c r="B181">
        <f t="shared" si="37"/>
        <v>4</v>
      </c>
      <c r="C181">
        <f t="shared" si="39"/>
        <v>8</v>
      </c>
      <c r="D181">
        <f t="shared" si="40"/>
        <v>7</v>
      </c>
      <c r="E181" t="str">
        <f>VLOOKUP(D181,name!A:B,2,1)</f>
        <v>Luigi</v>
      </c>
      <c r="F181" t="s">
        <v>476</v>
      </c>
      <c r="G181" t="str">
        <f t="shared" si="38"/>
        <v>a</v>
      </c>
      <c r="H181" t="str">
        <f>VLOOKUP(D181,name!A:C,3,1)</f>
        <v>assets/icons/image023.png</v>
      </c>
      <c r="I181" t="s">
        <v>463</v>
      </c>
    </row>
    <row r="182" spans="1:9" x14ac:dyDescent="0.15">
      <c r="A182" t="str">
        <f t="shared" si="37"/>
        <v>フランス語</v>
      </c>
      <c r="B182">
        <f t="shared" si="37"/>
        <v>4</v>
      </c>
      <c r="C182">
        <f t="shared" si="39"/>
        <v>9</v>
      </c>
      <c r="D182">
        <v>7</v>
      </c>
      <c r="E182" t="str">
        <f>VLOOKUP(D182,name!A:B,2,1)</f>
        <v>Luigi</v>
      </c>
      <c r="F182" t="s">
        <v>467</v>
      </c>
      <c r="G182" t="str">
        <f t="shared" si="38"/>
        <v>a</v>
      </c>
      <c r="H182" t="str">
        <f>VLOOKUP(D182,name!A:C,3,1)</f>
        <v>assets/icons/image023.png</v>
      </c>
      <c r="I182" t="str">
        <f>IF(A182="","",VLOOKUP(A182,lng!A:B,2,0))</f>
        <v>fr-FR</v>
      </c>
    </row>
    <row r="183" spans="1:9" x14ac:dyDescent="0.15">
      <c r="A183" t="str">
        <f t="shared" si="37"/>
        <v>フランス語</v>
      </c>
      <c r="B183">
        <f t="shared" si="37"/>
        <v>4</v>
      </c>
      <c r="C183">
        <f t="shared" si="39"/>
        <v>10</v>
      </c>
      <c r="D183">
        <f t="shared" si="40"/>
        <v>6</v>
      </c>
      <c r="E183" t="str">
        <f>VLOOKUP(D183,name!A:B,2,1)</f>
        <v>Céline</v>
      </c>
      <c r="F183" t="s">
        <v>477</v>
      </c>
      <c r="G183" t="str">
        <f t="shared" si="38"/>
        <v>a</v>
      </c>
      <c r="H183" t="str">
        <f>VLOOKUP(D183,name!A:C,3,1)</f>
        <v>assets/icons/image078.png</v>
      </c>
      <c r="I183" t="s">
        <v>463</v>
      </c>
    </row>
    <row r="184" spans="1:9" x14ac:dyDescent="0.15">
      <c r="A184" t="str">
        <f t="shared" si="37"/>
        <v>フランス語</v>
      </c>
      <c r="B184">
        <f t="shared" si="37"/>
        <v>4</v>
      </c>
      <c r="C184">
        <f t="shared" si="39"/>
        <v>11</v>
      </c>
      <c r="D184">
        <v>6</v>
      </c>
      <c r="E184" t="str">
        <f>VLOOKUP(D184,name!A:B,2,1)</f>
        <v>Céline</v>
      </c>
      <c r="F184" t="s">
        <v>468</v>
      </c>
      <c r="G184" t="str">
        <f t="shared" si="38"/>
        <v>a</v>
      </c>
      <c r="H184" t="str">
        <f>VLOOKUP(D184,name!A:C,3,1)</f>
        <v>assets/icons/image078.png</v>
      </c>
      <c r="I184" t="str">
        <f>IF(A184="","",VLOOKUP(A184,lng!A:B,2,0))</f>
        <v>fr-FR</v>
      </c>
    </row>
    <row r="185" spans="1:9" x14ac:dyDescent="0.15">
      <c r="A185" t="str">
        <f t="shared" si="37"/>
        <v>フランス語</v>
      </c>
      <c r="B185">
        <f t="shared" si="37"/>
        <v>4</v>
      </c>
      <c r="C185">
        <f t="shared" si="39"/>
        <v>12</v>
      </c>
      <c r="D185">
        <f t="shared" si="40"/>
        <v>7</v>
      </c>
      <c r="E185" t="str">
        <f>VLOOKUP(D185,name!A:B,2,1)</f>
        <v>Luigi</v>
      </c>
      <c r="F185" t="s">
        <v>479</v>
      </c>
      <c r="G185" t="str">
        <f t="shared" si="38"/>
        <v>a</v>
      </c>
      <c r="H185" t="str">
        <f>VLOOKUP(D185,name!A:C,3,1)</f>
        <v>assets/icons/image023.png</v>
      </c>
      <c r="I185" t="s">
        <v>463</v>
      </c>
    </row>
    <row r="186" spans="1:9" x14ac:dyDescent="0.15">
      <c r="A186" t="str">
        <f t="shared" si="37"/>
        <v>フランス語</v>
      </c>
      <c r="B186">
        <f t="shared" si="37"/>
        <v>4</v>
      </c>
      <c r="C186">
        <f t="shared" si="39"/>
        <v>13</v>
      </c>
      <c r="D186">
        <v>7</v>
      </c>
      <c r="E186" t="str">
        <f>VLOOKUP(D186,name!A:B,2,1)</f>
        <v>Luigi</v>
      </c>
      <c r="F186" t="s">
        <v>469</v>
      </c>
      <c r="G186" t="str">
        <f t="shared" si="38"/>
        <v>a</v>
      </c>
      <c r="H186" t="str">
        <f>VLOOKUP(D186,name!A:C,3,1)</f>
        <v>assets/icons/image023.png</v>
      </c>
      <c r="I186" t="str">
        <f>IF(A186="","",VLOOKUP(A186,lng!A:B,2,0))</f>
        <v>fr-FR</v>
      </c>
    </row>
    <row r="187" spans="1:9" x14ac:dyDescent="0.15">
      <c r="A187" t="str">
        <f t="shared" si="37"/>
        <v>フランス語</v>
      </c>
      <c r="B187">
        <f t="shared" si="37"/>
        <v>4</v>
      </c>
      <c r="C187">
        <f t="shared" si="39"/>
        <v>14</v>
      </c>
      <c r="D187">
        <f t="shared" si="40"/>
        <v>6</v>
      </c>
      <c r="E187" t="str">
        <f>VLOOKUP(D187,name!A:B,2,1)</f>
        <v>Céline</v>
      </c>
      <c r="F187" t="s">
        <v>478</v>
      </c>
      <c r="G187" t="str">
        <f t="shared" si="38"/>
        <v>a</v>
      </c>
      <c r="H187" t="str">
        <f>VLOOKUP(D187,name!A:C,3,1)</f>
        <v>assets/icons/image078.png</v>
      </c>
      <c r="I187" t="s">
        <v>463</v>
      </c>
    </row>
    <row r="188" spans="1:9" x14ac:dyDescent="0.15">
      <c r="A188" t="str">
        <f t="shared" si="37"/>
        <v>フランス語</v>
      </c>
      <c r="B188">
        <f t="shared" si="37"/>
        <v>4</v>
      </c>
      <c r="C188">
        <f t="shared" si="39"/>
        <v>15</v>
      </c>
      <c r="D188">
        <v>6</v>
      </c>
      <c r="E188" t="str">
        <f>VLOOKUP(D188,name!A:B,2,1)</f>
        <v>Céline</v>
      </c>
      <c r="F188" t="s">
        <v>470</v>
      </c>
      <c r="G188" t="str">
        <f t="shared" si="38"/>
        <v>a</v>
      </c>
      <c r="H188" t="str">
        <f>VLOOKUP(D188,name!A:C,3,1)</f>
        <v>assets/icons/image078.png</v>
      </c>
      <c r="I188" t="str">
        <f>IF(A188="","",VLOOKUP(A188,lng!A:B,2,0))</f>
        <v>fr-FR</v>
      </c>
    </row>
    <row r="189" spans="1:9" x14ac:dyDescent="0.15">
      <c r="A189" t="str">
        <f t="shared" si="37"/>
        <v>フランス語</v>
      </c>
      <c r="B189">
        <f t="shared" si="37"/>
        <v>4</v>
      </c>
      <c r="C189">
        <f t="shared" si="39"/>
        <v>16</v>
      </c>
      <c r="D189">
        <f t="shared" si="40"/>
        <v>5</v>
      </c>
      <c r="E189" t="str">
        <f>VLOOKUP(D189,name!A:B,2,1)</f>
        <v>Minako</v>
      </c>
      <c r="F189" t="s">
        <v>480</v>
      </c>
      <c r="G189" t="str">
        <f t="shared" si="38"/>
        <v>a</v>
      </c>
      <c r="H189" t="str">
        <f>VLOOKUP(D189,name!A:C,3,1)</f>
        <v>assets/icons/image086.png</v>
      </c>
      <c r="I189" t="s">
        <v>463</v>
      </c>
    </row>
    <row r="190" spans="1:9" x14ac:dyDescent="0.15">
      <c r="A190" t="str">
        <f t="shared" si="37"/>
        <v>フランス語</v>
      </c>
      <c r="B190">
        <f t="shared" si="37"/>
        <v>4</v>
      </c>
      <c r="C190">
        <f t="shared" si="39"/>
        <v>17</v>
      </c>
      <c r="D190">
        <f t="shared" si="40"/>
        <v>5</v>
      </c>
      <c r="E190" t="str">
        <f>VLOOKUP(D190,name!A:B,2,1)</f>
        <v>Minako</v>
      </c>
      <c r="F190" t="s">
        <v>471</v>
      </c>
      <c r="G190" t="str">
        <f t="shared" si="38"/>
        <v>a</v>
      </c>
      <c r="H190" t="str">
        <f>VLOOKUP(D190,name!A:C,3,1)</f>
        <v>assets/icons/image086.png</v>
      </c>
      <c r="I190" t="str">
        <f>IF(A190="","",VLOOKUP(A190,lng!A:B,2,0))</f>
        <v>fr-FR</v>
      </c>
    </row>
    <row r="191" spans="1:9" x14ac:dyDescent="0.15">
      <c r="A191" t="str">
        <f t="shared" ref="A191:B196" si="41">A190</f>
        <v>フランス語</v>
      </c>
      <c r="B191">
        <f t="shared" si="41"/>
        <v>4</v>
      </c>
      <c r="C191">
        <f t="shared" si="39"/>
        <v>18</v>
      </c>
      <c r="D191">
        <f t="shared" si="40"/>
        <v>5</v>
      </c>
      <c r="E191" t="str">
        <f>VLOOKUP(D191,name!A:B,2,1)</f>
        <v>Minako</v>
      </c>
      <c r="F191" t="s">
        <v>481</v>
      </c>
      <c r="G191" t="str">
        <f t="shared" si="38"/>
        <v>a</v>
      </c>
      <c r="H191" t="str">
        <f>VLOOKUP(D191,name!A:C,3,1)</f>
        <v>assets/icons/image086.png</v>
      </c>
      <c r="I191" t="s">
        <v>463</v>
      </c>
    </row>
    <row r="192" spans="1:9" x14ac:dyDescent="0.15">
      <c r="A192" t="str">
        <f t="shared" si="41"/>
        <v>フランス語</v>
      </c>
      <c r="B192">
        <f t="shared" si="41"/>
        <v>4</v>
      </c>
      <c r="C192">
        <f t="shared" si="39"/>
        <v>19</v>
      </c>
      <c r="D192">
        <v>5</v>
      </c>
      <c r="E192" t="str">
        <f>VLOOKUP(D192,name!A:B,2,1)</f>
        <v>Minako</v>
      </c>
      <c r="F192" t="s">
        <v>472</v>
      </c>
      <c r="G192" t="str">
        <f t="shared" si="38"/>
        <v>a</v>
      </c>
      <c r="H192" t="str">
        <f>VLOOKUP(D192,name!A:C,3,1)</f>
        <v>assets/icons/image086.png</v>
      </c>
      <c r="I192" t="str">
        <f>IF(A192="","",VLOOKUP(A192,lng!A:B,2,0))</f>
        <v>fr-FR</v>
      </c>
    </row>
    <row r="193" spans="1:9" x14ac:dyDescent="0.15">
      <c r="A193" t="str">
        <f t="shared" si="41"/>
        <v>フランス語</v>
      </c>
      <c r="B193">
        <f t="shared" si="41"/>
        <v>4</v>
      </c>
      <c r="C193">
        <f t="shared" si="39"/>
        <v>20</v>
      </c>
      <c r="D193">
        <f t="shared" si="40"/>
        <v>7</v>
      </c>
      <c r="E193" t="str">
        <f>VLOOKUP(D193,name!A:B,2,1)</f>
        <v>Luigi</v>
      </c>
      <c r="F193" t="s">
        <v>482</v>
      </c>
      <c r="G193" t="str">
        <f t="shared" si="38"/>
        <v>a</v>
      </c>
      <c r="H193" t="str">
        <f>VLOOKUP(D193,name!A:C,3,1)</f>
        <v>assets/icons/image023.png</v>
      </c>
      <c r="I193" t="s">
        <v>463</v>
      </c>
    </row>
    <row r="194" spans="1:9" x14ac:dyDescent="0.15">
      <c r="A194" t="str">
        <f t="shared" si="41"/>
        <v>フランス語</v>
      </c>
      <c r="B194">
        <f t="shared" si="41"/>
        <v>4</v>
      </c>
      <c r="C194">
        <f t="shared" si="39"/>
        <v>21</v>
      </c>
      <c r="D194">
        <v>7</v>
      </c>
      <c r="E194" t="str">
        <f>VLOOKUP(D194,name!A:B,2,1)</f>
        <v>Luigi</v>
      </c>
      <c r="F194" t="s">
        <v>473</v>
      </c>
      <c r="G194" t="str">
        <f t="shared" si="38"/>
        <v>a</v>
      </c>
      <c r="H194" t="str">
        <f>VLOOKUP(D194,name!A:C,3,1)</f>
        <v>assets/icons/image023.png</v>
      </c>
      <c r="I194" t="str">
        <f>IF(A194="","",VLOOKUP(A194,lng!A:B,2,0))</f>
        <v>fr-FR</v>
      </c>
    </row>
    <row r="195" spans="1:9" x14ac:dyDescent="0.15">
      <c r="A195" t="str">
        <f t="shared" si="41"/>
        <v>フランス語</v>
      </c>
      <c r="B195">
        <f t="shared" si="41"/>
        <v>4</v>
      </c>
      <c r="C195">
        <f t="shared" si="39"/>
        <v>22</v>
      </c>
      <c r="D195">
        <f t="shared" si="40"/>
        <v>6</v>
      </c>
      <c r="E195" t="str">
        <f>VLOOKUP(D195,name!A:B,2,1)</f>
        <v>Céline</v>
      </c>
      <c r="F195" t="s">
        <v>482</v>
      </c>
      <c r="G195" t="str">
        <f t="shared" si="38"/>
        <v>a</v>
      </c>
      <c r="H195" t="str">
        <f>VLOOKUP(D195,name!A:C,3,1)</f>
        <v>assets/icons/image078.png</v>
      </c>
      <c r="I195" t="s">
        <v>463</v>
      </c>
    </row>
    <row r="196" spans="1:9" x14ac:dyDescent="0.15">
      <c r="A196" t="str">
        <f t="shared" si="41"/>
        <v>フランス語</v>
      </c>
      <c r="B196">
        <f t="shared" si="41"/>
        <v>4</v>
      </c>
      <c r="C196">
        <f t="shared" si="39"/>
        <v>23</v>
      </c>
      <c r="D196">
        <v>6</v>
      </c>
      <c r="E196" t="str">
        <f>VLOOKUP(D196,name!A:B,2,1)</f>
        <v>Céline</v>
      </c>
      <c r="F196" t="s">
        <v>473</v>
      </c>
      <c r="G196" t="str">
        <f t="shared" si="38"/>
        <v>a</v>
      </c>
      <c r="H196" t="str">
        <f>VLOOKUP(D196,name!A:C,3,1)</f>
        <v>assets/icons/image078.png</v>
      </c>
      <c r="I196" t="str">
        <f>IF(A196="","",VLOOKUP(A196,lng!A:B,2,0))</f>
        <v>fr-FR</v>
      </c>
    </row>
    <row r="197" spans="1:9" x14ac:dyDescent="0.15">
      <c r="A197" t="str">
        <f t="shared" ref="A197:B197" si="42">A196</f>
        <v>フランス語</v>
      </c>
      <c r="B197">
        <f t="shared" si="42"/>
        <v>4</v>
      </c>
      <c r="C197">
        <f t="shared" si="39"/>
        <v>24</v>
      </c>
      <c r="D197">
        <v>1</v>
      </c>
      <c r="E197" t="str">
        <f>VLOOKUP(D197,name!A:B,2,1)</f>
        <v>Navigator</v>
      </c>
      <c r="F197" t="str">
        <f>"次の"&amp;A197&amp;"を真似してね！"</f>
        <v>次のフランス語を真似してね！</v>
      </c>
      <c r="G197" t="str">
        <f t="shared" si="38"/>
        <v>a</v>
      </c>
      <c r="H197" t="str">
        <f>VLOOKUP(D197,name!A:C,3,1)</f>
        <v>assets/icons/image014.png</v>
      </c>
      <c r="I197" t="s">
        <v>463</v>
      </c>
    </row>
    <row r="198" spans="1:9" x14ac:dyDescent="0.15">
      <c r="A198" t="str">
        <f t="shared" ref="A198:B198" si="43">A197</f>
        <v>フランス語</v>
      </c>
      <c r="B198">
        <f t="shared" si="43"/>
        <v>4</v>
      </c>
      <c r="C198">
        <f t="shared" si="39"/>
        <v>25</v>
      </c>
      <c r="D198">
        <f>D177</f>
        <v>6</v>
      </c>
      <c r="E198" t="str">
        <f>VLOOKUP(D198,name!A:B,2,1)</f>
        <v>Céline</v>
      </c>
      <c r="F198" t="str">
        <f>F177</f>
        <v>日曜日にピクニックがあります。</v>
      </c>
      <c r="G198" t="str">
        <f t="shared" si="38"/>
        <v>a</v>
      </c>
      <c r="H198" t="str">
        <f>VLOOKUP(D198,name!A:C,3,1)</f>
        <v>assets/icons/image078.png</v>
      </c>
      <c r="I198" t="s">
        <v>463</v>
      </c>
    </row>
    <row r="199" spans="1:9" x14ac:dyDescent="0.15">
      <c r="A199" t="str">
        <f t="shared" ref="A199:B199" si="44">A198</f>
        <v>フランス語</v>
      </c>
      <c r="B199">
        <f t="shared" si="44"/>
        <v>4</v>
      </c>
      <c r="C199">
        <f t="shared" si="39"/>
        <v>26</v>
      </c>
      <c r="D199">
        <f>D178</f>
        <v>6</v>
      </c>
      <c r="E199" t="str">
        <f>VLOOKUP(D199,name!A:B,2,1)</f>
        <v>Céline</v>
      </c>
      <c r="F199" t="str">
        <f>F178</f>
        <v>On fait un pique-nique dimanche.</v>
      </c>
      <c r="G199" t="str">
        <f t="shared" si="38"/>
        <v>a</v>
      </c>
      <c r="H199" t="str">
        <f>VLOOKUP(D199,name!A:C,3,1)</f>
        <v>assets/icons/image078.png</v>
      </c>
      <c r="I199" t="str">
        <f>IF(A199="","",VLOOKUP(A199,lng!A:B,2,0))</f>
        <v>fr-FR</v>
      </c>
    </row>
    <row r="200" spans="1:9" x14ac:dyDescent="0.15">
      <c r="A200" t="str">
        <f t="shared" ref="A200:B200" si="45">A199</f>
        <v>フランス語</v>
      </c>
      <c r="B200">
        <f t="shared" si="45"/>
        <v>4</v>
      </c>
      <c r="C200">
        <f t="shared" si="39"/>
        <v>27</v>
      </c>
      <c r="D200">
        <v>0</v>
      </c>
      <c r="E200" t="str">
        <f>VLOOKUP(D200,name!A:B,2,1)</f>
        <v>Player</v>
      </c>
      <c r="F200" t="str">
        <f>F178</f>
        <v>On fait un pique-nique dimanche.</v>
      </c>
      <c r="G200" t="str">
        <f t="shared" si="38"/>
        <v>q</v>
      </c>
      <c r="H200" t="str">
        <f>VLOOKUP(D200,name!A:C,3,1)</f>
        <v>assets/icons/image326.png</v>
      </c>
      <c r="I200" t="str">
        <f>IF(A200="","",VLOOKUP(A200,lng!A:B,2,0))</f>
        <v>fr-FR</v>
      </c>
    </row>
    <row r="201" spans="1:9" x14ac:dyDescent="0.15">
      <c r="A201" t="str">
        <f t="shared" ref="A201:B201" si="46">A200</f>
        <v>フランス語</v>
      </c>
      <c r="B201">
        <f t="shared" si="46"/>
        <v>4</v>
      </c>
      <c r="C201">
        <f t="shared" si="39"/>
        <v>28</v>
      </c>
      <c r="D201">
        <f>D179</f>
        <v>5</v>
      </c>
      <c r="E201" t="str">
        <f>VLOOKUP(D201,name!A:B,2,1)</f>
        <v>Minako</v>
      </c>
      <c r="F201" t="str">
        <f>F179</f>
        <v>素晴らしい！</v>
      </c>
      <c r="G201" t="str">
        <f t="shared" si="38"/>
        <v>a</v>
      </c>
      <c r="H201" t="str">
        <f>VLOOKUP(D201,name!A:C,3,1)</f>
        <v>assets/icons/image086.png</v>
      </c>
      <c r="I201" t="s">
        <v>463</v>
      </c>
    </row>
    <row r="202" spans="1:9" x14ac:dyDescent="0.15">
      <c r="A202" t="str">
        <f t="shared" ref="A202:B202" si="47">A201</f>
        <v>フランス語</v>
      </c>
      <c r="B202">
        <f t="shared" si="47"/>
        <v>4</v>
      </c>
      <c r="C202">
        <f t="shared" si="39"/>
        <v>29</v>
      </c>
      <c r="D202">
        <f>D180</f>
        <v>5</v>
      </c>
      <c r="E202" t="str">
        <f>VLOOKUP(D202,name!A:B,2,1)</f>
        <v>Minako</v>
      </c>
      <c r="F202" t="str">
        <f>F180</f>
        <v>C'est super !</v>
      </c>
      <c r="G202" t="str">
        <f t="shared" si="38"/>
        <v>a</v>
      </c>
      <c r="H202" t="str">
        <f>VLOOKUP(D202,name!A:C,3,1)</f>
        <v>assets/icons/image086.png</v>
      </c>
      <c r="I202" t="str">
        <f>IF(A202="","",VLOOKUP(A202,lng!A:B,2,0))</f>
        <v>fr-FR</v>
      </c>
    </row>
    <row r="203" spans="1:9" x14ac:dyDescent="0.15">
      <c r="A203" t="str">
        <f t="shared" ref="A203:B203" si="48">A202</f>
        <v>フランス語</v>
      </c>
      <c r="B203">
        <f t="shared" si="48"/>
        <v>4</v>
      </c>
      <c r="C203">
        <f t="shared" si="39"/>
        <v>30</v>
      </c>
      <c r="D203">
        <v>0</v>
      </c>
      <c r="E203" t="str">
        <f>VLOOKUP(D203,name!A:B,2,1)</f>
        <v>Player</v>
      </c>
      <c r="F203" t="str">
        <f>F180</f>
        <v>C'est super !</v>
      </c>
      <c r="G203" t="str">
        <f t="shared" si="38"/>
        <v>q</v>
      </c>
      <c r="H203" t="str">
        <f>VLOOKUP(D203,name!A:C,3,1)</f>
        <v>assets/icons/image326.png</v>
      </c>
      <c r="I203" t="str">
        <f>IF(A203="","",VLOOKUP(A203,lng!A:B,2,0))</f>
        <v>fr-FR</v>
      </c>
    </row>
    <row r="204" spans="1:9" x14ac:dyDescent="0.15">
      <c r="A204" t="str">
        <f t="shared" ref="A204:B204" si="49">A203</f>
        <v>フランス語</v>
      </c>
      <c r="B204">
        <f t="shared" si="49"/>
        <v>4</v>
      </c>
      <c r="C204">
        <f t="shared" si="39"/>
        <v>31</v>
      </c>
      <c r="D204">
        <f>D181</f>
        <v>7</v>
      </c>
      <c r="E204" t="str">
        <f>VLOOKUP(D204,name!A:B,2,1)</f>
        <v>Luigi</v>
      </c>
      <c r="F204" t="str">
        <f>F181</f>
        <v>サンドイッチを買います。</v>
      </c>
      <c r="G204" t="str">
        <f t="shared" si="38"/>
        <v>a</v>
      </c>
      <c r="H204" t="str">
        <f>VLOOKUP(D204,name!A:C,3,1)</f>
        <v>assets/icons/image023.png</v>
      </c>
      <c r="I204" t="s">
        <v>463</v>
      </c>
    </row>
    <row r="205" spans="1:9" x14ac:dyDescent="0.15">
      <c r="A205" t="str">
        <f t="shared" ref="A205:B205" si="50">A204</f>
        <v>フランス語</v>
      </c>
      <c r="B205">
        <f t="shared" si="50"/>
        <v>4</v>
      </c>
      <c r="C205">
        <f t="shared" si="39"/>
        <v>32</v>
      </c>
      <c r="D205">
        <f>D182</f>
        <v>7</v>
      </c>
      <c r="E205" t="str">
        <f>VLOOKUP(D205,name!A:B,2,1)</f>
        <v>Luigi</v>
      </c>
      <c r="F205" t="str">
        <f>F182</f>
        <v>J'achète des sandwiches.</v>
      </c>
      <c r="G205" t="str">
        <f t="shared" si="38"/>
        <v>a</v>
      </c>
      <c r="H205" t="str">
        <f>VLOOKUP(D205,name!A:C,3,1)</f>
        <v>assets/icons/image023.png</v>
      </c>
      <c r="I205" t="str">
        <f>IF(A205="","",VLOOKUP(A205,lng!A:B,2,0))</f>
        <v>fr-FR</v>
      </c>
    </row>
    <row r="206" spans="1:9" x14ac:dyDescent="0.15">
      <c r="A206" t="str">
        <f t="shared" ref="A206:B206" si="51">A205</f>
        <v>フランス語</v>
      </c>
      <c r="B206">
        <f t="shared" si="51"/>
        <v>4</v>
      </c>
      <c r="C206">
        <f t="shared" si="39"/>
        <v>33</v>
      </c>
      <c r="D206">
        <v>0</v>
      </c>
      <c r="E206" t="str">
        <f>VLOOKUP(D206,name!A:B,2,1)</f>
        <v>Player</v>
      </c>
      <c r="F206" t="str">
        <f>F182</f>
        <v>J'achète des sandwiches.</v>
      </c>
      <c r="G206" t="str">
        <f t="shared" si="38"/>
        <v>q</v>
      </c>
      <c r="H206" t="str">
        <f>VLOOKUP(D206,name!A:C,3,1)</f>
        <v>assets/icons/image326.png</v>
      </c>
      <c r="I206" t="str">
        <f>IF(A206="","",VLOOKUP(A206,lng!A:B,2,0))</f>
        <v>fr-FR</v>
      </c>
    </row>
    <row r="207" spans="1:9" x14ac:dyDescent="0.15">
      <c r="A207" t="str">
        <f t="shared" ref="A207:B207" si="52">A206</f>
        <v>フランス語</v>
      </c>
      <c r="B207">
        <f t="shared" si="52"/>
        <v>4</v>
      </c>
      <c r="C207">
        <f t="shared" si="39"/>
        <v>34</v>
      </c>
      <c r="D207">
        <f>D183</f>
        <v>6</v>
      </c>
      <c r="E207" t="str">
        <f>VLOOKUP(D207,name!A:B,2,1)</f>
        <v>Céline</v>
      </c>
      <c r="F207" t="str">
        <f>F183</f>
        <v>いいえ、サンドイッチは購入しません。</v>
      </c>
      <c r="G207" t="str">
        <f t="shared" si="38"/>
        <v>a</v>
      </c>
      <c r="H207" t="str">
        <f>VLOOKUP(D207,name!A:C,3,1)</f>
        <v>assets/icons/image078.png</v>
      </c>
      <c r="I207" t="s">
        <v>463</v>
      </c>
    </row>
    <row r="208" spans="1:9" x14ac:dyDescent="0.15">
      <c r="A208" t="str">
        <f t="shared" ref="A208:B208" si="53">A207</f>
        <v>フランス語</v>
      </c>
      <c r="B208">
        <f t="shared" si="53"/>
        <v>4</v>
      </c>
      <c r="C208">
        <f t="shared" si="39"/>
        <v>35</v>
      </c>
      <c r="D208">
        <f>D184</f>
        <v>6</v>
      </c>
      <c r="E208" t="str">
        <f>VLOOKUP(D208,name!A:B,2,1)</f>
        <v>Céline</v>
      </c>
      <c r="F208" t="str">
        <f>F184</f>
        <v>Non, on n'achète pas de sandwiches.</v>
      </c>
      <c r="G208" t="str">
        <f t="shared" si="38"/>
        <v>a</v>
      </c>
      <c r="H208" t="str">
        <f>VLOOKUP(D208,name!A:C,3,1)</f>
        <v>assets/icons/image078.png</v>
      </c>
      <c r="I208" t="str">
        <f>IF(A208="","",VLOOKUP(A208,lng!A:B,2,0))</f>
        <v>fr-FR</v>
      </c>
    </row>
    <row r="209" spans="1:9" x14ac:dyDescent="0.15">
      <c r="A209" t="str">
        <f t="shared" ref="A209:B209" si="54">A208</f>
        <v>フランス語</v>
      </c>
      <c r="B209">
        <f t="shared" si="54"/>
        <v>4</v>
      </c>
      <c r="C209">
        <f t="shared" si="39"/>
        <v>36</v>
      </c>
      <c r="D209">
        <v>0</v>
      </c>
      <c r="E209" t="str">
        <f>VLOOKUP(D209,name!A:B,2,1)</f>
        <v>Player</v>
      </c>
      <c r="F209" t="str">
        <f>F184</f>
        <v>Non, on n'achète pas de sandwiches.</v>
      </c>
      <c r="G209" t="str">
        <f t="shared" si="38"/>
        <v>q</v>
      </c>
      <c r="H209" t="str">
        <f>VLOOKUP(D209,name!A:C,3,1)</f>
        <v>assets/icons/image326.png</v>
      </c>
      <c r="I209" t="str">
        <f>IF(A209="","",VLOOKUP(A209,lng!A:B,2,0))</f>
        <v>fr-FR</v>
      </c>
    </row>
    <row r="210" spans="1:9" x14ac:dyDescent="0.15">
      <c r="A210" t="str">
        <f t="shared" ref="A210:B210" si="55">A209</f>
        <v>フランス語</v>
      </c>
      <c r="B210">
        <f t="shared" si="55"/>
        <v>4</v>
      </c>
      <c r="C210">
        <f t="shared" si="39"/>
        <v>37</v>
      </c>
      <c r="D210">
        <f>D185</f>
        <v>7</v>
      </c>
      <c r="E210" t="str">
        <f>VLOOKUP(D210,name!A:B,2,1)</f>
        <v>Luigi</v>
      </c>
      <c r="F210" t="str">
        <f>F185</f>
        <v>そうなのですか？</v>
      </c>
      <c r="G210" t="str">
        <f t="shared" si="38"/>
        <v>a</v>
      </c>
      <c r="H210" t="str">
        <f>VLOOKUP(D210,name!A:C,3,1)</f>
        <v>assets/icons/image023.png</v>
      </c>
      <c r="I210" t="s">
        <v>463</v>
      </c>
    </row>
    <row r="211" spans="1:9" x14ac:dyDescent="0.15">
      <c r="A211" t="str">
        <f t="shared" ref="A211:B211" si="56">A210</f>
        <v>フランス語</v>
      </c>
      <c r="B211">
        <f t="shared" si="56"/>
        <v>4</v>
      </c>
      <c r="C211">
        <f t="shared" si="39"/>
        <v>38</v>
      </c>
      <c r="D211">
        <f>D186</f>
        <v>7</v>
      </c>
      <c r="E211" t="str">
        <f>VLOOKUP(D211,name!A:B,2,1)</f>
        <v>Luigi</v>
      </c>
      <c r="F211" t="str">
        <f>F186</f>
        <v>Ah, bon ?</v>
      </c>
      <c r="G211" t="str">
        <f t="shared" si="38"/>
        <v>a</v>
      </c>
      <c r="H211" t="str">
        <f>VLOOKUP(D211,name!A:C,3,1)</f>
        <v>assets/icons/image023.png</v>
      </c>
      <c r="I211" t="str">
        <f>IF(A211="","",VLOOKUP(A211,lng!A:B,2,0))</f>
        <v>fr-FR</v>
      </c>
    </row>
    <row r="212" spans="1:9" x14ac:dyDescent="0.15">
      <c r="A212" t="str">
        <f t="shared" ref="A212:B212" si="57">A211</f>
        <v>フランス語</v>
      </c>
      <c r="B212">
        <f t="shared" si="57"/>
        <v>4</v>
      </c>
      <c r="C212">
        <f t="shared" si="39"/>
        <v>39</v>
      </c>
      <c r="D212">
        <v>0</v>
      </c>
      <c r="E212" t="str">
        <f>VLOOKUP(D212,name!A:B,2,1)</f>
        <v>Player</v>
      </c>
      <c r="F212" t="str">
        <f>F186</f>
        <v>Ah, bon ?</v>
      </c>
      <c r="G212" t="str">
        <f t="shared" si="38"/>
        <v>q</v>
      </c>
      <c r="H212" t="str">
        <f>VLOOKUP(D212,name!A:C,3,1)</f>
        <v>assets/icons/image326.png</v>
      </c>
      <c r="I212" t="str">
        <f>IF(A212="","",VLOOKUP(A212,lng!A:B,2,0))</f>
        <v>fr-FR</v>
      </c>
    </row>
    <row r="213" spans="1:9" x14ac:dyDescent="0.15">
      <c r="A213" t="str">
        <f t="shared" ref="A213:B213" si="58">A212</f>
        <v>フランス語</v>
      </c>
      <c r="B213">
        <f t="shared" si="58"/>
        <v>4</v>
      </c>
      <c r="C213">
        <f t="shared" si="39"/>
        <v>40</v>
      </c>
      <c r="D213">
        <f>D187</f>
        <v>6</v>
      </c>
      <c r="E213" t="str">
        <f>VLOOKUP(D213,name!A:B,2,1)</f>
        <v>Céline</v>
      </c>
      <c r="F213" t="str">
        <f>F187</f>
        <v>美奈子と一緒にサンドイッチを作ります。</v>
      </c>
      <c r="G213" t="str">
        <f t="shared" si="38"/>
        <v>a</v>
      </c>
      <c r="H213" t="str">
        <f>VLOOKUP(D213,name!A:C,3,1)</f>
        <v>assets/icons/image078.png</v>
      </c>
      <c r="I213" t="s">
        <v>463</v>
      </c>
    </row>
    <row r="214" spans="1:9" x14ac:dyDescent="0.15">
      <c r="A214" t="str">
        <f t="shared" ref="A214:B214" si="59">A213</f>
        <v>フランス語</v>
      </c>
      <c r="B214">
        <f t="shared" si="59"/>
        <v>4</v>
      </c>
      <c r="C214">
        <f t="shared" si="39"/>
        <v>41</v>
      </c>
      <c r="D214">
        <f>D188</f>
        <v>6</v>
      </c>
      <c r="E214" t="str">
        <f>VLOOKUP(D214,name!A:B,2,1)</f>
        <v>Céline</v>
      </c>
      <c r="F214" t="str">
        <f>F188</f>
        <v>Je prépare des sandwiches avec Minako.</v>
      </c>
      <c r="G214" t="str">
        <f t="shared" si="38"/>
        <v>a</v>
      </c>
      <c r="H214" t="str">
        <f>VLOOKUP(D214,name!A:C,3,1)</f>
        <v>assets/icons/image078.png</v>
      </c>
      <c r="I214" t="str">
        <f>IF(A214="","",VLOOKUP(A214,lng!A:B,2,0))</f>
        <v>fr-FR</v>
      </c>
    </row>
    <row r="215" spans="1:9" x14ac:dyDescent="0.15">
      <c r="A215" t="str">
        <f t="shared" ref="A215:B215" si="60">A214</f>
        <v>フランス語</v>
      </c>
      <c r="B215">
        <f t="shared" si="60"/>
        <v>4</v>
      </c>
      <c r="C215">
        <f t="shared" si="39"/>
        <v>42</v>
      </c>
      <c r="D215">
        <v>0</v>
      </c>
      <c r="E215" t="str">
        <f>VLOOKUP(D215,name!A:B,2,1)</f>
        <v>Player</v>
      </c>
      <c r="F215" t="str">
        <f>F188</f>
        <v>Je prépare des sandwiches avec Minako.</v>
      </c>
      <c r="G215" t="str">
        <f t="shared" si="38"/>
        <v>q</v>
      </c>
      <c r="H215" t="str">
        <f>VLOOKUP(D215,name!A:C,3,1)</f>
        <v>assets/icons/image326.png</v>
      </c>
      <c r="I215" t="str">
        <f>IF(A215="","",VLOOKUP(A215,lng!A:B,2,0))</f>
        <v>fr-FR</v>
      </c>
    </row>
    <row r="216" spans="1:9" x14ac:dyDescent="0.15">
      <c r="A216" t="str">
        <f t="shared" ref="A216:B216" si="61">A215</f>
        <v>フランス語</v>
      </c>
      <c r="B216">
        <f t="shared" si="61"/>
        <v>4</v>
      </c>
      <c r="C216">
        <f t="shared" si="39"/>
        <v>43</v>
      </c>
      <c r="D216">
        <f>D189</f>
        <v>5</v>
      </c>
      <c r="E216" t="str">
        <f>VLOOKUP(D216,name!A:B,2,1)</f>
        <v>Minako</v>
      </c>
      <c r="F216" t="str">
        <f>F189</f>
        <v>日本では、卵でサンドイッチを作ります。</v>
      </c>
      <c r="G216" t="str">
        <f t="shared" si="38"/>
        <v>a</v>
      </c>
      <c r="H216" t="str">
        <f>VLOOKUP(D216,name!A:C,3,1)</f>
        <v>assets/icons/image086.png</v>
      </c>
      <c r="I216" t="s">
        <v>463</v>
      </c>
    </row>
    <row r="217" spans="1:9" x14ac:dyDescent="0.15">
      <c r="A217" t="str">
        <f t="shared" ref="A217:B217" si="62">A216</f>
        <v>フランス語</v>
      </c>
      <c r="B217">
        <f t="shared" si="62"/>
        <v>4</v>
      </c>
      <c r="C217">
        <f t="shared" si="39"/>
        <v>44</v>
      </c>
      <c r="D217">
        <f>D190</f>
        <v>5</v>
      </c>
      <c r="E217" t="str">
        <f>VLOOKUP(D217,name!A:B,2,1)</f>
        <v>Minako</v>
      </c>
      <c r="F217" t="str">
        <f>F190</f>
        <v>Au Japon, je fais des sandwiches avec des œufs.</v>
      </c>
      <c r="G217" t="str">
        <f t="shared" si="38"/>
        <v>a</v>
      </c>
      <c r="H217" t="str">
        <f>VLOOKUP(D217,name!A:C,3,1)</f>
        <v>assets/icons/image086.png</v>
      </c>
      <c r="I217" t="str">
        <f>IF(A217="","",VLOOKUP(A217,lng!A:B,2,0))</f>
        <v>fr-FR</v>
      </c>
    </row>
    <row r="218" spans="1:9" x14ac:dyDescent="0.15">
      <c r="A218" t="str">
        <f t="shared" ref="A218:B218" si="63">A217</f>
        <v>フランス語</v>
      </c>
      <c r="B218">
        <f t="shared" si="63"/>
        <v>4</v>
      </c>
      <c r="C218">
        <f t="shared" si="39"/>
        <v>45</v>
      </c>
      <c r="D218">
        <v>0</v>
      </c>
      <c r="E218" t="str">
        <f>VLOOKUP(D218,name!A:B,2,1)</f>
        <v>Player</v>
      </c>
      <c r="F218" t="str">
        <f>F190</f>
        <v>Au Japon, je fais des sandwiches avec des œufs.</v>
      </c>
      <c r="G218" t="str">
        <f t="shared" si="38"/>
        <v>q</v>
      </c>
      <c r="H218" t="str">
        <f>VLOOKUP(D218,name!A:C,3,1)</f>
        <v>assets/icons/image326.png</v>
      </c>
      <c r="I218" t="str">
        <f>IF(A218="","",VLOOKUP(A218,lng!A:B,2,0))</f>
        <v>fr-FR</v>
      </c>
    </row>
    <row r="219" spans="1:9" x14ac:dyDescent="0.15">
      <c r="A219" t="str">
        <f t="shared" ref="A219:B219" si="64">A218</f>
        <v>フランス語</v>
      </c>
      <c r="B219">
        <f t="shared" si="64"/>
        <v>4</v>
      </c>
      <c r="C219">
        <f t="shared" si="39"/>
        <v>46</v>
      </c>
      <c r="D219">
        <f>D191</f>
        <v>5</v>
      </c>
      <c r="E219" t="str">
        <f>VLOOKUP(D219,name!A:B,2,1)</f>
        <v>Minako</v>
      </c>
      <c r="F219" t="str">
        <f>F191</f>
        <v>お好きですか。</v>
      </c>
      <c r="G219" t="str">
        <f t="shared" si="38"/>
        <v>a</v>
      </c>
      <c r="H219" t="str">
        <f>VLOOKUP(D219,name!A:C,3,1)</f>
        <v>assets/icons/image086.png</v>
      </c>
      <c r="I219" t="s">
        <v>463</v>
      </c>
    </row>
    <row r="220" spans="1:9" x14ac:dyDescent="0.15">
      <c r="A220" t="str">
        <f t="shared" ref="A220:B220" si="65">A219</f>
        <v>フランス語</v>
      </c>
      <c r="B220">
        <f t="shared" si="65"/>
        <v>4</v>
      </c>
      <c r="C220">
        <f t="shared" si="39"/>
        <v>47</v>
      </c>
      <c r="D220">
        <f>D192</f>
        <v>5</v>
      </c>
      <c r="E220" t="str">
        <f>VLOOKUP(D220,name!A:B,2,1)</f>
        <v>Minako</v>
      </c>
      <c r="F220" t="str">
        <f>F192</f>
        <v>Vous aimez ça ?</v>
      </c>
      <c r="G220" t="str">
        <f t="shared" si="38"/>
        <v>a</v>
      </c>
      <c r="H220" t="str">
        <f>VLOOKUP(D220,name!A:C,3,1)</f>
        <v>assets/icons/image086.png</v>
      </c>
      <c r="I220" t="str">
        <f>IF(A220="","",VLOOKUP(A220,lng!A:B,2,0))</f>
        <v>fr-FR</v>
      </c>
    </row>
    <row r="221" spans="1:9" x14ac:dyDescent="0.15">
      <c r="A221" t="str">
        <f t="shared" ref="A221:B221" si="66">A220</f>
        <v>フランス語</v>
      </c>
      <c r="B221">
        <f t="shared" si="66"/>
        <v>4</v>
      </c>
      <c r="C221">
        <f t="shared" si="39"/>
        <v>48</v>
      </c>
      <c r="D221">
        <v>0</v>
      </c>
      <c r="E221" t="str">
        <f>VLOOKUP(D221,name!A:B,2,1)</f>
        <v>Player</v>
      </c>
      <c r="F221" t="str">
        <f>F192</f>
        <v>Vous aimez ça ?</v>
      </c>
      <c r="G221" t="str">
        <f t="shared" si="38"/>
        <v>q</v>
      </c>
      <c r="H221" t="str">
        <f>VLOOKUP(D221,name!A:C,3,1)</f>
        <v>assets/icons/image326.png</v>
      </c>
      <c r="I221" t="str">
        <f>IF(A221="","",VLOOKUP(A221,lng!A:B,2,0))</f>
        <v>fr-FR</v>
      </c>
    </row>
    <row r="222" spans="1:9" x14ac:dyDescent="0.15">
      <c r="A222" t="str">
        <f t="shared" ref="A222:B222" si="67">A221</f>
        <v>フランス語</v>
      </c>
      <c r="B222">
        <f t="shared" si="67"/>
        <v>4</v>
      </c>
      <c r="C222">
        <f t="shared" si="39"/>
        <v>49</v>
      </c>
      <c r="D222">
        <f>D193</f>
        <v>7</v>
      </c>
      <c r="E222" t="str">
        <f>VLOOKUP(D222,name!A:B,2,1)</f>
        <v>Luigi</v>
      </c>
      <c r="F222" t="str">
        <f>F193</f>
        <v>もちろん。</v>
      </c>
      <c r="G222" t="str">
        <f t="shared" si="38"/>
        <v>a</v>
      </c>
      <c r="H222" t="str">
        <f>VLOOKUP(D222,name!A:C,3,1)</f>
        <v>assets/icons/image023.png</v>
      </c>
      <c r="I222" t="s">
        <v>463</v>
      </c>
    </row>
    <row r="223" spans="1:9" x14ac:dyDescent="0.15">
      <c r="A223" t="str">
        <f t="shared" ref="A223:B223" si="68">A222</f>
        <v>フランス語</v>
      </c>
      <c r="B223">
        <f t="shared" si="68"/>
        <v>4</v>
      </c>
      <c r="C223">
        <f t="shared" si="39"/>
        <v>50</v>
      </c>
      <c r="D223">
        <f>D194</f>
        <v>7</v>
      </c>
      <c r="E223" t="str">
        <f>VLOOKUP(D223,name!A:B,2,1)</f>
        <v>Luigi</v>
      </c>
      <c r="F223" t="str">
        <f>F194</f>
        <v>Oui, oui.</v>
      </c>
      <c r="G223" t="str">
        <f t="shared" si="38"/>
        <v>a</v>
      </c>
      <c r="H223" t="str">
        <f>VLOOKUP(D223,name!A:C,3,1)</f>
        <v>assets/icons/image023.png</v>
      </c>
      <c r="I223" t="str">
        <f>IF(A223="","",VLOOKUP(A223,lng!A:B,2,0))</f>
        <v>fr-FR</v>
      </c>
    </row>
    <row r="224" spans="1:9" x14ac:dyDescent="0.15">
      <c r="A224" t="str">
        <f t="shared" ref="A224:B224" si="69">A223</f>
        <v>フランス語</v>
      </c>
      <c r="B224">
        <f t="shared" si="69"/>
        <v>4</v>
      </c>
      <c r="C224">
        <f t="shared" si="39"/>
        <v>51</v>
      </c>
      <c r="D224">
        <v>0</v>
      </c>
      <c r="E224" t="str">
        <f>VLOOKUP(D224,name!A:B,2,1)</f>
        <v>Player</v>
      </c>
      <c r="F224" t="str">
        <f>F194</f>
        <v>Oui, oui.</v>
      </c>
      <c r="G224" t="str">
        <f t="shared" si="38"/>
        <v>q</v>
      </c>
      <c r="H224" t="str">
        <f>VLOOKUP(D224,name!A:C,3,1)</f>
        <v>assets/icons/image326.png</v>
      </c>
      <c r="I224" t="str">
        <f>IF(A224="","",VLOOKUP(A224,lng!A:B,2,0))</f>
        <v>fr-FR</v>
      </c>
    </row>
    <row r="225" spans="1:9" x14ac:dyDescent="0.15">
      <c r="A225" t="str">
        <f t="shared" ref="A225:B225" si="70">A224</f>
        <v>フランス語</v>
      </c>
      <c r="B225">
        <f t="shared" si="70"/>
        <v>4</v>
      </c>
      <c r="C225">
        <f t="shared" si="39"/>
        <v>52</v>
      </c>
      <c r="D225">
        <f>D195</f>
        <v>6</v>
      </c>
      <c r="E225" t="str">
        <f>VLOOKUP(D225,name!A:B,2,1)</f>
        <v>Céline</v>
      </c>
      <c r="F225" t="str">
        <f>F195</f>
        <v>もちろん。</v>
      </c>
      <c r="G225" t="str">
        <f t="shared" si="38"/>
        <v>a</v>
      </c>
      <c r="H225" t="str">
        <f>VLOOKUP(D225,name!A:C,3,1)</f>
        <v>assets/icons/image078.png</v>
      </c>
      <c r="I225" t="s">
        <v>463</v>
      </c>
    </row>
    <row r="226" spans="1:9" x14ac:dyDescent="0.15">
      <c r="A226" t="str">
        <f t="shared" ref="A226:B226" si="71">A225</f>
        <v>フランス語</v>
      </c>
      <c r="B226">
        <f t="shared" si="71"/>
        <v>4</v>
      </c>
      <c r="C226">
        <f t="shared" si="39"/>
        <v>53</v>
      </c>
      <c r="D226">
        <f>D196</f>
        <v>6</v>
      </c>
      <c r="E226" t="str">
        <f>VLOOKUP(D226,name!A:B,2,1)</f>
        <v>Céline</v>
      </c>
      <c r="F226" t="str">
        <f>F196</f>
        <v>Oui, oui.</v>
      </c>
      <c r="G226" t="str">
        <f t="shared" si="38"/>
        <v>a</v>
      </c>
      <c r="H226" t="str">
        <f>VLOOKUP(D226,name!A:C,3,1)</f>
        <v>assets/icons/image078.png</v>
      </c>
      <c r="I226" t="str">
        <f>IF(A226="","",VLOOKUP(A226,lng!A:B,2,0))</f>
        <v>fr-FR</v>
      </c>
    </row>
    <row r="227" spans="1:9" x14ac:dyDescent="0.15">
      <c r="A227" t="str">
        <f t="shared" ref="A227:B227" si="72">A226</f>
        <v>フランス語</v>
      </c>
      <c r="B227">
        <f t="shared" si="72"/>
        <v>4</v>
      </c>
      <c r="C227">
        <f t="shared" si="39"/>
        <v>54</v>
      </c>
      <c r="D227">
        <v>0</v>
      </c>
      <c r="E227" t="str">
        <f>VLOOKUP(D227,name!A:B,2,1)</f>
        <v>Player</v>
      </c>
      <c r="F227" t="str">
        <f>F196</f>
        <v>Oui, oui.</v>
      </c>
      <c r="G227" t="str">
        <f t="shared" si="38"/>
        <v>q</v>
      </c>
      <c r="H227" t="str">
        <f>VLOOKUP(D227,name!A:C,3,1)</f>
        <v>assets/icons/image326.png</v>
      </c>
      <c r="I227" t="str">
        <f>IF(A227="","",VLOOKUP(A227,lng!A:B,2,0))</f>
        <v>fr-FR</v>
      </c>
    </row>
    <row r="228" spans="1:9" x14ac:dyDescent="0.15">
      <c r="A228" t="str">
        <f t="shared" ref="A228:B228" si="73">A227</f>
        <v>フランス語</v>
      </c>
      <c r="B228">
        <f t="shared" si="73"/>
        <v>4</v>
      </c>
      <c r="C228">
        <f t="shared" si="39"/>
        <v>55</v>
      </c>
      <c r="D228">
        <v>1</v>
      </c>
      <c r="E228" t="str">
        <f>VLOOKUP(D228,name!A:B,2,1)</f>
        <v>Navigator</v>
      </c>
      <c r="F228" t="str">
        <f>"次の日本語を"&amp;A228&amp;"に訳して答えてね！"</f>
        <v>次の日本語をフランス語に訳して答えてね！</v>
      </c>
      <c r="G228" t="str">
        <f t="shared" si="38"/>
        <v>a</v>
      </c>
      <c r="H228" t="str">
        <f>VLOOKUP(D228,name!A:C,3,1)</f>
        <v>assets/icons/image014.png</v>
      </c>
      <c r="I228" t="s">
        <v>463</v>
      </c>
    </row>
    <row r="229" spans="1:9" x14ac:dyDescent="0.15">
      <c r="A229" t="str">
        <f t="shared" ref="A229:B229" si="74">A228</f>
        <v>フランス語</v>
      </c>
      <c r="B229">
        <f t="shared" si="74"/>
        <v>4</v>
      </c>
      <c r="C229">
        <f t="shared" si="39"/>
        <v>56</v>
      </c>
      <c r="D229">
        <f>D177</f>
        <v>6</v>
      </c>
      <c r="E229" t="str">
        <f>VLOOKUP(D229,name!A:B,2,1)</f>
        <v>Céline</v>
      </c>
      <c r="F229" t="str">
        <f t="shared" ref="F229:F248" si="75">F177</f>
        <v>日曜日にピクニックがあります。</v>
      </c>
      <c r="G229" t="str">
        <f t="shared" si="38"/>
        <v>a</v>
      </c>
      <c r="H229" t="str">
        <f>VLOOKUP(D229,name!A:C,3,1)</f>
        <v>assets/icons/image078.png</v>
      </c>
      <c r="I229" t="s">
        <v>463</v>
      </c>
    </row>
    <row r="230" spans="1:9" x14ac:dyDescent="0.15">
      <c r="A230" t="str">
        <f t="shared" ref="A230:B230" si="76">A229</f>
        <v>フランス語</v>
      </c>
      <c r="B230">
        <f t="shared" si="76"/>
        <v>4</v>
      </c>
      <c r="C230">
        <f t="shared" si="39"/>
        <v>57</v>
      </c>
      <c r="D230">
        <v>0</v>
      </c>
      <c r="E230" t="str">
        <f>VLOOKUP(D230,name!A:B,2,1)</f>
        <v>Player</v>
      </c>
      <c r="F230" t="str">
        <f t="shared" si="75"/>
        <v>On fait un pique-nique dimanche.</v>
      </c>
      <c r="G230" t="str">
        <f t="shared" si="38"/>
        <v>q</v>
      </c>
      <c r="H230" t="str">
        <f>VLOOKUP(D230,name!A:C,3,1)</f>
        <v>assets/icons/image326.png</v>
      </c>
      <c r="I230" t="str">
        <f>IF(A230="","",VLOOKUP(A230,lng!A:B,2,0))</f>
        <v>fr-FR</v>
      </c>
    </row>
    <row r="231" spans="1:9" x14ac:dyDescent="0.15">
      <c r="A231" t="str">
        <f t="shared" ref="A231:B231" si="77">A230</f>
        <v>フランス語</v>
      </c>
      <c r="B231">
        <f t="shared" si="77"/>
        <v>4</v>
      </c>
      <c r="C231">
        <f t="shared" si="39"/>
        <v>58</v>
      </c>
      <c r="D231">
        <f>D179</f>
        <v>5</v>
      </c>
      <c r="E231" t="str">
        <f>VLOOKUP(D231,name!A:B,2,1)</f>
        <v>Minako</v>
      </c>
      <c r="F231" t="str">
        <f t="shared" si="75"/>
        <v>素晴らしい！</v>
      </c>
      <c r="G231" t="str">
        <f t="shared" si="38"/>
        <v>a</v>
      </c>
      <c r="H231" t="str">
        <f>VLOOKUP(D231,name!A:C,3,1)</f>
        <v>assets/icons/image086.png</v>
      </c>
      <c r="I231" t="s">
        <v>463</v>
      </c>
    </row>
    <row r="232" spans="1:9" x14ac:dyDescent="0.15">
      <c r="A232" t="str">
        <f t="shared" ref="A232:B232" si="78">A231</f>
        <v>フランス語</v>
      </c>
      <c r="B232">
        <f t="shared" si="78"/>
        <v>4</v>
      </c>
      <c r="C232">
        <f t="shared" si="39"/>
        <v>59</v>
      </c>
      <c r="D232">
        <v>0</v>
      </c>
      <c r="E232" t="str">
        <f>VLOOKUP(D232,name!A:B,2,1)</f>
        <v>Player</v>
      </c>
      <c r="F232" t="str">
        <f t="shared" si="75"/>
        <v>C'est super !</v>
      </c>
      <c r="G232" t="str">
        <f t="shared" si="38"/>
        <v>q</v>
      </c>
      <c r="H232" t="str">
        <f>VLOOKUP(D232,name!A:C,3,1)</f>
        <v>assets/icons/image326.png</v>
      </c>
      <c r="I232" t="str">
        <f>IF(A232="","",VLOOKUP(A232,lng!A:B,2,0))</f>
        <v>fr-FR</v>
      </c>
    </row>
    <row r="233" spans="1:9" x14ac:dyDescent="0.15">
      <c r="A233" t="str">
        <f t="shared" ref="A233:B233" si="79">A232</f>
        <v>フランス語</v>
      </c>
      <c r="B233">
        <f t="shared" si="79"/>
        <v>4</v>
      </c>
      <c r="C233">
        <f t="shared" si="39"/>
        <v>60</v>
      </c>
      <c r="D233">
        <f>D181</f>
        <v>7</v>
      </c>
      <c r="E233" t="str">
        <f>VLOOKUP(D233,name!A:B,2,1)</f>
        <v>Luigi</v>
      </c>
      <c r="F233" t="str">
        <f t="shared" si="75"/>
        <v>サンドイッチを買います。</v>
      </c>
      <c r="G233" t="str">
        <f t="shared" si="38"/>
        <v>a</v>
      </c>
      <c r="H233" t="str">
        <f>VLOOKUP(D233,name!A:C,3,1)</f>
        <v>assets/icons/image023.png</v>
      </c>
      <c r="I233" t="s">
        <v>463</v>
      </c>
    </row>
    <row r="234" spans="1:9" x14ac:dyDescent="0.15">
      <c r="A234" t="str">
        <f t="shared" ref="A234:B234" si="80">A233</f>
        <v>フランス語</v>
      </c>
      <c r="B234">
        <f t="shared" si="80"/>
        <v>4</v>
      </c>
      <c r="C234">
        <f t="shared" si="39"/>
        <v>61</v>
      </c>
      <c r="D234">
        <v>0</v>
      </c>
      <c r="E234" t="str">
        <f>VLOOKUP(D234,name!A:B,2,1)</f>
        <v>Player</v>
      </c>
      <c r="F234" t="str">
        <f t="shared" si="75"/>
        <v>J'achète des sandwiches.</v>
      </c>
      <c r="G234" t="str">
        <f t="shared" si="38"/>
        <v>q</v>
      </c>
      <c r="H234" t="str">
        <f>VLOOKUP(D234,name!A:C,3,1)</f>
        <v>assets/icons/image326.png</v>
      </c>
      <c r="I234" t="str">
        <f>IF(A234="","",VLOOKUP(A234,lng!A:B,2,0))</f>
        <v>fr-FR</v>
      </c>
    </row>
    <row r="235" spans="1:9" x14ac:dyDescent="0.15">
      <c r="A235" t="str">
        <f t="shared" ref="A235:B235" si="81">A234</f>
        <v>フランス語</v>
      </c>
      <c r="B235">
        <f t="shared" si="81"/>
        <v>4</v>
      </c>
      <c r="C235">
        <f t="shared" si="39"/>
        <v>62</v>
      </c>
      <c r="D235">
        <f>D183</f>
        <v>6</v>
      </c>
      <c r="E235" t="str">
        <f>VLOOKUP(D235,name!A:B,2,1)</f>
        <v>Céline</v>
      </c>
      <c r="F235" t="str">
        <f t="shared" si="75"/>
        <v>いいえ、サンドイッチは購入しません。</v>
      </c>
      <c r="G235" t="str">
        <f t="shared" si="38"/>
        <v>a</v>
      </c>
      <c r="H235" t="str">
        <f>VLOOKUP(D235,name!A:C,3,1)</f>
        <v>assets/icons/image078.png</v>
      </c>
      <c r="I235" t="s">
        <v>463</v>
      </c>
    </row>
    <row r="236" spans="1:9" x14ac:dyDescent="0.15">
      <c r="A236" t="str">
        <f t="shared" ref="A236:B236" si="82">A235</f>
        <v>フランス語</v>
      </c>
      <c r="B236">
        <f t="shared" si="82"/>
        <v>4</v>
      </c>
      <c r="C236">
        <f t="shared" si="39"/>
        <v>63</v>
      </c>
      <c r="D236">
        <v>0</v>
      </c>
      <c r="E236" t="str">
        <f>VLOOKUP(D236,name!A:B,2,1)</f>
        <v>Player</v>
      </c>
      <c r="F236" t="str">
        <f t="shared" si="75"/>
        <v>Non, on n'achète pas de sandwiches.</v>
      </c>
      <c r="G236" t="str">
        <f t="shared" si="38"/>
        <v>q</v>
      </c>
      <c r="H236" t="str">
        <f>VLOOKUP(D236,name!A:C,3,1)</f>
        <v>assets/icons/image326.png</v>
      </c>
      <c r="I236" t="str">
        <f>IF(A236="","",VLOOKUP(A236,lng!A:B,2,0))</f>
        <v>fr-FR</v>
      </c>
    </row>
    <row r="237" spans="1:9" x14ac:dyDescent="0.15">
      <c r="A237" t="str">
        <f t="shared" ref="A237:B237" si="83">A236</f>
        <v>フランス語</v>
      </c>
      <c r="B237">
        <f t="shared" si="83"/>
        <v>4</v>
      </c>
      <c r="C237">
        <f t="shared" si="39"/>
        <v>64</v>
      </c>
      <c r="D237">
        <f>D185</f>
        <v>7</v>
      </c>
      <c r="E237" t="str">
        <f>VLOOKUP(D237,name!A:B,2,1)</f>
        <v>Luigi</v>
      </c>
      <c r="F237" t="str">
        <f t="shared" si="75"/>
        <v>そうなのですか？</v>
      </c>
      <c r="G237" t="str">
        <f t="shared" si="38"/>
        <v>a</v>
      </c>
      <c r="H237" t="str">
        <f>VLOOKUP(D237,name!A:C,3,1)</f>
        <v>assets/icons/image023.png</v>
      </c>
      <c r="I237" t="s">
        <v>463</v>
      </c>
    </row>
    <row r="238" spans="1:9" x14ac:dyDescent="0.15">
      <c r="A238" t="str">
        <f t="shared" ref="A238:B238" si="84">A237</f>
        <v>フランス語</v>
      </c>
      <c r="B238">
        <f t="shared" si="84"/>
        <v>4</v>
      </c>
      <c r="C238">
        <f t="shared" si="39"/>
        <v>65</v>
      </c>
      <c r="D238">
        <v>0</v>
      </c>
      <c r="E238" t="str">
        <f>VLOOKUP(D238,name!A:B,2,1)</f>
        <v>Player</v>
      </c>
      <c r="F238" t="str">
        <f t="shared" si="75"/>
        <v>Ah, bon ?</v>
      </c>
      <c r="G238" t="str">
        <f t="shared" ref="G238:G246" si="85">IF(B238&lt;&gt;B239,"e",IF(D238=0,"q","a"))</f>
        <v>q</v>
      </c>
      <c r="H238" t="str">
        <f>VLOOKUP(D238,name!A:C,3,1)</f>
        <v>assets/icons/image326.png</v>
      </c>
      <c r="I238" t="str">
        <f>IF(A238="","",VLOOKUP(A238,lng!A:B,2,0))</f>
        <v>fr-FR</v>
      </c>
    </row>
    <row r="239" spans="1:9" x14ac:dyDescent="0.15">
      <c r="A239" t="str">
        <f t="shared" ref="A239:B239" si="86">A238</f>
        <v>フランス語</v>
      </c>
      <c r="B239">
        <f t="shared" si="86"/>
        <v>4</v>
      </c>
      <c r="C239">
        <f t="shared" si="39"/>
        <v>66</v>
      </c>
      <c r="D239">
        <f>D187</f>
        <v>6</v>
      </c>
      <c r="E239" t="str">
        <f>VLOOKUP(D239,name!A:B,2,1)</f>
        <v>Céline</v>
      </c>
      <c r="F239" t="str">
        <f t="shared" si="75"/>
        <v>美奈子と一緒にサンドイッチを作ります。</v>
      </c>
      <c r="G239" t="str">
        <f t="shared" si="85"/>
        <v>a</v>
      </c>
      <c r="H239" t="str">
        <f>VLOOKUP(D239,name!A:C,3,1)</f>
        <v>assets/icons/image078.png</v>
      </c>
      <c r="I239" t="s">
        <v>463</v>
      </c>
    </row>
    <row r="240" spans="1:9" x14ac:dyDescent="0.15">
      <c r="A240" t="str">
        <f t="shared" ref="A240:B240" si="87">A239</f>
        <v>フランス語</v>
      </c>
      <c r="B240">
        <f t="shared" si="87"/>
        <v>4</v>
      </c>
      <c r="C240">
        <f t="shared" ref="C240:C249" si="88">C239+1</f>
        <v>67</v>
      </c>
      <c r="D240">
        <v>0</v>
      </c>
      <c r="E240" t="str">
        <f>VLOOKUP(D240,name!A:B,2,1)</f>
        <v>Player</v>
      </c>
      <c r="F240" t="str">
        <f t="shared" si="75"/>
        <v>Je prépare des sandwiches avec Minako.</v>
      </c>
      <c r="G240" t="str">
        <f t="shared" si="85"/>
        <v>q</v>
      </c>
      <c r="H240" t="str">
        <f>VLOOKUP(D240,name!A:C,3,1)</f>
        <v>assets/icons/image326.png</v>
      </c>
      <c r="I240" t="str">
        <f>IF(A240="","",VLOOKUP(A240,lng!A:B,2,0))</f>
        <v>fr-FR</v>
      </c>
    </row>
    <row r="241" spans="1:12" x14ac:dyDescent="0.15">
      <c r="A241" t="str">
        <f t="shared" ref="A241:B241" si="89">A240</f>
        <v>フランス語</v>
      </c>
      <c r="B241">
        <f t="shared" si="89"/>
        <v>4</v>
      </c>
      <c r="C241">
        <f t="shared" si="88"/>
        <v>68</v>
      </c>
      <c r="D241">
        <f>D189</f>
        <v>5</v>
      </c>
      <c r="E241" t="str">
        <f>VLOOKUP(D241,name!A:B,2,1)</f>
        <v>Minako</v>
      </c>
      <c r="F241" t="str">
        <f t="shared" si="75"/>
        <v>日本では、卵でサンドイッチを作ります。</v>
      </c>
      <c r="G241" t="str">
        <f t="shared" si="85"/>
        <v>a</v>
      </c>
      <c r="H241" t="str">
        <f>VLOOKUP(D241,name!A:C,3,1)</f>
        <v>assets/icons/image086.png</v>
      </c>
      <c r="I241" t="s">
        <v>463</v>
      </c>
    </row>
    <row r="242" spans="1:12" x14ac:dyDescent="0.15">
      <c r="A242" t="str">
        <f t="shared" ref="A242:B242" si="90">A241</f>
        <v>フランス語</v>
      </c>
      <c r="B242">
        <f t="shared" si="90"/>
        <v>4</v>
      </c>
      <c r="C242">
        <f t="shared" si="88"/>
        <v>69</v>
      </c>
      <c r="D242">
        <v>0</v>
      </c>
      <c r="E242" t="str">
        <f>VLOOKUP(D242,name!A:B,2,1)</f>
        <v>Player</v>
      </c>
      <c r="F242" t="str">
        <f t="shared" si="75"/>
        <v>Au Japon, je fais des sandwiches avec des œufs.</v>
      </c>
      <c r="G242" t="str">
        <f t="shared" si="85"/>
        <v>q</v>
      </c>
      <c r="H242" t="str">
        <f>VLOOKUP(D242,name!A:C,3,1)</f>
        <v>assets/icons/image326.png</v>
      </c>
      <c r="I242" t="str">
        <f>IF(A242="","",VLOOKUP(A242,lng!A:B,2,0))</f>
        <v>fr-FR</v>
      </c>
    </row>
    <row r="243" spans="1:12" x14ac:dyDescent="0.15">
      <c r="A243" t="str">
        <f t="shared" ref="A243:B243" si="91">A242</f>
        <v>フランス語</v>
      </c>
      <c r="B243">
        <f t="shared" si="91"/>
        <v>4</v>
      </c>
      <c r="C243">
        <f t="shared" si="88"/>
        <v>70</v>
      </c>
      <c r="D243">
        <f>D191</f>
        <v>5</v>
      </c>
      <c r="E243" t="str">
        <f>VLOOKUP(D243,name!A:B,2,1)</f>
        <v>Minako</v>
      </c>
      <c r="F243" t="str">
        <f t="shared" si="75"/>
        <v>お好きですか。</v>
      </c>
      <c r="G243" t="str">
        <f t="shared" si="85"/>
        <v>a</v>
      </c>
      <c r="H243" t="str">
        <f>VLOOKUP(D243,name!A:C,3,1)</f>
        <v>assets/icons/image086.png</v>
      </c>
      <c r="I243" t="s">
        <v>463</v>
      </c>
    </row>
    <row r="244" spans="1:12" x14ac:dyDescent="0.15">
      <c r="A244" t="str">
        <f t="shared" ref="A244:B244" si="92">A243</f>
        <v>フランス語</v>
      </c>
      <c r="B244">
        <f t="shared" si="92"/>
        <v>4</v>
      </c>
      <c r="C244">
        <f t="shared" si="88"/>
        <v>71</v>
      </c>
      <c r="D244">
        <v>0</v>
      </c>
      <c r="E244" t="str">
        <f>VLOOKUP(D244,name!A:B,2,1)</f>
        <v>Player</v>
      </c>
      <c r="F244" t="str">
        <f t="shared" si="75"/>
        <v>Vous aimez ça ?</v>
      </c>
      <c r="G244" t="str">
        <f t="shared" si="85"/>
        <v>q</v>
      </c>
      <c r="H244" t="str">
        <f>VLOOKUP(D244,name!A:C,3,1)</f>
        <v>assets/icons/image326.png</v>
      </c>
      <c r="I244" t="str">
        <f>IF(A244="","",VLOOKUP(A244,lng!A:B,2,0))</f>
        <v>fr-FR</v>
      </c>
    </row>
    <row r="245" spans="1:12" x14ac:dyDescent="0.15">
      <c r="A245" t="str">
        <f t="shared" ref="A245:B245" si="93">A244</f>
        <v>フランス語</v>
      </c>
      <c r="B245">
        <f t="shared" si="93"/>
        <v>4</v>
      </c>
      <c r="C245">
        <f t="shared" si="88"/>
        <v>72</v>
      </c>
      <c r="D245">
        <f>D193</f>
        <v>7</v>
      </c>
      <c r="E245" t="str">
        <f>VLOOKUP(D245,name!A:B,2,1)</f>
        <v>Luigi</v>
      </c>
      <c r="F245" t="str">
        <f t="shared" si="75"/>
        <v>もちろん。</v>
      </c>
      <c r="G245" t="str">
        <f t="shared" si="85"/>
        <v>a</v>
      </c>
      <c r="H245" t="str">
        <f>VLOOKUP(D245,name!A:C,3,1)</f>
        <v>assets/icons/image023.png</v>
      </c>
      <c r="I245" t="s">
        <v>463</v>
      </c>
    </row>
    <row r="246" spans="1:12" x14ac:dyDescent="0.15">
      <c r="A246" t="str">
        <f t="shared" ref="A246:B246" si="94">A245</f>
        <v>フランス語</v>
      </c>
      <c r="B246">
        <f t="shared" si="94"/>
        <v>4</v>
      </c>
      <c r="C246">
        <f t="shared" si="88"/>
        <v>73</v>
      </c>
      <c r="D246">
        <v>0</v>
      </c>
      <c r="E246" t="str">
        <f>VLOOKUP(D246,name!A:B,2,1)</f>
        <v>Player</v>
      </c>
      <c r="F246" t="str">
        <f t="shared" si="75"/>
        <v>Oui, oui.</v>
      </c>
      <c r="G246" t="str">
        <f t="shared" si="85"/>
        <v>q</v>
      </c>
      <c r="H246" t="str">
        <f>VLOOKUP(D246,name!A:C,3,1)</f>
        <v>assets/icons/image326.png</v>
      </c>
      <c r="I246" t="str">
        <f>IF(A246="","",VLOOKUP(A246,lng!A:B,2,0))</f>
        <v>fr-FR</v>
      </c>
    </row>
    <row r="247" spans="1:12" x14ac:dyDescent="0.15">
      <c r="A247" t="str">
        <f t="shared" ref="A247:B247" si="95">A246</f>
        <v>フランス語</v>
      </c>
      <c r="B247">
        <f t="shared" si="95"/>
        <v>4</v>
      </c>
      <c r="C247">
        <f t="shared" si="88"/>
        <v>74</v>
      </c>
      <c r="D247">
        <f>D195</f>
        <v>6</v>
      </c>
      <c r="E247" t="str">
        <f>VLOOKUP(D247,name!A:B,2,1)</f>
        <v>Céline</v>
      </c>
      <c r="F247" t="str">
        <f t="shared" si="75"/>
        <v>もちろん。</v>
      </c>
      <c r="G247" t="str">
        <f t="shared" ref="G247:G248" si="96">IF(B247&lt;&gt;B248,"e",IF(D247=0,"q","a"))</f>
        <v>a</v>
      </c>
      <c r="H247" t="str">
        <f>VLOOKUP(D247,name!A:C,3,1)</f>
        <v>assets/icons/image078.png</v>
      </c>
      <c r="I247" t="s">
        <v>463</v>
      </c>
    </row>
    <row r="248" spans="1:12" x14ac:dyDescent="0.15">
      <c r="A248" t="str">
        <f t="shared" ref="A248:B248" si="97">A247</f>
        <v>フランス語</v>
      </c>
      <c r="B248">
        <f t="shared" si="97"/>
        <v>4</v>
      </c>
      <c r="C248">
        <f t="shared" si="88"/>
        <v>75</v>
      </c>
      <c r="D248">
        <v>0</v>
      </c>
      <c r="E248" t="str">
        <f>VLOOKUP(D248,name!A:B,2,1)</f>
        <v>Player</v>
      </c>
      <c r="F248" t="str">
        <f t="shared" si="75"/>
        <v>Oui, oui.</v>
      </c>
      <c r="G248" t="str">
        <f t="shared" si="96"/>
        <v>q</v>
      </c>
      <c r="H248" t="str">
        <f>VLOOKUP(D248,name!A:C,3,1)</f>
        <v>assets/icons/image326.png</v>
      </c>
      <c r="I248" t="str">
        <f>IF(A248="","",VLOOKUP(A248,lng!A:B,2,0))</f>
        <v>fr-FR</v>
      </c>
    </row>
    <row r="249" spans="1:12" x14ac:dyDescent="0.15">
      <c r="A249" t="str">
        <f t="shared" ref="A249:B249" si="98">A248</f>
        <v>フランス語</v>
      </c>
      <c r="B249">
        <f t="shared" si="98"/>
        <v>4</v>
      </c>
      <c r="C249">
        <f t="shared" si="88"/>
        <v>76</v>
      </c>
      <c r="D249">
        <v>1</v>
      </c>
      <c r="E249" t="str">
        <f>VLOOKUP(D249,name!A:B,2,1)</f>
        <v>Navigator</v>
      </c>
      <c r="F249" t="str">
        <f>"とても良くできました。レッスン"&amp;B249&amp;"はこれで終了です。"</f>
        <v>とても良くできました。レッスン4はこれで終了です。</v>
      </c>
      <c r="G249" t="str">
        <f>IF(B249&lt;&gt;B1560,"e",IF(D249=0,"q","a"))</f>
        <v>e</v>
      </c>
      <c r="H249" t="str">
        <f>VLOOKUP(D249,name!A:C,3,1)</f>
        <v>assets/icons/image014.png</v>
      </c>
      <c r="I249" t="s">
        <v>463</v>
      </c>
    </row>
    <row r="250" spans="1:12" x14ac:dyDescent="0.15">
      <c r="A250" t="str">
        <f>A249</f>
        <v>フランス語</v>
      </c>
      <c r="B250">
        <f>B249+1</f>
        <v>5</v>
      </c>
      <c r="C250">
        <v>1</v>
      </c>
      <c r="D250">
        <v>1</v>
      </c>
      <c r="E250" t="str">
        <f>VLOOKUP(D250,name!A:B,2,1)</f>
        <v>Navigator</v>
      </c>
      <c r="F250" t="s">
        <v>483</v>
      </c>
      <c r="G250" t="str">
        <f>IF(B250&lt;&gt;B251,"e",IF(D250=0,"q","a"))</f>
        <v>a</v>
      </c>
      <c r="H250" t="str">
        <f>VLOOKUP(D250,name!A:C,3,1)</f>
        <v>assets/icons/image014.png</v>
      </c>
      <c r="I250" t="str">
        <f>IF(A250="","",VLOOKUP(A250,lng!A:B,2,0))</f>
        <v>fr-FR</v>
      </c>
    </row>
    <row r="251" spans="1:12" x14ac:dyDescent="0.15">
      <c r="A251" t="str">
        <f t="shared" ref="A251:B265" si="99">A250</f>
        <v>フランス語</v>
      </c>
      <c r="B251">
        <f>B250</f>
        <v>5</v>
      </c>
      <c r="C251">
        <f>C250+1</f>
        <v>2</v>
      </c>
      <c r="D251">
        <v>1</v>
      </c>
      <c r="E251" t="str">
        <f>VLOOKUP(D251,name!A:B,2,1)</f>
        <v>Navigator</v>
      </c>
      <c r="F251" t="str">
        <f>"レッスン"&amp;B251</f>
        <v>レッスン5</v>
      </c>
      <c r="G251" t="str">
        <f t="shared" ref="G251:G285" si="100">IF(B251&lt;&gt;B252,"e",IF(D251=0,"q","a"))</f>
        <v>a</v>
      </c>
      <c r="H251" t="str">
        <f>VLOOKUP(D251,name!A:C,3,1)</f>
        <v>assets/icons/image014.png</v>
      </c>
      <c r="I251" t="s">
        <v>463</v>
      </c>
    </row>
    <row r="252" spans="1:12" ht="40.5" x14ac:dyDescent="0.15">
      <c r="A252" t="str">
        <f t="shared" si="99"/>
        <v>フランス語</v>
      </c>
      <c r="B252">
        <f t="shared" si="99"/>
        <v>5</v>
      </c>
      <c r="C252">
        <f t="shared" ref="C252:C304" si="101">C251+1</f>
        <v>3</v>
      </c>
      <c r="D252">
        <v>1</v>
      </c>
      <c r="E252" t="str">
        <f>VLOOKUP(D252,name!A:B,2,1)</f>
        <v>Navigator</v>
      </c>
      <c r="F252" s="1" t="str">
        <f>"まずは対話文を流します。その後に、日本語と"&amp;A252&amp;"を一文ずつ流すので"&amp;A252&amp;"を真似して下さい。最後に日本語のみを流すので、"&amp;A252&amp;"で答えてください。"</f>
        <v>まずは対話文を流します。その後に、日本語とフランス語を一文ずつ流すのでフランス語を真似して下さい。最後に日本語のみを流すので、フランス語で答えてください。</v>
      </c>
      <c r="G252" t="str">
        <f t="shared" si="100"/>
        <v>a</v>
      </c>
      <c r="H252" t="str">
        <f>VLOOKUP(D252,name!A:C,3,1)</f>
        <v>assets/icons/image014.png</v>
      </c>
      <c r="I252" t="s">
        <v>463</v>
      </c>
      <c r="L252" s="1"/>
    </row>
    <row r="253" spans="1:12" x14ac:dyDescent="0.15">
      <c r="A253" t="str">
        <f t="shared" si="99"/>
        <v>フランス語</v>
      </c>
      <c r="B253">
        <f t="shared" si="99"/>
        <v>5</v>
      </c>
      <c r="C253">
        <f t="shared" si="101"/>
        <v>4</v>
      </c>
      <c r="D253">
        <f>D254</f>
        <v>6</v>
      </c>
      <c r="E253" t="str">
        <f>VLOOKUP(D253,name!A:B,2,1)</f>
        <v>Céline</v>
      </c>
      <c r="F253" t="s">
        <v>490</v>
      </c>
      <c r="G253" t="str">
        <f t="shared" si="100"/>
        <v>a</v>
      </c>
      <c r="H253" t="str">
        <f>VLOOKUP(D253,name!A:C,3,1)</f>
        <v>assets/icons/image078.png</v>
      </c>
      <c r="I253" t="s">
        <v>463</v>
      </c>
    </row>
    <row r="254" spans="1:12" x14ac:dyDescent="0.15">
      <c r="A254" t="str">
        <f t="shared" si="99"/>
        <v>フランス語</v>
      </c>
      <c r="B254">
        <f t="shared" si="99"/>
        <v>5</v>
      </c>
      <c r="C254">
        <f t="shared" si="101"/>
        <v>5</v>
      </c>
      <c r="D254">
        <v>6</v>
      </c>
      <c r="E254" t="str">
        <f>VLOOKUP(D254,name!A:B,2,1)</f>
        <v>Céline</v>
      </c>
      <c r="F254" t="s">
        <v>484</v>
      </c>
      <c r="G254" t="str">
        <f t="shared" si="100"/>
        <v>a</v>
      </c>
      <c r="H254" t="str">
        <f>VLOOKUP(D254,name!A:C,3,1)</f>
        <v>assets/icons/image078.png</v>
      </c>
      <c r="I254" t="str">
        <f>IF(A254="","",VLOOKUP(A254,lng!A:B,2,0))</f>
        <v>fr-FR</v>
      </c>
    </row>
    <row r="255" spans="1:12" x14ac:dyDescent="0.15">
      <c r="A255" t="str">
        <f t="shared" si="99"/>
        <v>フランス語</v>
      </c>
      <c r="B255">
        <f t="shared" si="99"/>
        <v>5</v>
      </c>
      <c r="C255">
        <f t="shared" si="101"/>
        <v>6</v>
      </c>
      <c r="D255">
        <f t="shared" ref="D255:D265" si="102">D256</f>
        <v>5</v>
      </c>
      <c r="E255" t="str">
        <f>VLOOKUP(D255,name!A:B,2,1)</f>
        <v>Minako</v>
      </c>
      <c r="F255" t="s">
        <v>491</v>
      </c>
      <c r="G255" t="str">
        <f t="shared" si="100"/>
        <v>a</v>
      </c>
      <c r="H255" t="str">
        <f>VLOOKUP(D255,name!A:C,3,1)</f>
        <v>assets/icons/image086.png</v>
      </c>
      <c r="I255" t="s">
        <v>463</v>
      </c>
    </row>
    <row r="256" spans="1:12" x14ac:dyDescent="0.15">
      <c r="A256" t="str">
        <f t="shared" si="99"/>
        <v>フランス語</v>
      </c>
      <c r="B256">
        <f t="shared" si="99"/>
        <v>5</v>
      </c>
      <c r="C256">
        <f t="shared" si="101"/>
        <v>7</v>
      </c>
      <c r="D256">
        <v>5</v>
      </c>
      <c r="E256" t="str">
        <f>VLOOKUP(D256,name!A:B,2,1)</f>
        <v>Minako</v>
      </c>
      <c r="F256" t="s">
        <v>485</v>
      </c>
      <c r="G256" t="str">
        <f t="shared" si="100"/>
        <v>a</v>
      </c>
      <c r="H256" t="str">
        <f>VLOOKUP(D256,name!A:C,3,1)</f>
        <v>assets/icons/image086.png</v>
      </c>
      <c r="I256" t="str">
        <f>IF(A256="","",VLOOKUP(A256,lng!A:B,2,0))</f>
        <v>fr-FR</v>
      </c>
    </row>
    <row r="257" spans="1:9" x14ac:dyDescent="0.15">
      <c r="A257" t="str">
        <f t="shared" si="99"/>
        <v>フランス語</v>
      </c>
      <c r="B257">
        <f t="shared" si="99"/>
        <v>5</v>
      </c>
      <c r="C257">
        <f t="shared" si="101"/>
        <v>8</v>
      </c>
      <c r="D257">
        <f t="shared" si="102"/>
        <v>5</v>
      </c>
      <c r="E257" t="str">
        <f>VLOOKUP(D257,name!A:B,2,1)</f>
        <v>Minako</v>
      </c>
      <c r="F257" t="s">
        <v>492</v>
      </c>
      <c r="G257" t="str">
        <f t="shared" si="100"/>
        <v>a</v>
      </c>
      <c r="H257" t="str">
        <f>VLOOKUP(D257,name!A:C,3,1)</f>
        <v>assets/icons/image086.png</v>
      </c>
      <c r="I257" t="s">
        <v>463</v>
      </c>
    </row>
    <row r="258" spans="1:9" x14ac:dyDescent="0.15">
      <c r="A258" t="str">
        <f t="shared" si="99"/>
        <v>フランス語</v>
      </c>
      <c r="B258">
        <f t="shared" si="99"/>
        <v>5</v>
      </c>
      <c r="C258">
        <f t="shared" si="101"/>
        <v>9</v>
      </c>
      <c r="D258">
        <v>5</v>
      </c>
      <c r="E258" t="str">
        <f>VLOOKUP(D258,name!A:B,2,1)</f>
        <v>Minako</v>
      </c>
      <c r="F258" t="s">
        <v>486</v>
      </c>
      <c r="G258" t="str">
        <f t="shared" si="100"/>
        <v>a</v>
      </c>
      <c r="H258" t="str">
        <f>VLOOKUP(D258,name!A:C,3,1)</f>
        <v>assets/icons/image086.png</v>
      </c>
      <c r="I258" t="str">
        <f>IF(A258="","",VLOOKUP(A258,lng!A:B,2,0))</f>
        <v>fr-FR</v>
      </c>
    </row>
    <row r="259" spans="1:9" x14ac:dyDescent="0.15">
      <c r="A259" t="str">
        <f t="shared" si="99"/>
        <v>フランス語</v>
      </c>
      <c r="B259">
        <f t="shared" si="99"/>
        <v>5</v>
      </c>
      <c r="C259">
        <f t="shared" si="101"/>
        <v>10</v>
      </c>
      <c r="D259">
        <f t="shared" si="102"/>
        <v>7</v>
      </c>
      <c r="E259" t="str">
        <f>VLOOKUP(D259,name!A:B,2,1)</f>
        <v>Luigi</v>
      </c>
      <c r="F259" t="s">
        <v>494</v>
      </c>
      <c r="G259" t="str">
        <f t="shared" si="100"/>
        <v>a</v>
      </c>
      <c r="H259" t="str">
        <f>VLOOKUP(D259,name!A:C,3,1)</f>
        <v>assets/icons/image023.png</v>
      </c>
      <c r="I259" t="s">
        <v>463</v>
      </c>
    </row>
    <row r="260" spans="1:9" x14ac:dyDescent="0.15">
      <c r="A260" t="str">
        <f t="shared" si="99"/>
        <v>フランス語</v>
      </c>
      <c r="B260">
        <f t="shared" si="99"/>
        <v>5</v>
      </c>
      <c r="C260">
        <f t="shared" si="101"/>
        <v>11</v>
      </c>
      <c r="D260">
        <v>7</v>
      </c>
      <c r="E260" t="str">
        <f>VLOOKUP(D260,name!A:B,2,1)</f>
        <v>Luigi</v>
      </c>
      <c r="F260" t="s">
        <v>493</v>
      </c>
      <c r="G260" t="str">
        <f t="shared" si="100"/>
        <v>a</v>
      </c>
      <c r="H260" t="str">
        <f>VLOOKUP(D260,name!A:C,3,1)</f>
        <v>assets/icons/image023.png</v>
      </c>
      <c r="I260" t="str">
        <f>IF(A260="","",VLOOKUP(A260,lng!A:B,2,0))</f>
        <v>fr-FR</v>
      </c>
    </row>
    <row r="261" spans="1:9" x14ac:dyDescent="0.15">
      <c r="A261" t="str">
        <f t="shared" si="99"/>
        <v>フランス語</v>
      </c>
      <c r="B261">
        <f t="shared" si="99"/>
        <v>5</v>
      </c>
      <c r="C261">
        <f t="shared" si="101"/>
        <v>12</v>
      </c>
      <c r="D261">
        <f t="shared" si="102"/>
        <v>5</v>
      </c>
      <c r="E261" t="str">
        <f>VLOOKUP(D261,name!A:B,2,1)</f>
        <v>Minako</v>
      </c>
      <c r="F261" t="s">
        <v>495</v>
      </c>
      <c r="G261" t="str">
        <f t="shared" si="100"/>
        <v>a</v>
      </c>
      <c r="H261" t="str">
        <f>VLOOKUP(D261,name!A:C,3,1)</f>
        <v>assets/icons/image086.png</v>
      </c>
      <c r="I261" t="s">
        <v>463</v>
      </c>
    </row>
    <row r="262" spans="1:9" x14ac:dyDescent="0.15">
      <c r="A262" t="str">
        <f t="shared" si="99"/>
        <v>フランス語</v>
      </c>
      <c r="B262">
        <f t="shared" si="99"/>
        <v>5</v>
      </c>
      <c r="C262">
        <f t="shared" si="101"/>
        <v>13</v>
      </c>
      <c r="D262">
        <v>5</v>
      </c>
      <c r="E262" t="str">
        <f>VLOOKUP(D262,name!A:B,2,1)</f>
        <v>Minako</v>
      </c>
      <c r="F262" t="s">
        <v>487</v>
      </c>
      <c r="G262" t="str">
        <f t="shared" si="100"/>
        <v>a</v>
      </c>
      <c r="H262" t="str">
        <f>VLOOKUP(D262,name!A:C,3,1)</f>
        <v>assets/icons/image086.png</v>
      </c>
      <c r="I262" t="str">
        <f>IF(A262="","",VLOOKUP(A262,lng!A:B,2,0))</f>
        <v>fr-FR</v>
      </c>
    </row>
    <row r="263" spans="1:9" x14ac:dyDescent="0.15">
      <c r="A263" t="str">
        <f t="shared" si="99"/>
        <v>フランス語</v>
      </c>
      <c r="B263">
        <f t="shared" si="99"/>
        <v>5</v>
      </c>
      <c r="C263">
        <f t="shared" si="101"/>
        <v>14</v>
      </c>
      <c r="D263">
        <f t="shared" si="102"/>
        <v>6</v>
      </c>
      <c r="E263" t="str">
        <f>VLOOKUP(D263,name!A:B,2,1)</f>
        <v>Céline</v>
      </c>
      <c r="F263" t="s">
        <v>497</v>
      </c>
      <c r="G263" t="str">
        <f t="shared" si="100"/>
        <v>a</v>
      </c>
      <c r="H263" t="str">
        <f>VLOOKUP(D263,name!A:C,3,1)</f>
        <v>assets/icons/image078.png</v>
      </c>
      <c r="I263" t="s">
        <v>463</v>
      </c>
    </row>
    <row r="264" spans="1:9" x14ac:dyDescent="0.15">
      <c r="A264" t="str">
        <f t="shared" si="99"/>
        <v>フランス語</v>
      </c>
      <c r="B264">
        <f t="shared" si="99"/>
        <v>5</v>
      </c>
      <c r="C264">
        <f t="shared" si="101"/>
        <v>15</v>
      </c>
      <c r="D264">
        <v>6</v>
      </c>
      <c r="E264" t="str">
        <f>VLOOKUP(D264,name!A:B,2,1)</f>
        <v>Céline</v>
      </c>
      <c r="F264" t="s">
        <v>488</v>
      </c>
      <c r="G264" t="str">
        <f t="shared" si="100"/>
        <v>a</v>
      </c>
      <c r="H264" t="str">
        <f>VLOOKUP(D264,name!A:C,3,1)</f>
        <v>assets/icons/image078.png</v>
      </c>
      <c r="I264" t="str">
        <f>IF(A264="","",VLOOKUP(A264,lng!A:B,2,0))</f>
        <v>fr-FR</v>
      </c>
    </row>
    <row r="265" spans="1:9" x14ac:dyDescent="0.15">
      <c r="A265" t="str">
        <f t="shared" si="99"/>
        <v>フランス語</v>
      </c>
      <c r="B265">
        <f t="shared" si="99"/>
        <v>5</v>
      </c>
      <c r="C265">
        <f t="shared" si="101"/>
        <v>16</v>
      </c>
      <c r="D265">
        <f t="shared" si="102"/>
        <v>7</v>
      </c>
      <c r="E265" t="str">
        <f>VLOOKUP(D265,name!A:B,2,1)</f>
        <v>Luigi</v>
      </c>
      <c r="F265" t="s">
        <v>496</v>
      </c>
      <c r="G265" t="str">
        <f t="shared" si="100"/>
        <v>a</v>
      </c>
      <c r="H265" t="str">
        <f>VLOOKUP(D265,name!A:C,3,1)</f>
        <v>assets/icons/image023.png</v>
      </c>
      <c r="I265" t="s">
        <v>463</v>
      </c>
    </row>
    <row r="266" spans="1:9" x14ac:dyDescent="0.15">
      <c r="A266" t="str">
        <f t="shared" ref="A266:B266" si="103">A265</f>
        <v>フランス語</v>
      </c>
      <c r="B266">
        <f t="shared" si="103"/>
        <v>5</v>
      </c>
      <c r="C266">
        <f t="shared" si="101"/>
        <v>17</v>
      </c>
      <c r="D266">
        <v>7</v>
      </c>
      <c r="E266" t="str">
        <f>VLOOKUP(D266,name!A:B,2,1)</f>
        <v>Luigi</v>
      </c>
      <c r="F266" t="s">
        <v>489</v>
      </c>
      <c r="G266" t="str">
        <f t="shared" si="100"/>
        <v>a</v>
      </c>
      <c r="H266" t="str">
        <f>VLOOKUP(D266,name!A:C,3,1)</f>
        <v>assets/icons/image023.png</v>
      </c>
      <c r="I266" t="str">
        <f>IF(A266="","",VLOOKUP(A266,lng!A:B,2,0))</f>
        <v>fr-FR</v>
      </c>
    </row>
    <row r="267" spans="1:9" x14ac:dyDescent="0.15">
      <c r="A267" t="str">
        <f t="shared" ref="A267:B267" si="104">A266</f>
        <v>フランス語</v>
      </c>
      <c r="B267">
        <f t="shared" si="104"/>
        <v>5</v>
      </c>
      <c r="C267">
        <f t="shared" si="101"/>
        <v>18</v>
      </c>
      <c r="D267">
        <v>1</v>
      </c>
      <c r="E267" t="str">
        <f>VLOOKUP(D267,name!A:B,2,1)</f>
        <v>Navigator</v>
      </c>
      <c r="F267" t="str">
        <f>"次の"&amp;A267&amp;"を真似してね！"</f>
        <v>次のフランス語を真似してね！</v>
      </c>
      <c r="G267" t="str">
        <f t="shared" si="100"/>
        <v>a</v>
      </c>
      <c r="H267" t="str">
        <f>VLOOKUP(D267,name!A:C,3,1)</f>
        <v>assets/icons/image014.png</v>
      </c>
      <c r="I267" t="s">
        <v>463</v>
      </c>
    </row>
    <row r="268" spans="1:9" x14ac:dyDescent="0.15">
      <c r="A268" t="str">
        <f t="shared" ref="A268:B268" si="105">A267</f>
        <v>フランス語</v>
      </c>
      <c r="B268">
        <f t="shared" si="105"/>
        <v>5</v>
      </c>
      <c r="C268">
        <f t="shared" si="101"/>
        <v>19</v>
      </c>
      <c r="D268">
        <f>D253</f>
        <v>6</v>
      </c>
      <c r="E268" t="str">
        <f>VLOOKUP(D268,name!A:B,2,1)</f>
        <v>Céline</v>
      </c>
      <c r="F268" t="str">
        <f>F253</f>
        <v>美奈子、どこに住んでいるの?</v>
      </c>
      <c r="G268" t="str">
        <f t="shared" si="100"/>
        <v>a</v>
      </c>
      <c r="H268" t="str">
        <f>VLOOKUP(D268,name!A:C,3,1)</f>
        <v>assets/icons/image078.png</v>
      </c>
      <c r="I268" t="s">
        <v>463</v>
      </c>
    </row>
    <row r="269" spans="1:9" x14ac:dyDescent="0.15">
      <c r="A269" t="str">
        <f t="shared" ref="A269:B269" si="106">A268</f>
        <v>フランス語</v>
      </c>
      <c r="B269">
        <f t="shared" si="106"/>
        <v>5</v>
      </c>
      <c r="C269">
        <f t="shared" si="101"/>
        <v>20</v>
      </c>
      <c r="D269">
        <f>D254</f>
        <v>6</v>
      </c>
      <c r="E269" t="str">
        <f>VLOOKUP(D269,name!A:B,2,1)</f>
        <v>Céline</v>
      </c>
      <c r="F269" t="str">
        <f>F254</f>
        <v>Minako, où est-ce que tu habites?</v>
      </c>
      <c r="G269" t="str">
        <f t="shared" si="100"/>
        <v>a</v>
      </c>
      <c r="H269" t="str">
        <f>VLOOKUP(D269,name!A:C,3,1)</f>
        <v>assets/icons/image078.png</v>
      </c>
      <c r="I269" t="str">
        <f>IF(A269="","",VLOOKUP(A269,lng!A:B,2,0))</f>
        <v>fr-FR</v>
      </c>
    </row>
    <row r="270" spans="1:9" x14ac:dyDescent="0.15">
      <c r="A270" t="str">
        <f t="shared" ref="A270:B270" si="107">A269</f>
        <v>フランス語</v>
      </c>
      <c r="B270">
        <f t="shared" si="107"/>
        <v>5</v>
      </c>
      <c r="C270">
        <f t="shared" si="101"/>
        <v>21</v>
      </c>
      <c r="D270">
        <v>0</v>
      </c>
      <c r="E270" t="str">
        <f>VLOOKUP(D270,name!A:B,2,1)</f>
        <v>Player</v>
      </c>
      <c r="F270" t="str">
        <f>F254</f>
        <v>Minako, où est-ce que tu habites?</v>
      </c>
      <c r="G270" t="str">
        <f t="shared" si="100"/>
        <v>q</v>
      </c>
      <c r="H270" t="str">
        <f>VLOOKUP(D270,name!A:C,3,1)</f>
        <v>assets/icons/image326.png</v>
      </c>
      <c r="I270" t="str">
        <f>IF(A270="","",VLOOKUP(A270,lng!A:B,2,0))</f>
        <v>fr-FR</v>
      </c>
    </row>
    <row r="271" spans="1:9" x14ac:dyDescent="0.15">
      <c r="A271" t="str">
        <f t="shared" ref="A271:B271" si="108">A270</f>
        <v>フランス語</v>
      </c>
      <c r="B271">
        <f t="shared" si="108"/>
        <v>5</v>
      </c>
      <c r="C271">
        <f t="shared" si="101"/>
        <v>22</v>
      </c>
      <c r="D271">
        <f>D255</f>
        <v>5</v>
      </c>
      <c r="E271" t="str">
        <f>VLOOKUP(D271,name!A:B,2,1)</f>
        <v>Minako</v>
      </c>
      <c r="F271" t="str">
        <f>F255</f>
        <v>私はソルボンヌ広場の近くに住んでいます。</v>
      </c>
      <c r="G271" t="str">
        <f t="shared" si="100"/>
        <v>a</v>
      </c>
      <c r="H271" t="str">
        <f>VLOOKUP(D271,name!A:C,3,1)</f>
        <v>assets/icons/image086.png</v>
      </c>
      <c r="I271" t="s">
        <v>463</v>
      </c>
    </row>
    <row r="272" spans="1:9" x14ac:dyDescent="0.15">
      <c r="A272" t="str">
        <f t="shared" ref="A272:B272" si="109">A271</f>
        <v>フランス語</v>
      </c>
      <c r="B272">
        <f t="shared" si="109"/>
        <v>5</v>
      </c>
      <c r="C272">
        <f t="shared" si="101"/>
        <v>23</v>
      </c>
      <c r="D272">
        <f>D256</f>
        <v>5</v>
      </c>
      <c r="E272" t="str">
        <f>VLOOKUP(D272,name!A:B,2,1)</f>
        <v>Minako</v>
      </c>
      <c r="F272" t="str">
        <f>F256</f>
        <v>J'habite près de la place de la Sorbonne.</v>
      </c>
      <c r="G272" t="str">
        <f t="shared" si="100"/>
        <v>a</v>
      </c>
      <c r="H272" t="str">
        <f>VLOOKUP(D272,name!A:C,3,1)</f>
        <v>assets/icons/image086.png</v>
      </c>
      <c r="I272" t="str">
        <f>IF(A272="","",VLOOKUP(A272,lng!A:B,2,0))</f>
        <v>fr-FR</v>
      </c>
    </row>
    <row r="273" spans="1:9" x14ac:dyDescent="0.15">
      <c r="A273" t="str">
        <f t="shared" ref="A273:B273" si="110">A272</f>
        <v>フランス語</v>
      </c>
      <c r="B273">
        <f t="shared" si="110"/>
        <v>5</v>
      </c>
      <c r="C273">
        <f t="shared" si="101"/>
        <v>24</v>
      </c>
      <c r="D273">
        <v>0</v>
      </c>
      <c r="E273" t="str">
        <f>VLOOKUP(D273,name!A:B,2,1)</f>
        <v>Player</v>
      </c>
      <c r="F273" t="str">
        <f>F256</f>
        <v>J'habite près de la place de la Sorbonne.</v>
      </c>
      <c r="G273" t="str">
        <f t="shared" si="100"/>
        <v>q</v>
      </c>
      <c r="H273" t="str">
        <f>VLOOKUP(D273,name!A:C,3,1)</f>
        <v>assets/icons/image326.png</v>
      </c>
      <c r="I273" t="str">
        <f>IF(A273="","",VLOOKUP(A273,lng!A:B,2,0))</f>
        <v>fr-FR</v>
      </c>
    </row>
    <row r="274" spans="1:9" x14ac:dyDescent="0.15">
      <c r="A274" t="str">
        <f t="shared" ref="A274:B274" si="111">A273</f>
        <v>フランス語</v>
      </c>
      <c r="B274">
        <f t="shared" si="111"/>
        <v>5</v>
      </c>
      <c r="C274">
        <f t="shared" si="101"/>
        <v>25</v>
      </c>
      <c r="D274">
        <f>D257</f>
        <v>5</v>
      </c>
      <c r="E274" t="str">
        <f>VLOOKUP(D274,name!A:B,2,1)</f>
        <v>Minako</v>
      </c>
      <c r="F274" t="str">
        <f>F257</f>
        <v>私の部屋は広くはありませんが、快適です。</v>
      </c>
      <c r="G274" t="str">
        <f t="shared" si="100"/>
        <v>a</v>
      </c>
      <c r="H274" t="str">
        <f>VLOOKUP(D274,name!A:C,3,1)</f>
        <v>assets/icons/image086.png</v>
      </c>
      <c r="I274" t="s">
        <v>463</v>
      </c>
    </row>
    <row r="275" spans="1:9" x14ac:dyDescent="0.15">
      <c r="A275" t="str">
        <f t="shared" ref="A275:B275" si="112">A274</f>
        <v>フランス語</v>
      </c>
      <c r="B275">
        <f t="shared" si="112"/>
        <v>5</v>
      </c>
      <c r="C275">
        <f t="shared" si="101"/>
        <v>26</v>
      </c>
      <c r="D275">
        <f>D258</f>
        <v>5</v>
      </c>
      <c r="E275" t="str">
        <f>VLOOKUP(D275,name!A:B,2,1)</f>
        <v>Minako</v>
      </c>
      <c r="F275" t="str">
        <f>F258</f>
        <v>Ma chambre n'est pas grande, mais confortable.</v>
      </c>
      <c r="G275" t="str">
        <f t="shared" si="100"/>
        <v>a</v>
      </c>
      <c r="H275" t="str">
        <f>VLOOKUP(D275,name!A:C,3,1)</f>
        <v>assets/icons/image086.png</v>
      </c>
      <c r="I275" t="str">
        <f>IF(A275="","",VLOOKUP(A275,lng!A:B,2,0))</f>
        <v>fr-FR</v>
      </c>
    </row>
    <row r="276" spans="1:9" x14ac:dyDescent="0.15">
      <c r="A276" t="str">
        <f t="shared" ref="A276:B276" si="113">A275</f>
        <v>フランス語</v>
      </c>
      <c r="B276">
        <f t="shared" si="113"/>
        <v>5</v>
      </c>
      <c r="C276">
        <f t="shared" si="101"/>
        <v>27</v>
      </c>
      <c r="D276">
        <v>0</v>
      </c>
      <c r="E276" t="str">
        <f>VLOOKUP(D276,name!A:B,2,1)</f>
        <v>Player</v>
      </c>
      <c r="F276" t="str">
        <f>F258</f>
        <v>Ma chambre n'est pas grande, mais confortable.</v>
      </c>
      <c r="G276" t="str">
        <f t="shared" si="100"/>
        <v>q</v>
      </c>
      <c r="H276" t="str">
        <f>VLOOKUP(D276,name!A:C,3,1)</f>
        <v>assets/icons/image326.png</v>
      </c>
      <c r="I276" t="str">
        <f>IF(A276="","",VLOOKUP(A276,lng!A:B,2,0))</f>
        <v>fr-FR</v>
      </c>
    </row>
    <row r="277" spans="1:9" x14ac:dyDescent="0.15">
      <c r="A277" t="str">
        <f t="shared" ref="A277:B277" si="114">A276</f>
        <v>フランス語</v>
      </c>
      <c r="B277">
        <f t="shared" si="114"/>
        <v>5</v>
      </c>
      <c r="C277">
        <f t="shared" si="101"/>
        <v>28</v>
      </c>
      <c r="D277">
        <f>D259</f>
        <v>7</v>
      </c>
      <c r="E277" t="str">
        <f>VLOOKUP(D277,name!A:B,2,1)</f>
        <v>Luigi</v>
      </c>
      <c r="F277" t="str">
        <f>F259</f>
        <v>どうやって学校に行きますか、バスですか、それとも電車ですか？</v>
      </c>
      <c r="G277" t="str">
        <f t="shared" si="100"/>
        <v>a</v>
      </c>
      <c r="H277" t="str">
        <f>VLOOKUP(D277,name!A:C,3,1)</f>
        <v>assets/icons/image023.png</v>
      </c>
      <c r="I277" t="s">
        <v>463</v>
      </c>
    </row>
    <row r="278" spans="1:9" x14ac:dyDescent="0.15">
      <c r="A278" t="str">
        <f t="shared" ref="A278:B278" si="115">A277</f>
        <v>フランス語</v>
      </c>
      <c r="B278">
        <f t="shared" si="115"/>
        <v>5</v>
      </c>
      <c r="C278">
        <f t="shared" si="101"/>
        <v>29</v>
      </c>
      <c r="D278">
        <f>D260</f>
        <v>7</v>
      </c>
      <c r="E278" t="str">
        <f>VLOOKUP(D278,name!A:B,2,1)</f>
        <v>Luigi</v>
      </c>
      <c r="F278" t="str">
        <f>F260</f>
        <v>Comment est-ce que tu viens à l'école, en bus ou en métro ?</v>
      </c>
      <c r="G278" t="str">
        <f t="shared" si="100"/>
        <v>a</v>
      </c>
      <c r="H278" t="str">
        <f>VLOOKUP(D278,name!A:C,3,1)</f>
        <v>assets/icons/image023.png</v>
      </c>
      <c r="I278" t="str">
        <f>IF(A278="","",VLOOKUP(A278,lng!A:B,2,0))</f>
        <v>fr-FR</v>
      </c>
    </row>
    <row r="279" spans="1:9" x14ac:dyDescent="0.15">
      <c r="A279" t="str">
        <f t="shared" ref="A279:B279" si="116">A278</f>
        <v>フランス語</v>
      </c>
      <c r="B279">
        <f t="shared" si="116"/>
        <v>5</v>
      </c>
      <c r="C279">
        <f t="shared" si="101"/>
        <v>30</v>
      </c>
      <c r="D279">
        <v>0</v>
      </c>
      <c r="E279" t="str">
        <f>VLOOKUP(D279,name!A:B,2,1)</f>
        <v>Player</v>
      </c>
      <c r="F279" t="str">
        <f>F260</f>
        <v>Comment est-ce que tu viens à l'école, en bus ou en métro ?</v>
      </c>
      <c r="G279" t="str">
        <f t="shared" si="100"/>
        <v>q</v>
      </c>
      <c r="H279" t="str">
        <f>VLOOKUP(D279,name!A:C,3,1)</f>
        <v>assets/icons/image326.png</v>
      </c>
      <c r="I279" t="str">
        <f>IF(A279="","",VLOOKUP(A279,lng!A:B,2,0))</f>
        <v>fr-FR</v>
      </c>
    </row>
    <row r="280" spans="1:9" x14ac:dyDescent="0.15">
      <c r="A280" t="str">
        <f t="shared" ref="A280:B280" si="117">A279</f>
        <v>フランス語</v>
      </c>
      <c r="B280">
        <f t="shared" si="117"/>
        <v>5</v>
      </c>
      <c r="C280">
        <f t="shared" si="101"/>
        <v>31</v>
      </c>
      <c r="D280">
        <f>D261</f>
        <v>5</v>
      </c>
      <c r="E280" t="str">
        <f>VLOOKUP(D280,name!A:B,2,1)</f>
        <v>Minako</v>
      </c>
      <c r="F280" t="str">
        <f>F261</f>
        <v>バスです。</v>
      </c>
      <c r="G280" t="str">
        <f t="shared" si="100"/>
        <v>a</v>
      </c>
      <c r="H280" t="str">
        <f>VLOOKUP(D280,name!A:C,3,1)</f>
        <v>assets/icons/image086.png</v>
      </c>
      <c r="I280" t="s">
        <v>463</v>
      </c>
    </row>
    <row r="281" spans="1:9" x14ac:dyDescent="0.15">
      <c r="A281" t="str">
        <f t="shared" ref="A281:B281" si="118">A280</f>
        <v>フランス語</v>
      </c>
      <c r="B281">
        <f t="shared" si="118"/>
        <v>5</v>
      </c>
      <c r="C281">
        <f t="shared" si="101"/>
        <v>32</v>
      </c>
      <c r="D281">
        <f>D262</f>
        <v>5</v>
      </c>
      <c r="E281" t="str">
        <f>VLOOKUP(D281,name!A:B,2,1)</f>
        <v>Minako</v>
      </c>
      <c r="F281" t="str">
        <f>F262</f>
        <v>En bus.</v>
      </c>
      <c r="G281" t="str">
        <f t="shared" si="100"/>
        <v>a</v>
      </c>
      <c r="H281" t="str">
        <f>VLOOKUP(D281,name!A:C,3,1)</f>
        <v>assets/icons/image086.png</v>
      </c>
      <c r="I281" t="str">
        <f>IF(A281="","",VLOOKUP(A281,lng!A:B,2,0))</f>
        <v>fr-FR</v>
      </c>
    </row>
    <row r="282" spans="1:9" x14ac:dyDescent="0.15">
      <c r="A282" t="str">
        <f t="shared" ref="A282:B282" si="119">A281</f>
        <v>フランス語</v>
      </c>
      <c r="B282">
        <f t="shared" si="119"/>
        <v>5</v>
      </c>
      <c r="C282">
        <f t="shared" si="101"/>
        <v>33</v>
      </c>
      <c r="D282">
        <v>0</v>
      </c>
      <c r="E282" t="str">
        <f>VLOOKUP(D282,name!A:B,2,1)</f>
        <v>Player</v>
      </c>
      <c r="F282" t="str">
        <f>F262</f>
        <v>En bus.</v>
      </c>
      <c r="G282" t="str">
        <f t="shared" si="100"/>
        <v>q</v>
      </c>
      <c r="H282" t="str">
        <f>VLOOKUP(D282,name!A:C,3,1)</f>
        <v>assets/icons/image326.png</v>
      </c>
      <c r="I282" t="str">
        <f>IF(A282="","",VLOOKUP(A282,lng!A:B,2,0))</f>
        <v>fr-FR</v>
      </c>
    </row>
    <row r="283" spans="1:9" x14ac:dyDescent="0.15">
      <c r="A283" t="str">
        <f t="shared" ref="A283:B283" si="120">A282</f>
        <v>フランス語</v>
      </c>
      <c r="B283">
        <f t="shared" si="120"/>
        <v>5</v>
      </c>
      <c r="C283">
        <f t="shared" si="101"/>
        <v>34</v>
      </c>
      <c r="D283">
        <f>D263</f>
        <v>6</v>
      </c>
      <c r="E283" t="str">
        <f>VLOOKUP(D283,name!A:B,2,1)</f>
        <v>Céline</v>
      </c>
      <c r="F283" t="str">
        <f>F263</f>
        <v>それでルイージ、あなたは一人暮らしですか、それとも両親と一緒に住んでいますか?</v>
      </c>
      <c r="G283" t="str">
        <f t="shared" si="100"/>
        <v>a</v>
      </c>
      <c r="H283" t="str">
        <f>VLOOKUP(D283,name!A:C,3,1)</f>
        <v>assets/icons/image078.png</v>
      </c>
      <c r="I283" t="s">
        <v>463</v>
      </c>
    </row>
    <row r="284" spans="1:9" x14ac:dyDescent="0.15">
      <c r="A284" t="str">
        <f t="shared" ref="A284:B284" si="121">A283</f>
        <v>フランス語</v>
      </c>
      <c r="B284">
        <f t="shared" si="121"/>
        <v>5</v>
      </c>
      <c r="C284">
        <f t="shared" si="101"/>
        <v>35</v>
      </c>
      <c r="D284">
        <f>D264</f>
        <v>6</v>
      </c>
      <c r="E284" t="str">
        <f>VLOOKUP(D284,name!A:B,2,1)</f>
        <v>Céline</v>
      </c>
      <c r="F284" t="str">
        <f>F264</f>
        <v>Et Luigi, est-ce que tu vis seul ou avec tes parents?</v>
      </c>
      <c r="G284" t="str">
        <f t="shared" si="100"/>
        <v>a</v>
      </c>
      <c r="H284" t="str">
        <f>VLOOKUP(D284,name!A:C,3,1)</f>
        <v>assets/icons/image078.png</v>
      </c>
      <c r="I284" t="str">
        <f>IF(A284="","",VLOOKUP(A284,lng!A:B,2,0))</f>
        <v>fr-FR</v>
      </c>
    </row>
    <row r="285" spans="1:9" x14ac:dyDescent="0.15">
      <c r="A285" t="str">
        <f t="shared" ref="A285:B285" si="122">A284</f>
        <v>フランス語</v>
      </c>
      <c r="B285">
        <f t="shared" si="122"/>
        <v>5</v>
      </c>
      <c r="C285">
        <f t="shared" si="101"/>
        <v>36</v>
      </c>
      <c r="D285">
        <v>0</v>
      </c>
      <c r="E285" t="str">
        <f>VLOOKUP(D285,name!A:B,2,1)</f>
        <v>Player</v>
      </c>
      <c r="F285" t="str">
        <f>F264</f>
        <v>Et Luigi, est-ce que tu vis seul ou avec tes parents?</v>
      </c>
      <c r="G285" t="str">
        <f t="shared" si="100"/>
        <v>q</v>
      </c>
      <c r="H285" t="str">
        <f>VLOOKUP(D285,name!A:C,3,1)</f>
        <v>assets/icons/image326.png</v>
      </c>
      <c r="I285" t="str">
        <f>IF(A285="","",VLOOKUP(A285,lng!A:B,2,0))</f>
        <v>fr-FR</v>
      </c>
    </row>
    <row r="286" spans="1:9" x14ac:dyDescent="0.15">
      <c r="A286" t="str">
        <f t="shared" ref="A286:B286" si="123">A285</f>
        <v>フランス語</v>
      </c>
      <c r="B286">
        <f t="shared" si="123"/>
        <v>5</v>
      </c>
      <c r="C286">
        <f t="shared" si="101"/>
        <v>37</v>
      </c>
      <c r="D286">
        <f>D265</f>
        <v>7</v>
      </c>
      <c r="E286" t="str">
        <f>VLOOKUP(D286,name!A:B,2,1)</f>
        <v>Luigi</v>
      </c>
      <c r="F286" t="str">
        <f>F265</f>
        <v>私は兄と一緒に小さなアパートに住んでいます。</v>
      </c>
      <c r="G286" t="str">
        <f t="shared" ref="G286:G349" si="124">IF(B286&lt;&gt;B287,"e",IF(D286=0,"q","a"))</f>
        <v>a</v>
      </c>
      <c r="H286" t="str">
        <f>VLOOKUP(D286,name!A:C,3,1)</f>
        <v>assets/icons/image023.png</v>
      </c>
      <c r="I286" t="s">
        <v>463</v>
      </c>
    </row>
    <row r="287" spans="1:9" x14ac:dyDescent="0.15">
      <c r="A287" t="str">
        <f t="shared" ref="A287:B287" si="125">A286</f>
        <v>フランス語</v>
      </c>
      <c r="B287">
        <f t="shared" si="125"/>
        <v>5</v>
      </c>
      <c r="C287">
        <f t="shared" si="101"/>
        <v>38</v>
      </c>
      <c r="D287">
        <f>D266</f>
        <v>7</v>
      </c>
      <c r="E287" t="str">
        <f>VLOOKUP(D287,name!A:B,2,1)</f>
        <v>Luigi</v>
      </c>
      <c r="F287" t="str">
        <f>F266</f>
        <v>Je vis avec mon frère dans un petit appartement.</v>
      </c>
      <c r="G287" t="str">
        <f t="shared" si="124"/>
        <v>a</v>
      </c>
      <c r="H287" t="str">
        <f>VLOOKUP(D287,name!A:C,3,1)</f>
        <v>assets/icons/image023.png</v>
      </c>
      <c r="I287" t="str">
        <f>IF(A287="","",VLOOKUP(A287,lng!A:B,2,0))</f>
        <v>fr-FR</v>
      </c>
    </row>
    <row r="288" spans="1:9" x14ac:dyDescent="0.15">
      <c r="A288" t="str">
        <f t="shared" ref="A288:B288" si="126">A287</f>
        <v>フランス語</v>
      </c>
      <c r="B288">
        <f t="shared" si="126"/>
        <v>5</v>
      </c>
      <c r="C288">
        <f t="shared" si="101"/>
        <v>39</v>
      </c>
      <c r="D288">
        <v>0</v>
      </c>
      <c r="E288" t="str">
        <f>VLOOKUP(D288,name!A:B,2,1)</f>
        <v>Player</v>
      </c>
      <c r="F288" t="str">
        <f>F266</f>
        <v>Je vis avec mon frère dans un petit appartement.</v>
      </c>
      <c r="G288" t="str">
        <f t="shared" si="124"/>
        <v>q</v>
      </c>
      <c r="H288" t="str">
        <f>VLOOKUP(D288,name!A:C,3,1)</f>
        <v>assets/icons/image326.png</v>
      </c>
      <c r="I288" t="str">
        <f>IF(A288="","",VLOOKUP(A288,lng!A:B,2,0))</f>
        <v>fr-FR</v>
      </c>
    </row>
    <row r="289" spans="1:9" x14ac:dyDescent="0.15">
      <c r="A289" t="str">
        <f t="shared" ref="A289:B289" si="127">A288</f>
        <v>フランス語</v>
      </c>
      <c r="B289">
        <f t="shared" si="127"/>
        <v>5</v>
      </c>
      <c r="C289">
        <f t="shared" si="101"/>
        <v>40</v>
      </c>
      <c r="D289">
        <v>1</v>
      </c>
      <c r="E289" t="str">
        <f>VLOOKUP(D289,name!A:B,2,1)</f>
        <v>Navigator</v>
      </c>
      <c r="F289" t="str">
        <f>"次の日本語を"&amp;A289&amp;"に訳して答えてね！"</f>
        <v>次の日本語をフランス語に訳して答えてね！</v>
      </c>
      <c r="G289" t="str">
        <f t="shared" si="124"/>
        <v>a</v>
      </c>
      <c r="H289" t="str">
        <f>VLOOKUP(D289,name!A:C,3,1)</f>
        <v>assets/icons/image014.png</v>
      </c>
      <c r="I289" t="s">
        <v>463</v>
      </c>
    </row>
    <row r="290" spans="1:9" x14ac:dyDescent="0.15">
      <c r="A290" t="str">
        <f t="shared" ref="A290:B290" si="128">A289</f>
        <v>フランス語</v>
      </c>
      <c r="B290">
        <f t="shared" si="128"/>
        <v>5</v>
      </c>
      <c r="C290">
        <f t="shared" si="101"/>
        <v>41</v>
      </c>
      <c r="D290">
        <f>D253</f>
        <v>6</v>
      </c>
      <c r="E290" t="str">
        <f>VLOOKUP(D290,name!A:B,2,1)</f>
        <v>Céline</v>
      </c>
      <c r="F290" t="str">
        <f t="shared" ref="F290:F303" si="129">F253</f>
        <v>美奈子、どこに住んでいるの?</v>
      </c>
      <c r="G290" t="str">
        <f t="shared" si="124"/>
        <v>a</v>
      </c>
      <c r="H290" t="str">
        <f>VLOOKUP(D290,name!A:C,3,1)</f>
        <v>assets/icons/image078.png</v>
      </c>
      <c r="I290" t="s">
        <v>463</v>
      </c>
    </row>
    <row r="291" spans="1:9" x14ac:dyDescent="0.15">
      <c r="A291" t="str">
        <f t="shared" ref="A291:B291" si="130">A290</f>
        <v>フランス語</v>
      </c>
      <c r="B291">
        <f t="shared" si="130"/>
        <v>5</v>
      </c>
      <c r="C291">
        <f t="shared" si="101"/>
        <v>42</v>
      </c>
      <c r="D291">
        <v>0</v>
      </c>
      <c r="E291" t="str">
        <f>VLOOKUP(D291,name!A:B,2,1)</f>
        <v>Player</v>
      </c>
      <c r="F291" t="str">
        <f t="shared" si="129"/>
        <v>Minako, où est-ce que tu habites?</v>
      </c>
      <c r="G291" t="str">
        <f t="shared" si="124"/>
        <v>q</v>
      </c>
      <c r="H291" t="str">
        <f>VLOOKUP(D291,name!A:C,3,1)</f>
        <v>assets/icons/image326.png</v>
      </c>
      <c r="I291" t="str">
        <f>IF(A291="","",VLOOKUP(A291,lng!A:B,2,0))</f>
        <v>fr-FR</v>
      </c>
    </row>
    <row r="292" spans="1:9" x14ac:dyDescent="0.15">
      <c r="A292" t="str">
        <f t="shared" ref="A292:B292" si="131">A291</f>
        <v>フランス語</v>
      </c>
      <c r="B292">
        <f t="shared" si="131"/>
        <v>5</v>
      </c>
      <c r="C292">
        <f t="shared" si="101"/>
        <v>43</v>
      </c>
      <c r="D292">
        <f>D255</f>
        <v>5</v>
      </c>
      <c r="E292" t="str">
        <f>VLOOKUP(D292,name!A:B,2,1)</f>
        <v>Minako</v>
      </c>
      <c r="F292" t="str">
        <f t="shared" si="129"/>
        <v>私はソルボンヌ広場の近くに住んでいます。</v>
      </c>
      <c r="G292" t="str">
        <f t="shared" si="124"/>
        <v>a</v>
      </c>
      <c r="H292" t="str">
        <f>VLOOKUP(D292,name!A:C,3,1)</f>
        <v>assets/icons/image086.png</v>
      </c>
      <c r="I292" t="s">
        <v>463</v>
      </c>
    </row>
    <row r="293" spans="1:9" x14ac:dyDescent="0.15">
      <c r="A293" t="str">
        <f t="shared" ref="A293:B293" si="132">A292</f>
        <v>フランス語</v>
      </c>
      <c r="B293">
        <f t="shared" si="132"/>
        <v>5</v>
      </c>
      <c r="C293">
        <f t="shared" si="101"/>
        <v>44</v>
      </c>
      <c r="D293">
        <v>0</v>
      </c>
      <c r="E293" t="str">
        <f>VLOOKUP(D293,name!A:B,2,1)</f>
        <v>Player</v>
      </c>
      <c r="F293" t="str">
        <f t="shared" si="129"/>
        <v>J'habite près de la place de la Sorbonne.</v>
      </c>
      <c r="G293" t="str">
        <f t="shared" si="124"/>
        <v>q</v>
      </c>
      <c r="H293" t="str">
        <f>VLOOKUP(D293,name!A:C,3,1)</f>
        <v>assets/icons/image326.png</v>
      </c>
      <c r="I293" t="str">
        <f>IF(A293="","",VLOOKUP(A293,lng!A:B,2,0))</f>
        <v>fr-FR</v>
      </c>
    </row>
    <row r="294" spans="1:9" x14ac:dyDescent="0.15">
      <c r="A294" t="str">
        <f t="shared" ref="A294:B294" si="133">A293</f>
        <v>フランス語</v>
      </c>
      <c r="B294">
        <f t="shared" si="133"/>
        <v>5</v>
      </c>
      <c r="C294">
        <f t="shared" si="101"/>
        <v>45</v>
      </c>
      <c r="D294">
        <f>D257</f>
        <v>5</v>
      </c>
      <c r="E294" t="str">
        <f>VLOOKUP(D294,name!A:B,2,1)</f>
        <v>Minako</v>
      </c>
      <c r="F294" t="str">
        <f t="shared" si="129"/>
        <v>私の部屋は広くはありませんが、快適です。</v>
      </c>
      <c r="G294" t="str">
        <f t="shared" si="124"/>
        <v>a</v>
      </c>
      <c r="H294" t="str">
        <f>VLOOKUP(D294,name!A:C,3,1)</f>
        <v>assets/icons/image086.png</v>
      </c>
      <c r="I294" t="s">
        <v>463</v>
      </c>
    </row>
    <row r="295" spans="1:9" x14ac:dyDescent="0.15">
      <c r="A295" t="str">
        <f t="shared" ref="A295:B295" si="134">A294</f>
        <v>フランス語</v>
      </c>
      <c r="B295">
        <f t="shared" si="134"/>
        <v>5</v>
      </c>
      <c r="C295">
        <f t="shared" si="101"/>
        <v>46</v>
      </c>
      <c r="D295">
        <v>0</v>
      </c>
      <c r="E295" t="str">
        <f>VLOOKUP(D295,name!A:B,2,1)</f>
        <v>Player</v>
      </c>
      <c r="F295" t="str">
        <f t="shared" si="129"/>
        <v>Ma chambre n'est pas grande, mais confortable.</v>
      </c>
      <c r="G295" t="str">
        <f t="shared" si="124"/>
        <v>q</v>
      </c>
      <c r="H295" t="str">
        <f>VLOOKUP(D295,name!A:C,3,1)</f>
        <v>assets/icons/image326.png</v>
      </c>
      <c r="I295" t="str">
        <f>IF(A295="","",VLOOKUP(A295,lng!A:B,2,0))</f>
        <v>fr-FR</v>
      </c>
    </row>
    <row r="296" spans="1:9" x14ac:dyDescent="0.15">
      <c r="A296" t="str">
        <f t="shared" ref="A296:B296" si="135">A295</f>
        <v>フランス語</v>
      </c>
      <c r="B296">
        <f t="shared" si="135"/>
        <v>5</v>
      </c>
      <c r="C296">
        <f t="shared" si="101"/>
        <v>47</v>
      </c>
      <c r="D296">
        <f>D259</f>
        <v>7</v>
      </c>
      <c r="E296" t="str">
        <f>VLOOKUP(D296,name!A:B,2,1)</f>
        <v>Luigi</v>
      </c>
      <c r="F296" t="str">
        <f t="shared" si="129"/>
        <v>どうやって学校に行きますか、バスですか、それとも電車ですか？</v>
      </c>
      <c r="G296" t="str">
        <f t="shared" si="124"/>
        <v>a</v>
      </c>
      <c r="H296" t="str">
        <f>VLOOKUP(D296,name!A:C,3,1)</f>
        <v>assets/icons/image023.png</v>
      </c>
      <c r="I296" t="s">
        <v>463</v>
      </c>
    </row>
    <row r="297" spans="1:9" x14ac:dyDescent="0.15">
      <c r="A297" t="str">
        <f t="shared" ref="A297:B297" si="136">A296</f>
        <v>フランス語</v>
      </c>
      <c r="B297">
        <f t="shared" si="136"/>
        <v>5</v>
      </c>
      <c r="C297">
        <f t="shared" si="101"/>
        <v>48</v>
      </c>
      <c r="D297">
        <v>0</v>
      </c>
      <c r="E297" t="str">
        <f>VLOOKUP(D297,name!A:B,2,1)</f>
        <v>Player</v>
      </c>
      <c r="F297" t="str">
        <f t="shared" si="129"/>
        <v>Comment est-ce que tu viens à l'école, en bus ou en métro ?</v>
      </c>
      <c r="G297" t="str">
        <f t="shared" si="124"/>
        <v>q</v>
      </c>
      <c r="H297" t="str">
        <f>VLOOKUP(D297,name!A:C,3,1)</f>
        <v>assets/icons/image326.png</v>
      </c>
      <c r="I297" t="str">
        <f>IF(A297="","",VLOOKUP(A297,lng!A:B,2,0))</f>
        <v>fr-FR</v>
      </c>
    </row>
    <row r="298" spans="1:9" x14ac:dyDescent="0.15">
      <c r="A298" t="str">
        <f t="shared" ref="A298:B298" si="137">A297</f>
        <v>フランス語</v>
      </c>
      <c r="B298">
        <f t="shared" si="137"/>
        <v>5</v>
      </c>
      <c r="C298">
        <f t="shared" si="101"/>
        <v>49</v>
      </c>
      <c r="D298">
        <f>D261</f>
        <v>5</v>
      </c>
      <c r="E298" t="str">
        <f>VLOOKUP(D298,name!A:B,2,1)</f>
        <v>Minako</v>
      </c>
      <c r="F298" t="str">
        <f t="shared" si="129"/>
        <v>バスです。</v>
      </c>
      <c r="G298" t="str">
        <f t="shared" si="124"/>
        <v>a</v>
      </c>
      <c r="H298" t="str">
        <f>VLOOKUP(D298,name!A:C,3,1)</f>
        <v>assets/icons/image086.png</v>
      </c>
      <c r="I298" t="s">
        <v>463</v>
      </c>
    </row>
    <row r="299" spans="1:9" x14ac:dyDescent="0.15">
      <c r="A299" t="str">
        <f t="shared" ref="A299:B299" si="138">A298</f>
        <v>フランス語</v>
      </c>
      <c r="B299">
        <f t="shared" si="138"/>
        <v>5</v>
      </c>
      <c r="C299">
        <f t="shared" si="101"/>
        <v>50</v>
      </c>
      <c r="D299">
        <v>0</v>
      </c>
      <c r="E299" t="str">
        <f>VLOOKUP(D299,name!A:B,2,1)</f>
        <v>Player</v>
      </c>
      <c r="F299" t="str">
        <f t="shared" si="129"/>
        <v>En bus.</v>
      </c>
      <c r="G299" t="str">
        <f t="shared" si="124"/>
        <v>q</v>
      </c>
      <c r="H299" t="str">
        <f>VLOOKUP(D299,name!A:C,3,1)</f>
        <v>assets/icons/image326.png</v>
      </c>
      <c r="I299" t="str">
        <f>IF(A299="","",VLOOKUP(A299,lng!A:B,2,0))</f>
        <v>fr-FR</v>
      </c>
    </row>
    <row r="300" spans="1:9" x14ac:dyDescent="0.15">
      <c r="A300" t="str">
        <f t="shared" ref="A300:B300" si="139">A299</f>
        <v>フランス語</v>
      </c>
      <c r="B300">
        <f t="shared" si="139"/>
        <v>5</v>
      </c>
      <c r="C300">
        <f t="shared" si="101"/>
        <v>51</v>
      </c>
      <c r="D300">
        <f>D263</f>
        <v>6</v>
      </c>
      <c r="E300" t="str">
        <f>VLOOKUP(D300,name!A:B,2,1)</f>
        <v>Céline</v>
      </c>
      <c r="F300" t="str">
        <f t="shared" si="129"/>
        <v>それでルイージ、あなたは一人暮らしですか、それとも両親と一緒に住んでいますか?</v>
      </c>
      <c r="G300" t="str">
        <f t="shared" si="124"/>
        <v>a</v>
      </c>
      <c r="H300" t="str">
        <f>VLOOKUP(D300,name!A:C,3,1)</f>
        <v>assets/icons/image078.png</v>
      </c>
      <c r="I300" t="s">
        <v>463</v>
      </c>
    </row>
    <row r="301" spans="1:9" x14ac:dyDescent="0.15">
      <c r="A301" t="str">
        <f t="shared" ref="A301:B301" si="140">A300</f>
        <v>フランス語</v>
      </c>
      <c r="B301">
        <f t="shared" si="140"/>
        <v>5</v>
      </c>
      <c r="C301">
        <f t="shared" si="101"/>
        <v>52</v>
      </c>
      <c r="D301">
        <v>0</v>
      </c>
      <c r="E301" t="str">
        <f>VLOOKUP(D301,name!A:B,2,1)</f>
        <v>Player</v>
      </c>
      <c r="F301" t="str">
        <f t="shared" si="129"/>
        <v>Et Luigi, est-ce que tu vis seul ou avec tes parents?</v>
      </c>
      <c r="G301" t="str">
        <f t="shared" si="124"/>
        <v>q</v>
      </c>
      <c r="H301" t="str">
        <f>VLOOKUP(D301,name!A:C,3,1)</f>
        <v>assets/icons/image326.png</v>
      </c>
      <c r="I301" t="str">
        <f>IF(A301="","",VLOOKUP(A301,lng!A:B,2,0))</f>
        <v>fr-FR</v>
      </c>
    </row>
    <row r="302" spans="1:9" x14ac:dyDescent="0.15">
      <c r="A302" t="str">
        <f t="shared" ref="A302:B302" si="141">A301</f>
        <v>フランス語</v>
      </c>
      <c r="B302">
        <f t="shared" si="141"/>
        <v>5</v>
      </c>
      <c r="C302">
        <f t="shared" si="101"/>
        <v>53</v>
      </c>
      <c r="D302">
        <f>D265</f>
        <v>7</v>
      </c>
      <c r="E302" t="str">
        <f>VLOOKUP(D302,name!A:B,2,1)</f>
        <v>Luigi</v>
      </c>
      <c r="F302" t="str">
        <f t="shared" si="129"/>
        <v>私は兄と一緒に小さなアパートに住んでいます。</v>
      </c>
      <c r="G302" t="str">
        <f t="shared" si="124"/>
        <v>a</v>
      </c>
      <c r="H302" t="str">
        <f>VLOOKUP(D302,name!A:C,3,1)</f>
        <v>assets/icons/image023.png</v>
      </c>
      <c r="I302" t="s">
        <v>463</v>
      </c>
    </row>
    <row r="303" spans="1:9" x14ac:dyDescent="0.15">
      <c r="A303" t="str">
        <f t="shared" ref="A303:B303" si="142">A302</f>
        <v>フランス語</v>
      </c>
      <c r="B303">
        <f t="shared" si="142"/>
        <v>5</v>
      </c>
      <c r="C303">
        <f t="shared" si="101"/>
        <v>54</v>
      </c>
      <c r="D303">
        <v>0</v>
      </c>
      <c r="E303" t="str">
        <f>VLOOKUP(D303,name!A:B,2,1)</f>
        <v>Player</v>
      </c>
      <c r="F303" t="str">
        <f t="shared" si="129"/>
        <v>Je vis avec mon frère dans un petit appartement.</v>
      </c>
      <c r="G303" t="str">
        <f t="shared" si="124"/>
        <v>q</v>
      </c>
      <c r="H303" t="str">
        <f>VLOOKUP(D303,name!A:C,3,1)</f>
        <v>assets/icons/image326.png</v>
      </c>
      <c r="I303" t="str">
        <f>IF(A303="","",VLOOKUP(A303,lng!A:B,2,0))</f>
        <v>fr-FR</v>
      </c>
    </row>
    <row r="304" spans="1:9" x14ac:dyDescent="0.15">
      <c r="A304" t="str">
        <f t="shared" ref="A304:B304" si="143">A303</f>
        <v>フランス語</v>
      </c>
      <c r="B304">
        <f t="shared" si="143"/>
        <v>5</v>
      </c>
      <c r="C304">
        <f t="shared" si="101"/>
        <v>55</v>
      </c>
      <c r="D304">
        <v>1</v>
      </c>
      <c r="E304" t="str">
        <f>VLOOKUP(D304,name!A:B,2,1)</f>
        <v>Navigator</v>
      </c>
      <c r="F304" t="str">
        <f>"とても良くできました。レッスン"&amp;B304&amp;"はこれで終了です。"</f>
        <v>とても良くできました。レッスン5はこれで終了です。</v>
      </c>
      <c r="G304" t="str">
        <f t="shared" si="124"/>
        <v>e</v>
      </c>
      <c r="H304" t="str">
        <f>VLOOKUP(D304,name!A:C,3,1)</f>
        <v>assets/icons/image014.png</v>
      </c>
      <c r="I304" t="s">
        <v>463</v>
      </c>
    </row>
    <row r="305" spans="1:12" x14ac:dyDescent="0.15">
      <c r="A305" t="str">
        <f>A304</f>
        <v>フランス語</v>
      </c>
      <c r="B305">
        <f>B304+1</f>
        <v>6</v>
      </c>
      <c r="C305">
        <v>1</v>
      </c>
      <c r="D305">
        <v>1</v>
      </c>
      <c r="E305" t="str">
        <f>VLOOKUP(D305,name!A:B,2,1)</f>
        <v>Navigator</v>
      </c>
      <c r="F305" t="s">
        <v>500</v>
      </c>
      <c r="G305" t="str">
        <f t="shared" si="124"/>
        <v>a</v>
      </c>
      <c r="H305" t="str">
        <f>VLOOKUP(D305,name!A:C,3,1)</f>
        <v>assets/icons/image014.png</v>
      </c>
      <c r="I305" t="str">
        <f>IF(A305="","",VLOOKUP(A305,lng!A:B,2,0))</f>
        <v>fr-FR</v>
      </c>
    </row>
    <row r="306" spans="1:12" x14ac:dyDescent="0.15">
      <c r="A306" t="str">
        <f t="shared" ref="A306:B321" si="144">A305</f>
        <v>フランス語</v>
      </c>
      <c r="B306">
        <f>B305</f>
        <v>6</v>
      </c>
      <c r="C306">
        <f>C305+1</f>
        <v>2</v>
      </c>
      <c r="D306">
        <v>1</v>
      </c>
      <c r="E306" t="str">
        <f>VLOOKUP(D306,name!A:B,2,1)</f>
        <v>Navigator</v>
      </c>
      <c r="F306" t="str">
        <f>"レッスン"&amp;B306</f>
        <v>レッスン6</v>
      </c>
      <c r="G306" t="str">
        <f t="shared" si="124"/>
        <v>a</v>
      </c>
      <c r="H306" t="str">
        <f>VLOOKUP(D306,name!A:C,3,1)</f>
        <v>assets/icons/image014.png</v>
      </c>
      <c r="I306" t="s">
        <v>463</v>
      </c>
    </row>
    <row r="307" spans="1:12" ht="40.5" x14ac:dyDescent="0.15">
      <c r="A307" t="str">
        <f t="shared" si="144"/>
        <v>フランス語</v>
      </c>
      <c r="B307">
        <f t="shared" si="144"/>
        <v>6</v>
      </c>
      <c r="C307">
        <f t="shared" ref="C307:C370" si="145">C306+1</f>
        <v>3</v>
      </c>
      <c r="D307">
        <v>1</v>
      </c>
      <c r="E307" t="str">
        <f>VLOOKUP(D307,name!A:B,2,1)</f>
        <v>Navigator</v>
      </c>
      <c r="F307" s="1" t="str">
        <f>"まずは対話文を流します。その後に、日本語と"&amp;A307&amp;"を一文ずつ流すので"&amp;A307&amp;"を真似して下さい。最後に日本語のみを流すので、"&amp;A307&amp;"で答えてください。"</f>
        <v>まずは対話文を流します。その後に、日本語とフランス語を一文ずつ流すのでフランス語を真似して下さい。最後に日本語のみを流すので、フランス語で答えてください。</v>
      </c>
      <c r="G307" t="str">
        <f t="shared" si="124"/>
        <v>a</v>
      </c>
      <c r="H307" t="str">
        <f>VLOOKUP(D307,name!A:C,3,1)</f>
        <v>assets/icons/image014.png</v>
      </c>
      <c r="I307" t="s">
        <v>463</v>
      </c>
      <c r="L307" s="1"/>
    </row>
    <row r="308" spans="1:12" x14ac:dyDescent="0.15">
      <c r="A308" t="str">
        <f t="shared" si="144"/>
        <v>フランス語</v>
      </c>
      <c r="B308">
        <f t="shared" si="144"/>
        <v>6</v>
      </c>
      <c r="C308">
        <f t="shared" si="145"/>
        <v>4</v>
      </c>
      <c r="D308">
        <f>D309</f>
        <v>5</v>
      </c>
      <c r="E308" t="str">
        <f>VLOOKUP(D308,name!A:B,2,1)</f>
        <v>Minako</v>
      </c>
      <c r="F308" t="s">
        <v>514</v>
      </c>
      <c r="G308" t="str">
        <f t="shared" si="124"/>
        <v>a</v>
      </c>
      <c r="H308" t="str">
        <f>VLOOKUP(D308,name!A:C,3,1)</f>
        <v>assets/icons/image086.png</v>
      </c>
      <c r="I308" t="s">
        <v>463</v>
      </c>
    </row>
    <row r="309" spans="1:12" x14ac:dyDescent="0.15">
      <c r="A309" t="str">
        <f t="shared" si="144"/>
        <v>フランス語</v>
      </c>
      <c r="B309">
        <f t="shared" si="144"/>
        <v>6</v>
      </c>
      <c r="C309">
        <f t="shared" si="145"/>
        <v>5</v>
      </c>
      <c r="D309">
        <v>5</v>
      </c>
      <c r="E309" t="str">
        <f>VLOOKUP(D309,name!A:B,2,1)</f>
        <v>Minako</v>
      </c>
      <c r="F309" t="s">
        <v>501</v>
      </c>
      <c r="G309" t="str">
        <f t="shared" si="124"/>
        <v>a</v>
      </c>
      <c r="H309" t="str">
        <f>VLOOKUP(D309,name!A:C,3,1)</f>
        <v>assets/icons/image086.png</v>
      </c>
      <c r="I309" t="str">
        <f>IF(A309="","",VLOOKUP(A309,lng!A:B,2,0))</f>
        <v>fr-FR</v>
      </c>
    </row>
    <row r="310" spans="1:12" x14ac:dyDescent="0.15">
      <c r="A310" t="str">
        <f t="shared" si="144"/>
        <v>フランス語</v>
      </c>
      <c r="B310">
        <f t="shared" si="144"/>
        <v>6</v>
      </c>
      <c r="C310">
        <f t="shared" si="145"/>
        <v>6</v>
      </c>
      <c r="D310">
        <f t="shared" ref="D310:D330" si="146">D311</f>
        <v>6</v>
      </c>
      <c r="E310" t="str">
        <f>VLOOKUP(D310,name!A:B,2,1)</f>
        <v>Céline</v>
      </c>
      <c r="F310" t="s">
        <v>513</v>
      </c>
      <c r="G310" t="str">
        <f t="shared" si="124"/>
        <v>a</v>
      </c>
      <c r="H310" t="str">
        <f>VLOOKUP(D310,name!A:C,3,1)</f>
        <v>assets/icons/image078.png</v>
      </c>
      <c r="I310" t="s">
        <v>463</v>
      </c>
    </row>
    <row r="311" spans="1:12" x14ac:dyDescent="0.15">
      <c r="A311" t="str">
        <f t="shared" si="144"/>
        <v>フランス語</v>
      </c>
      <c r="B311">
        <f t="shared" si="144"/>
        <v>6</v>
      </c>
      <c r="C311">
        <f t="shared" si="145"/>
        <v>7</v>
      </c>
      <c r="D311">
        <v>6</v>
      </c>
      <c r="E311" t="str">
        <f>VLOOKUP(D311,name!A:B,2,1)</f>
        <v>Céline</v>
      </c>
      <c r="F311" t="s">
        <v>502</v>
      </c>
      <c r="G311" t="str">
        <f t="shared" si="124"/>
        <v>a</v>
      </c>
      <c r="H311" t="str">
        <f>VLOOKUP(D311,name!A:C,3,1)</f>
        <v>assets/icons/image078.png</v>
      </c>
      <c r="I311" t="str">
        <f>IF(A311="","",VLOOKUP(A311,lng!A:B,2,0))</f>
        <v>fr-FR</v>
      </c>
    </row>
    <row r="312" spans="1:12" x14ac:dyDescent="0.15">
      <c r="A312" t="str">
        <f t="shared" si="144"/>
        <v>フランス語</v>
      </c>
      <c r="B312">
        <f t="shared" si="144"/>
        <v>6</v>
      </c>
      <c r="C312">
        <f t="shared" si="145"/>
        <v>8</v>
      </c>
      <c r="D312">
        <f t="shared" si="146"/>
        <v>5</v>
      </c>
      <c r="E312" t="str">
        <f>VLOOKUP(D312,name!A:B,2,1)</f>
        <v>Minako</v>
      </c>
      <c r="F312" t="s">
        <v>515</v>
      </c>
      <c r="G312" t="str">
        <f t="shared" si="124"/>
        <v>a</v>
      </c>
      <c r="H312" t="str">
        <f>VLOOKUP(D312,name!A:C,3,1)</f>
        <v>assets/icons/image086.png</v>
      </c>
      <c r="I312" t="s">
        <v>463</v>
      </c>
    </row>
    <row r="313" spans="1:12" x14ac:dyDescent="0.15">
      <c r="A313" t="str">
        <f t="shared" si="144"/>
        <v>フランス語</v>
      </c>
      <c r="B313">
        <f t="shared" si="144"/>
        <v>6</v>
      </c>
      <c r="C313">
        <f t="shared" si="145"/>
        <v>9</v>
      </c>
      <c r="D313">
        <f t="shared" si="146"/>
        <v>5</v>
      </c>
      <c r="E313" t="str">
        <f>VLOOKUP(D313,name!A:B,2,1)</f>
        <v>Minako</v>
      </c>
      <c r="F313" t="s">
        <v>503</v>
      </c>
      <c r="G313" t="str">
        <f t="shared" si="124"/>
        <v>a</v>
      </c>
      <c r="H313" t="str">
        <f>VLOOKUP(D313,name!A:C,3,1)</f>
        <v>assets/icons/image086.png</v>
      </c>
      <c r="I313" t="str">
        <f>IF(A313="","",VLOOKUP(A313,lng!A:B,2,0))</f>
        <v>fr-FR</v>
      </c>
    </row>
    <row r="314" spans="1:12" x14ac:dyDescent="0.15">
      <c r="A314" t="str">
        <f t="shared" si="144"/>
        <v>フランス語</v>
      </c>
      <c r="B314">
        <f t="shared" si="144"/>
        <v>6</v>
      </c>
      <c r="C314">
        <f t="shared" si="145"/>
        <v>10</v>
      </c>
      <c r="D314">
        <f t="shared" si="146"/>
        <v>5</v>
      </c>
      <c r="E314" t="str">
        <f>VLOOKUP(D314,name!A:B,2,1)</f>
        <v>Minako</v>
      </c>
      <c r="F314" t="s">
        <v>516</v>
      </c>
      <c r="G314" t="str">
        <f t="shared" si="124"/>
        <v>a</v>
      </c>
      <c r="H314" t="str">
        <f>VLOOKUP(D314,name!A:C,3,1)</f>
        <v>assets/icons/image086.png</v>
      </c>
      <c r="I314" t="s">
        <v>463</v>
      </c>
    </row>
    <row r="315" spans="1:12" x14ac:dyDescent="0.15">
      <c r="A315" t="str">
        <f t="shared" si="144"/>
        <v>フランス語</v>
      </c>
      <c r="B315">
        <f t="shared" si="144"/>
        <v>6</v>
      </c>
      <c r="C315">
        <f t="shared" si="145"/>
        <v>11</v>
      </c>
      <c r="D315">
        <v>5</v>
      </c>
      <c r="E315" t="str">
        <f>VLOOKUP(D315,name!A:B,2,1)</f>
        <v>Minako</v>
      </c>
      <c r="F315" t="s">
        <v>504</v>
      </c>
      <c r="G315" t="str">
        <f t="shared" si="124"/>
        <v>a</v>
      </c>
      <c r="H315" t="str">
        <f>VLOOKUP(D315,name!A:C,3,1)</f>
        <v>assets/icons/image086.png</v>
      </c>
      <c r="I315" t="str">
        <f>IF(A315="","",VLOOKUP(A315,lng!A:B,2,0))</f>
        <v>fr-FR</v>
      </c>
    </row>
    <row r="316" spans="1:12" x14ac:dyDescent="0.15">
      <c r="A316" t="str">
        <f t="shared" si="144"/>
        <v>フランス語</v>
      </c>
      <c r="B316">
        <f t="shared" si="144"/>
        <v>6</v>
      </c>
      <c r="C316">
        <f t="shared" si="145"/>
        <v>12</v>
      </c>
      <c r="D316">
        <f t="shared" si="146"/>
        <v>6</v>
      </c>
      <c r="E316" t="str">
        <f>VLOOKUP(D316,name!A:B,2,1)</f>
        <v>Céline</v>
      </c>
      <c r="F316" t="s">
        <v>517</v>
      </c>
      <c r="G316" t="str">
        <f t="shared" si="124"/>
        <v>a</v>
      </c>
      <c r="H316" t="str">
        <f>VLOOKUP(D316,name!A:C,3,1)</f>
        <v>assets/icons/image078.png</v>
      </c>
      <c r="I316" t="s">
        <v>463</v>
      </c>
    </row>
    <row r="317" spans="1:12" x14ac:dyDescent="0.15">
      <c r="A317" t="str">
        <f t="shared" si="144"/>
        <v>フランス語</v>
      </c>
      <c r="B317">
        <f t="shared" si="144"/>
        <v>6</v>
      </c>
      <c r="C317">
        <f t="shared" si="145"/>
        <v>13</v>
      </c>
      <c r="D317">
        <f t="shared" si="146"/>
        <v>6</v>
      </c>
      <c r="E317" t="str">
        <f>VLOOKUP(D317,name!A:B,2,1)</f>
        <v>Céline</v>
      </c>
      <c r="F317" t="s">
        <v>505</v>
      </c>
      <c r="G317" t="str">
        <f t="shared" si="124"/>
        <v>a</v>
      </c>
      <c r="H317" t="str">
        <f>VLOOKUP(D317,name!A:C,3,1)</f>
        <v>assets/icons/image078.png</v>
      </c>
      <c r="I317" t="str">
        <f>IF(A317="","",VLOOKUP(A317,lng!A:B,2,0))</f>
        <v>fr-FR</v>
      </c>
    </row>
    <row r="318" spans="1:12" x14ac:dyDescent="0.15">
      <c r="A318" t="str">
        <f t="shared" si="144"/>
        <v>フランス語</v>
      </c>
      <c r="B318">
        <f t="shared" si="144"/>
        <v>6</v>
      </c>
      <c r="C318">
        <f t="shared" si="145"/>
        <v>14</v>
      </c>
      <c r="D318">
        <f t="shared" si="146"/>
        <v>6</v>
      </c>
      <c r="E318" t="str">
        <f>VLOOKUP(D318,name!A:B,2,1)</f>
        <v>Céline</v>
      </c>
      <c r="F318" t="s">
        <v>518</v>
      </c>
      <c r="G318" t="str">
        <f t="shared" si="124"/>
        <v>a</v>
      </c>
      <c r="H318" t="str">
        <f>VLOOKUP(D318,name!A:C,3,1)</f>
        <v>assets/icons/image078.png</v>
      </c>
      <c r="I318" t="s">
        <v>463</v>
      </c>
    </row>
    <row r="319" spans="1:12" x14ac:dyDescent="0.15">
      <c r="A319" t="str">
        <f t="shared" si="144"/>
        <v>フランス語</v>
      </c>
      <c r="B319">
        <f t="shared" si="144"/>
        <v>6</v>
      </c>
      <c r="C319">
        <f t="shared" si="145"/>
        <v>15</v>
      </c>
      <c r="D319">
        <f t="shared" si="146"/>
        <v>6</v>
      </c>
      <c r="E319" t="str">
        <f>VLOOKUP(D319,name!A:B,2,1)</f>
        <v>Céline</v>
      </c>
      <c r="F319" t="s">
        <v>506</v>
      </c>
      <c r="G319" t="str">
        <f t="shared" si="124"/>
        <v>a</v>
      </c>
      <c r="H319" t="str">
        <f>VLOOKUP(D319,name!A:C,3,1)</f>
        <v>assets/icons/image078.png</v>
      </c>
      <c r="I319" t="str">
        <f>IF(A319="","",VLOOKUP(A319,lng!A:B,2,0))</f>
        <v>fr-FR</v>
      </c>
    </row>
    <row r="320" spans="1:12" x14ac:dyDescent="0.15">
      <c r="A320" t="str">
        <f t="shared" si="144"/>
        <v>フランス語</v>
      </c>
      <c r="B320">
        <f t="shared" si="144"/>
        <v>6</v>
      </c>
      <c r="C320">
        <f t="shared" si="145"/>
        <v>16</v>
      </c>
      <c r="D320">
        <f t="shared" si="146"/>
        <v>6</v>
      </c>
      <c r="E320" t="str">
        <f>VLOOKUP(D320,name!A:B,2,1)</f>
        <v>Céline</v>
      </c>
      <c r="F320" t="s">
        <v>519</v>
      </c>
      <c r="G320" t="str">
        <f t="shared" si="124"/>
        <v>a</v>
      </c>
      <c r="H320" t="str">
        <f>VLOOKUP(D320,name!A:C,3,1)</f>
        <v>assets/icons/image078.png</v>
      </c>
      <c r="I320" t="s">
        <v>463</v>
      </c>
    </row>
    <row r="321" spans="1:9" x14ac:dyDescent="0.15">
      <c r="A321" t="str">
        <f t="shared" si="144"/>
        <v>フランス語</v>
      </c>
      <c r="B321">
        <f t="shared" si="144"/>
        <v>6</v>
      </c>
      <c r="C321">
        <f t="shared" si="145"/>
        <v>17</v>
      </c>
      <c r="D321">
        <v>6</v>
      </c>
      <c r="E321" t="str">
        <f>VLOOKUP(D321,name!A:B,2,1)</f>
        <v>Céline</v>
      </c>
      <c r="F321" t="s">
        <v>507</v>
      </c>
      <c r="G321" t="str">
        <f t="shared" si="124"/>
        <v>a</v>
      </c>
      <c r="H321" t="str">
        <f>VLOOKUP(D321,name!A:C,3,1)</f>
        <v>assets/icons/image078.png</v>
      </c>
      <c r="I321" t="str">
        <f>IF(A321="","",VLOOKUP(A321,lng!A:B,2,0))</f>
        <v>fr-FR</v>
      </c>
    </row>
    <row r="322" spans="1:9" x14ac:dyDescent="0.15">
      <c r="A322" t="str">
        <f t="shared" ref="A322:B331" si="147">A321</f>
        <v>フランス語</v>
      </c>
      <c r="B322">
        <f t="shared" si="147"/>
        <v>6</v>
      </c>
      <c r="C322">
        <f t="shared" si="145"/>
        <v>18</v>
      </c>
      <c r="D322">
        <f t="shared" si="146"/>
        <v>7</v>
      </c>
      <c r="E322" t="str">
        <f>VLOOKUP(D322,name!A:B,2,1)</f>
        <v>Luigi</v>
      </c>
      <c r="F322" t="s">
        <v>523</v>
      </c>
      <c r="G322" t="str">
        <f t="shared" si="124"/>
        <v>a</v>
      </c>
      <c r="H322" t="str">
        <f>VLOOKUP(D322,name!A:C,3,1)</f>
        <v>assets/icons/image023.png</v>
      </c>
      <c r="I322" t="s">
        <v>463</v>
      </c>
    </row>
    <row r="323" spans="1:9" x14ac:dyDescent="0.15">
      <c r="A323" t="str">
        <f t="shared" si="147"/>
        <v>フランス語</v>
      </c>
      <c r="B323">
        <f t="shared" si="147"/>
        <v>6</v>
      </c>
      <c r="C323">
        <f t="shared" si="145"/>
        <v>19</v>
      </c>
      <c r="D323">
        <v>7</v>
      </c>
      <c r="E323" t="str">
        <f>VLOOKUP(D323,name!A:B,2,1)</f>
        <v>Luigi</v>
      </c>
      <c r="F323" t="s">
        <v>508</v>
      </c>
      <c r="G323" t="str">
        <f t="shared" si="124"/>
        <v>a</v>
      </c>
      <c r="H323" t="str">
        <f>VLOOKUP(D323,name!A:C,3,1)</f>
        <v>assets/icons/image023.png</v>
      </c>
      <c r="I323" t="str">
        <f>IF(A323="","",VLOOKUP(A323,lng!A:B,2,0))</f>
        <v>fr-FR</v>
      </c>
    </row>
    <row r="324" spans="1:9" x14ac:dyDescent="0.15">
      <c r="A324" t="str">
        <f t="shared" si="147"/>
        <v>フランス語</v>
      </c>
      <c r="B324">
        <f t="shared" si="147"/>
        <v>6</v>
      </c>
      <c r="C324">
        <f t="shared" si="145"/>
        <v>20</v>
      </c>
      <c r="D324">
        <f t="shared" si="146"/>
        <v>5</v>
      </c>
      <c r="E324" t="str">
        <f>VLOOKUP(D324,name!A:B,2,1)</f>
        <v>Minako</v>
      </c>
      <c r="F324" t="s">
        <v>521</v>
      </c>
      <c r="G324" t="str">
        <f t="shared" si="124"/>
        <v>a</v>
      </c>
      <c r="H324" t="str">
        <f>VLOOKUP(D324,name!A:C,3,1)</f>
        <v>assets/icons/image086.png</v>
      </c>
      <c r="I324" t="s">
        <v>463</v>
      </c>
    </row>
    <row r="325" spans="1:9" x14ac:dyDescent="0.15">
      <c r="A325" t="str">
        <f t="shared" si="147"/>
        <v>フランス語</v>
      </c>
      <c r="B325">
        <f t="shared" si="147"/>
        <v>6</v>
      </c>
      <c r="C325">
        <f t="shared" si="145"/>
        <v>21</v>
      </c>
      <c r="D325">
        <v>5</v>
      </c>
      <c r="E325" t="str">
        <f>VLOOKUP(D325,name!A:B,2,1)</f>
        <v>Minako</v>
      </c>
      <c r="F325" t="s">
        <v>509</v>
      </c>
      <c r="G325" t="str">
        <f t="shared" si="124"/>
        <v>a</v>
      </c>
      <c r="H325" t="str">
        <f>VLOOKUP(D325,name!A:C,3,1)</f>
        <v>assets/icons/image086.png</v>
      </c>
      <c r="I325" t="str">
        <f>IF(A325="","",VLOOKUP(A325,lng!A:B,2,0))</f>
        <v>fr-FR</v>
      </c>
    </row>
    <row r="326" spans="1:9" x14ac:dyDescent="0.15">
      <c r="A326" t="str">
        <f t="shared" si="147"/>
        <v>フランス語</v>
      </c>
      <c r="B326">
        <f t="shared" si="147"/>
        <v>6</v>
      </c>
      <c r="C326">
        <f t="shared" si="145"/>
        <v>22</v>
      </c>
      <c r="D326">
        <f t="shared" si="146"/>
        <v>6</v>
      </c>
      <c r="E326" t="str">
        <f>VLOOKUP(D326,name!A:B,2,1)</f>
        <v>Céline</v>
      </c>
      <c r="F326" t="s">
        <v>520</v>
      </c>
      <c r="G326" t="str">
        <f t="shared" si="124"/>
        <v>a</v>
      </c>
      <c r="H326" t="str">
        <f>VLOOKUP(D326,name!A:C,3,1)</f>
        <v>assets/icons/image078.png</v>
      </c>
      <c r="I326" t="s">
        <v>463</v>
      </c>
    </row>
    <row r="327" spans="1:9" x14ac:dyDescent="0.15">
      <c r="A327" t="str">
        <f t="shared" si="147"/>
        <v>フランス語</v>
      </c>
      <c r="B327">
        <f t="shared" si="147"/>
        <v>6</v>
      </c>
      <c r="C327">
        <f t="shared" si="145"/>
        <v>23</v>
      </c>
      <c r="D327">
        <v>6</v>
      </c>
      <c r="E327" t="str">
        <f>VLOOKUP(D327,name!A:B,2,1)</f>
        <v>Céline</v>
      </c>
      <c r="F327" t="s">
        <v>510</v>
      </c>
      <c r="G327" t="str">
        <f t="shared" si="124"/>
        <v>a</v>
      </c>
      <c r="H327" t="str">
        <f>VLOOKUP(D327,name!A:C,3,1)</f>
        <v>assets/icons/image078.png</v>
      </c>
      <c r="I327" t="str">
        <f>IF(A327="","",VLOOKUP(A327,lng!A:B,2,0))</f>
        <v>fr-FR</v>
      </c>
    </row>
    <row r="328" spans="1:9" x14ac:dyDescent="0.15">
      <c r="A328" t="str">
        <f t="shared" si="147"/>
        <v>フランス語</v>
      </c>
      <c r="B328">
        <f t="shared" si="147"/>
        <v>6</v>
      </c>
      <c r="C328">
        <f t="shared" si="145"/>
        <v>24</v>
      </c>
      <c r="D328">
        <f t="shared" si="146"/>
        <v>7</v>
      </c>
      <c r="E328" t="str">
        <f>VLOOKUP(D328,name!A:B,2,1)</f>
        <v>Luigi</v>
      </c>
      <c r="F328" t="s">
        <v>522</v>
      </c>
      <c r="G328" t="str">
        <f t="shared" si="124"/>
        <v>a</v>
      </c>
      <c r="H328" t="str">
        <f>VLOOKUP(D328,name!A:C,3,1)</f>
        <v>assets/icons/image023.png</v>
      </c>
      <c r="I328" t="s">
        <v>463</v>
      </c>
    </row>
    <row r="329" spans="1:9" x14ac:dyDescent="0.15">
      <c r="A329" t="str">
        <f t="shared" si="147"/>
        <v>フランス語</v>
      </c>
      <c r="B329">
        <f t="shared" si="147"/>
        <v>6</v>
      </c>
      <c r="C329">
        <f t="shared" si="145"/>
        <v>25</v>
      </c>
      <c r="D329">
        <v>7</v>
      </c>
      <c r="E329" t="str">
        <f>VLOOKUP(D329,name!A:B,2,1)</f>
        <v>Luigi</v>
      </c>
      <c r="F329" t="s">
        <v>511</v>
      </c>
      <c r="G329" t="str">
        <f t="shared" si="124"/>
        <v>a</v>
      </c>
      <c r="H329" t="str">
        <f>VLOOKUP(D329,name!A:C,3,1)</f>
        <v>assets/icons/image023.png</v>
      </c>
      <c r="I329" t="str">
        <f>IF(A329="","",VLOOKUP(A329,lng!A:B,2,0))</f>
        <v>fr-FR</v>
      </c>
    </row>
    <row r="330" spans="1:9" x14ac:dyDescent="0.15">
      <c r="A330" t="str">
        <f t="shared" si="147"/>
        <v>フランス語</v>
      </c>
      <c r="B330">
        <f t="shared" si="147"/>
        <v>6</v>
      </c>
      <c r="C330">
        <f t="shared" si="145"/>
        <v>26</v>
      </c>
      <c r="D330">
        <f t="shared" si="146"/>
        <v>6</v>
      </c>
      <c r="E330" t="str">
        <f>VLOOKUP(D330,name!A:B,2,1)</f>
        <v>Céline</v>
      </c>
      <c r="F330" t="s">
        <v>524</v>
      </c>
      <c r="G330" t="str">
        <f t="shared" si="124"/>
        <v>a</v>
      </c>
      <c r="H330" t="str">
        <f>VLOOKUP(D330,name!A:C,3,1)</f>
        <v>assets/icons/image078.png</v>
      </c>
      <c r="I330" t="s">
        <v>463</v>
      </c>
    </row>
    <row r="331" spans="1:9" x14ac:dyDescent="0.15">
      <c r="A331" t="str">
        <f t="shared" si="147"/>
        <v>フランス語</v>
      </c>
      <c r="B331">
        <f t="shared" si="147"/>
        <v>6</v>
      </c>
      <c r="C331">
        <f t="shared" si="145"/>
        <v>27</v>
      </c>
      <c r="D331">
        <v>6</v>
      </c>
      <c r="E331" t="str">
        <f>VLOOKUP(D331,name!A:B,2,1)</f>
        <v>Céline</v>
      </c>
      <c r="F331" t="s">
        <v>512</v>
      </c>
      <c r="G331" t="str">
        <f t="shared" si="124"/>
        <v>a</v>
      </c>
      <c r="H331" t="str">
        <f>VLOOKUP(D331,name!A:C,3,1)</f>
        <v>assets/icons/image078.png</v>
      </c>
      <c r="I331" t="str">
        <f>IF(A331="","",VLOOKUP(A331,lng!A:B,2,0))</f>
        <v>fr-FR</v>
      </c>
    </row>
    <row r="332" spans="1:9" x14ac:dyDescent="0.15">
      <c r="A332" t="str">
        <f t="shared" ref="A332:B332" si="148">A331</f>
        <v>フランス語</v>
      </c>
      <c r="B332">
        <f t="shared" si="148"/>
        <v>6</v>
      </c>
      <c r="C332">
        <f t="shared" si="145"/>
        <v>28</v>
      </c>
      <c r="D332">
        <v>1</v>
      </c>
      <c r="E332" t="str">
        <f>VLOOKUP(D332,name!A:B,2,1)</f>
        <v>Navigator</v>
      </c>
      <c r="F332" t="str">
        <f>"次の"&amp;A332&amp;"を真似してね！"</f>
        <v>次のフランス語を真似してね！</v>
      </c>
      <c r="G332" t="str">
        <f t="shared" si="124"/>
        <v>a</v>
      </c>
      <c r="H332" t="str">
        <f>VLOOKUP(D332,name!A:C,3,1)</f>
        <v>assets/icons/image014.png</v>
      </c>
      <c r="I332" t="s">
        <v>463</v>
      </c>
    </row>
    <row r="333" spans="1:9" x14ac:dyDescent="0.15">
      <c r="A333" t="str">
        <f t="shared" ref="A333:B333" si="149">A332</f>
        <v>フランス語</v>
      </c>
      <c r="B333">
        <f t="shared" si="149"/>
        <v>6</v>
      </c>
      <c r="C333">
        <f t="shared" si="145"/>
        <v>29</v>
      </c>
      <c r="D333">
        <f>D308</f>
        <v>5</v>
      </c>
      <c r="E333" t="str">
        <f>VLOOKUP(D333,name!A:B,2,1)</f>
        <v>Minako</v>
      </c>
      <c r="F333" t="str">
        <f>F308</f>
        <v>今夜は何を作るの?</v>
      </c>
      <c r="G333" t="str">
        <f t="shared" si="124"/>
        <v>a</v>
      </c>
      <c r="H333" t="str">
        <f>VLOOKUP(D333,name!A:C,3,1)</f>
        <v>assets/icons/image086.png</v>
      </c>
      <c r="I333" t="s">
        <v>463</v>
      </c>
    </row>
    <row r="334" spans="1:9" x14ac:dyDescent="0.15">
      <c r="A334" t="str">
        <f t="shared" ref="A334:B334" si="150">A333</f>
        <v>フランス語</v>
      </c>
      <c r="B334">
        <f t="shared" si="150"/>
        <v>6</v>
      </c>
      <c r="C334">
        <f t="shared" si="145"/>
        <v>30</v>
      </c>
      <c r="D334">
        <f>D309</f>
        <v>5</v>
      </c>
      <c r="E334" t="str">
        <f>VLOOKUP(D334,name!A:B,2,1)</f>
        <v>Minako</v>
      </c>
      <c r="F334" t="str">
        <f>F309</f>
        <v>Qu'est-ce que tu vas préparer pour ce soir ?</v>
      </c>
      <c r="G334" t="str">
        <f t="shared" si="124"/>
        <v>a</v>
      </c>
      <c r="H334" t="str">
        <f>VLOOKUP(D334,name!A:C,3,1)</f>
        <v>assets/icons/image086.png</v>
      </c>
      <c r="I334" t="str">
        <f>IF(A334="","",VLOOKUP(A334,lng!A:B,2,0))</f>
        <v>fr-FR</v>
      </c>
    </row>
    <row r="335" spans="1:9" x14ac:dyDescent="0.15">
      <c r="A335" t="str">
        <f t="shared" ref="A335:B335" si="151">A334</f>
        <v>フランス語</v>
      </c>
      <c r="B335">
        <f t="shared" si="151"/>
        <v>6</v>
      </c>
      <c r="C335">
        <f t="shared" si="145"/>
        <v>31</v>
      </c>
      <c r="D335">
        <v>0</v>
      </c>
      <c r="E335" t="str">
        <f>VLOOKUP(D335,name!A:B,2,1)</f>
        <v>Player</v>
      </c>
      <c r="F335" t="str">
        <f>F309</f>
        <v>Qu'est-ce que tu vas préparer pour ce soir ?</v>
      </c>
      <c r="G335" t="str">
        <f t="shared" si="124"/>
        <v>q</v>
      </c>
      <c r="H335" t="str">
        <f>VLOOKUP(D335,name!A:C,3,1)</f>
        <v>assets/icons/image326.png</v>
      </c>
      <c r="I335" t="str">
        <f>IF(A335="","",VLOOKUP(A335,lng!A:B,2,0))</f>
        <v>fr-FR</v>
      </c>
    </row>
    <row r="336" spans="1:9" x14ac:dyDescent="0.15">
      <c r="A336" t="str">
        <f t="shared" ref="A336:B336" si="152">A335</f>
        <v>フランス語</v>
      </c>
      <c r="B336">
        <f t="shared" si="152"/>
        <v>6</v>
      </c>
      <c r="C336">
        <f t="shared" si="145"/>
        <v>32</v>
      </c>
      <c r="D336">
        <f>D310</f>
        <v>6</v>
      </c>
      <c r="E336" t="str">
        <f>VLOOKUP(D336,name!A:B,2,1)</f>
        <v>Céline</v>
      </c>
      <c r="F336" t="str">
        <f>F310</f>
        <v>ラタトゥイユを作ります。</v>
      </c>
      <c r="G336" t="str">
        <f t="shared" si="124"/>
        <v>a</v>
      </c>
      <c r="H336" t="str">
        <f>VLOOKUP(D336,name!A:C,3,1)</f>
        <v>assets/icons/image078.png</v>
      </c>
      <c r="I336" t="s">
        <v>463</v>
      </c>
    </row>
    <row r="337" spans="1:9" x14ac:dyDescent="0.15">
      <c r="A337" t="str">
        <f t="shared" ref="A337:B337" si="153">A336</f>
        <v>フランス語</v>
      </c>
      <c r="B337">
        <f t="shared" si="153"/>
        <v>6</v>
      </c>
      <c r="C337">
        <f t="shared" si="145"/>
        <v>33</v>
      </c>
      <c r="D337">
        <f>D311</f>
        <v>6</v>
      </c>
      <c r="E337" t="str">
        <f>VLOOKUP(D337,name!A:B,2,1)</f>
        <v>Céline</v>
      </c>
      <c r="F337" t="str">
        <f>F311</f>
        <v>Je vais préparer de la ratatouille.</v>
      </c>
      <c r="G337" t="str">
        <f t="shared" si="124"/>
        <v>a</v>
      </c>
      <c r="H337" t="str">
        <f>VLOOKUP(D337,name!A:C,3,1)</f>
        <v>assets/icons/image078.png</v>
      </c>
      <c r="I337" t="str">
        <f>IF(A337="","",VLOOKUP(A337,lng!A:B,2,0))</f>
        <v>fr-FR</v>
      </c>
    </row>
    <row r="338" spans="1:9" x14ac:dyDescent="0.15">
      <c r="A338" t="str">
        <f t="shared" ref="A338:B338" si="154">A337</f>
        <v>フランス語</v>
      </c>
      <c r="B338">
        <f t="shared" si="154"/>
        <v>6</v>
      </c>
      <c r="C338">
        <f t="shared" si="145"/>
        <v>34</v>
      </c>
      <c r="D338">
        <v>0</v>
      </c>
      <c r="E338" t="str">
        <f>VLOOKUP(D338,name!A:B,2,1)</f>
        <v>Player</v>
      </c>
      <c r="F338" t="str">
        <f>F311</f>
        <v>Je vais préparer de la ratatouille.</v>
      </c>
      <c r="G338" t="str">
        <f t="shared" si="124"/>
        <v>q</v>
      </c>
      <c r="H338" t="str">
        <f>VLOOKUP(D338,name!A:C,3,1)</f>
        <v>assets/icons/image326.png</v>
      </c>
      <c r="I338" t="str">
        <f>IF(A338="","",VLOOKUP(A338,lng!A:B,2,0))</f>
        <v>fr-FR</v>
      </c>
    </row>
    <row r="339" spans="1:9" x14ac:dyDescent="0.15">
      <c r="A339" t="str">
        <f t="shared" ref="A339:B339" si="155">A338</f>
        <v>フランス語</v>
      </c>
      <c r="B339">
        <f t="shared" si="155"/>
        <v>6</v>
      </c>
      <c r="C339">
        <f t="shared" si="145"/>
        <v>35</v>
      </c>
      <c r="D339">
        <f>D312</f>
        <v>5</v>
      </c>
      <c r="E339" t="str">
        <f>VLOOKUP(D339,name!A:B,2,1)</f>
        <v>Minako</v>
      </c>
      <c r="F339" t="str">
        <f>F312</f>
        <v>それは南部の名物です。</v>
      </c>
      <c r="G339" t="str">
        <f t="shared" si="124"/>
        <v>a</v>
      </c>
      <c r="H339" t="str">
        <f>VLOOKUP(D339,name!A:C,3,1)</f>
        <v>assets/icons/image086.png</v>
      </c>
      <c r="I339" t="s">
        <v>463</v>
      </c>
    </row>
    <row r="340" spans="1:9" x14ac:dyDescent="0.15">
      <c r="A340" t="str">
        <f t="shared" ref="A340:B340" si="156">A339</f>
        <v>フランス語</v>
      </c>
      <c r="B340">
        <f t="shared" si="156"/>
        <v>6</v>
      </c>
      <c r="C340">
        <f t="shared" si="145"/>
        <v>36</v>
      </c>
      <c r="D340">
        <f>D313</f>
        <v>5</v>
      </c>
      <c r="E340" t="str">
        <f>VLOOKUP(D340,name!A:B,2,1)</f>
        <v>Minako</v>
      </c>
      <c r="F340" t="str">
        <f>F313</f>
        <v>C'est une spécialité du Midi.</v>
      </c>
      <c r="G340" t="str">
        <f t="shared" si="124"/>
        <v>a</v>
      </c>
      <c r="H340" t="str">
        <f>VLOOKUP(D340,name!A:C,3,1)</f>
        <v>assets/icons/image086.png</v>
      </c>
      <c r="I340" t="str">
        <f>IF(A340="","",VLOOKUP(A340,lng!A:B,2,0))</f>
        <v>fr-FR</v>
      </c>
    </row>
    <row r="341" spans="1:9" x14ac:dyDescent="0.15">
      <c r="A341" t="str">
        <f t="shared" ref="A341:B341" si="157">A340</f>
        <v>フランス語</v>
      </c>
      <c r="B341">
        <f t="shared" si="157"/>
        <v>6</v>
      </c>
      <c r="C341">
        <f t="shared" si="145"/>
        <v>37</v>
      </c>
      <c r="D341">
        <v>0</v>
      </c>
      <c r="E341" t="str">
        <f>VLOOKUP(D341,name!A:B,2,1)</f>
        <v>Player</v>
      </c>
      <c r="F341" t="str">
        <f>F313</f>
        <v>C'est une spécialité du Midi.</v>
      </c>
      <c r="G341" t="str">
        <f t="shared" si="124"/>
        <v>q</v>
      </c>
      <c r="H341" t="str">
        <f>VLOOKUP(D341,name!A:C,3,1)</f>
        <v>assets/icons/image326.png</v>
      </c>
      <c r="I341" t="str">
        <f>IF(A341="","",VLOOKUP(A341,lng!A:B,2,0))</f>
        <v>fr-FR</v>
      </c>
    </row>
    <row r="342" spans="1:9" x14ac:dyDescent="0.15">
      <c r="A342" t="str">
        <f t="shared" ref="A342:B342" si="158">A341</f>
        <v>フランス語</v>
      </c>
      <c r="B342">
        <f t="shared" si="158"/>
        <v>6</v>
      </c>
      <c r="C342">
        <f t="shared" si="145"/>
        <v>38</v>
      </c>
      <c r="D342">
        <f>D314</f>
        <v>5</v>
      </c>
      <c r="E342" t="str">
        <f>VLOOKUP(D342,name!A:B,2,1)</f>
        <v>Minako</v>
      </c>
      <c r="F342" t="str">
        <f>F314</f>
        <v>では、何を買うのでしょうか。</v>
      </c>
      <c r="G342" t="str">
        <f t="shared" si="124"/>
        <v>a</v>
      </c>
      <c r="H342" t="str">
        <f>VLOOKUP(D342,name!A:C,3,1)</f>
        <v>assets/icons/image086.png</v>
      </c>
      <c r="I342" t="s">
        <v>463</v>
      </c>
    </row>
    <row r="343" spans="1:9" x14ac:dyDescent="0.15">
      <c r="A343" t="str">
        <f t="shared" ref="A343:B343" si="159">A342</f>
        <v>フランス語</v>
      </c>
      <c r="B343">
        <f t="shared" si="159"/>
        <v>6</v>
      </c>
      <c r="C343">
        <f t="shared" si="145"/>
        <v>39</v>
      </c>
      <c r="D343">
        <f>D315</f>
        <v>5</v>
      </c>
      <c r="E343" t="str">
        <f>VLOOKUP(D343,name!A:B,2,1)</f>
        <v>Minako</v>
      </c>
      <c r="F343" t="str">
        <f>F315</f>
        <v>Qu'est-ce qu'on achète alors ?</v>
      </c>
      <c r="G343" t="str">
        <f t="shared" si="124"/>
        <v>a</v>
      </c>
      <c r="H343" t="str">
        <f>VLOOKUP(D343,name!A:C,3,1)</f>
        <v>assets/icons/image086.png</v>
      </c>
      <c r="I343" t="str">
        <f>IF(A343="","",VLOOKUP(A343,lng!A:B,2,0))</f>
        <v>fr-FR</v>
      </c>
    </row>
    <row r="344" spans="1:9" x14ac:dyDescent="0.15">
      <c r="A344" t="str">
        <f t="shared" ref="A344:B344" si="160">A343</f>
        <v>フランス語</v>
      </c>
      <c r="B344">
        <f t="shared" si="160"/>
        <v>6</v>
      </c>
      <c r="C344">
        <f t="shared" si="145"/>
        <v>40</v>
      </c>
      <c r="D344">
        <v>0</v>
      </c>
      <c r="E344" t="str">
        <f>VLOOKUP(D344,name!A:B,2,1)</f>
        <v>Player</v>
      </c>
      <c r="F344" t="str">
        <f>F315</f>
        <v>Qu'est-ce qu'on achète alors ?</v>
      </c>
      <c r="G344" t="str">
        <f t="shared" si="124"/>
        <v>q</v>
      </c>
      <c r="H344" t="str">
        <f>VLOOKUP(D344,name!A:C,3,1)</f>
        <v>assets/icons/image326.png</v>
      </c>
      <c r="I344" t="str">
        <f>IF(A344="","",VLOOKUP(A344,lng!A:B,2,0))</f>
        <v>fr-FR</v>
      </c>
    </row>
    <row r="345" spans="1:9" x14ac:dyDescent="0.15">
      <c r="A345" t="str">
        <f t="shared" ref="A345:B345" si="161">A344</f>
        <v>フランス語</v>
      </c>
      <c r="B345">
        <f t="shared" si="161"/>
        <v>6</v>
      </c>
      <c r="C345">
        <f t="shared" si="145"/>
        <v>41</v>
      </c>
      <c r="D345">
        <f>D316</f>
        <v>6</v>
      </c>
      <c r="E345" t="str">
        <f>VLOOKUP(D345,name!A:B,2,1)</f>
        <v>Céline</v>
      </c>
      <c r="F345" t="str">
        <f>F316</f>
        <v>買うのはトマトと、</v>
      </c>
      <c r="G345" t="str">
        <f t="shared" si="124"/>
        <v>a</v>
      </c>
      <c r="H345" t="str">
        <f>VLOOKUP(D345,name!A:C,3,1)</f>
        <v>assets/icons/image078.png</v>
      </c>
      <c r="I345" t="s">
        <v>463</v>
      </c>
    </row>
    <row r="346" spans="1:9" x14ac:dyDescent="0.15">
      <c r="A346" t="str">
        <f t="shared" ref="A346:B346" si="162">A345</f>
        <v>フランス語</v>
      </c>
      <c r="B346">
        <f t="shared" si="162"/>
        <v>6</v>
      </c>
      <c r="C346">
        <f t="shared" si="145"/>
        <v>42</v>
      </c>
      <c r="D346">
        <f>D317</f>
        <v>6</v>
      </c>
      <c r="E346" t="str">
        <f>VLOOKUP(D346,name!A:B,2,1)</f>
        <v>Céline</v>
      </c>
      <c r="F346" t="str">
        <f>F317</f>
        <v xml:space="preserve">On achète des tomates, </v>
      </c>
      <c r="G346" t="str">
        <f t="shared" si="124"/>
        <v>a</v>
      </c>
      <c r="H346" t="str">
        <f>VLOOKUP(D346,name!A:C,3,1)</f>
        <v>assets/icons/image078.png</v>
      </c>
      <c r="I346" t="str">
        <f>IF(A346="","",VLOOKUP(A346,lng!A:B,2,0))</f>
        <v>fr-FR</v>
      </c>
    </row>
    <row r="347" spans="1:9" x14ac:dyDescent="0.15">
      <c r="A347" t="str">
        <f t="shared" ref="A347:B347" si="163">A346</f>
        <v>フランス語</v>
      </c>
      <c r="B347">
        <f t="shared" si="163"/>
        <v>6</v>
      </c>
      <c r="C347">
        <f t="shared" si="145"/>
        <v>43</v>
      </c>
      <c r="D347">
        <v>0</v>
      </c>
      <c r="E347" t="str">
        <f>VLOOKUP(D347,name!A:B,2,1)</f>
        <v>Player</v>
      </c>
      <c r="F347" t="str">
        <f>F317</f>
        <v xml:space="preserve">On achète des tomates, </v>
      </c>
      <c r="G347" t="str">
        <f t="shared" si="124"/>
        <v>q</v>
      </c>
      <c r="H347" t="str">
        <f>VLOOKUP(D347,name!A:C,3,1)</f>
        <v>assets/icons/image326.png</v>
      </c>
      <c r="I347" t="str">
        <f>IF(A347="","",VLOOKUP(A347,lng!A:B,2,0))</f>
        <v>fr-FR</v>
      </c>
    </row>
    <row r="348" spans="1:9" x14ac:dyDescent="0.15">
      <c r="A348" t="str">
        <f t="shared" ref="A348:B348" si="164">A347</f>
        <v>フランス語</v>
      </c>
      <c r="B348">
        <f t="shared" si="164"/>
        <v>6</v>
      </c>
      <c r="C348">
        <f t="shared" si="145"/>
        <v>44</v>
      </c>
      <c r="D348">
        <f>D318</f>
        <v>6</v>
      </c>
      <c r="E348" t="str">
        <f>VLOOKUP(D348,name!A:B,2,1)</f>
        <v>Céline</v>
      </c>
      <c r="F348" t="str">
        <f>F318</f>
        <v>ピーマン、</v>
      </c>
      <c r="G348" t="str">
        <f t="shared" si="124"/>
        <v>a</v>
      </c>
      <c r="H348" t="str">
        <f>VLOOKUP(D348,name!A:C,3,1)</f>
        <v>assets/icons/image078.png</v>
      </c>
      <c r="I348" t="s">
        <v>463</v>
      </c>
    </row>
    <row r="349" spans="1:9" x14ac:dyDescent="0.15">
      <c r="A349" t="str">
        <f t="shared" ref="A349:B349" si="165">A348</f>
        <v>フランス語</v>
      </c>
      <c r="B349">
        <f t="shared" si="165"/>
        <v>6</v>
      </c>
      <c r="C349">
        <f t="shared" si="145"/>
        <v>45</v>
      </c>
      <c r="D349">
        <f>D319</f>
        <v>6</v>
      </c>
      <c r="E349" t="str">
        <f>VLOOKUP(D349,name!A:B,2,1)</f>
        <v>Céline</v>
      </c>
      <c r="F349" t="str">
        <f>F319</f>
        <v xml:space="preserve">des poivrons, </v>
      </c>
      <c r="G349" t="str">
        <f t="shared" si="124"/>
        <v>a</v>
      </c>
      <c r="H349" t="str">
        <f>VLOOKUP(D349,name!A:C,3,1)</f>
        <v>assets/icons/image078.png</v>
      </c>
      <c r="I349" t="str">
        <f>IF(A349="","",VLOOKUP(A349,lng!A:B,2,0))</f>
        <v>fr-FR</v>
      </c>
    </row>
    <row r="350" spans="1:9" x14ac:dyDescent="0.15">
      <c r="A350" t="str">
        <f t="shared" ref="A350:B350" si="166">A349</f>
        <v>フランス語</v>
      </c>
      <c r="B350">
        <f t="shared" si="166"/>
        <v>6</v>
      </c>
      <c r="C350">
        <f t="shared" si="145"/>
        <v>46</v>
      </c>
      <c r="D350">
        <v>0</v>
      </c>
      <c r="E350" t="str">
        <f>VLOOKUP(D350,name!A:B,2,1)</f>
        <v>Player</v>
      </c>
      <c r="F350" t="str">
        <f>F319</f>
        <v xml:space="preserve">des poivrons, </v>
      </c>
      <c r="G350" t="str">
        <f t="shared" ref="G350:G393" si="167">IF(B350&lt;&gt;B351,"e",IF(D350=0,"q","a"))</f>
        <v>q</v>
      </c>
      <c r="H350" t="str">
        <f>VLOOKUP(D350,name!A:C,3,1)</f>
        <v>assets/icons/image326.png</v>
      </c>
      <c r="I350" t="str">
        <f>IF(A350="","",VLOOKUP(A350,lng!A:B,2,0))</f>
        <v>fr-FR</v>
      </c>
    </row>
    <row r="351" spans="1:9" x14ac:dyDescent="0.15">
      <c r="A351" t="str">
        <f t="shared" ref="A351:B351" si="168">A350</f>
        <v>フランス語</v>
      </c>
      <c r="B351">
        <f t="shared" si="168"/>
        <v>6</v>
      </c>
      <c r="C351">
        <f t="shared" si="145"/>
        <v>47</v>
      </c>
      <c r="D351">
        <f>D320</f>
        <v>6</v>
      </c>
      <c r="E351" t="str">
        <f>VLOOKUP(D351,name!A:B,2,1)</f>
        <v>Céline</v>
      </c>
      <c r="F351" t="str">
        <f>F320</f>
        <v>それとズッキーニ。</v>
      </c>
      <c r="G351" t="str">
        <f t="shared" si="167"/>
        <v>a</v>
      </c>
      <c r="H351" t="str">
        <f>VLOOKUP(D351,name!A:C,3,1)</f>
        <v>assets/icons/image078.png</v>
      </c>
      <c r="I351" t="s">
        <v>463</v>
      </c>
    </row>
    <row r="352" spans="1:9" x14ac:dyDescent="0.15">
      <c r="A352" t="str">
        <f t="shared" ref="A352:B352" si="169">A351</f>
        <v>フランス語</v>
      </c>
      <c r="B352">
        <f t="shared" si="169"/>
        <v>6</v>
      </c>
      <c r="C352">
        <f t="shared" si="145"/>
        <v>48</v>
      </c>
      <c r="D352">
        <f>D321</f>
        <v>6</v>
      </c>
      <c r="E352" t="str">
        <f>VLOOKUP(D352,name!A:B,2,1)</f>
        <v>Céline</v>
      </c>
      <c r="F352" t="str">
        <f>F321</f>
        <v>et des courgettes.</v>
      </c>
      <c r="G352" t="str">
        <f t="shared" si="167"/>
        <v>a</v>
      </c>
      <c r="H352" t="str">
        <f>VLOOKUP(D352,name!A:C,3,1)</f>
        <v>assets/icons/image078.png</v>
      </c>
      <c r="I352" t="str">
        <f>IF(A352="","",VLOOKUP(A352,lng!A:B,2,0))</f>
        <v>fr-FR</v>
      </c>
    </row>
    <row r="353" spans="1:9" x14ac:dyDescent="0.15">
      <c r="A353" t="str">
        <f t="shared" ref="A353:B353" si="170">A352</f>
        <v>フランス語</v>
      </c>
      <c r="B353">
        <f t="shared" si="170"/>
        <v>6</v>
      </c>
      <c r="C353">
        <f t="shared" si="145"/>
        <v>49</v>
      </c>
      <c r="D353">
        <v>0</v>
      </c>
      <c r="E353" t="str">
        <f>VLOOKUP(D353,name!A:B,2,1)</f>
        <v>Player</v>
      </c>
      <c r="F353" t="str">
        <f>F321</f>
        <v>et des courgettes.</v>
      </c>
      <c r="G353" t="str">
        <f t="shared" si="167"/>
        <v>q</v>
      </c>
      <c r="H353" t="str">
        <f>VLOOKUP(D353,name!A:C,3,1)</f>
        <v>assets/icons/image326.png</v>
      </c>
      <c r="I353" t="str">
        <f>IF(A353="","",VLOOKUP(A353,lng!A:B,2,0))</f>
        <v>fr-FR</v>
      </c>
    </row>
    <row r="354" spans="1:9" x14ac:dyDescent="0.15">
      <c r="A354" t="str">
        <f t="shared" ref="A354:B354" si="171">A353</f>
        <v>フランス語</v>
      </c>
      <c r="B354">
        <f t="shared" si="171"/>
        <v>6</v>
      </c>
      <c r="C354">
        <f t="shared" si="145"/>
        <v>50</v>
      </c>
      <c r="D354">
        <f>D322</f>
        <v>7</v>
      </c>
      <c r="E354" t="str">
        <f>VLOOKUP(D354,name!A:B,2,1)</f>
        <v>Luigi</v>
      </c>
      <c r="F354" t="str">
        <f>F322</f>
        <v>野菜をたくさん買いますね。</v>
      </c>
      <c r="G354" t="str">
        <f t="shared" si="167"/>
        <v>a</v>
      </c>
      <c r="H354" t="str">
        <f>VLOOKUP(D354,name!A:C,3,1)</f>
        <v>assets/icons/image023.png</v>
      </c>
      <c r="I354" t="s">
        <v>463</v>
      </c>
    </row>
    <row r="355" spans="1:9" x14ac:dyDescent="0.15">
      <c r="A355" t="str">
        <f t="shared" ref="A355:B355" si="172">A354</f>
        <v>フランス語</v>
      </c>
      <c r="B355">
        <f t="shared" si="172"/>
        <v>6</v>
      </c>
      <c r="C355">
        <f t="shared" si="145"/>
        <v>51</v>
      </c>
      <c r="D355">
        <f>D323</f>
        <v>7</v>
      </c>
      <c r="E355" t="str">
        <f>VLOOKUP(D355,name!A:B,2,1)</f>
        <v>Luigi</v>
      </c>
      <c r="F355" t="str">
        <f>F323</f>
        <v>On achète beaucoup de légumes.</v>
      </c>
      <c r="G355" t="str">
        <f t="shared" si="167"/>
        <v>a</v>
      </c>
      <c r="H355" t="str">
        <f>VLOOKUP(D355,name!A:C,3,1)</f>
        <v>assets/icons/image023.png</v>
      </c>
      <c r="I355" t="str">
        <f>IF(A355="","",VLOOKUP(A355,lng!A:B,2,0))</f>
        <v>fr-FR</v>
      </c>
    </row>
    <row r="356" spans="1:9" x14ac:dyDescent="0.15">
      <c r="A356" t="str">
        <f t="shared" ref="A356:B356" si="173">A355</f>
        <v>フランス語</v>
      </c>
      <c r="B356">
        <f t="shared" si="173"/>
        <v>6</v>
      </c>
      <c r="C356">
        <f t="shared" si="145"/>
        <v>52</v>
      </c>
      <c r="D356">
        <v>0</v>
      </c>
      <c r="E356" t="str">
        <f>VLOOKUP(D356,name!A:B,2,1)</f>
        <v>Player</v>
      </c>
      <c r="F356" t="str">
        <f>F323</f>
        <v>On achète beaucoup de légumes.</v>
      </c>
      <c r="G356" t="str">
        <f t="shared" si="167"/>
        <v>q</v>
      </c>
      <c r="H356" t="str">
        <f>VLOOKUP(D356,name!A:C,3,1)</f>
        <v>assets/icons/image326.png</v>
      </c>
      <c r="I356" t="str">
        <f>IF(A356="","",VLOOKUP(A356,lng!A:B,2,0))</f>
        <v>fr-FR</v>
      </c>
    </row>
    <row r="357" spans="1:9" x14ac:dyDescent="0.15">
      <c r="A357" t="str">
        <f t="shared" ref="A357:B357" si="174">A356</f>
        <v>フランス語</v>
      </c>
      <c r="B357">
        <f t="shared" si="174"/>
        <v>6</v>
      </c>
      <c r="C357">
        <f t="shared" si="145"/>
        <v>53</v>
      </c>
      <c r="D357">
        <f>D324</f>
        <v>5</v>
      </c>
      <c r="E357" t="str">
        <f>VLOOKUP(D357,name!A:B,2,1)</f>
        <v>Minako</v>
      </c>
      <c r="F357" t="str">
        <f>F324</f>
        <v>それで全部ですか？</v>
      </c>
      <c r="G357" t="str">
        <f t="shared" si="167"/>
        <v>a</v>
      </c>
      <c r="H357" t="str">
        <f>VLOOKUP(D357,name!A:C,3,1)</f>
        <v>assets/icons/image086.png</v>
      </c>
      <c r="I357" t="s">
        <v>463</v>
      </c>
    </row>
    <row r="358" spans="1:9" x14ac:dyDescent="0.15">
      <c r="A358" t="str">
        <f t="shared" ref="A358:B358" si="175">A357</f>
        <v>フランス語</v>
      </c>
      <c r="B358">
        <f t="shared" si="175"/>
        <v>6</v>
      </c>
      <c r="C358">
        <f t="shared" si="145"/>
        <v>54</v>
      </c>
      <c r="D358">
        <f>D325</f>
        <v>5</v>
      </c>
      <c r="E358" t="str">
        <f>VLOOKUP(D358,name!A:B,2,1)</f>
        <v>Minako</v>
      </c>
      <c r="F358" t="str">
        <f>F325</f>
        <v>C'est tout ?</v>
      </c>
      <c r="G358" t="str">
        <f t="shared" si="167"/>
        <v>a</v>
      </c>
      <c r="H358" t="str">
        <f>VLOOKUP(D358,name!A:C,3,1)</f>
        <v>assets/icons/image086.png</v>
      </c>
      <c r="I358" t="str">
        <f>IF(A358="","",VLOOKUP(A358,lng!A:B,2,0))</f>
        <v>fr-FR</v>
      </c>
    </row>
    <row r="359" spans="1:9" x14ac:dyDescent="0.15">
      <c r="A359" t="str">
        <f t="shared" ref="A359:B359" si="176">A358</f>
        <v>フランス語</v>
      </c>
      <c r="B359">
        <f t="shared" si="176"/>
        <v>6</v>
      </c>
      <c r="C359">
        <f t="shared" si="145"/>
        <v>55</v>
      </c>
      <c r="D359">
        <v>0</v>
      </c>
      <c r="E359" t="str">
        <f>VLOOKUP(D359,name!A:B,2,1)</f>
        <v>Player</v>
      </c>
      <c r="F359" t="str">
        <f>F325</f>
        <v>C'est tout ?</v>
      </c>
      <c r="G359" t="str">
        <f t="shared" si="167"/>
        <v>q</v>
      </c>
      <c r="H359" t="str">
        <f>VLOOKUP(D359,name!A:C,3,1)</f>
        <v>assets/icons/image326.png</v>
      </c>
      <c r="I359" t="str">
        <f>IF(A359="","",VLOOKUP(A359,lng!A:B,2,0))</f>
        <v>fr-FR</v>
      </c>
    </row>
    <row r="360" spans="1:9" x14ac:dyDescent="0.15">
      <c r="A360" t="str">
        <f t="shared" ref="A360:B360" si="177">A359</f>
        <v>フランス語</v>
      </c>
      <c r="B360">
        <f t="shared" si="177"/>
        <v>6</v>
      </c>
      <c r="C360">
        <f t="shared" si="145"/>
        <v>56</v>
      </c>
      <c r="D360">
        <f>D326</f>
        <v>6</v>
      </c>
      <c r="E360" t="str">
        <f>VLOOKUP(D360,name!A:B,2,1)</f>
        <v>Céline</v>
      </c>
      <c r="F360" t="str">
        <f>F326</f>
        <v>オリーブオイルと少量の塩も必要です。</v>
      </c>
      <c r="G360" t="str">
        <f t="shared" si="167"/>
        <v>a</v>
      </c>
      <c r="H360" t="str">
        <f>VLOOKUP(D360,name!A:C,3,1)</f>
        <v>assets/icons/image078.png</v>
      </c>
      <c r="I360" t="s">
        <v>463</v>
      </c>
    </row>
    <row r="361" spans="1:9" x14ac:dyDescent="0.15">
      <c r="A361" t="str">
        <f t="shared" ref="A361:B361" si="178">A360</f>
        <v>フランス語</v>
      </c>
      <c r="B361">
        <f t="shared" si="178"/>
        <v>6</v>
      </c>
      <c r="C361">
        <f t="shared" si="145"/>
        <v>57</v>
      </c>
      <c r="D361">
        <f>D327</f>
        <v>6</v>
      </c>
      <c r="E361" t="str">
        <f>VLOOKUP(D361,name!A:B,2,1)</f>
        <v>Céline</v>
      </c>
      <c r="F361" t="str">
        <f>F327</f>
        <v>Il faut de l'huile d'olive et un peu de sel</v>
      </c>
      <c r="G361" t="str">
        <f t="shared" si="167"/>
        <v>a</v>
      </c>
      <c r="H361" t="str">
        <f>VLOOKUP(D361,name!A:C,3,1)</f>
        <v>assets/icons/image078.png</v>
      </c>
      <c r="I361" t="str">
        <f>IF(A361="","",VLOOKUP(A361,lng!A:B,2,0))</f>
        <v>fr-FR</v>
      </c>
    </row>
    <row r="362" spans="1:9" x14ac:dyDescent="0.15">
      <c r="A362" t="str">
        <f t="shared" ref="A362:B362" si="179">A361</f>
        <v>フランス語</v>
      </c>
      <c r="B362">
        <f t="shared" si="179"/>
        <v>6</v>
      </c>
      <c r="C362">
        <f t="shared" si="145"/>
        <v>58</v>
      </c>
      <c r="D362">
        <v>0</v>
      </c>
      <c r="E362" t="str">
        <f>VLOOKUP(D362,name!A:B,2,1)</f>
        <v>Player</v>
      </c>
      <c r="F362" t="str">
        <f>F327</f>
        <v>Il faut de l'huile d'olive et un peu de sel</v>
      </c>
      <c r="G362" t="str">
        <f t="shared" si="167"/>
        <v>q</v>
      </c>
      <c r="H362" t="str">
        <f>VLOOKUP(D362,name!A:C,3,1)</f>
        <v>assets/icons/image326.png</v>
      </c>
      <c r="I362" t="str">
        <f>IF(A362="","",VLOOKUP(A362,lng!A:B,2,0))</f>
        <v>fr-FR</v>
      </c>
    </row>
    <row r="363" spans="1:9" x14ac:dyDescent="0.15">
      <c r="A363" t="str">
        <f t="shared" ref="A363:B363" si="180">A362</f>
        <v>フランス語</v>
      </c>
      <c r="B363">
        <f t="shared" si="180"/>
        <v>6</v>
      </c>
      <c r="C363">
        <f t="shared" si="145"/>
        <v>59</v>
      </c>
      <c r="D363">
        <f>D328</f>
        <v>7</v>
      </c>
      <c r="E363" t="str">
        <f>VLOOKUP(D363,name!A:B,2,1)</f>
        <v>Luigi</v>
      </c>
      <c r="F363" t="str">
        <f>F328</f>
        <v>私はワインを選びます。</v>
      </c>
      <c r="G363" t="str">
        <f t="shared" si="167"/>
        <v>a</v>
      </c>
      <c r="H363" t="str">
        <f>VLOOKUP(D363,name!A:C,3,1)</f>
        <v>assets/icons/image023.png</v>
      </c>
      <c r="I363" t="s">
        <v>463</v>
      </c>
    </row>
    <row r="364" spans="1:9" x14ac:dyDescent="0.15">
      <c r="A364" t="str">
        <f t="shared" ref="A364:B364" si="181">A363</f>
        <v>フランス語</v>
      </c>
      <c r="B364">
        <f t="shared" si="181"/>
        <v>6</v>
      </c>
      <c r="C364">
        <f t="shared" si="145"/>
        <v>60</v>
      </c>
      <c r="D364">
        <f>D329</f>
        <v>7</v>
      </c>
      <c r="E364" t="str">
        <f>VLOOKUP(D364,name!A:B,2,1)</f>
        <v>Luigi</v>
      </c>
      <c r="F364" t="str">
        <f>F329</f>
        <v>Je choisis le vin.</v>
      </c>
      <c r="G364" t="str">
        <f t="shared" si="167"/>
        <v>a</v>
      </c>
      <c r="H364" t="str">
        <f>VLOOKUP(D364,name!A:C,3,1)</f>
        <v>assets/icons/image023.png</v>
      </c>
      <c r="I364" t="str">
        <f>IF(A364="","",VLOOKUP(A364,lng!A:B,2,0))</f>
        <v>fr-FR</v>
      </c>
    </row>
    <row r="365" spans="1:9" x14ac:dyDescent="0.15">
      <c r="A365" t="str">
        <f t="shared" ref="A365:B365" si="182">A364</f>
        <v>フランス語</v>
      </c>
      <c r="B365">
        <f t="shared" si="182"/>
        <v>6</v>
      </c>
      <c r="C365">
        <f t="shared" si="145"/>
        <v>61</v>
      </c>
      <c r="D365">
        <v>0</v>
      </c>
      <c r="E365" t="str">
        <f>VLOOKUP(D365,name!A:B,2,1)</f>
        <v>Player</v>
      </c>
      <c r="F365" t="str">
        <f>F329</f>
        <v>Je choisis le vin.</v>
      </c>
      <c r="G365" t="str">
        <f t="shared" si="167"/>
        <v>q</v>
      </c>
      <c r="H365" t="str">
        <f>VLOOKUP(D365,name!A:C,3,1)</f>
        <v>assets/icons/image326.png</v>
      </c>
      <c r="I365" t="str">
        <f>IF(A365="","",VLOOKUP(A365,lng!A:B,2,0))</f>
        <v>fr-FR</v>
      </c>
    </row>
    <row r="366" spans="1:9" x14ac:dyDescent="0.15">
      <c r="A366" t="str">
        <f t="shared" ref="A366:B366" si="183">A365</f>
        <v>フランス語</v>
      </c>
      <c r="B366">
        <f t="shared" si="183"/>
        <v>6</v>
      </c>
      <c r="C366">
        <f t="shared" si="145"/>
        <v>62</v>
      </c>
      <c r="D366">
        <f>D330</f>
        <v>6</v>
      </c>
      <c r="E366" t="str">
        <f>VLOOKUP(D366,name!A:B,2,1)</f>
        <v>Céline</v>
      </c>
      <c r="F366" t="str">
        <f>F330</f>
        <v>冷えた白ワインはラタトゥイユによく合います。</v>
      </c>
      <c r="G366" t="str">
        <f t="shared" si="167"/>
        <v>a</v>
      </c>
      <c r="H366" t="str">
        <f>VLOOKUP(D366,name!A:C,3,1)</f>
        <v>assets/icons/image078.png</v>
      </c>
      <c r="I366" t="s">
        <v>463</v>
      </c>
    </row>
    <row r="367" spans="1:9" x14ac:dyDescent="0.15">
      <c r="A367" t="str">
        <f t="shared" ref="A367:B367" si="184">A366</f>
        <v>フランス語</v>
      </c>
      <c r="B367">
        <f t="shared" si="184"/>
        <v>6</v>
      </c>
      <c r="C367">
        <f t="shared" si="145"/>
        <v>63</v>
      </c>
      <c r="D367">
        <f>D331</f>
        <v>6</v>
      </c>
      <c r="E367" t="str">
        <f>VLOOKUP(D367,name!A:B,2,1)</f>
        <v>Céline</v>
      </c>
      <c r="F367" t="str">
        <f>F331</f>
        <v>Le vin blanc frais va bien avec la ratatouille.</v>
      </c>
      <c r="G367" t="str">
        <f t="shared" si="167"/>
        <v>a</v>
      </c>
      <c r="H367" t="str">
        <f>VLOOKUP(D367,name!A:C,3,1)</f>
        <v>assets/icons/image078.png</v>
      </c>
      <c r="I367" t="str">
        <f>IF(A367="","",VLOOKUP(A367,lng!A:B,2,0))</f>
        <v>fr-FR</v>
      </c>
    </row>
    <row r="368" spans="1:9" x14ac:dyDescent="0.15">
      <c r="A368" t="str">
        <f t="shared" ref="A368:B368" si="185">A367</f>
        <v>フランス語</v>
      </c>
      <c r="B368">
        <f t="shared" si="185"/>
        <v>6</v>
      </c>
      <c r="C368">
        <f t="shared" si="145"/>
        <v>64</v>
      </c>
      <c r="D368">
        <v>0</v>
      </c>
      <c r="E368" t="str">
        <f>VLOOKUP(D368,name!A:B,2,1)</f>
        <v>Player</v>
      </c>
      <c r="F368" t="str">
        <f>F331</f>
        <v>Le vin blanc frais va bien avec la ratatouille.</v>
      </c>
      <c r="G368" t="str">
        <f t="shared" si="167"/>
        <v>q</v>
      </c>
      <c r="H368" t="str">
        <f>VLOOKUP(D368,name!A:C,3,1)</f>
        <v>assets/icons/image326.png</v>
      </c>
      <c r="I368" t="str">
        <f>IF(A368="","",VLOOKUP(A368,lng!A:B,2,0))</f>
        <v>fr-FR</v>
      </c>
    </row>
    <row r="369" spans="1:9" x14ac:dyDescent="0.15">
      <c r="A369" t="str">
        <f t="shared" ref="A369:B369" si="186">A368</f>
        <v>フランス語</v>
      </c>
      <c r="B369">
        <f t="shared" si="186"/>
        <v>6</v>
      </c>
      <c r="C369">
        <f t="shared" si="145"/>
        <v>65</v>
      </c>
      <c r="D369">
        <v>1</v>
      </c>
      <c r="E369" t="str">
        <f>VLOOKUP(D369,name!A:B,2,1)</f>
        <v>Navigator</v>
      </c>
      <c r="F369" t="str">
        <f>"次の日本語を"&amp;A369&amp;"に訳して答えてね！"</f>
        <v>次の日本語をフランス語に訳して答えてね！</v>
      </c>
      <c r="G369" t="str">
        <f t="shared" si="167"/>
        <v>a</v>
      </c>
      <c r="H369" t="str">
        <f>VLOOKUP(D369,name!A:C,3,1)</f>
        <v>assets/icons/image014.png</v>
      </c>
      <c r="I369" t="s">
        <v>463</v>
      </c>
    </row>
    <row r="370" spans="1:9" x14ac:dyDescent="0.15">
      <c r="A370" t="str">
        <f t="shared" ref="A370:B370" si="187">A369</f>
        <v>フランス語</v>
      </c>
      <c r="B370">
        <f t="shared" si="187"/>
        <v>6</v>
      </c>
      <c r="C370">
        <f t="shared" si="145"/>
        <v>66</v>
      </c>
      <c r="D370">
        <f>D308</f>
        <v>5</v>
      </c>
      <c r="E370" t="str">
        <f>VLOOKUP(D370,name!A:B,2,1)</f>
        <v>Minako</v>
      </c>
      <c r="F370" t="str">
        <f t="shared" ref="F370:F393" si="188">F308</f>
        <v>今夜は何を作るの?</v>
      </c>
      <c r="G370" t="str">
        <f t="shared" si="167"/>
        <v>a</v>
      </c>
      <c r="H370" t="str">
        <f>VLOOKUP(D370,name!A:C,3,1)</f>
        <v>assets/icons/image086.png</v>
      </c>
      <c r="I370" t="s">
        <v>463</v>
      </c>
    </row>
    <row r="371" spans="1:9" x14ac:dyDescent="0.15">
      <c r="A371" t="str">
        <f t="shared" ref="A371:B371" si="189">A370</f>
        <v>フランス語</v>
      </c>
      <c r="B371">
        <f t="shared" si="189"/>
        <v>6</v>
      </c>
      <c r="C371">
        <f t="shared" ref="C371:C394" si="190">C370+1</f>
        <v>67</v>
      </c>
      <c r="D371">
        <v>0</v>
      </c>
      <c r="E371" t="str">
        <f>VLOOKUP(D371,name!A:B,2,1)</f>
        <v>Player</v>
      </c>
      <c r="F371" t="str">
        <f t="shared" si="188"/>
        <v>Qu'est-ce que tu vas préparer pour ce soir ?</v>
      </c>
      <c r="G371" t="str">
        <f t="shared" si="167"/>
        <v>q</v>
      </c>
      <c r="H371" t="str">
        <f>VLOOKUP(D371,name!A:C,3,1)</f>
        <v>assets/icons/image326.png</v>
      </c>
      <c r="I371" t="str">
        <f>IF(A371="","",VLOOKUP(A371,lng!A:B,2,0))</f>
        <v>fr-FR</v>
      </c>
    </row>
    <row r="372" spans="1:9" x14ac:dyDescent="0.15">
      <c r="A372" t="str">
        <f t="shared" ref="A372:B372" si="191">A371</f>
        <v>フランス語</v>
      </c>
      <c r="B372">
        <f t="shared" si="191"/>
        <v>6</v>
      </c>
      <c r="C372">
        <f t="shared" si="190"/>
        <v>68</v>
      </c>
      <c r="D372">
        <f>D310</f>
        <v>6</v>
      </c>
      <c r="E372" t="str">
        <f>VLOOKUP(D372,name!A:B,2,1)</f>
        <v>Céline</v>
      </c>
      <c r="F372" t="str">
        <f t="shared" si="188"/>
        <v>ラタトゥイユを作ります。</v>
      </c>
      <c r="G372" t="str">
        <f t="shared" si="167"/>
        <v>a</v>
      </c>
      <c r="H372" t="str">
        <f>VLOOKUP(D372,name!A:C,3,1)</f>
        <v>assets/icons/image078.png</v>
      </c>
      <c r="I372" t="s">
        <v>463</v>
      </c>
    </row>
    <row r="373" spans="1:9" x14ac:dyDescent="0.15">
      <c r="A373" t="str">
        <f t="shared" ref="A373:B373" si="192">A372</f>
        <v>フランス語</v>
      </c>
      <c r="B373">
        <f t="shared" si="192"/>
        <v>6</v>
      </c>
      <c r="C373">
        <f t="shared" si="190"/>
        <v>69</v>
      </c>
      <c r="D373">
        <v>0</v>
      </c>
      <c r="E373" t="str">
        <f>VLOOKUP(D373,name!A:B,2,1)</f>
        <v>Player</v>
      </c>
      <c r="F373" t="str">
        <f t="shared" si="188"/>
        <v>Je vais préparer de la ratatouille.</v>
      </c>
      <c r="G373" t="str">
        <f t="shared" si="167"/>
        <v>q</v>
      </c>
      <c r="H373" t="str">
        <f>VLOOKUP(D373,name!A:C,3,1)</f>
        <v>assets/icons/image326.png</v>
      </c>
      <c r="I373" t="str">
        <f>IF(A373="","",VLOOKUP(A373,lng!A:B,2,0))</f>
        <v>fr-FR</v>
      </c>
    </row>
    <row r="374" spans="1:9" x14ac:dyDescent="0.15">
      <c r="A374" t="str">
        <f t="shared" ref="A374:B374" si="193">A373</f>
        <v>フランス語</v>
      </c>
      <c r="B374">
        <f t="shared" si="193"/>
        <v>6</v>
      </c>
      <c r="C374">
        <f t="shared" si="190"/>
        <v>70</v>
      </c>
      <c r="D374">
        <f>D312</f>
        <v>5</v>
      </c>
      <c r="E374" t="str">
        <f>VLOOKUP(D374,name!A:B,2,1)</f>
        <v>Minako</v>
      </c>
      <c r="F374" t="str">
        <f t="shared" si="188"/>
        <v>それは南部の名物です。</v>
      </c>
      <c r="G374" t="str">
        <f t="shared" si="167"/>
        <v>a</v>
      </c>
      <c r="H374" t="str">
        <f>VLOOKUP(D374,name!A:C,3,1)</f>
        <v>assets/icons/image086.png</v>
      </c>
      <c r="I374" t="s">
        <v>463</v>
      </c>
    </row>
    <row r="375" spans="1:9" x14ac:dyDescent="0.15">
      <c r="A375" t="str">
        <f t="shared" ref="A375:B375" si="194">A374</f>
        <v>フランス語</v>
      </c>
      <c r="B375">
        <f t="shared" si="194"/>
        <v>6</v>
      </c>
      <c r="C375">
        <f t="shared" si="190"/>
        <v>71</v>
      </c>
      <c r="D375">
        <v>0</v>
      </c>
      <c r="E375" t="str">
        <f>VLOOKUP(D375,name!A:B,2,1)</f>
        <v>Player</v>
      </c>
      <c r="F375" t="str">
        <f t="shared" si="188"/>
        <v>C'est une spécialité du Midi.</v>
      </c>
      <c r="G375" t="str">
        <f t="shared" si="167"/>
        <v>q</v>
      </c>
      <c r="H375" t="str">
        <f>VLOOKUP(D375,name!A:C,3,1)</f>
        <v>assets/icons/image326.png</v>
      </c>
      <c r="I375" t="str">
        <f>IF(A375="","",VLOOKUP(A375,lng!A:B,2,0))</f>
        <v>fr-FR</v>
      </c>
    </row>
    <row r="376" spans="1:9" x14ac:dyDescent="0.15">
      <c r="A376" t="str">
        <f t="shared" ref="A376:B376" si="195">A375</f>
        <v>フランス語</v>
      </c>
      <c r="B376">
        <f t="shared" si="195"/>
        <v>6</v>
      </c>
      <c r="C376">
        <f t="shared" si="190"/>
        <v>72</v>
      </c>
      <c r="D376">
        <f>D314</f>
        <v>5</v>
      </c>
      <c r="E376" t="str">
        <f>VLOOKUP(D376,name!A:B,2,1)</f>
        <v>Minako</v>
      </c>
      <c r="F376" t="str">
        <f t="shared" si="188"/>
        <v>では、何を買うのでしょうか。</v>
      </c>
      <c r="G376" t="str">
        <f t="shared" si="167"/>
        <v>a</v>
      </c>
      <c r="H376" t="str">
        <f>VLOOKUP(D376,name!A:C,3,1)</f>
        <v>assets/icons/image086.png</v>
      </c>
      <c r="I376" t="s">
        <v>463</v>
      </c>
    </row>
    <row r="377" spans="1:9" x14ac:dyDescent="0.15">
      <c r="A377" t="str">
        <f t="shared" ref="A377:B377" si="196">A376</f>
        <v>フランス語</v>
      </c>
      <c r="B377">
        <f t="shared" si="196"/>
        <v>6</v>
      </c>
      <c r="C377">
        <f t="shared" si="190"/>
        <v>73</v>
      </c>
      <c r="D377">
        <v>0</v>
      </c>
      <c r="E377" t="str">
        <f>VLOOKUP(D377,name!A:B,2,1)</f>
        <v>Player</v>
      </c>
      <c r="F377" t="str">
        <f t="shared" si="188"/>
        <v>Qu'est-ce qu'on achète alors ?</v>
      </c>
      <c r="G377" t="str">
        <f t="shared" si="167"/>
        <v>q</v>
      </c>
      <c r="H377" t="str">
        <f>VLOOKUP(D377,name!A:C,3,1)</f>
        <v>assets/icons/image326.png</v>
      </c>
      <c r="I377" t="str">
        <f>IF(A377="","",VLOOKUP(A377,lng!A:B,2,0))</f>
        <v>fr-FR</v>
      </c>
    </row>
    <row r="378" spans="1:9" x14ac:dyDescent="0.15">
      <c r="A378" t="str">
        <f t="shared" ref="A378:B378" si="197">A377</f>
        <v>フランス語</v>
      </c>
      <c r="B378">
        <f t="shared" si="197"/>
        <v>6</v>
      </c>
      <c r="C378">
        <f t="shared" si="190"/>
        <v>74</v>
      </c>
      <c r="D378">
        <f>D316</f>
        <v>6</v>
      </c>
      <c r="E378" t="str">
        <f>VLOOKUP(D378,name!A:B,2,1)</f>
        <v>Céline</v>
      </c>
      <c r="F378" t="str">
        <f t="shared" si="188"/>
        <v>買うのはトマトと、</v>
      </c>
      <c r="G378" t="str">
        <f t="shared" si="167"/>
        <v>a</v>
      </c>
      <c r="H378" t="str">
        <f>VLOOKUP(D378,name!A:C,3,1)</f>
        <v>assets/icons/image078.png</v>
      </c>
      <c r="I378" t="s">
        <v>463</v>
      </c>
    </row>
    <row r="379" spans="1:9" x14ac:dyDescent="0.15">
      <c r="A379" t="str">
        <f t="shared" ref="A379:B379" si="198">A378</f>
        <v>フランス語</v>
      </c>
      <c r="B379">
        <f t="shared" si="198"/>
        <v>6</v>
      </c>
      <c r="C379">
        <f t="shared" si="190"/>
        <v>75</v>
      </c>
      <c r="D379">
        <v>0</v>
      </c>
      <c r="E379" t="str">
        <f>VLOOKUP(D379,name!A:B,2,1)</f>
        <v>Player</v>
      </c>
      <c r="F379" t="str">
        <f t="shared" si="188"/>
        <v xml:space="preserve">On achète des tomates, </v>
      </c>
      <c r="G379" t="str">
        <f t="shared" si="167"/>
        <v>q</v>
      </c>
      <c r="H379" t="str">
        <f>VLOOKUP(D379,name!A:C,3,1)</f>
        <v>assets/icons/image326.png</v>
      </c>
      <c r="I379" t="str">
        <f>IF(A379="","",VLOOKUP(A379,lng!A:B,2,0))</f>
        <v>fr-FR</v>
      </c>
    </row>
    <row r="380" spans="1:9" x14ac:dyDescent="0.15">
      <c r="A380" t="str">
        <f t="shared" ref="A380:B380" si="199">A379</f>
        <v>フランス語</v>
      </c>
      <c r="B380">
        <f t="shared" si="199"/>
        <v>6</v>
      </c>
      <c r="C380">
        <f t="shared" si="190"/>
        <v>76</v>
      </c>
      <c r="D380">
        <f>D318</f>
        <v>6</v>
      </c>
      <c r="E380" t="str">
        <f>VLOOKUP(D380,name!A:B,2,1)</f>
        <v>Céline</v>
      </c>
      <c r="F380" t="str">
        <f t="shared" si="188"/>
        <v>ピーマン、</v>
      </c>
      <c r="G380" t="str">
        <f t="shared" si="167"/>
        <v>a</v>
      </c>
      <c r="H380" t="str">
        <f>VLOOKUP(D380,name!A:C,3,1)</f>
        <v>assets/icons/image078.png</v>
      </c>
      <c r="I380" t="s">
        <v>463</v>
      </c>
    </row>
    <row r="381" spans="1:9" x14ac:dyDescent="0.15">
      <c r="A381" t="str">
        <f t="shared" ref="A381:B381" si="200">A380</f>
        <v>フランス語</v>
      </c>
      <c r="B381">
        <f t="shared" si="200"/>
        <v>6</v>
      </c>
      <c r="C381">
        <f t="shared" si="190"/>
        <v>77</v>
      </c>
      <c r="D381">
        <v>0</v>
      </c>
      <c r="E381" t="str">
        <f>VLOOKUP(D381,name!A:B,2,1)</f>
        <v>Player</v>
      </c>
      <c r="F381" t="str">
        <f t="shared" si="188"/>
        <v xml:space="preserve">des poivrons, </v>
      </c>
      <c r="G381" t="str">
        <f t="shared" si="167"/>
        <v>q</v>
      </c>
      <c r="H381" t="str">
        <f>VLOOKUP(D381,name!A:C,3,1)</f>
        <v>assets/icons/image326.png</v>
      </c>
      <c r="I381" t="str">
        <f>IF(A381="","",VLOOKUP(A381,lng!A:B,2,0))</f>
        <v>fr-FR</v>
      </c>
    </row>
    <row r="382" spans="1:9" x14ac:dyDescent="0.15">
      <c r="A382" t="str">
        <f t="shared" ref="A382:B382" si="201">A381</f>
        <v>フランス語</v>
      </c>
      <c r="B382">
        <f t="shared" si="201"/>
        <v>6</v>
      </c>
      <c r="C382">
        <f t="shared" si="190"/>
        <v>78</v>
      </c>
      <c r="D382">
        <f>D320</f>
        <v>6</v>
      </c>
      <c r="E382" t="str">
        <f>VLOOKUP(D382,name!A:B,2,1)</f>
        <v>Céline</v>
      </c>
      <c r="F382" t="str">
        <f t="shared" si="188"/>
        <v>それとズッキーニ。</v>
      </c>
      <c r="G382" t="str">
        <f t="shared" si="167"/>
        <v>a</v>
      </c>
      <c r="H382" t="str">
        <f>VLOOKUP(D382,name!A:C,3,1)</f>
        <v>assets/icons/image078.png</v>
      </c>
      <c r="I382" t="s">
        <v>463</v>
      </c>
    </row>
    <row r="383" spans="1:9" x14ac:dyDescent="0.15">
      <c r="A383" t="str">
        <f t="shared" ref="A383:B383" si="202">A382</f>
        <v>フランス語</v>
      </c>
      <c r="B383">
        <f t="shared" si="202"/>
        <v>6</v>
      </c>
      <c r="C383">
        <f t="shared" si="190"/>
        <v>79</v>
      </c>
      <c r="D383">
        <v>0</v>
      </c>
      <c r="E383" t="str">
        <f>VLOOKUP(D383,name!A:B,2,1)</f>
        <v>Player</v>
      </c>
      <c r="F383" t="str">
        <f t="shared" si="188"/>
        <v>et des courgettes.</v>
      </c>
      <c r="G383" t="str">
        <f t="shared" si="167"/>
        <v>q</v>
      </c>
      <c r="H383" t="str">
        <f>VLOOKUP(D383,name!A:C,3,1)</f>
        <v>assets/icons/image326.png</v>
      </c>
      <c r="I383" t="str">
        <f>IF(A383="","",VLOOKUP(A383,lng!A:B,2,0))</f>
        <v>fr-FR</v>
      </c>
    </row>
    <row r="384" spans="1:9" x14ac:dyDescent="0.15">
      <c r="A384" t="str">
        <f t="shared" ref="A384:B384" si="203">A383</f>
        <v>フランス語</v>
      </c>
      <c r="B384">
        <f t="shared" si="203"/>
        <v>6</v>
      </c>
      <c r="C384">
        <f t="shared" si="190"/>
        <v>80</v>
      </c>
      <c r="D384">
        <f>D322</f>
        <v>7</v>
      </c>
      <c r="E384" t="str">
        <f>VLOOKUP(D384,name!A:B,2,1)</f>
        <v>Luigi</v>
      </c>
      <c r="F384" t="str">
        <f t="shared" si="188"/>
        <v>野菜をたくさん買いますね。</v>
      </c>
      <c r="G384" t="str">
        <f t="shared" si="167"/>
        <v>a</v>
      </c>
      <c r="H384" t="str">
        <f>VLOOKUP(D384,name!A:C,3,1)</f>
        <v>assets/icons/image023.png</v>
      </c>
      <c r="I384" t="s">
        <v>463</v>
      </c>
    </row>
    <row r="385" spans="1:12" x14ac:dyDescent="0.15">
      <c r="A385" t="str">
        <f t="shared" ref="A385:B385" si="204">A384</f>
        <v>フランス語</v>
      </c>
      <c r="B385">
        <f t="shared" si="204"/>
        <v>6</v>
      </c>
      <c r="C385">
        <f t="shared" si="190"/>
        <v>81</v>
      </c>
      <c r="D385">
        <v>0</v>
      </c>
      <c r="E385" t="str">
        <f>VLOOKUP(D385,name!A:B,2,1)</f>
        <v>Player</v>
      </c>
      <c r="F385" t="str">
        <f t="shared" si="188"/>
        <v>On achète beaucoup de légumes.</v>
      </c>
      <c r="G385" t="str">
        <f t="shared" si="167"/>
        <v>q</v>
      </c>
      <c r="H385" t="str">
        <f>VLOOKUP(D385,name!A:C,3,1)</f>
        <v>assets/icons/image326.png</v>
      </c>
      <c r="I385" t="str">
        <f>IF(A385="","",VLOOKUP(A385,lng!A:B,2,0))</f>
        <v>fr-FR</v>
      </c>
    </row>
    <row r="386" spans="1:12" x14ac:dyDescent="0.15">
      <c r="A386" t="str">
        <f t="shared" ref="A386:B386" si="205">A385</f>
        <v>フランス語</v>
      </c>
      <c r="B386">
        <f t="shared" si="205"/>
        <v>6</v>
      </c>
      <c r="C386">
        <f t="shared" si="190"/>
        <v>82</v>
      </c>
      <c r="D386">
        <f>D324</f>
        <v>5</v>
      </c>
      <c r="E386" t="str">
        <f>VLOOKUP(D386,name!A:B,2,1)</f>
        <v>Minako</v>
      </c>
      <c r="F386" t="str">
        <f t="shared" si="188"/>
        <v>それで全部ですか？</v>
      </c>
      <c r="G386" t="str">
        <f t="shared" si="167"/>
        <v>a</v>
      </c>
      <c r="H386" t="str">
        <f>VLOOKUP(D386,name!A:C,3,1)</f>
        <v>assets/icons/image086.png</v>
      </c>
      <c r="I386" t="s">
        <v>463</v>
      </c>
    </row>
    <row r="387" spans="1:12" x14ac:dyDescent="0.15">
      <c r="A387" t="str">
        <f t="shared" ref="A387:B387" si="206">A386</f>
        <v>フランス語</v>
      </c>
      <c r="B387">
        <f t="shared" si="206"/>
        <v>6</v>
      </c>
      <c r="C387">
        <f t="shared" si="190"/>
        <v>83</v>
      </c>
      <c r="D387">
        <v>0</v>
      </c>
      <c r="E387" t="str">
        <f>VLOOKUP(D387,name!A:B,2,1)</f>
        <v>Player</v>
      </c>
      <c r="F387" t="str">
        <f t="shared" si="188"/>
        <v>C'est tout ?</v>
      </c>
      <c r="G387" t="str">
        <f t="shared" si="167"/>
        <v>q</v>
      </c>
      <c r="H387" t="str">
        <f>VLOOKUP(D387,name!A:C,3,1)</f>
        <v>assets/icons/image326.png</v>
      </c>
      <c r="I387" t="str">
        <f>IF(A387="","",VLOOKUP(A387,lng!A:B,2,0))</f>
        <v>fr-FR</v>
      </c>
    </row>
    <row r="388" spans="1:12" x14ac:dyDescent="0.15">
      <c r="A388" t="str">
        <f t="shared" ref="A388:B388" si="207">A387</f>
        <v>フランス語</v>
      </c>
      <c r="B388">
        <f t="shared" si="207"/>
        <v>6</v>
      </c>
      <c r="C388">
        <f t="shared" si="190"/>
        <v>84</v>
      </c>
      <c r="D388">
        <f>D326</f>
        <v>6</v>
      </c>
      <c r="E388" t="str">
        <f>VLOOKUP(D388,name!A:B,2,1)</f>
        <v>Céline</v>
      </c>
      <c r="F388" t="str">
        <f t="shared" si="188"/>
        <v>オリーブオイルと少量の塩も必要です。</v>
      </c>
      <c r="G388" t="str">
        <f t="shared" si="167"/>
        <v>a</v>
      </c>
      <c r="H388" t="str">
        <f>VLOOKUP(D388,name!A:C,3,1)</f>
        <v>assets/icons/image078.png</v>
      </c>
      <c r="I388" t="s">
        <v>463</v>
      </c>
    </row>
    <row r="389" spans="1:12" x14ac:dyDescent="0.15">
      <c r="A389" t="str">
        <f t="shared" ref="A389:B389" si="208">A388</f>
        <v>フランス語</v>
      </c>
      <c r="B389">
        <f t="shared" si="208"/>
        <v>6</v>
      </c>
      <c r="C389">
        <f t="shared" si="190"/>
        <v>85</v>
      </c>
      <c r="D389">
        <v>0</v>
      </c>
      <c r="E389" t="str">
        <f>VLOOKUP(D389,name!A:B,2,1)</f>
        <v>Player</v>
      </c>
      <c r="F389" t="str">
        <f t="shared" si="188"/>
        <v>Il faut de l'huile d'olive et un peu de sel</v>
      </c>
      <c r="G389" t="str">
        <f t="shared" si="167"/>
        <v>q</v>
      </c>
      <c r="H389" t="str">
        <f>VLOOKUP(D389,name!A:C,3,1)</f>
        <v>assets/icons/image326.png</v>
      </c>
      <c r="I389" t="str">
        <f>IF(A389="","",VLOOKUP(A389,lng!A:B,2,0))</f>
        <v>fr-FR</v>
      </c>
    </row>
    <row r="390" spans="1:12" x14ac:dyDescent="0.15">
      <c r="A390" t="str">
        <f t="shared" ref="A390:B390" si="209">A389</f>
        <v>フランス語</v>
      </c>
      <c r="B390">
        <f t="shared" si="209"/>
        <v>6</v>
      </c>
      <c r="C390">
        <f t="shared" si="190"/>
        <v>86</v>
      </c>
      <c r="D390">
        <f>D328</f>
        <v>7</v>
      </c>
      <c r="E390" t="str">
        <f>VLOOKUP(D390,name!A:B,2,1)</f>
        <v>Luigi</v>
      </c>
      <c r="F390" t="str">
        <f t="shared" si="188"/>
        <v>私はワインを選びます。</v>
      </c>
      <c r="G390" t="str">
        <f t="shared" si="167"/>
        <v>a</v>
      </c>
      <c r="H390" t="str">
        <f>VLOOKUP(D390,name!A:C,3,1)</f>
        <v>assets/icons/image023.png</v>
      </c>
      <c r="I390" t="s">
        <v>463</v>
      </c>
    </row>
    <row r="391" spans="1:12" x14ac:dyDescent="0.15">
      <c r="A391" t="str">
        <f t="shared" ref="A391:B391" si="210">A390</f>
        <v>フランス語</v>
      </c>
      <c r="B391">
        <f t="shared" si="210"/>
        <v>6</v>
      </c>
      <c r="C391">
        <f t="shared" si="190"/>
        <v>87</v>
      </c>
      <c r="D391">
        <v>0</v>
      </c>
      <c r="E391" t="str">
        <f>VLOOKUP(D391,name!A:B,2,1)</f>
        <v>Player</v>
      </c>
      <c r="F391" t="str">
        <f t="shared" si="188"/>
        <v>Je choisis le vin.</v>
      </c>
      <c r="G391" t="str">
        <f t="shared" si="167"/>
        <v>q</v>
      </c>
      <c r="H391" t="str">
        <f>VLOOKUP(D391,name!A:C,3,1)</f>
        <v>assets/icons/image326.png</v>
      </c>
      <c r="I391" t="str">
        <f>IF(A391="","",VLOOKUP(A391,lng!A:B,2,0))</f>
        <v>fr-FR</v>
      </c>
    </row>
    <row r="392" spans="1:12" x14ac:dyDescent="0.15">
      <c r="A392" t="str">
        <f t="shared" ref="A392:B392" si="211">A391</f>
        <v>フランス語</v>
      </c>
      <c r="B392">
        <f t="shared" si="211"/>
        <v>6</v>
      </c>
      <c r="C392">
        <f t="shared" si="190"/>
        <v>88</v>
      </c>
      <c r="D392">
        <f>D330</f>
        <v>6</v>
      </c>
      <c r="E392" t="str">
        <f>VLOOKUP(D392,name!A:B,2,1)</f>
        <v>Céline</v>
      </c>
      <c r="F392" t="str">
        <f t="shared" si="188"/>
        <v>冷えた白ワインはラタトゥイユによく合います。</v>
      </c>
      <c r="G392" t="str">
        <f t="shared" si="167"/>
        <v>a</v>
      </c>
      <c r="H392" t="str">
        <f>VLOOKUP(D392,name!A:C,3,1)</f>
        <v>assets/icons/image078.png</v>
      </c>
      <c r="I392" t="s">
        <v>463</v>
      </c>
    </row>
    <row r="393" spans="1:12" x14ac:dyDescent="0.15">
      <c r="A393" t="str">
        <f t="shared" ref="A393:B393" si="212">A392</f>
        <v>フランス語</v>
      </c>
      <c r="B393">
        <f t="shared" si="212"/>
        <v>6</v>
      </c>
      <c r="C393">
        <f t="shared" si="190"/>
        <v>89</v>
      </c>
      <c r="D393">
        <v>0</v>
      </c>
      <c r="E393" t="str">
        <f>VLOOKUP(D393,name!A:B,2,1)</f>
        <v>Player</v>
      </c>
      <c r="F393" t="str">
        <f t="shared" si="188"/>
        <v>Le vin blanc frais va bien avec la ratatouille.</v>
      </c>
      <c r="G393" t="str">
        <f t="shared" si="167"/>
        <v>q</v>
      </c>
      <c r="H393" t="str">
        <f>VLOOKUP(D393,name!A:C,3,1)</f>
        <v>assets/icons/image326.png</v>
      </c>
      <c r="I393" t="str">
        <f>IF(A393="","",VLOOKUP(A393,lng!A:B,2,0))</f>
        <v>fr-FR</v>
      </c>
    </row>
    <row r="394" spans="1:12" x14ac:dyDescent="0.15">
      <c r="A394" t="str">
        <f t="shared" ref="A394:B394" si="213">A393</f>
        <v>フランス語</v>
      </c>
      <c r="B394">
        <f t="shared" si="213"/>
        <v>6</v>
      </c>
      <c r="C394">
        <f t="shared" si="190"/>
        <v>90</v>
      </c>
      <c r="D394">
        <v>1</v>
      </c>
      <c r="E394" t="str">
        <f>VLOOKUP(D394,name!A:B,2,1)</f>
        <v>Navigator</v>
      </c>
      <c r="F394" t="str">
        <f>"とても良くできました。レッスン"&amp;B394&amp;"はこれで終了です。"</f>
        <v>とても良くできました。レッスン6はこれで終了です。</v>
      </c>
      <c r="G394" t="str">
        <f>IF(B394&lt;&gt;B1559,"e",IF(D394=0,"q","a"))</f>
        <v>e</v>
      </c>
      <c r="H394" t="str">
        <f>VLOOKUP(D394,name!A:C,3,1)</f>
        <v>assets/icons/image014.png</v>
      </c>
      <c r="I394" t="s">
        <v>463</v>
      </c>
    </row>
    <row r="395" spans="1:12" x14ac:dyDescent="0.15">
      <c r="A395" t="str">
        <f>A394</f>
        <v>フランス語</v>
      </c>
      <c r="B395">
        <f>B394+1</f>
        <v>7</v>
      </c>
      <c r="C395">
        <v>1</v>
      </c>
      <c r="D395">
        <v>1</v>
      </c>
      <c r="E395" t="str">
        <f>VLOOKUP(D395,name!A:B,2,1)</f>
        <v>Navigator</v>
      </c>
      <c r="F395" t="s">
        <v>525</v>
      </c>
      <c r="G395" t="str">
        <f>IF(B395&lt;&gt;B396,"e",IF(D395=0,"q","a"))</f>
        <v>a</v>
      </c>
      <c r="H395" t="str">
        <f>VLOOKUP(D395,name!A:C,3,1)</f>
        <v>assets/icons/image014.png</v>
      </c>
      <c r="I395" t="str">
        <f>IF(A395="","",VLOOKUP(A395,lng!A:B,2,0))</f>
        <v>fr-FR</v>
      </c>
    </row>
    <row r="396" spans="1:12" x14ac:dyDescent="0.15">
      <c r="A396" t="str">
        <f t="shared" ref="A396:B411" si="214">A395</f>
        <v>フランス語</v>
      </c>
      <c r="B396">
        <f>B395</f>
        <v>7</v>
      </c>
      <c r="C396">
        <f>C395+1</f>
        <v>2</v>
      </c>
      <c r="D396">
        <v>1</v>
      </c>
      <c r="E396" t="str">
        <f>VLOOKUP(D396,name!A:B,2,1)</f>
        <v>Navigator</v>
      </c>
      <c r="F396" t="str">
        <f>"レッスン"&amp;B396</f>
        <v>レッスン7</v>
      </c>
      <c r="G396" t="str">
        <f>IF(B396&lt;&gt;B397,"e",IF(D396=0,"q","a"))</f>
        <v>a</v>
      </c>
      <c r="H396" t="str">
        <f>VLOOKUP(D396,name!A:C,3,1)</f>
        <v>assets/icons/image014.png</v>
      </c>
      <c r="I396" t="s">
        <v>463</v>
      </c>
    </row>
    <row r="397" spans="1:12" ht="40.5" x14ac:dyDescent="0.15">
      <c r="A397" t="str">
        <f t="shared" si="214"/>
        <v>フランス語</v>
      </c>
      <c r="B397">
        <f t="shared" si="214"/>
        <v>7</v>
      </c>
      <c r="C397">
        <f t="shared" ref="C397:C460" si="215">C396+1</f>
        <v>3</v>
      </c>
      <c r="D397">
        <v>1</v>
      </c>
      <c r="E397" t="str">
        <f>VLOOKUP(D397,name!A:B,2,1)</f>
        <v>Navigator</v>
      </c>
      <c r="F397" s="1" t="str">
        <f>"まずは対話文を流します。その後に、日本語と"&amp;A397&amp;"を一文ずつ流すので"&amp;A397&amp;"を真似して下さい。最後に日本語のみを流すので、"&amp;A397&amp;"で答えてください。"</f>
        <v>まずは対話文を流します。その後に、日本語とフランス語を一文ずつ流すのでフランス語を真似して下さい。最後に日本語のみを流すので、フランス語で答えてください。</v>
      </c>
      <c r="G397" t="str">
        <f t="shared" ref="G397:G398" si="216">IF(B397&lt;&gt;B398,"e",IF(D397=0,"q","a"))</f>
        <v>a</v>
      </c>
      <c r="H397" t="str">
        <f>VLOOKUP(D397,name!A:C,3,1)</f>
        <v>assets/icons/image014.png</v>
      </c>
      <c r="I397" t="s">
        <v>463</v>
      </c>
      <c r="L397" s="1"/>
    </row>
    <row r="398" spans="1:12" x14ac:dyDescent="0.15">
      <c r="A398" t="str">
        <f t="shared" si="214"/>
        <v>フランス語</v>
      </c>
      <c r="B398">
        <f t="shared" si="214"/>
        <v>7</v>
      </c>
      <c r="C398">
        <f t="shared" si="215"/>
        <v>4</v>
      </c>
      <c r="D398">
        <f>D399</f>
        <v>6</v>
      </c>
      <c r="E398" t="str">
        <f>VLOOKUP(D398,name!A:B,2,1)</f>
        <v>Céline</v>
      </c>
      <c r="F398" t="s">
        <v>539</v>
      </c>
      <c r="G398" t="str">
        <f t="shared" si="216"/>
        <v>a</v>
      </c>
      <c r="H398" t="str">
        <f>VLOOKUP(D398,name!A:C,3,1)</f>
        <v>assets/icons/image078.png</v>
      </c>
      <c r="I398" t="s">
        <v>463</v>
      </c>
    </row>
    <row r="399" spans="1:12" x14ac:dyDescent="0.15">
      <c r="A399" t="str">
        <f t="shared" si="214"/>
        <v>フランス語</v>
      </c>
      <c r="B399">
        <f t="shared" si="214"/>
        <v>7</v>
      </c>
      <c r="C399">
        <f t="shared" si="215"/>
        <v>5</v>
      </c>
      <c r="D399">
        <f t="shared" ref="D399:D422" si="217">D400</f>
        <v>6</v>
      </c>
      <c r="E399" t="str">
        <f>VLOOKUP(D399,name!A:B,2,1)</f>
        <v>Céline</v>
      </c>
      <c r="F399" t="s">
        <v>526</v>
      </c>
      <c r="G399" t="str">
        <f>IF(B399&lt;&gt;B1564,"e",IF(D399=0,"q","a"))</f>
        <v>e</v>
      </c>
      <c r="H399" t="str">
        <f>VLOOKUP(D399,name!A:C,3,1)</f>
        <v>assets/icons/image078.png</v>
      </c>
      <c r="I399" t="str">
        <f>IF(A399="","",VLOOKUP(A399,lng!A:B,2,0))</f>
        <v>fr-FR</v>
      </c>
    </row>
    <row r="400" spans="1:12" x14ac:dyDescent="0.15">
      <c r="A400" t="str">
        <f t="shared" si="214"/>
        <v>フランス語</v>
      </c>
      <c r="B400">
        <f t="shared" si="214"/>
        <v>7</v>
      </c>
      <c r="C400">
        <f t="shared" si="215"/>
        <v>6</v>
      </c>
      <c r="D400">
        <f t="shared" si="217"/>
        <v>6</v>
      </c>
      <c r="E400" t="str">
        <f>VLOOKUP(D400,name!A:B,2,1)</f>
        <v>Céline</v>
      </c>
      <c r="F400" t="s">
        <v>538</v>
      </c>
      <c r="G400" t="str">
        <f t="shared" ref="G400:G403" si="218">IF(B400&lt;&gt;B401,"e",IF(D400=0,"q","a"))</f>
        <v>a</v>
      </c>
      <c r="H400" t="str">
        <f>VLOOKUP(D400,name!A:C,3,1)</f>
        <v>assets/icons/image078.png</v>
      </c>
      <c r="I400" t="s">
        <v>463</v>
      </c>
    </row>
    <row r="401" spans="1:9" x14ac:dyDescent="0.15">
      <c r="A401" t="str">
        <f t="shared" si="214"/>
        <v>フランス語</v>
      </c>
      <c r="B401">
        <f t="shared" si="214"/>
        <v>7</v>
      </c>
      <c r="C401">
        <f t="shared" si="215"/>
        <v>7</v>
      </c>
      <c r="D401">
        <v>6</v>
      </c>
      <c r="E401" t="str">
        <f>VLOOKUP(D401,name!A:B,2,1)</f>
        <v>Céline</v>
      </c>
      <c r="F401" t="s">
        <v>530</v>
      </c>
      <c r="G401" t="str">
        <f t="shared" si="218"/>
        <v>a</v>
      </c>
      <c r="H401" t="str">
        <f>VLOOKUP(D401,name!A:C,3,1)</f>
        <v>assets/icons/image078.png</v>
      </c>
      <c r="I401" t="str">
        <f>IF(A401="","",VLOOKUP(A401,lng!A:B,2,0))</f>
        <v>fr-FR</v>
      </c>
    </row>
    <row r="402" spans="1:9" x14ac:dyDescent="0.15">
      <c r="A402" t="str">
        <f t="shared" si="214"/>
        <v>フランス語</v>
      </c>
      <c r="B402">
        <f t="shared" si="214"/>
        <v>7</v>
      </c>
      <c r="C402">
        <f t="shared" si="215"/>
        <v>8</v>
      </c>
      <c r="D402">
        <f t="shared" si="217"/>
        <v>5</v>
      </c>
      <c r="E402" t="str">
        <f>VLOOKUP(D402,name!A:B,2,1)</f>
        <v>Minako</v>
      </c>
      <c r="F402" t="s">
        <v>540</v>
      </c>
      <c r="G402" t="str">
        <f t="shared" si="218"/>
        <v>a</v>
      </c>
      <c r="H402" t="str">
        <f>VLOOKUP(D402,name!A:C,3,1)</f>
        <v>assets/icons/image086.png</v>
      </c>
      <c r="I402" t="s">
        <v>463</v>
      </c>
    </row>
    <row r="403" spans="1:9" x14ac:dyDescent="0.15">
      <c r="A403" t="str">
        <f t="shared" si="214"/>
        <v>フランス語</v>
      </c>
      <c r="B403">
        <f t="shared" si="214"/>
        <v>7</v>
      </c>
      <c r="C403">
        <f t="shared" si="215"/>
        <v>9</v>
      </c>
      <c r="D403">
        <v>5</v>
      </c>
      <c r="E403" t="str">
        <f>VLOOKUP(D403,name!A:B,2,1)</f>
        <v>Minako</v>
      </c>
      <c r="F403" t="s">
        <v>527</v>
      </c>
      <c r="G403" t="str">
        <f t="shared" si="218"/>
        <v>a</v>
      </c>
      <c r="H403" t="str">
        <f>VLOOKUP(D403,name!A:C,3,1)</f>
        <v>assets/icons/image086.png</v>
      </c>
      <c r="I403" t="str">
        <f>IF(A403="","",VLOOKUP(A403,lng!A:B,2,0))</f>
        <v>fr-FR</v>
      </c>
    </row>
    <row r="404" spans="1:9" x14ac:dyDescent="0.15">
      <c r="A404" t="str">
        <f t="shared" si="214"/>
        <v>フランス語</v>
      </c>
      <c r="B404">
        <f t="shared" si="214"/>
        <v>7</v>
      </c>
      <c r="C404">
        <f t="shared" si="215"/>
        <v>10</v>
      </c>
      <c r="D404">
        <f t="shared" si="217"/>
        <v>6</v>
      </c>
      <c r="E404" t="str">
        <f>VLOOKUP(D404,name!A:B,2,1)</f>
        <v>Céline</v>
      </c>
      <c r="F404" t="s">
        <v>542</v>
      </c>
      <c r="G404" t="str">
        <f>IF(B404&lt;&gt;B1569,"e",IF(D404=0,"q","a"))</f>
        <v>e</v>
      </c>
      <c r="H404" t="str">
        <f>VLOOKUP(D404,name!A:C,3,1)</f>
        <v>assets/icons/image078.png</v>
      </c>
      <c r="I404" t="s">
        <v>463</v>
      </c>
    </row>
    <row r="405" spans="1:9" x14ac:dyDescent="0.15">
      <c r="A405" t="str">
        <f t="shared" si="214"/>
        <v>フランス語</v>
      </c>
      <c r="B405">
        <f t="shared" si="214"/>
        <v>7</v>
      </c>
      <c r="C405">
        <f t="shared" si="215"/>
        <v>11</v>
      </c>
      <c r="D405">
        <f t="shared" si="217"/>
        <v>6</v>
      </c>
      <c r="E405" t="str">
        <f>VLOOKUP(D405,name!A:B,2,1)</f>
        <v>Céline</v>
      </c>
      <c r="F405" t="s">
        <v>528</v>
      </c>
      <c r="G405" t="str">
        <f t="shared" ref="G405:G408" si="219">IF(B405&lt;&gt;B406,"e",IF(D405=0,"q","a"))</f>
        <v>a</v>
      </c>
      <c r="H405" t="str">
        <f>VLOOKUP(D405,name!A:C,3,1)</f>
        <v>assets/icons/image078.png</v>
      </c>
      <c r="I405" t="str">
        <f>IF(A405="","",VLOOKUP(A405,lng!A:B,2,0))</f>
        <v>fr-FR</v>
      </c>
    </row>
    <row r="406" spans="1:9" x14ac:dyDescent="0.15">
      <c r="A406" t="str">
        <f t="shared" si="214"/>
        <v>フランス語</v>
      </c>
      <c r="B406">
        <f t="shared" si="214"/>
        <v>7</v>
      </c>
      <c r="C406">
        <f t="shared" si="215"/>
        <v>12</v>
      </c>
      <c r="D406">
        <f t="shared" si="217"/>
        <v>6</v>
      </c>
      <c r="E406" t="str">
        <f>VLOOKUP(D406,name!A:B,2,1)</f>
        <v>Céline</v>
      </c>
      <c r="F406" t="s">
        <v>541</v>
      </c>
      <c r="G406" t="str">
        <f t="shared" si="219"/>
        <v>a</v>
      </c>
      <c r="H406" t="str">
        <f>VLOOKUP(D406,name!A:C,3,1)</f>
        <v>assets/icons/image078.png</v>
      </c>
      <c r="I406" t="s">
        <v>463</v>
      </c>
    </row>
    <row r="407" spans="1:9" x14ac:dyDescent="0.15">
      <c r="A407" t="str">
        <f t="shared" si="214"/>
        <v>フランス語</v>
      </c>
      <c r="B407">
        <f t="shared" si="214"/>
        <v>7</v>
      </c>
      <c r="C407">
        <f t="shared" si="215"/>
        <v>13</v>
      </c>
      <c r="D407">
        <v>6</v>
      </c>
      <c r="E407" t="str">
        <f>VLOOKUP(D407,name!A:B,2,1)</f>
        <v>Céline</v>
      </c>
      <c r="F407" t="s">
        <v>531</v>
      </c>
      <c r="G407" t="str">
        <f t="shared" si="219"/>
        <v>a</v>
      </c>
      <c r="H407" t="str">
        <f>VLOOKUP(D407,name!A:C,3,1)</f>
        <v>assets/icons/image078.png</v>
      </c>
      <c r="I407" t="str">
        <f>IF(A407="","",VLOOKUP(A407,lng!A:B,2,0))</f>
        <v>fr-FR</v>
      </c>
    </row>
    <row r="408" spans="1:9" x14ac:dyDescent="0.15">
      <c r="A408" t="str">
        <f t="shared" si="214"/>
        <v>フランス語</v>
      </c>
      <c r="B408">
        <f t="shared" si="214"/>
        <v>7</v>
      </c>
      <c r="C408">
        <f t="shared" si="215"/>
        <v>14</v>
      </c>
      <c r="D408">
        <f t="shared" si="217"/>
        <v>5</v>
      </c>
      <c r="E408" t="str">
        <f>VLOOKUP(D408,name!A:B,2,1)</f>
        <v>Minako</v>
      </c>
      <c r="F408" t="s">
        <v>543</v>
      </c>
      <c r="G408" t="str">
        <f t="shared" si="219"/>
        <v>a</v>
      </c>
      <c r="H408" t="str">
        <f>VLOOKUP(D408,name!A:C,3,1)</f>
        <v>assets/icons/image086.png</v>
      </c>
      <c r="I408" t="s">
        <v>463</v>
      </c>
    </row>
    <row r="409" spans="1:9" x14ac:dyDescent="0.15">
      <c r="A409" t="str">
        <f t="shared" si="214"/>
        <v>フランス語</v>
      </c>
      <c r="B409">
        <f t="shared" si="214"/>
        <v>7</v>
      </c>
      <c r="C409">
        <f t="shared" si="215"/>
        <v>15</v>
      </c>
      <c r="D409">
        <v>5</v>
      </c>
      <c r="E409" t="str">
        <f>VLOOKUP(D409,name!A:B,2,1)</f>
        <v>Minako</v>
      </c>
      <c r="F409" t="s">
        <v>529</v>
      </c>
      <c r="G409" t="str">
        <f>IF(B409&lt;&gt;B1574,"e",IF(D409=0,"q","a"))</f>
        <v>e</v>
      </c>
      <c r="H409" t="str">
        <f>VLOOKUP(D409,name!A:C,3,1)</f>
        <v>assets/icons/image086.png</v>
      </c>
      <c r="I409" t="str">
        <f>IF(A409="","",VLOOKUP(A409,lng!A:B,2,0))</f>
        <v>fr-FR</v>
      </c>
    </row>
    <row r="410" spans="1:9" x14ac:dyDescent="0.15">
      <c r="A410" t="str">
        <f t="shared" si="214"/>
        <v>フランス語</v>
      </c>
      <c r="B410">
        <f t="shared" si="214"/>
        <v>7</v>
      </c>
      <c r="C410">
        <f t="shared" si="215"/>
        <v>16</v>
      </c>
      <c r="D410">
        <f t="shared" si="217"/>
        <v>7</v>
      </c>
      <c r="E410" t="str">
        <f>VLOOKUP(D410,name!A:B,2,1)</f>
        <v>Luigi</v>
      </c>
      <c r="F410" t="s">
        <v>545</v>
      </c>
      <c r="G410" t="str">
        <f t="shared" ref="G410:G413" si="220">IF(B410&lt;&gt;B411,"e",IF(D410=0,"q","a"))</f>
        <v>a</v>
      </c>
      <c r="H410" t="str">
        <f>VLOOKUP(D410,name!A:C,3,1)</f>
        <v>assets/icons/image023.png</v>
      </c>
      <c r="I410" t="s">
        <v>463</v>
      </c>
    </row>
    <row r="411" spans="1:9" x14ac:dyDescent="0.15">
      <c r="A411" t="str">
        <f t="shared" si="214"/>
        <v>フランス語</v>
      </c>
      <c r="B411">
        <f t="shared" si="214"/>
        <v>7</v>
      </c>
      <c r="C411">
        <f t="shared" si="215"/>
        <v>17</v>
      </c>
      <c r="D411">
        <v>7</v>
      </c>
      <c r="E411" t="str">
        <f>VLOOKUP(D411,name!A:B,2,1)</f>
        <v>Luigi</v>
      </c>
      <c r="F411" t="s">
        <v>544</v>
      </c>
      <c r="G411" t="str">
        <f t="shared" si="220"/>
        <v>a</v>
      </c>
      <c r="H411" t="str">
        <f>VLOOKUP(D411,name!A:C,3,1)</f>
        <v>assets/icons/image023.png</v>
      </c>
      <c r="I411" t="str">
        <f>IF(A411="","",VLOOKUP(A411,lng!A:B,2,0))</f>
        <v>fr-FR</v>
      </c>
    </row>
    <row r="412" spans="1:9" x14ac:dyDescent="0.15">
      <c r="A412" t="str">
        <f t="shared" ref="A412:B423" si="221">A411</f>
        <v>フランス語</v>
      </c>
      <c r="B412">
        <f t="shared" si="221"/>
        <v>7</v>
      </c>
      <c r="C412">
        <f t="shared" si="215"/>
        <v>18</v>
      </c>
      <c r="D412">
        <f t="shared" si="217"/>
        <v>6</v>
      </c>
      <c r="E412" t="str">
        <f>VLOOKUP(D412,name!A:B,2,1)</f>
        <v>Céline</v>
      </c>
      <c r="F412" t="s">
        <v>546</v>
      </c>
      <c r="G412" t="str">
        <f t="shared" si="220"/>
        <v>a</v>
      </c>
      <c r="H412" t="str">
        <f>VLOOKUP(D412,name!A:C,3,1)</f>
        <v>assets/icons/image078.png</v>
      </c>
      <c r="I412" t="s">
        <v>463</v>
      </c>
    </row>
    <row r="413" spans="1:9" x14ac:dyDescent="0.15">
      <c r="A413" t="str">
        <f t="shared" si="221"/>
        <v>フランス語</v>
      </c>
      <c r="B413">
        <f t="shared" si="221"/>
        <v>7</v>
      </c>
      <c r="C413">
        <f t="shared" si="215"/>
        <v>19</v>
      </c>
      <c r="D413">
        <f t="shared" si="217"/>
        <v>6</v>
      </c>
      <c r="E413" t="str">
        <f>VLOOKUP(D413,name!A:B,2,1)</f>
        <v>Céline</v>
      </c>
      <c r="F413" t="s">
        <v>532</v>
      </c>
      <c r="G413" t="str">
        <f t="shared" si="220"/>
        <v>a</v>
      </c>
      <c r="H413" t="str">
        <f>VLOOKUP(D413,name!A:C,3,1)</f>
        <v>assets/icons/image078.png</v>
      </c>
      <c r="I413" t="str">
        <f>IF(A413="","",VLOOKUP(A413,lng!A:B,2,0))</f>
        <v>fr-FR</v>
      </c>
    </row>
    <row r="414" spans="1:9" x14ac:dyDescent="0.15">
      <c r="A414" t="str">
        <f t="shared" si="221"/>
        <v>フランス語</v>
      </c>
      <c r="B414">
        <f t="shared" si="221"/>
        <v>7</v>
      </c>
      <c r="C414">
        <f t="shared" si="215"/>
        <v>20</v>
      </c>
      <c r="D414">
        <f t="shared" si="217"/>
        <v>6</v>
      </c>
      <c r="E414" t="str">
        <f>VLOOKUP(D414,name!A:B,2,1)</f>
        <v>Céline</v>
      </c>
      <c r="F414" t="s">
        <v>547</v>
      </c>
      <c r="G414" t="str">
        <f>IF(B414&lt;&gt;B1579,"e",IF(D414=0,"q","a"))</f>
        <v>e</v>
      </c>
      <c r="H414" t="str">
        <f>VLOOKUP(D414,name!A:C,3,1)</f>
        <v>assets/icons/image078.png</v>
      </c>
      <c r="I414" t="s">
        <v>463</v>
      </c>
    </row>
    <row r="415" spans="1:9" x14ac:dyDescent="0.15">
      <c r="A415" t="str">
        <f t="shared" si="221"/>
        <v>フランス語</v>
      </c>
      <c r="B415">
        <f t="shared" si="221"/>
        <v>7</v>
      </c>
      <c r="C415">
        <f t="shared" si="215"/>
        <v>21</v>
      </c>
      <c r="D415">
        <v>6</v>
      </c>
      <c r="E415" t="str">
        <f>VLOOKUP(D415,name!A:B,2,1)</f>
        <v>Céline</v>
      </c>
      <c r="F415" t="s">
        <v>533</v>
      </c>
      <c r="G415" t="str">
        <f t="shared" ref="G415:G478" si="222">IF(B415&lt;&gt;B416,"e",IF(D415=0,"q","a"))</f>
        <v>a</v>
      </c>
      <c r="H415" t="str">
        <f>VLOOKUP(D415,name!A:C,3,1)</f>
        <v>assets/icons/image078.png</v>
      </c>
      <c r="I415" t="str">
        <f>IF(A415="","",VLOOKUP(A415,lng!A:B,2,0))</f>
        <v>fr-FR</v>
      </c>
    </row>
    <row r="416" spans="1:9" x14ac:dyDescent="0.15">
      <c r="A416" t="str">
        <f t="shared" si="221"/>
        <v>フランス語</v>
      </c>
      <c r="B416">
        <f t="shared" si="221"/>
        <v>7</v>
      </c>
      <c r="C416">
        <f t="shared" si="215"/>
        <v>22</v>
      </c>
      <c r="D416">
        <f t="shared" si="217"/>
        <v>7</v>
      </c>
      <c r="E416" t="str">
        <f>VLOOKUP(D416,name!A:B,2,1)</f>
        <v>Luigi</v>
      </c>
      <c r="F416" t="s">
        <v>548</v>
      </c>
      <c r="G416" t="str">
        <f t="shared" ref="G416" si="223">IF(B416&lt;&gt;B1581,"e",IF(D416=0,"q","a"))</f>
        <v>e</v>
      </c>
      <c r="H416" t="str">
        <f>VLOOKUP(D416,name!A:C,3,1)</f>
        <v>assets/icons/image023.png</v>
      </c>
      <c r="I416" t="s">
        <v>463</v>
      </c>
    </row>
    <row r="417" spans="1:9" x14ac:dyDescent="0.15">
      <c r="A417" t="str">
        <f t="shared" si="221"/>
        <v>フランス語</v>
      </c>
      <c r="B417">
        <f t="shared" si="221"/>
        <v>7</v>
      </c>
      <c r="C417">
        <f t="shared" si="215"/>
        <v>23</v>
      </c>
      <c r="D417">
        <v>7</v>
      </c>
      <c r="E417" t="str">
        <f>VLOOKUP(D417,name!A:B,2,1)</f>
        <v>Luigi</v>
      </c>
      <c r="F417" t="s">
        <v>534</v>
      </c>
      <c r="G417" t="str">
        <f t="shared" ref="G417:G480" si="224">IF(B417&lt;&gt;B418,"e",IF(D417=0,"q","a"))</f>
        <v>a</v>
      </c>
      <c r="H417" t="str">
        <f>VLOOKUP(D417,name!A:C,3,1)</f>
        <v>assets/icons/image023.png</v>
      </c>
      <c r="I417" t="str">
        <f>IF(A417="","",VLOOKUP(A417,lng!A:B,2,0))</f>
        <v>fr-FR</v>
      </c>
    </row>
    <row r="418" spans="1:9" x14ac:dyDescent="0.15">
      <c r="A418" t="str">
        <f t="shared" si="221"/>
        <v>フランス語</v>
      </c>
      <c r="B418">
        <f t="shared" si="221"/>
        <v>7</v>
      </c>
      <c r="C418">
        <f t="shared" si="215"/>
        <v>24</v>
      </c>
      <c r="D418">
        <f t="shared" si="217"/>
        <v>5</v>
      </c>
      <c r="E418" t="str">
        <f>VLOOKUP(D418,name!A:B,2,1)</f>
        <v>Minako</v>
      </c>
      <c r="F418" t="s">
        <v>549</v>
      </c>
      <c r="G418" t="str">
        <f t="shared" ref="G418" si="225">IF(B418&lt;&gt;B1583,"e",IF(D418=0,"q","a"))</f>
        <v>e</v>
      </c>
      <c r="H418" t="str">
        <f>VLOOKUP(D418,name!A:C,3,1)</f>
        <v>assets/icons/image086.png</v>
      </c>
      <c r="I418" t="s">
        <v>463</v>
      </c>
    </row>
    <row r="419" spans="1:9" x14ac:dyDescent="0.15">
      <c r="A419" t="str">
        <f t="shared" si="221"/>
        <v>フランス語</v>
      </c>
      <c r="B419">
        <f t="shared" si="221"/>
        <v>7</v>
      </c>
      <c r="C419">
        <f t="shared" si="215"/>
        <v>25</v>
      </c>
      <c r="D419">
        <v>5</v>
      </c>
      <c r="E419" t="str">
        <f>VLOOKUP(D419,name!A:B,2,1)</f>
        <v>Minako</v>
      </c>
      <c r="F419" t="s">
        <v>535</v>
      </c>
      <c r="G419" t="str">
        <f t="shared" ref="G419:G482" si="226">IF(B419&lt;&gt;B420,"e",IF(D419=0,"q","a"))</f>
        <v>a</v>
      </c>
      <c r="H419" t="str">
        <f>VLOOKUP(D419,name!A:C,3,1)</f>
        <v>assets/icons/image086.png</v>
      </c>
      <c r="I419" t="str">
        <f>IF(A419="","",VLOOKUP(A419,lng!A:B,2,0))</f>
        <v>fr-FR</v>
      </c>
    </row>
    <row r="420" spans="1:9" x14ac:dyDescent="0.15">
      <c r="A420" t="str">
        <f t="shared" si="221"/>
        <v>フランス語</v>
      </c>
      <c r="B420">
        <f t="shared" si="221"/>
        <v>7</v>
      </c>
      <c r="C420">
        <f t="shared" si="215"/>
        <v>26</v>
      </c>
      <c r="D420">
        <f t="shared" si="217"/>
        <v>6</v>
      </c>
      <c r="E420" t="str">
        <f>VLOOKUP(D420,name!A:B,2,1)</f>
        <v>Céline</v>
      </c>
      <c r="F420" t="s">
        <v>550</v>
      </c>
      <c r="G420" t="str">
        <f t="shared" ref="G420" si="227">IF(B420&lt;&gt;B1585,"e",IF(D420=0,"q","a"))</f>
        <v>e</v>
      </c>
      <c r="H420" t="str">
        <f>VLOOKUP(D420,name!A:C,3,1)</f>
        <v>assets/icons/image078.png</v>
      </c>
      <c r="I420" t="s">
        <v>463</v>
      </c>
    </row>
    <row r="421" spans="1:9" x14ac:dyDescent="0.15">
      <c r="A421" t="str">
        <f t="shared" si="221"/>
        <v>フランス語</v>
      </c>
      <c r="B421">
        <f t="shared" si="221"/>
        <v>7</v>
      </c>
      <c r="C421">
        <f t="shared" si="215"/>
        <v>27</v>
      </c>
      <c r="D421">
        <f t="shared" si="217"/>
        <v>6</v>
      </c>
      <c r="E421" t="str">
        <f>VLOOKUP(D421,name!A:B,2,1)</f>
        <v>Céline</v>
      </c>
      <c r="F421" t="s">
        <v>537</v>
      </c>
      <c r="G421" t="str">
        <f t="shared" ref="G421:G484" si="228">IF(B421&lt;&gt;B422,"e",IF(D421=0,"q","a"))</f>
        <v>a</v>
      </c>
      <c r="H421" t="str">
        <f>VLOOKUP(D421,name!A:C,3,1)</f>
        <v>assets/icons/image078.png</v>
      </c>
      <c r="I421" t="str">
        <f>IF(A421="","",VLOOKUP(A421,lng!A:B,2,0))</f>
        <v>fr-FR</v>
      </c>
    </row>
    <row r="422" spans="1:9" x14ac:dyDescent="0.15">
      <c r="A422" t="str">
        <f t="shared" si="221"/>
        <v>フランス語</v>
      </c>
      <c r="B422">
        <f t="shared" si="221"/>
        <v>7</v>
      </c>
      <c r="C422">
        <f t="shared" si="215"/>
        <v>28</v>
      </c>
      <c r="D422">
        <f t="shared" si="217"/>
        <v>6</v>
      </c>
      <c r="E422" t="str">
        <f>VLOOKUP(D422,name!A:B,2,1)</f>
        <v>Céline</v>
      </c>
      <c r="F422" t="s">
        <v>551</v>
      </c>
      <c r="G422" t="str">
        <f t="shared" ref="G422" si="229">IF(B422&lt;&gt;B1587,"e",IF(D422=0,"q","a"))</f>
        <v>e</v>
      </c>
      <c r="H422" t="str">
        <f>VLOOKUP(D422,name!A:C,3,1)</f>
        <v>assets/icons/image078.png</v>
      </c>
      <c r="I422" t="s">
        <v>463</v>
      </c>
    </row>
    <row r="423" spans="1:9" x14ac:dyDescent="0.15">
      <c r="A423" t="str">
        <f t="shared" si="221"/>
        <v>フランス語</v>
      </c>
      <c r="B423">
        <f t="shared" si="221"/>
        <v>7</v>
      </c>
      <c r="C423">
        <f t="shared" si="215"/>
        <v>29</v>
      </c>
      <c r="D423">
        <v>6</v>
      </c>
      <c r="E423" t="str">
        <f>VLOOKUP(D423,name!A:B,2,1)</f>
        <v>Céline</v>
      </c>
      <c r="F423" t="s">
        <v>536</v>
      </c>
      <c r="G423" t="str">
        <f t="shared" ref="G423:G486" si="230">IF(B423&lt;&gt;B424,"e",IF(D423=0,"q","a"))</f>
        <v>a</v>
      </c>
      <c r="H423" t="str">
        <f>VLOOKUP(D423,name!A:C,3,1)</f>
        <v>assets/icons/image078.png</v>
      </c>
      <c r="I423" t="str">
        <f>IF(A423="","",VLOOKUP(A423,lng!A:B,2,0))</f>
        <v>fr-FR</v>
      </c>
    </row>
    <row r="424" spans="1:9" x14ac:dyDescent="0.15">
      <c r="A424" t="str">
        <f t="shared" ref="A424:B424" si="231">A423</f>
        <v>フランス語</v>
      </c>
      <c r="B424">
        <f t="shared" si="231"/>
        <v>7</v>
      </c>
      <c r="C424">
        <f t="shared" si="215"/>
        <v>30</v>
      </c>
      <c r="D424">
        <v>1</v>
      </c>
      <c r="E424" t="str">
        <f>VLOOKUP(D424,name!A:B,2,1)</f>
        <v>Navigator</v>
      </c>
      <c r="F424" t="str">
        <f>"次の"&amp;A424&amp;"を真似してね！"</f>
        <v>次のフランス語を真似してね！</v>
      </c>
      <c r="G424" t="str">
        <f t="shared" ref="G424" si="232">IF(B424&lt;&gt;B1589,"e",IF(D424=0,"q","a"))</f>
        <v>e</v>
      </c>
      <c r="H424" t="str">
        <f>VLOOKUP(D424,name!A:C,3,1)</f>
        <v>assets/icons/image014.png</v>
      </c>
      <c r="I424" t="s">
        <v>463</v>
      </c>
    </row>
    <row r="425" spans="1:9" x14ac:dyDescent="0.15">
      <c r="A425" t="str">
        <f t="shared" ref="A425:B425" si="233">A424</f>
        <v>フランス語</v>
      </c>
      <c r="B425">
        <f t="shared" si="233"/>
        <v>7</v>
      </c>
      <c r="C425">
        <f t="shared" si="215"/>
        <v>31</v>
      </c>
      <c r="D425">
        <f>D398</f>
        <v>6</v>
      </c>
      <c r="E425" t="str">
        <f>VLOOKUP(D425,name!A:B,2,1)</f>
        <v>Céline</v>
      </c>
      <c r="F425" t="str">
        <f>F398</f>
        <v>美奈子、どうしたの?</v>
      </c>
      <c r="G425" t="str">
        <f t="shared" ref="G425:G488" si="234">IF(B425&lt;&gt;B426,"e",IF(D425=0,"q","a"))</f>
        <v>a</v>
      </c>
      <c r="H425" t="str">
        <f>VLOOKUP(D425,name!A:C,3,1)</f>
        <v>assets/icons/image078.png</v>
      </c>
      <c r="I425" t="s">
        <v>463</v>
      </c>
    </row>
    <row r="426" spans="1:9" x14ac:dyDescent="0.15">
      <c r="A426" t="str">
        <f t="shared" ref="A426:B426" si="235">A425</f>
        <v>フランス語</v>
      </c>
      <c r="B426">
        <f t="shared" si="235"/>
        <v>7</v>
      </c>
      <c r="C426">
        <f t="shared" si="215"/>
        <v>32</v>
      </c>
      <c r="D426">
        <f>D399</f>
        <v>6</v>
      </c>
      <c r="E426" t="str">
        <f>VLOOKUP(D426,name!A:B,2,1)</f>
        <v>Céline</v>
      </c>
      <c r="F426" t="str">
        <f>F399</f>
        <v>Minako, Qu'est-ce que tu as ?</v>
      </c>
      <c r="G426" t="str">
        <f t="shared" ref="G426" si="236">IF(B426&lt;&gt;B1591,"e",IF(D426=0,"q","a"))</f>
        <v>e</v>
      </c>
      <c r="H426" t="str">
        <f>VLOOKUP(D426,name!A:C,3,1)</f>
        <v>assets/icons/image078.png</v>
      </c>
      <c r="I426" t="str">
        <f>IF(A426="","",VLOOKUP(A426,lng!A:B,2,0))</f>
        <v>fr-FR</v>
      </c>
    </row>
    <row r="427" spans="1:9" x14ac:dyDescent="0.15">
      <c r="A427" t="str">
        <f t="shared" ref="A427:B427" si="237">A426</f>
        <v>フランス語</v>
      </c>
      <c r="B427">
        <f t="shared" si="237"/>
        <v>7</v>
      </c>
      <c r="C427">
        <f t="shared" si="215"/>
        <v>33</v>
      </c>
      <c r="D427">
        <v>0</v>
      </c>
      <c r="E427" t="str">
        <f>VLOOKUP(D427,name!A:B,2,1)</f>
        <v>Player</v>
      </c>
      <c r="F427" t="str">
        <f>F399</f>
        <v>Minako, Qu'est-ce que tu as ?</v>
      </c>
      <c r="G427" t="str">
        <f t="shared" ref="G427:G490" si="238">IF(B427&lt;&gt;B428,"e",IF(D427=0,"q","a"))</f>
        <v>q</v>
      </c>
      <c r="H427" t="str">
        <f>VLOOKUP(D427,name!A:C,3,1)</f>
        <v>assets/icons/image326.png</v>
      </c>
      <c r="I427" t="str">
        <f>IF(A427="","",VLOOKUP(A427,lng!A:B,2,0))</f>
        <v>fr-FR</v>
      </c>
    </row>
    <row r="428" spans="1:9" x14ac:dyDescent="0.15">
      <c r="A428" t="str">
        <f t="shared" ref="A428:B428" si="239">A427</f>
        <v>フランス語</v>
      </c>
      <c r="B428">
        <f t="shared" si="239"/>
        <v>7</v>
      </c>
      <c r="C428">
        <f t="shared" si="215"/>
        <v>34</v>
      </c>
      <c r="D428">
        <f>D400</f>
        <v>6</v>
      </c>
      <c r="E428" t="str">
        <f>VLOOKUP(D428,name!A:B,2,1)</f>
        <v>Céline</v>
      </c>
      <c r="F428" t="str">
        <f>F400</f>
        <v>体調が悪いですか?</v>
      </c>
      <c r="G428" t="str">
        <f t="shared" ref="G428" si="240">IF(B428&lt;&gt;B1593,"e",IF(D428=0,"q","a"))</f>
        <v>e</v>
      </c>
      <c r="H428" t="str">
        <f>VLOOKUP(D428,name!A:C,3,1)</f>
        <v>assets/icons/image078.png</v>
      </c>
      <c r="I428" t="s">
        <v>463</v>
      </c>
    </row>
    <row r="429" spans="1:9" x14ac:dyDescent="0.15">
      <c r="A429" t="str">
        <f t="shared" ref="A429:B429" si="241">A428</f>
        <v>フランス語</v>
      </c>
      <c r="B429">
        <f t="shared" si="241"/>
        <v>7</v>
      </c>
      <c r="C429">
        <f t="shared" si="215"/>
        <v>35</v>
      </c>
      <c r="D429">
        <f>D401</f>
        <v>6</v>
      </c>
      <c r="E429" t="str">
        <f>VLOOKUP(D429,name!A:B,2,1)</f>
        <v>Céline</v>
      </c>
      <c r="F429" t="str">
        <f>F401</f>
        <v>Tune vas pas bien ?</v>
      </c>
      <c r="G429" t="str">
        <f t="shared" ref="G429:G492" si="242">IF(B429&lt;&gt;B430,"e",IF(D429=0,"q","a"))</f>
        <v>a</v>
      </c>
      <c r="H429" t="str">
        <f>VLOOKUP(D429,name!A:C,3,1)</f>
        <v>assets/icons/image078.png</v>
      </c>
      <c r="I429" t="str">
        <f>IF(A429="","",VLOOKUP(A429,lng!A:B,2,0))</f>
        <v>fr-FR</v>
      </c>
    </row>
    <row r="430" spans="1:9" x14ac:dyDescent="0.15">
      <c r="A430" t="str">
        <f t="shared" ref="A430:B430" si="243">A429</f>
        <v>フランス語</v>
      </c>
      <c r="B430">
        <f t="shared" si="243"/>
        <v>7</v>
      </c>
      <c r="C430">
        <f t="shared" si="215"/>
        <v>36</v>
      </c>
      <c r="D430">
        <v>0</v>
      </c>
      <c r="E430" t="str">
        <f>VLOOKUP(D430,name!A:B,2,1)</f>
        <v>Player</v>
      </c>
      <c r="F430" t="str">
        <f>F401</f>
        <v>Tune vas pas bien ?</v>
      </c>
      <c r="G430" t="str">
        <f t="shared" ref="G430" si="244">IF(B430&lt;&gt;B1595,"e",IF(D430=0,"q","a"))</f>
        <v>e</v>
      </c>
      <c r="H430" t="str">
        <f>VLOOKUP(D430,name!A:C,3,1)</f>
        <v>assets/icons/image326.png</v>
      </c>
      <c r="I430" t="str">
        <f>IF(A430="","",VLOOKUP(A430,lng!A:B,2,0))</f>
        <v>fr-FR</v>
      </c>
    </row>
    <row r="431" spans="1:9" x14ac:dyDescent="0.15">
      <c r="A431" t="str">
        <f t="shared" ref="A431:B431" si="245">A430</f>
        <v>フランス語</v>
      </c>
      <c r="B431">
        <f t="shared" si="245"/>
        <v>7</v>
      </c>
      <c r="C431">
        <f t="shared" si="215"/>
        <v>37</v>
      </c>
      <c r="D431">
        <f>D402</f>
        <v>5</v>
      </c>
      <c r="E431" t="str">
        <f>VLOOKUP(D431,name!A:B,2,1)</f>
        <v>Minako</v>
      </c>
      <c r="F431" t="str">
        <f>F402</f>
        <v>頭が痛くて寒気がします。</v>
      </c>
      <c r="G431" t="str">
        <f t="shared" ref="G431:G494" si="246">IF(B431&lt;&gt;B432,"e",IF(D431=0,"q","a"))</f>
        <v>a</v>
      </c>
      <c r="H431" t="str">
        <f>VLOOKUP(D431,name!A:C,3,1)</f>
        <v>assets/icons/image086.png</v>
      </c>
      <c r="I431" t="s">
        <v>463</v>
      </c>
    </row>
    <row r="432" spans="1:9" x14ac:dyDescent="0.15">
      <c r="A432" t="str">
        <f t="shared" ref="A432:B432" si="247">A431</f>
        <v>フランス語</v>
      </c>
      <c r="B432">
        <f t="shared" si="247"/>
        <v>7</v>
      </c>
      <c r="C432">
        <f t="shared" si="215"/>
        <v>38</v>
      </c>
      <c r="D432">
        <f>D403</f>
        <v>5</v>
      </c>
      <c r="E432" t="str">
        <f>VLOOKUP(D432,name!A:B,2,1)</f>
        <v>Minako</v>
      </c>
      <c r="F432" t="str">
        <f>F403</f>
        <v>J'ai mal à la tête et j'ai froid.</v>
      </c>
      <c r="G432" t="str">
        <f t="shared" ref="G432" si="248">IF(B432&lt;&gt;B1597,"e",IF(D432=0,"q","a"))</f>
        <v>e</v>
      </c>
      <c r="H432" t="str">
        <f>VLOOKUP(D432,name!A:C,3,1)</f>
        <v>assets/icons/image086.png</v>
      </c>
      <c r="I432" t="str">
        <f>IF(A432="","",VLOOKUP(A432,lng!A:B,2,0))</f>
        <v>fr-FR</v>
      </c>
    </row>
    <row r="433" spans="1:9" x14ac:dyDescent="0.15">
      <c r="A433" t="str">
        <f t="shared" ref="A433:B433" si="249">A432</f>
        <v>フランス語</v>
      </c>
      <c r="B433">
        <f t="shared" si="249"/>
        <v>7</v>
      </c>
      <c r="C433">
        <f t="shared" si="215"/>
        <v>39</v>
      </c>
      <c r="D433">
        <v>0</v>
      </c>
      <c r="E433" t="str">
        <f>VLOOKUP(D433,name!A:B,2,1)</f>
        <v>Player</v>
      </c>
      <c r="F433" t="str">
        <f>F403</f>
        <v>J'ai mal à la tête et j'ai froid.</v>
      </c>
      <c r="G433" t="str">
        <f t="shared" ref="G433:G496" si="250">IF(B433&lt;&gt;B434,"e",IF(D433=0,"q","a"))</f>
        <v>q</v>
      </c>
      <c r="H433" t="str">
        <f>VLOOKUP(D433,name!A:C,3,1)</f>
        <v>assets/icons/image326.png</v>
      </c>
      <c r="I433" t="str">
        <f>IF(A433="","",VLOOKUP(A433,lng!A:B,2,0))</f>
        <v>fr-FR</v>
      </c>
    </row>
    <row r="434" spans="1:9" x14ac:dyDescent="0.15">
      <c r="A434" t="str">
        <f t="shared" ref="A434:B434" si="251">A433</f>
        <v>フランス語</v>
      </c>
      <c r="B434">
        <f t="shared" si="251"/>
        <v>7</v>
      </c>
      <c r="C434">
        <f t="shared" si="215"/>
        <v>40</v>
      </c>
      <c r="D434">
        <f>D404</f>
        <v>6</v>
      </c>
      <c r="E434" t="str">
        <f>VLOOKUP(D434,name!A:B,2,1)</f>
        <v>Céline</v>
      </c>
      <c r="F434" t="str">
        <f>F404</f>
        <v>ああ、あなたは風邪をひいていますね。</v>
      </c>
      <c r="G434" t="str">
        <f t="shared" ref="G434" si="252">IF(B434&lt;&gt;B1599,"e",IF(D434=0,"q","a"))</f>
        <v>e</v>
      </c>
      <c r="H434" t="str">
        <f>VLOOKUP(D434,name!A:C,3,1)</f>
        <v>assets/icons/image078.png</v>
      </c>
      <c r="I434" t="s">
        <v>463</v>
      </c>
    </row>
    <row r="435" spans="1:9" x14ac:dyDescent="0.15">
      <c r="A435" t="str">
        <f t="shared" ref="A435:B435" si="253">A434</f>
        <v>フランス語</v>
      </c>
      <c r="B435">
        <f t="shared" si="253"/>
        <v>7</v>
      </c>
      <c r="C435">
        <f t="shared" si="215"/>
        <v>41</v>
      </c>
      <c r="D435">
        <f>D405</f>
        <v>6</v>
      </c>
      <c r="E435" t="str">
        <f>VLOOKUP(D435,name!A:B,2,1)</f>
        <v>Céline</v>
      </c>
      <c r="F435" t="str">
        <f>F405</f>
        <v xml:space="preserve">Ah, tu es enrhumée. </v>
      </c>
      <c r="G435" t="str">
        <f t="shared" ref="G435:G498" si="254">IF(B435&lt;&gt;B436,"e",IF(D435=0,"q","a"))</f>
        <v>a</v>
      </c>
      <c r="H435" t="str">
        <f>VLOOKUP(D435,name!A:C,3,1)</f>
        <v>assets/icons/image078.png</v>
      </c>
      <c r="I435" t="str">
        <f>IF(A435="","",VLOOKUP(A435,lng!A:B,2,0))</f>
        <v>fr-FR</v>
      </c>
    </row>
    <row r="436" spans="1:9" x14ac:dyDescent="0.15">
      <c r="A436" t="str">
        <f t="shared" ref="A436:B436" si="255">A435</f>
        <v>フランス語</v>
      </c>
      <c r="B436">
        <f t="shared" si="255"/>
        <v>7</v>
      </c>
      <c r="C436">
        <f t="shared" si="215"/>
        <v>42</v>
      </c>
      <c r="D436">
        <v>0</v>
      </c>
      <c r="E436" t="str">
        <f>VLOOKUP(D436,name!A:B,2,1)</f>
        <v>Player</v>
      </c>
      <c r="F436" t="str">
        <f>F405</f>
        <v xml:space="preserve">Ah, tu es enrhumée. </v>
      </c>
      <c r="G436" t="str">
        <f t="shared" ref="G436" si="256">IF(B436&lt;&gt;B1601,"e",IF(D436=0,"q","a"))</f>
        <v>e</v>
      </c>
      <c r="H436" t="str">
        <f>VLOOKUP(D436,name!A:C,3,1)</f>
        <v>assets/icons/image326.png</v>
      </c>
      <c r="I436" t="str">
        <f>IF(A436="","",VLOOKUP(A436,lng!A:B,2,0))</f>
        <v>fr-FR</v>
      </c>
    </row>
    <row r="437" spans="1:9" x14ac:dyDescent="0.15">
      <c r="A437" t="str">
        <f t="shared" ref="A437:B437" si="257">A436</f>
        <v>フランス語</v>
      </c>
      <c r="B437">
        <f t="shared" si="257"/>
        <v>7</v>
      </c>
      <c r="C437">
        <f t="shared" si="215"/>
        <v>43</v>
      </c>
      <c r="D437">
        <f>D406</f>
        <v>6</v>
      </c>
      <c r="E437" t="str">
        <f>VLOOKUP(D437,name!A:B,2,1)</f>
        <v>Céline</v>
      </c>
      <c r="F437" t="str">
        <f>F406</f>
        <v>熱はありますか?</v>
      </c>
      <c r="G437" t="str">
        <f t="shared" ref="G437:G500" si="258">IF(B437&lt;&gt;B438,"e",IF(D437=0,"q","a"))</f>
        <v>a</v>
      </c>
      <c r="H437" t="str">
        <f>VLOOKUP(D437,name!A:C,3,1)</f>
        <v>assets/icons/image078.png</v>
      </c>
      <c r="I437" t="s">
        <v>463</v>
      </c>
    </row>
    <row r="438" spans="1:9" x14ac:dyDescent="0.15">
      <c r="A438" t="str">
        <f t="shared" ref="A438:B438" si="259">A437</f>
        <v>フランス語</v>
      </c>
      <c r="B438">
        <f t="shared" si="259"/>
        <v>7</v>
      </c>
      <c r="C438">
        <f t="shared" si="215"/>
        <v>44</v>
      </c>
      <c r="D438">
        <f>D407</f>
        <v>6</v>
      </c>
      <c r="E438" t="str">
        <f>VLOOKUP(D438,name!A:B,2,1)</f>
        <v>Céline</v>
      </c>
      <c r="F438" t="str">
        <f>F407</f>
        <v>As-tu de la fièvre ?</v>
      </c>
      <c r="G438" t="str">
        <f t="shared" ref="G438" si="260">IF(B438&lt;&gt;B1603,"e",IF(D438=0,"q","a"))</f>
        <v>e</v>
      </c>
      <c r="H438" t="str">
        <f>VLOOKUP(D438,name!A:C,3,1)</f>
        <v>assets/icons/image078.png</v>
      </c>
      <c r="I438" t="str">
        <f>IF(A438="","",VLOOKUP(A438,lng!A:B,2,0))</f>
        <v>fr-FR</v>
      </c>
    </row>
    <row r="439" spans="1:9" x14ac:dyDescent="0.15">
      <c r="A439" t="str">
        <f t="shared" ref="A439:B439" si="261">A438</f>
        <v>フランス語</v>
      </c>
      <c r="B439">
        <f t="shared" si="261"/>
        <v>7</v>
      </c>
      <c r="C439">
        <f t="shared" si="215"/>
        <v>45</v>
      </c>
      <c r="D439">
        <v>0</v>
      </c>
      <c r="E439" t="str">
        <f>VLOOKUP(D439,name!A:B,2,1)</f>
        <v>Player</v>
      </c>
      <c r="F439" t="str">
        <f>F407</f>
        <v>As-tu de la fièvre ?</v>
      </c>
      <c r="G439" t="str">
        <f t="shared" ref="G439:G502" si="262">IF(B439&lt;&gt;B440,"e",IF(D439=0,"q","a"))</f>
        <v>q</v>
      </c>
      <c r="H439" t="str">
        <f>VLOOKUP(D439,name!A:C,3,1)</f>
        <v>assets/icons/image326.png</v>
      </c>
      <c r="I439" t="str">
        <f>IF(A439="","",VLOOKUP(A439,lng!A:B,2,0))</f>
        <v>fr-FR</v>
      </c>
    </row>
    <row r="440" spans="1:9" x14ac:dyDescent="0.15">
      <c r="A440" t="str">
        <f t="shared" ref="A440:B440" si="263">A439</f>
        <v>フランス語</v>
      </c>
      <c r="B440">
        <f t="shared" si="263"/>
        <v>7</v>
      </c>
      <c r="C440">
        <f t="shared" si="215"/>
        <v>46</v>
      </c>
      <c r="D440">
        <f>D408</f>
        <v>5</v>
      </c>
      <c r="E440" t="str">
        <f>VLOOKUP(D440,name!A:B,2,1)</f>
        <v>Minako</v>
      </c>
      <c r="F440" t="str">
        <f>F408</f>
        <v>わかりません。</v>
      </c>
      <c r="G440" t="str">
        <f t="shared" ref="G440" si="264">IF(B440&lt;&gt;B1605,"e",IF(D440=0,"q","a"))</f>
        <v>e</v>
      </c>
      <c r="H440" t="str">
        <f>VLOOKUP(D440,name!A:C,3,1)</f>
        <v>assets/icons/image086.png</v>
      </c>
      <c r="I440" t="s">
        <v>463</v>
      </c>
    </row>
    <row r="441" spans="1:9" x14ac:dyDescent="0.15">
      <c r="A441" t="str">
        <f t="shared" ref="A441:B441" si="265">A440</f>
        <v>フランス語</v>
      </c>
      <c r="B441">
        <f t="shared" si="265"/>
        <v>7</v>
      </c>
      <c r="C441">
        <f t="shared" si="215"/>
        <v>47</v>
      </c>
      <c r="D441">
        <f>D409</f>
        <v>5</v>
      </c>
      <c r="E441" t="str">
        <f>VLOOKUP(D441,name!A:B,2,1)</f>
        <v>Minako</v>
      </c>
      <c r="F441" t="str">
        <f>F409</f>
        <v>Je ne sais pas.</v>
      </c>
      <c r="G441" t="str">
        <f t="shared" ref="G441:G504" si="266">IF(B441&lt;&gt;B442,"e",IF(D441=0,"q","a"))</f>
        <v>a</v>
      </c>
      <c r="H441" t="str">
        <f>VLOOKUP(D441,name!A:C,3,1)</f>
        <v>assets/icons/image086.png</v>
      </c>
      <c r="I441" t="str">
        <f>IF(A441="","",VLOOKUP(A441,lng!A:B,2,0))</f>
        <v>fr-FR</v>
      </c>
    </row>
    <row r="442" spans="1:9" x14ac:dyDescent="0.15">
      <c r="A442" t="str">
        <f t="shared" ref="A442:B442" si="267">A441</f>
        <v>フランス語</v>
      </c>
      <c r="B442">
        <f t="shared" si="267"/>
        <v>7</v>
      </c>
      <c r="C442">
        <f t="shared" si="215"/>
        <v>48</v>
      </c>
      <c r="D442">
        <v>0</v>
      </c>
      <c r="E442" t="str">
        <f>VLOOKUP(D442,name!A:B,2,1)</f>
        <v>Player</v>
      </c>
      <c r="F442" t="str">
        <f>F409</f>
        <v>Je ne sais pas.</v>
      </c>
      <c r="G442" t="str">
        <f t="shared" ref="G442" si="268">IF(B442&lt;&gt;B1607,"e",IF(D442=0,"q","a"))</f>
        <v>e</v>
      </c>
      <c r="H442" t="str">
        <f>VLOOKUP(D442,name!A:C,3,1)</f>
        <v>assets/icons/image326.png</v>
      </c>
      <c r="I442" t="str">
        <f>IF(A442="","",VLOOKUP(A442,lng!A:B,2,0))</f>
        <v>fr-FR</v>
      </c>
    </row>
    <row r="443" spans="1:9" x14ac:dyDescent="0.15">
      <c r="A443" t="str">
        <f t="shared" ref="A443:B443" si="269">A442</f>
        <v>フランス語</v>
      </c>
      <c r="B443">
        <f t="shared" si="269"/>
        <v>7</v>
      </c>
      <c r="C443">
        <f t="shared" si="215"/>
        <v>49</v>
      </c>
      <c r="D443">
        <f>D410</f>
        <v>7</v>
      </c>
      <c r="E443" t="str">
        <f>VLOOKUP(D443,name!A:B,2,1)</f>
        <v>Luigi</v>
      </c>
      <c r="F443" t="str">
        <f>F410</f>
        <v>医者に診てもらいましょう。</v>
      </c>
      <c r="G443" t="str">
        <f t="shared" ref="G443:G506" si="270">IF(B443&lt;&gt;B444,"e",IF(D443=0,"q","a"))</f>
        <v>a</v>
      </c>
      <c r="H443" t="str">
        <f>VLOOKUP(D443,name!A:C,3,1)</f>
        <v>assets/icons/image023.png</v>
      </c>
      <c r="I443" t="s">
        <v>463</v>
      </c>
    </row>
    <row r="444" spans="1:9" x14ac:dyDescent="0.15">
      <c r="A444" t="str">
        <f t="shared" ref="A444:B444" si="271">A443</f>
        <v>フランス語</v>
      </c>
      <c r="B444">
        <f t="shared" si="271"/>
        <v>7</v>
      </c>
      <c r="C444">
        <f t="shared" si="215"/>
        <v>50</v>
      </c>
      <c r="D444">
        <f>D411</f>
        <v>7</v>
      </c>
      <c r="E444" t="str">
        <f>VLOOKUP(D444,name!A:B,2,1)</f>
        <v>Luigi</v>
      </c>
      <c r="F444" t="str">
        <f>F411</f>
        <v>Va voir le médecin.</v>
      </c>
      <c r="G444" t="str">
        <f t="shared" ref="G444" si="272">IF(B444&lt;&gt;B1609,"e",IF(D444=0,"q","a"))</f>
        <v>e</v>
      </c>
      <c r="H444" t="str">
        <f>VLOOKUP(D444,name!A:C,3,1)</f>
        <v>assets/icons/image023.png</v>
      </c>
      <c r="I444" t="str">
        <f>IF(A444="","",VLOOKUP(A444,lng!A:B,2,0))</f>
        <v>fr-FR</v>
      </c>
    </row>
    <row r="445" spans="1:9" x14ac:dyDescent="0.15">
      <c r="A445" t="str">
        <f t="shared" ref="A445:B445" si="273">A444</f>
        <v>フランス語</v>
      </c>
      <c r="B445">
        <f t="shared" si="273"/>
        <v>7</v>
      </c>
      <c r="C445">
        <f t="shared" si="215"/>
        <v>51</v>
      </c>
      <c r="D445">
        <v>0</v>
      </c>
      <c r="E445" t="str">
        <f>VLOOKUP(D445,name!A:B,2,1)</f>
        <v>Player</v>
      </c>
      <c r="F445" t="str">
        <f>F411</f>
        <v>Va voir le médecin.</v>
      </c>
      <c r="G445" t="str">
        <f t="shared" ref="G445:G508" si="274">IF(B445&lt;&gt;B446,"e",IF(D445=0,"q","a"))</f>
        <v>q</v>
      </c>
      <c r="H445" t="str">
        <f>VLOOKUP(D445,name!A:C,3,1)</f>
        <v>assets/icons/image326.png</v>
      </c>
      <c r="I445" t="str">
        <f>IF(A445="","",VLOOKUP(A445,lng!A:B,2,0))</f>
        <v>fr-FR</v>
      </c>
    </row>
    <row r="446" spans="1:9" x14ac:dyDescent="0.15">
      <c r="A446" t="str">
        <f t="shared" ref="A446:B446" si="275">A445</f>
        <v>フランス語</v>
      </c>
      <c r="B446">
        <f t="shared" si="275"/>
        <v>7</v>
      </c>
      <c r="C446">
        <f t="shared" si="215"/>
        <v>52</v>
      </c>
      <c r="D446">
        <f>D412</f>
        <v>6</v>
      </c>
      <c r="E446" t="str">
        <f>VLOOKUP(D446,name!A:B,2,1)</f>
        <v>Céline</v>
      </c>
      <c r="F446" t="str">
        <f>F412</f>
        <v>いいえ、大丈夫です。</v>
      </c>
      <c r="G446" t="str">
        <f t="shared" ref="G446" si="276">IF(B446&lt;&gt;B1611,"e",IF(D446=0,"q","a"))</f>
        <v>e</v>
      </c>
      <c r="H446" t="str">
        <f>VLOOKUP(D446,name!A:C,3,1)</f>
        <v>assets/icons/image078.png</v>
      </c>
      <c r="I446" t="s">
        <v>463</v>
      </c>
    </row>
    <row r="447" spans="1:9" x14ac:dyDescent="0.15">
      <c r="A447" t="str">
        <f t="shared" ref="A447:B447" si="277">A446</f>
        <v>フランス語</v>
      </c>
      <c r="B447">
        <f t="shared" si="277"/>
        <v>7</v>
      </c>
      <c r="C447">
        <f t="shared" si="215"/>
        <v>53</v>
      </c>
      <c r="D447">
        <f>D413</f>
        <v>6</v>
      </c>
      <c r="E447" t="str">
        <f>VLOOKUP(D447,name!A:B,2,1)</f>
        <v>Céline</v>
      </c>
      <c r="F447" t="str">
        <f>F413</f>
        <v xml:space="preserve">Non, ça va. </v>
      </c>
      <c r="G447" t="str">
        <f t="shared" ref="G447:G510" si="278">IF(B447&lt;&gt;B448,"e",IF(D447=0,"q","a"))</f>
        <v>a</v>
      </c>
      <c r="H447" t="str">
        <f>VLOOKUP(D447,name!A:C,3,1)</f>
        <v>assets/icons/image078.png</v>
      </c>
      <c r="I447" t="str">
        <f>IF(A447="","",VLOOKUP(A447,lng!A:B,2,0))</f>
        <v>fr-FR</v>
      </c>
    </row>
    <row r="448" spans="1:9" x14ac:dyDescent="0.15">
      <c r="A448" t="str">
        <f t="shared" ref="A448:B448" si="279">A447</f>
        <v>フランス語</v>
      </c>
      <c r="B448">
        <f t="shared" si="279"/>
        <v>7</v>
      </c>
      <c r="C448">
        <f t="shared" si="215"/>
        <v>54</v>
      </c>
      <c r="D448">
        <v>0</v>
      </c>
      <c r="E448" t="str">
        <f>VLOOKUP(D448,name!A:B,2,1)</f>
        <v>Player</v>
      </c>
      <c r="F448" t="str">
        <f>F413</f>
        <v xml:space="preserve">Non, ça va. </v>
      </c>
      <c r="G448" t="str">
        <f t="shared" ref="G448" si="280">IF(B448&lt;&gt;B1613,"e",IF(D448=0,"q","a"))</f>
        <v>e</v>
      </c>
      <c r="H448" t="str">
        <f>VLOOKUP(D448,name!A:C,3,1)</f>
        <v>assets/icons/image326.png</v>
      </c>
      <c r="I448" t="str">
        <f>IF(A448="","",VLOOKUP(A448,lng!A:B,2,0))</f>
        <v>fr-FR</v>
      </c>
    </row>
    <row r="449" spans="1:9" x14ac:dyDescent="0.15">
      <c r="A449" t="str">
        <f t="shared" ref="A449:B449" si="281">A448</f>
        <v>フランス語</v>
      </c>
      <c r="B449">
        <f t="shared" si="281"/>
        <v>7</v>
      </c>
      <c r="C449">
        <f t="shared" si="215"/>
        <v>55</v>
      </c>
      <c r="D449">
        <f>D414</f>
        <v>6</v>
      </c>
      <c r="E449" t="str">
        <f>VLOOKUP(D449,name!A:B,2,1)</f>
        <v>Céline</v>
      </c>
      <c r="F449" t="str">
        <f>F414</f>
        <v>グリューワインを飲んでよく眠ってください。</v>
      </c>
      <c r="G449" t="str">
        <f t="shared" ref="G449:G512" si="282">IF(B449&lt;&gt;B450,"e",IF(D449=0,"q","a"))</f>
        <v>a</v>
      </c>
      <c r="H449" t="str">
        <f>VLOOKUP(D449,name!A:C,3,1)</f>
        <v>assets/icons/image078.png</v>
      </c>
      <c r="I449" t="s">
        <v>463</v>
      </c>
    </row>
    <row r="450" spans="1:9" x14ac:dyDescent="0.15">
      <c r="A450" t="str">
        <f t="shared" ref="A450:B450" si="283">A449</f>
        <v>フランス語</v>
      </c>
      <c r="B450">
        <f t="shared" si="283"/>
        <v>7</v>
      </c>
      <c r="C450">
        <f t="shared" si="215"/>
        <v>56</v>
      </c>
      <c r="D450">
        <f>D415</f>
        <v>6</v>
      </c>
      <c r="E450" t="str">
        <f>VLOOKUP(D450,name!A:B,2,1)</f>
        <v>Céline</v>
      </c>
      <c r="F450" t="str">
        <f>F415</f>
        <v>Prends du vin chaud et dors bien.</v>
      </c>
      <c r="G450" t="str">
        <f t="shared" ref="G450" si="284">IF(B450&lt;&gt;B1615,"e",IF(D450=0,"q","a"))</f>
        <v>e</v>
      </c>
      <c r="H450" t="str">
        <f>VLOOKUP(D450,name!A:C,3,1)</f>
        <v>assets/icons/image078.png</v>
      </c>
      <c r="I450" t="str">
        <f>IF(A450="","",VLOOKUP(A450,lng!A:B,2,0))</f>
        <v>fr-FR</v>
      </c>
    </row>
    <row r="451" spans="1:9" x14ac:dyDescent="0.15">
      <c r="A451" t="str">
        <f t="shared" ref="A451:B451" si="285">A450</f>
        <v>フランス語</v>
      </c>
      <c r="B451">
        <f t="shared" si="285"/>
        <v>7</v>
      </c>
      <c r="C451">
        <f t="shared" si="215"/>
        <v>57</v>
      </c>
      <c r="D451">
        <v>0</v>
      </c>
      <c r="E451" t="str">
        <f>VLOOKUP(D451,name!A:B,2,1)</f>
        <v>Player</v>
      </c>
      <c r="F451" t="str">
        <f>F415</f>
        <v>Prends du vin chaud et dors bien.</v>
      </c>
      <c r="G451" t="str">
        <f t="shared" ref="G451:G514" si="286">IF(B451&lt;&gt;B452,"e",IF(D451=0,"q","a"))</f>
        <v>q</v>
      </c>
      <c r="H451" t="str">
        <f>VLOOKUP(D451,name!A:C,3,1)</f>
        <v>assets/icons/image326.png</v>
      </c>
      <c r="I451" t="str">
        <f>IF(A451="","",VLOOKUP(A451,lng!A:B,2,0))</f>
        <v>fr-FR</v>
      </c>
    </row>
    <row r="452" spans="1:9" x14ac:dyDescent="0.15">
      <c r="A452" t="str">
        <f t="shared" ref="A452:B452" si="287">A451</f>
        <v>フランス語</v>
      </c>
      <c r="B452">
        <f t="shared" si="287"/>
        <v>7</v>
      </c>
      <c r="C452">
        <f t="shared" si="215"/>
        <v>58</v>
      </c>
      <c r="D452">
        <f>D416</f>
        <v>7</v>
      </c>
      <c r="E452" t="str">
        <f>VLOOKUP(D452,name!A:B,2,1)</f>
        <v>Luigi</v>
      </c>
      <c r="F452" t="str">
        <f>F416</f>
        <v>薬はありますか?</v>
      </c>
      <c r="G452" t="str">
        <f t="shared" ref="G452" si="288">IF(B452&lt;&gt;B1617,"e",IF(D452=0,"q","a"))</f>
        <v>e</v>
      </c>
      <c r="H452" t="str">
        <f>VLOOKUP(D452,name!A:C,3,1)</f>
        <v>assets/icons/image023.png</v>
      </c>
      <c r="I452" t="s">
        <v>463</v>
      </c>
    </row>
    <row r="453" spans="1:9" x14ac:dyDescent="0.15">
      <c r="A453" t="str">
        <f t="shared" ref="A453:B453" si="289">A452</f>
        <v>フランス語</v>
      </c>
      <c r="B453">
        <f t="shared" si="289"/>
        <v>7</v>
      </c>
      <c r="C453">
        <f t="shared" si="215"/>
        <v>59</v>
      </c>
      <c r="D453">
        <f>D417</f>
        <v>7</v>
      </c>
      <c r="E453" t="str">
        <f>VLOOKUP(D453,name!A:B,2,1)</f>
        <v>Luigi</v>
      </c>
      <c r="F453" t="str">
        <f>F417</f>
        <v>As-tu des médicaments ?</v>
      </c>
      <c r="G453" t="str">
        <f t="shared" ref="G453:G516" si="290">IF(B453&lt;&gt;B454,"e",IF(D453=0,"q","a"))</f>
        <v>a</v>
      </c>
      <c r="H453" t="str">
        <f>VLOOKUP(D453,name!A:C,3,1)</f>
        <v>assets/icons/image023.png</v>
      </c>
      <c r="I453" t="str">
        <f>IF(A453="","",VLOOKUP(A453,lng!A:B,2,0))</f>
        <v>fr-FR</v>
      </c>
    </row>
    <row r="454" spans="1:9" x14ac:dyDescent="0.15">
      <c r="A454" t="str">
        <f t="shared" ref="A454:B454" si="291">A453</f>
        <v>フランス語</v>
      </c>
      <c r="B454">
        <f t="shared" si="291"/>
        <v>7</v>
      </c>
      <c r="C454">
        <f t="shared" si="215"/>
        <v>60</v>
      </c>
      <c r="D454">
        <v>0</v>
      </c>
      <c r="E454" t="str">
        <f>VLOOKUP(D454,name!A:B,2,1)</f>
        <v>Player</v>
      </c>
      <c r="F454" t="str">
        <f>F417</f>
        <v>As-tu des médicaments ?</v>
      </c>
      <c r="G454" t="str">
        <f t="shared" ref="G454" si="292">IF(B454&lt;&gt;B1619,"e",IF(D454=0,"q","a"))</f>
        <v>e</v>
      </c>
      <c r="H454" t="str">
        <f>VLOOKUP(D454,name!A:C,3,1)</f>
        <v>assets/icons/image326.png</v>
      </c>
      <c r="I454" t="str">
        <f>IF(A454="","",VLOOKUP(A454,lng!A:B,2,0))</f>
        <v>fr-FR</v>
      </c>
    </row>
    <row r="455" spans="1:9" x14ac:dyDescent="0.15">
      <c r="A455" t="str">
        <f t="shared" ref="A455:B455" si="293">A454</f>
        <v>フランス語</v>
      </c>
      <c r="B455">
        <f t="shared" si="293"/>
        <v>7</v>
      </c>
      <c r="C455">
        <f t="shared" si="215"/>
        <v>61</v>
      </c>
      <c r="D455">
        <f>D418</f>
        <v>5</v>
      </c>
      <c r="E455" t="str">
        <f>VLOOKUP(D455,name!A:B,2,1)</f>
        <v>Minako</v>
      </c>
      <c r="F455" t="str">
        <f>F418</f>
        <v>このバッグにはアスピリンが入っていると思います。</v>
      </c>
      <c r="G455" t="str">
        <f t="shared" ref="G455:G518" si="294">IF(B455&lt;&gt;B456,"e",IF(D455=0,"q","a"))</f>
        <v>a</v>
      </c>
      <c r="H455" t="str">
        <f>VLOOKUP(D455,name!A:C,3,1)</f>
        <v>assets/icons/image086.png</v>
      </c>
      <c r="I455" t="s">
        <v>463</v>
      </c>
    </row>
    <row r="456" spans="1:9" x14ac:dyDescent="0.15">
      <c r="A456" t="str">
        <f t="shared" ref="A456:B456" si="295">A455</f>
        <v>フランス語</v>
      </c>
      <c r="B456">
        <f t="shared" si="295"/>
        <v>7</v>
      </c>
      <c r="C456">
        <f t="shared" si="215"/>
        <v>62</v>
      </c>
      <c r="D456">
        <f>D419</f>
        <v>5</v>
      </c>
      <c r="E456" t="str">
        <f>VLOOKUP(D456,name!A:B,2,1)</f>
        <v>Minako</v>
      </c>
      <c r="F456" t="str">
        <f>F419</f>
        <v>Je crois que j'ai des aspirines dans ce sac.</v>
      </c>
      <c r="G456" t="str">
        <f t="shared" ref="G456" si="296">IF(B456&lt;&gt;B1621,"e",IF(D456=0,"q","a"))</f>
        <v>e</v>
      </c>
      <c r="H456" t="str">
        <f>VLOOKUP(D456,name!A:C,3,1)</f>
        <v>assets/icons/image086.png</v>
      </c>
      <c r="I456" t="str">
        <f>IF(A456="","",VLOOKUP(A456,lng!A:B,2,0))</f>
        <v>fr-FR</v>
      </c>
    </row>
    <row r="457" spans="1:9" x14ac:dyDescent="0.15">
      <c r="A457" t="str">
        <f t="shared" ref="A457:B457" si="297">A456</f>
        <v>フランス語</v>
      </c>
      <c r="B457">
        <f t="shared" si="297"/>
        <v>7</v>
      </c>
      <c r="C457">
        <f t="shared" si="215"/>
        <v>63</v>
      </c>
      <c r="D457">
        <v>0</v>
      </c>
      <c r="E457" t="str">
        <f>VLOOKUP(D457,name!A:B,2,1)</f>
        <v>Player</v>
      </c>
      <c r="F457" t="str">
        <f>F419</f>
        <v>Je crois que j'ai des aspirines dans ce sac.</v>
      </c>
      <c r="G457" t="str">
        <f t="shared" ref="G457:G520" si="298">IF(B457&lt;&gt;B458,"e",IF(D457=0,"q","a"))</f>
        <v>q</v>
      </c>
      <c r="H457" t="str">
        <f>VLOOKUP(D457,name!A:C,3,1)</f>
        <v>assets/icons/image326.png</v>
      </c>
      <c r="I457" t="str">
        <f>IF(A457="","",VLOOKUP(A457,lng!A:B,2,0))</f>
        <v>fr-FR</v>
      </c>
    </row>
    <row r="458" spans="1:9" x14ac:dyDescent="0.15">
      <c r="A458" t="str">
        <f t="shared" ref="A458:B458" si="299">A457</f>
        <v>フランス語</v>
      </c>
      <c r="B458">
        <f t="shared" si="299"/>
        <v>7</v>
      </c>
      <c r="C458">
        <f t="shared" si="215"/>
        <v>64</v>
      </c>
      <c r="D458">
        <f>D420</f>
        <v>6</v>
      </c>
      <c r="E458" t="str">
        <f>VLOOKUP(D458,name!A:B,2,1)</f>
        <v>Céline</v>
      </c>
      <c r="F458" t="str">
        <f>F420</f>
        <v>それは良いです。</v>
      </c>
      <c r="G458" t="str">
        <f t="shared" ref="G458" si="300">IF(B458&lt;&gt;B1623,"e",IF(D458=0,"q","a"))</f>
        <v>e</v>
      </c>
      <c r="H458" t="str">
        <f>VLOOKUP(D458,name!A:C,3,1)</f>
        <v>assets/icons/image078.png</v>
      </c>
      <c r="I458" t="s">
        <v>463</v>
      </c>
    </row>
    <row r="459" spans="1:9" x14ac:dyDescent="0.15">
      <c r="A459" t="str">
        <f t="shared" ref="A459:B459" si="301">A458</f>
        <v>フランス語</v>
      </c>
      <c r="B459">
        <f t="shared" si="301"/>
        <v>7</v>
      </c>
      <c r="C459">
        <f t="shared" si="215"/>
        <v>65</v>
      </c>
      <c r="D459">
        <f>D421</f>
        <v>6</v>
      </c>
      <c r="E459" t="str">
        <f>VLOOKUP(D459,name!A:B,2,1)</f>
        <v>Céline</v>
      </c>
      <c r="F459" t="str">
        <f>F421</f>
        <v>C'est bien.</v>
      </c>
      <c r="G459" t="str">
        <f t="shared" ref="G459:G522" si="302">IF(B459&lt;&gt;B460,"e",IF(D459=0,"q","a"))</f>
        <v>a</v>
      </c>
      <c r="H459" t="str">
        <f>VLOOKUP(D459,name!A:C,3,1)</f>
        <v>assets/icons/image078.png</v>
      </c>
      <c r="I459" t="str">
        <f>IF(A459="","",VLOOKUP(A459,lng!A:B,2,0))</f>
        <v>fr-FR</v>
      </c>
    </row>
    <row r="460" spans="1:9" x14ac:dyDescent="0.15">
      <c r="A460" t="str">
        <f t="shared" ref="A460:B460" si="303">A459</f>
        <v>フランス語</v>
      </c>
      <c r="B460">
        <f t="shared" si="303"/>
        <v>7</v>
      </c>
      <c r="C460">
        <f t="shared" si="215"/>
        <v>66</v>
      </c>
      <c r="D460">
        <v>0</v>
      </c>
      <c r="E460" t="str">
        <f>VLOOKUP(D460,name!A:B,2,1)</f>
        <v>Player</v>
      </c>
      <c r="F460" t="str">
        <f>F421</f>
        <v>C'est bien.</v>
      </c>
      <c r="G460" t="str">
        <f t="shared" ref="G460" si="304">IF(B460&lt;&gt;B1625,"e",IF(D460=0,"q","a"))</f>
        <v>e</v>
      </c>
      <c r="H460" t="str">
        <f>VLOOKUP(D460,name!A:C,3,1)</f>
        <v>assets/icons/image326.png</v>
      </c>
      <c r="I460" t="str">
        <f>IF(A460="","",VLOOKUP(A460,lng!A:B,2,0))</f>
        <v>fr-FR</v>
      </c>
    </row>
    <row r="461" spans="1:9" x14ac:dyDescent="0.15">
      <c r="A461" t="str">
        <f t="shared" ref="A461:B461" si="305">A460</f>
        <v>フランス語</v>
      </c>
      <c r="B461">
        <f t="shared" si="305"/>
        <v>7</v>
      </c>
      <c r="C461">
        <f t="shared" ref="C461:C475" si="306">C460+1</f>
        <v>67</v>
      </c>
      <c r="D461">
        <f>D422</f>
        <v>6</v>
      </c>
      <c r="E461" t="str">
        <f>VLOOKUP(D461,name!A:B,2,1)</f>
        <v>Céline</v>
      </c>
      <c r="F461" t="str">
        <f>F422</f>
        <v>すぐに1錠服用してください。</v>
      </c>
      <c r="G461" t="str">
        <f t="shared" ref="G461:G524" si="307">IF(B461&lt;&gt;B462,"e",IF(D461=0,"q","a"))</f>
        <v>a</v>
      </c>
      <c r="H461" t="str">
        <f>VLOOKUP(D461,name!A:C,3,1)</f>
        <v>assets/icons/image078.png</v>
      </c>
      <c r="I461" t="s">
        <v>463</v>
      </c>
    </row>
    <row r="462" spans="1:9" x14ac:dyDescent="0.15">
      <c r="A462" t="str">
        <f t="shared" ref="A462:B462" si="308">A461</f>
        <v>フランス語</v>
      </c>
      <c r="B462">
        <f t="shared" si="308"/>
        <v>7</v>
      </c>
      <c r="C462">
        <f t="shared" si="306"/>
        <v>68</v>
      </c>
      <c r="D462">
        <f>D423</f>
        <v>6</v>
      </c>
      <c r="E462" t="str">
        <f>VLOOKUP(D462,name!A:B,2,1)</f>
        <v>Céline</v>
      </c>
      <c r="F462" t="str">
        <f>F423</f>
        <v>Prends un comprimé tout de suite.</v>
      </c>
      <c r="G462" t="str">
        <f t="shared" ref="G462" si="309">IF(B462&lt;&gt;B1627,"e",IF(D462=0,"q","a"))</f>
        <v>e</v>
      </c>
      <c r="H462" t="str">
        <f>VLOOKUP(D462,name!A:C,3,1)</f>
        <v>assets/icons/image078.png</v>
      </c>
      <c r="I462" t="str">
        <f>IF(A462="","",VLOOKUP(A462,lng!A:B,2,0))</f>
        <v>fr-FR</v>
      </c>
    </row>
    <row r="463" spans="1:9" x14ac:dyDescent="0.15">
      <c r="A463" t="str">
        <f t="shared" ref="A463:B463" si="310">A462</f>
        <v>フランス語</v>
      </c>
      <c r="B463">
        <f t="shared" si="310"/>
        <v>7</v>
      </c>
      <c r="C463">
        <f t="shared" si="306"/>
        <v>69</v>
      </c>
      <c r="D463">
        <v>0</v>
      </c>
      <c r="E463" t="str">
        <f>VLOOKUP(D463,name!A:B,2,1)</f>
        <v>Player</v>
      </c>
      <c r="F463" t="str">
        <f>F423</f>
        <v>Prends un comprimé tout de suite.</v>
      </c>
      <c r="G463" t="str">
        <f t="shared" ref="G463:G526" si="311">IF(B463&lt;&gt;B464,"e",IF(D463=0,"q","a"))</f>
        <v>q</v>
      </c>
      <c r="H463" t="str">
        <f>VLOOKUP(D463,name!A:C,3,1)</f>
        <v>assets/icons/image326.png</v>
      </c>
      <c r="I463" t="str">
        <f>IF(A463="","",VLOOKUP(A463,lng!A:B,2,0))</f>
        <v>fr-FR</v>
      </c>
    </row>
    <row r="464" spans="1:9" x14ac:dyDescent="0.15">
      <c r="A464" t="str">
        <f t="shared" ref="A464:B464" si="312">A463</f>
        <v>フランス語</v>
      </c>
      <c r="B464">
        <f t="shared" si="312"/>
        <v>7</v>
      </c>
      <c r="C464">
        <f t="shared" si="306"/>
        <v>70</v>
      </c>
      <c r="D464">
        <v>1</v>
      </c>
      <c r="E464" t="str">
        <f>VLOOKUP(D464,name!A:B,2,1)</f>
        <v>Navigator</v>
      </c>
      <c r="F464" t="str">
        <f>"次の日本語を"&amp;A464&amp;"に訳して答えてね！"</f>
        <v>次の日本語をフランス語に訳して答えてね！</v>
      </c>
      <c r="G464" t="str">
        <f t="shared" ref="G464" si="313">IF(B464&lt;&gt;B1629,"e",IF(D464=0,"q","a"))</f>
        <v>e</v>
      </c>
      <c r="H464" t="str">
        <f>VLOOKUP(D464,name!A:C,3,1)</f>
        <v>assets/icons/image014.png</v>
      </c>
      <c r="I464" t="s">
        <v>463</v>
      </c>
    </row>
    <row r="465" spans="1:9" x14ac:dyDescent="0.15">
      <c r="A465" t="str">
        <f t="shared" ref="A465:B465" si="314">A464</f>
        <v>フランス語</v>
      </c>
      <c r="B465">
        <f t="shared" si="314"/>
        <v>7</v>
      </c>
      <c r="C465">
        <f t="shared" si="306"/>
        <v>71</v>
      </c>
      <c r="D465">
        <f>D398</f>
        <v>6</v>
      </c>
      <c r="E465" t="str">
        <f>VLOOKUP(D465,name!A:B,2,1)</f>
        <v>Céline</v>
      </c>
      <c r="F465" t="str">
        <f t="shared" ref="F465:F490" si="315">F398</f>
        <v>美奈子、どうしたの?</v>
      </c>
      <c r="G465" t="str">
        <f t="shared" ref="G465:G528" si="316">IF(B465&lt;&gt;B466,"e",IF(D465=0,"q","a"))</f>
        <v>a</v>
      </c>
      <c r="H465" t="str">
        <f>VLOOKUP(D465,name!A:C,3,1)</f>
        <v>assets/icons/image078.png</v>
      </c>
      <c r="I465" t="s">
        <v>463</v>
      </c>
    </row>
    <row r="466" spans="1:9" x14ac:dyDescent="0.15">
      <c r="A466" t="str">
        <f t="shared" ref="A466:B466" si="317">A465</f>
        <v>フランス語</v>
      </c>
      <c r="B466">
        <f t="shared" si="317"/>
        <v>7</v>
      </c>
      <c r="C466">
        <f t="shared" si="306"/>
        <v>72</v>
      </c>
      <c r="D466">
        <v>0</v>
      </c>
      <c r="E466" t="str">
        <f>VLOOKUP(D466,name!A:B,2,1)</f>
        <v>Player</v>
      </c>
      <c r="F466" t="str">
        <f t="shared" si="315"/>
        <v>Minako, Qu'est-ce que tu as ?</v>
      </c>
      <c r="G466" t="str">
        <f t="shared" ref="G466" si="318">IF(B466&lt;&gt;B1631,"e",IF(D466=0,"q","a"))</f>
        <v>e</v>
      </c>
      <c r="H466" t="str">
        <f>VLOOKUP(D466,name!A:C,3,1)</f>
        <v>assets/icons/image326.png</v>
      </c>
      <c r="I466" t="str">
        <f>IF(A466="","",VLOOKUP(A466,lng!A:B,2,0))</f>
        <v>fr-FR</v>
      </c>
    </row>
    <row r="467" spans="1:9" x14ac:dyDescent="0.15">
      <c r="A467" t="str">
        <f t="shared" ref="A467:B467" si="319">A466</f>
        <v>フランス語</v>
      </c>
      <c r="B467">
        <f t="shared" si="319"/>
        <v>7</v>
      </c>
      <c r="C467">
        <f t="shared" si="306"/>
        <v>73</v>
      </c>
      <c r="D467">
        <f>D400</f>
        <v>6</v>
      </c>
      <c r="E467" t="str">
        <f>VLOOKUP(D467,name!A:B,2,1)</f>
        <v>Céline</v>
      </c>
      <c r="F467" t="str">
        <f t="shared" si="315"/>
        <v>体調が悪いですか?</v>
      </c>
      <c r="G467" t="str">
        <f t="shared" ref="G467:G530" si="320">IF(B467&lt;&gt;B468,"e",IF(D467=0,"q","a"))</f>
        <v>a</v>
      </c>
      <c r="H467" t="str">
        <f>VLOOKUP(D467,name!A:C,3,1)</f>
        <v>assets/icons/image078.png</v>
      </c>
      <c r="I467" t="s">
        <v>463</v>
      </c>
    </row>
    <row r="468" spans="1:9" x14ac:dyDescent="0.15">
      <c r="A468" t="str">
        <f t="shared" ref="A468:B468" si="321">A467</f>
        <v>フランス語</v>
      </c>
      <c r="B468">
        <f t="shared" si="321"/>
        <v>7</v>
      </c>
      <c r="C468">
        <f t="shared" si="306"/>
        <v>74</v>
      </c>
      <c r="D468">
        <v>0</v>
      </c>
      <c r="E468" t="str">
        <f>VLOOKUP(D468,name!A:B,2,1)</f>
        <v>Player</v>
      </c>
      <c r="F468" t="str">
        <f t="shared" si="315"/>
        <v>Tune vas pas bien ?</v>
      </c>
      <c r="G468" t="str">
        <f t="shared" ref="G468" si="322">IF(B468&lt;&gt;B1633,"e",IF(D468=0,"q","a"))</f>
        <v>e</v>
      </c>
      <c r="H468" t="str">
        <f>VLOOKUP(D468,name!A:C,3,1)</f>
        <v>assets/icons/image326.png</v>
      </c>
      <c r="I468" t="str">
        <f>IF(A468="","",VLOOKUP(A468,lng!A:B,2,0))</f>
        <v>fr-FR</v>
      </c>
    </row>
    <row r="469" spans="1:9" x14ac:dyDescent="0.15">
      <c r="A469" t="str">
        <f t="shared" ref="A469:B469" si="323">A468</f>
        <v>フランス語</v>
      </c>
      <c r="B469">
        <f t="shared" si="323"/>
        <v>7</v>
      </c>
      <c r="C469">
        <f t="shared" si="306"/>
        <v>75</v>
      </c>
      <c r="D469">
        <f>D402</f>
        <v>5</v>
      </c>
      <c r="E469" t="str">
        <f>VLOOKUP(D469,name!A:B,2,1)</f>
        <v>Minako</v>
      </c>
      <c r="F469" t="str">
        <f t="shared" si="315"/>
        <v>頭が痛くて寒気がします。</v>
      </c>
      <c r="G469" t="str">
        <f t="shared" ref="G469:G532" si="324">IF(B469&lt;&gt;B470,"e",IF(D469=0,"q","a"))</f>
        <v>a</v>
      </c>
      <c r="H469" t="str">
        <f>VLOOKUP(D469,name!A:C,3,1)</f>
        <v>assets/icons/image086.png</v>
      </c>
      <c r="I469" t="s">
        <v>463</v>
      </c>
    </row>
    <row r="470" spans="1:9" x14ac:dyDescent="0.15">
      <c r="A470" t="str">
        <f t="shared" ref="A470:B470" si="325">A469</f>
        <v>フランス語</v>
      </c>
      <c r="B470">
        <f t="shared" si="325"/>
        <v>7</v>
      </c>
      <c r="C470">
        <f t="shared" si="306"/>
        <v>76</v>
      </c>
      <c r="D470">
        <v>0</v>
      </c>
      <c r="E470" t="str">
        <f>VLOOKUP(D470,name!A:B,2,1)</f>
        <v>Player</v>
      </c>
      <c r="F470" t="str">
        <f t="shared" si="315"/>
        <v>J'ai mal à la tête et j'ai froid.</v>
      </c>
      <c r="G470" t="str">
        <f t="shared" ref="G470" si="326">IF(B470&lt;&gt;B1635,"e",IF(D470=0,"q","a"))</f>
        <v>e</v>
      </c>
      <c r="H470" t="str">
        <f>VLOOKUP(D470,name!A:C,3,1)</f>
        <v>assets/icons/image326.png</v>
      </c>
      <c r="I470" t="str">
        <f>IF(A470="","",VLOOKUP(A470,lng!A:B,2,0))</f>
        <v>fr-FR</v>
      </c>
    </row>
    <row r="471" spans="1:9" x14ac:dyDescent="0.15">
      <c r="A471" t="str">
        <f t="shared" ref="A471:B471" si="327">A470</f>
        <v>フランス語</v>
      </c>
      <c r="B471">
        <f t="shared" si="327"/>
        <v>7</v>
      </c>
      <c r="C471">
        <f t="shared" si="306"/>
        <v>77</v>
      </c>
      <c r="D471">
        <f>D404</f>
        <v>6</v>
      </c>
      <c r="E471" t="str">
        <f>VLOOKUP(D471,name!A:B,2,1)</f>
        <v>Céline</v>
      </c>
      <c r="F471" t="str">
        <f t="shared" si="315"/>
        <v>ああ、あなたは風邪をひいていますね。</v>
      </c>
      <c r="G471" t="str">
        <f t="shared" ref="G471:G534" si="328">IF(B471&lt;&gt;B472,"e",IF(D471=0,"q","a"))</f>
        <v>a</v>
      </c>
      <c r="H471" t="str">
        <f>VLOOKUP(D471,name!A:C,3,1)</f>
        <v>assets/icons/image078.png</v>
      </c>
      <c r="I471" t="s">
        <v>463</v>
      </c>
    </row>
    <row r="472" spans="1:9" x14ac:dyDescent="0.15">
      <c r="A472" t="str">
        <f t="shared" ref="A472:B472" si="329">A471</f>
        <v>フランス語</v>
      </c>
      <c r="B472">
        <f t="shared" si="329"/>
        <v>7</v>
      </c>
      <c r="C472">
        <f t="shared" si="306"/>
        <v>78</v>
      </c>
      <c r="D472">
        <v>0</v>
      </c>
      <c r="E472" t="str">
        <f>VLOOKUP(D472,name!A:B,2,1)</f>
        <v>Player</v>
      </c>
      <c r="F472" t="str">
        <f t="shared" si="315"/>
        <v xml:space="preserve">Ah, tu es enrhumée. </v>
      </c>
      <c r="G472" t="str">
        <f t="shared" ref="G472" si="330">IF(B472&lt;&gt;B1637,"e",IF(D472=0,"q","a"))</f>
        <v>e</v>
      </c>
      <c r="H472" t="str">
        <f>VLOOKUP(D472,name!A:C,3,1)</f>
        <v>assets/icons/image326.png</v>
      </c>
      <c r="I472" t="str">
        <f>IF(A472="","",VLOOKUP(A472,lng!A:B,2,0))</f>
        <v>fr-FR</v>
      </c>
    </row>
    <row r="473" spans="1:9" x14ac:dyDescent="0.15">
      <c r="A473" t="str">
        <f t="shared" ref="A473:B473" si="331">A472</f>
        <v>フランス語</v>
      </c>
      <c r="B473">
        <f t="shared" si="331"/>
        <v>7</v>
      </c>
      <c r="C473">
        <f t="shared" si="306"/>
        <v>79</v>
      </c>
      <c r="D473">
        <f>D406</f>
        <v>6</v>
      </c>
      <c r="E473" t="str">
        <f>VLOOKUP(D473,name!A:B,2,1)</f>
        <v>Céline</v>
      </c>
      <c r="F473" t="str">
        <f t="shared" si="315"/>
        <v>熱はありますか?</v>
      </c>
      <c r="G473" t="str">
        <f t="shared" ref="G473:G536" si="332">IF(B473&lt;&gt;B474,"e",IF(D473=0,"q","a"))</f>
        <v>a</v>
      </c>
      <c r="H473" t="str">
        <f>VLOOKUP(D473,name!A:C,3,1)</f>
        <v>assets/icons/image078.png</v>
      </c>
      <c r="I473" t="s">
        <v>463</v>
      </c>
    </row>
    <row r="474" spans="1:9" x14ac:dyDescent="0.15">
      <c r="A474" t="str">
        <f t="shared" ref="A474:B474" si="333">A473</f>
        <v>フランス語</v>
      </c>
      <c r="B474">
        <f t="shared" si="333"/>
        <v>7</v>
      </c>
      <c r="C474">
        <f t="shared" si="306"/>
        <v>80</v>
      </c>
      <c r="D474">
        <v>0</v>
      </c>
      <c r="E474" t="str">
        <f>VLOOKUP(D474,name!A:B,2,1)</f>
        <v>Player</v>
      </c>
      <c r="F474" t="str">
        <f t="shared" si="315"/>
        <v>As-tu de la fièvre ?</v>
      </c>
      <c r="G474" t="str">
        <f t="shared" ref="G474" si="334">IF(B474&lt;&gt;B1639,"e",IF(D474=0,"q","a"))</f>
        <v>e</v>
      </c>
      <c r="H474" t="str">
        <f>VLOOKUP(D474,name!A:C,3,1)</f>
        <v>assets/icons/image326.png</v>
      </c>
      <c r="I474" t="str">
        <f>IF(A474="","",VLOOKUP(A474,lng!A:B,2,0))</f>
        <v>fr-FR</v>
      </c>
    </row>
    <row r="475" spans="1:9" x14ac:dyDescent="0.15">
      <c r="A475" t="str">
        <f t="shared" ref="A475:B475" si="335">A474</f>
        <v>フランス語</v>
      </c>
      <c r="B475">
        <f t="shared" si="335"/>
        <v>7</v>
      </c>
      <c r="C475">
        <f t="shared" si="306"/>
        <v>81</v>
      </c>
      <c r="D475">
        <f>D408</f>
        <v>5</v>
      </c>
      <c r="E475" t="str">
        <f>VLOOKUP(D475,name!A:B,2,1)</f>
        <v>Minako</v>
      </c>
      <c r="F475" t="str">
        <f t="shared" si="315"/>
        <v>わかりません。</v>
      </c>
      <c r="G475" t="str">
        <f t="shared" ref="G475:G538" si="336">IF(B475&lt;&gt;B476,"e",IF(D475=0,"q","a"))</f>
        <v>a</v>
      </c>
      <c r="H475" t="str">
        <f>VLOOKUP(D475,name!A:C,3,1)</f>
        <v>assets/icons/image086.png</v>
      </c>
      <c r="I475" t="s">
        <v>463</v>
      </c>
    </row>
    <row r="476" spans="1:9" x14ac:dyDescent="0.15">
      <c r="A476" t="str">
        <f t="shared" ref="A476:B484" si="337">A475</f>
        <v>フランス語</v>
      </c>
      <c r="B476">
        <f t="shared" si="337"/>
        <v>7</v>
      </c>
      <c r="C476">
        <f t="shared" ref="C476:C491" si="338">C475+1</f>
        <v>82</v>
      </c>
      <c r="D476">
        <v>0</v>
      </c>
      <c r="E476" t="str">
        <f>VLOOKUP(D476,name!A:B,2,1)</f>
        <v>Player</v>
      </c>
      <c r="F476" t="str">
        <f t="shared" si="315"/>
        <v>Je ne sais pas.</v>
      </c>
      <c r="G476" t="str">
        <f t="shared" ref="G476" si="339">IF(B476&lt;&gt;B1641,"e",IF(D476=0,"q","a"))</f>
        <v>e</v>
      </c>
      <c r="H476" t="str">
        <f>VLOOKUP(D476,name!A:C,3,1)</f>
        <v>assets/icons/image326.png</v>
      </c>
      <c r="I476" t="str">
        <f>IF(A476="","",VLOOKUP(A476,lng!A:B,2,0))</f>
        <v>fr-FR</v>
      </c>
    </row>
    <row r="477" spans="1:9" x14ac:dyDescent="0.15">
      <c r="A477" t="str">
        <f t="shared" si="337"/>
        <v>フランス語</v>
      </c>
      <c r="B477">
        <f t="shared" si="337"/>
        <v>7</v>
      </c>
      <c r="C477">
        <f t="shared" si="338"/>
        <v>83</v>
      </c>
      <c r="D477">
        <f>D410</f>
        <v>7</v>
      </c>
      <c r="E477" t="str">
        <f>VLOOKUP(D477,name!A:B,2,1)</f>
        <v>Luigi</v>
      </c>
      <c r="F477" t="str">
        <f t="shared" si="315"/>
        <v>医者に診てもらいましょう。</v>
      </c>
      <c r="G477" t="str">
        <f t="shared" ref="G477:G540" si="340">IF(B477&lt;&gt;B478,"e",IF(D477=0,"q","a"))</f>
        <v>a</v>
      </c>
      <c r="H477" t="str">
        <f>VLOOKUP(D477,name!A:C,3,1)</f>
        <v>assets/icons/image023.png</v>
      </c>
      <c r="I477" t="s">
        <v>463</v>
      </c>
    </row>
    <row r="478" spans="1:9" x14ac:dyDescent="0.15">
      <c r="A478" t="str">
        <f t="shared" si="337"/>
        <v>フランス語</v>
      </c>
      <c r="B478">
        <f t="shared" si="337"/>
        <v>7</v>
      </c>
      <c r="C478">
        <f t="shared" si="338"/>
        <v>84</v>
      </c>
      <c r="D478">
        <v>0</v>
      </c>
      <c r="E478" t="str">
        <f>VLOOKUP(D478,name!A:B,2,1)</f>
        <v>Player</v>
      </c>
      <c r="F478" t="str">
        <f t="shared" si="315"/>
        <v>Va voir le médecin.</v>
      </c>
      <c r="G478" t="str">
        <f t="shared" ref="G478" si="341">IF(B478&lt;&gt;B1643,"e",IF(D478=0,"q","a"))</f>
        <v>e</v>
      </c>
      <c r="H478" t="str">
        <f>VLOOKUP(D478,name!A:C,3,1)</f>
        <v>assets/icons/image326.png</v>
      </c>
      <c r="I478" t="str">
        <f>IF(A478="","",VLOOKUP(A478,lng!A:B,2,0))</f>
        <v>fr-FR</v>
      </c>
    </row>
    <row r="479" spans="1:9" x14ac:dyDescent="0.15">
      <c r="A479" t="str">
        <f t="shared" si="337"/>
        <v>フランス語</v>
      </c>
      <c r="B479">
        <f t="shared" si="337"/>
        <v>7</v>
      </c>
      <c r="C479">
        <f t="shared" si="338"/>
        <v>85</v>
      </c>
      <c r="D479">
        <f>D412</f>
        <v>6</v>
      </c>
      <c r="E479" t="str">
        <f>VLOOKUP(D479,name!A:B,2,1)</f>
        <v>Céline</v>
      </c>
      <c r="F479" t="str">
        <f t="shared" si="315"/>
        <v>いいえ、大丈夫です。</v>
      </c>
      <c r="G479" t="str">
        <f t="shared" ref="G479:G542" si="342">IF(B479&lt;&gt;B480,"e",IF(D479=0,"q","a"))</f>
        <v>a</v>
      </c>
      <c r="H479" t="str">
        <f>VLOOKUP(D479,name!A:C,3,1)</f>
        <v>assets/icons/image078.png</v>
      </c>
      <c r="I479" t="s">
        <v>463</v>
      </c>
    </row>
    <row r="480" spans="1:9" x14ac:dyDescent="0.15">
      <c r="A480" t="str">
        <f t="shared" si="337"/>
        <v>フランス語</v>
      </c>
      <c r="B480">
        <f t="shared" si="337"/>
        <v>7</v>
      </c>
      <c r="C480">
        <f t="shared" si="338"/>
        <v>86</v>
      </c>
      <c r="D480">
        <v>0</v>
      </c>
      <c r="E480" t="str">
        <f>VLOOKUP(D480,name!A:B,2,1)</f>
        <v>Player</v>
      </c>
      <c r="F480" t="str">
        <f t="shared" si="315"/>
        <v xml:space="preserve">Non, ça va. </v>
      </c>
      <c r="G480" t="str">
        <f t="shared" ref="G480" si="343">IF(B480&lt;&gt;B1645,"e",IF(D480=0,"q","a"))</f>
        <v>e</v>
      </c>
      <c r="H480" t="str">
        <f>VLOOKUP(D480,name!A:C,3,1)</f>
        <v>assets/icons/image326.png</v>
      </c>
      <c r="I480" t="str">
        <f>IF(A480="","",VLOOKUP(A480,lng!A:B,2,0))</f>
        <v>fr-FR</v>
      </c>
    </row>
    <row r="481" spans="1:12" x14ac:dyDescent="0.15">
      <c r="A481" t="str">
        <f t="shared" si="337"/>
        <v>フランス語</v>
      </c>
      <c r="B481">
        <f t="shared" si="337"/>
        <v>7</v>
      </c>
      <c r="C481">
        <f t="shared" si="338"/>
        <v>87</v>
      </c>
      <c r="D481">
        <f>D414</f>
        <v>6</v>
      </c>
      <c r="E481" t="str">
        <f>VLOOKUP(D481,name!A:B,2,1)</f>
        <v>Céline</v>
      </c>
      <c r="F481" t="str">
        <f t="shared" si="315"/>
        <v>グリューワインを飲んでよく眠ってください。</v>
      </c>
      <c r="G481" t="str">
        <f t="shared" ref="G481:G544" si="344">IF(B481&lt;&gt;B482,"e",IF(D481=0,"q","a"))</f>
        <v>a</v>
      </c>
      <c r="H481" t="str">
        <f>VLOOKUP(D481,name!A:C,3,1)</f>
        <v>assets/icons/image078.png</v>
      </c>
      <c r="I481" t="s">
        <v>463</v>
      </c>
    </row>
    <row r="482" spans="1:12" x14ac:dyDescent="0.15">
      <c r="A482" t="str">
        <f t="shared" si="337"/>
        <v>フランス語</v>
      </c>
      <c r="B482">
        <f t="shared" si="337"/>
        <v>7</v>
      </c>
      <c r="C482">
        <f t="shared" si="338"/>
        <v>88</v>
      </c>
      <c r="D482">
        <v>0</v>
      </c>
      <c r="E482" t="str">
        <f>VLOOKUP(D482,name!A:B,2,1)</f>
        <v>Player</v>
      </c>
      <c r="F482" t="str">
        <f t="shared" si="315"/>
        <v>Prends du vin chaud et dors bien.</v>
      </c>
      <c r="G482" t="str">
        <f t="shared" ref="G482" si="345">IF(B482&lt;&gt;B1647,"e",IF(D482=0,"q","a"))</f>
        <v>e</v>
      </c>
      <c r="H482" t="str">
        <f>VLOOKUP(D482,name!A:C,3,1)</f>
        <v>assets/icons/image326.png</v>
      </c>
      <c r="I482" t="str">
        <f>IF(A482="","",VLOOKUP(A482,lng!A:B,2,0))</f>
        <v>fr-FR</v>
      </c>
    </row>
    <row r="483" spans="1:12" x14ac:dyDescent="0.15">
      <c r="A483" t="str">
        <f t="shared" si="337"/>
        <v>フランス語</v>
      </c>
      <c r="B483">
        <f t="shared" si="337"/>
        <v>7</v>
      </c>
      <c r="C483">
        <f t="shared" si="338"/>
        <v>89</v>
      </c>
      <c r="D483">
        <f>D416</f>
        <v>7</v>
      </c>
      <c r="E483" t="str">
        <f>VLOOKUP(D483,name!A:B,2,1)</f>
        <v>Luigi</v>
      </c>
      <c r="F483" t="str">
        <f t="shared" si="315"/>
        <v>薬はありますか?</v>
      </c>
      <c r="G483" t="str">
        <f t="shared" ref="G483:G546" si="346">IF(B483&lt;&gt;B484,"e",IF(D483=0,"q","a"))</f>
        <v>a</v>
      </c>
      <c r="H483" t="str">
        <f>VLOOKUP(D483,name!A:C,3,1)</f>
        <v>assets/icons/image023.png</v>
      </c>
      <c r="I483" t="s">
        <v>463</v>
      </c>
    </row>
    <row r="484" spans="1:12" x14ac:dyDescent="0.15">
      <c r="A484" t="str">
        <f t="shared" si="337"/>
        <v>フランス語</v>
      </c>
      <c r="B484">
        <f t="shared" si="337"/>
        <v>7</v>
      </c>
      <c r="C484">
        <f t="shared" si="338"/>
        <v>90</v>
      </c>
      <c r="D484">
        <v>0</v>
      </c>
      <c r="E484" t="str">
        <f>VLOOKUP(D484,name!A:B,2,1)</f>
        <v>Player</v>
      </c>
      <c r="F484" t="str">
        <f t="shared" si="315"/>
        <v>As-tu des médicaments ?</v>
      </c>
      <c r="G484" t="str">
        <f t="shared" ref="G484" si="347">IF(B484&lt;&gt;B1649,"e",IF(D484=0,"q","a"))</f>
        <v>e</v>
      </c>
      <c r="H484" t="str">
        <f>VLOOKUP(D484,name!A:C,3,1)</f>
        <v>assets/icons/image326.png</v>
      </c>
      <c r="I484" t="str">
        <f>IF(A484="","",VLOOKUP(A484,lng!A:B,2,0))</f>
        <v>fr-FR</v>
      </c>
    </row>
    <row r="485" spans="1:12" x14ac:dyDescent="0.15">
      <c r="A485" t="str">
        <f t="shared" ref="A485:B491" si="348">A484</f>
        <v>フランス語</v>
      </c>
      <c r="B485">
        <f t="shared" si="348"/>
        <v>7</v>
      </c>
      <c r="C485">
        <f t="shared" si="338"/>
        <v>91</v>
      </c>
      <c r="D485">
        <f>D418</f>
        <v>5</v>
      </c>
      <c r="E485" t="str">
        <f>VLOOKUP(D485,name!A:B,2,1)</f>
        <v>Minako</v>
      </c>
      <c r="F485" t="str">
        <f t="shared" si="315"/>
        <v>このバッグにはアスピリンが入っていると思います。</v>
      </c>
      <c r="G485" t="str">
        <f t="shared" ref="G485:G548" si="349">IF(B485&lt;&gt;B486,"e",IF(D485=0,"q","a"))</f>
        <v>a</v>
      </c>
      <c r="H485" t="str">
        <f>VLOOKUP(D485,name!A:C,3,1)</f>
        <v>assets/icons/image086.png</v>
      </c>
      <c r="I485" t="s">
        <v>463</v>
      </c>
    </row>
    <row r="486" spans="1:12" x14ac:dyDescent="0.15">
      <c r="A486" t="str">
        <f t="shared" si="348"/>
        <v>フランス語</v>
      </c>
      <c r="B486">
        <f t="shared" si="348"/>
        <v>7</v>
      </c>
      <c r="C486">
        <f t="shared" si="338"/>
        <v>92</v>
      </c>
      <c r="D486">
        <v>0</v>
      </c>
      <c r="E486" t="str">
        <f>VLOOKUP(D486,name!A:B,2,1)</f>
        <v>Player</v>
      </c>
      <c r="F486" t="str">
        <f t="shared" si="315"/>
        <v>Je crois que j'ai des aspirines dans ce sac.</v>
      </c>
      <c r="G486" t="str">
        <f t="shared" ref="G486" si="350">IF(B486&lt;&gt;B1651,"e",IF(D486=0,"q","a"))</f>
        <v>e</v>
      </c>
      <c r="H486" t="str">
        <f>VLOOKUP(D486,name!A:C,3,1)</f>
        <v>assets/icons/image326.png</v>
      </c>
      <c r="I486" t="str">
        <f>IF(A486="","",VLOOKUP(A486,lng!A:B,2,0))</f>
        <v>fr-FR</v>
      </c>
    </row>
    <row r="487" spans="1:12" x14ac:dyDescent="0.15">
      <c r="A487" t="str">
        <f t="shared" si="348"/>
        <v>フランス語</v>
      </c>
      <c r="B487">
        <f t="shared" si="348"/>
        <v>7</v>
      </c>
      <c r="C487">
        <f t="shared" si="338"/>
        <v>93</v>
      </c>
      <c r="D487">
        <f>D420</f>
        <v>6</v>
      </c>
      <c r="E487" t="str">
        <f>VLOOKUP(D487,name!A:B,2,1)</f>
        <v>Céline</v>
      </c>
      <c r="F487" t="str">
        <f t="shared" si="315"/>
        <v>それは良いです。</v>
      </c>
      <c r="G487" t="str">
        <f t="shared" ref="G487:G550" si="351">IF(B487&lt;&gt;B488,"e",IF(D487=0,"q","a"))</f>
        <v>a</v>
      </c>
      <c r="H487" t="str">
        <f>VLOOKUP(D487,name!A:C,3,1)</f>
        <v>assets/icons/image078.png</v>
      </c>
      <c r="I487" t="s">
        <v>463</v>
      </c>
    </row>
    <row r="488" spans="1:12" x14ac:dyDescent="0.15">
      <c r="A488" t="str">
        <f t="shared" si="348"/>
        <v>フランス語</v>
      </c>
      <c r="B488">
        <f t="shared" si="348"/>
        <v>7</v>
      </c>
      <c r="C488">
        <f t="shared" si="338"/>
        <v>94</v>
      </c>
      <c r="D488">
        <v>0</v>
      </c>
      <c r="E488" t="str">
        <f>VLOOKUP(D488,name!A:B,2,1)</f>
        <v>Player</v>
      </c>
      <c r="F488" t="str">
        <f t="shared" si="315"/>
        <v>C'est bien.</v>
      </c>
      <c r="G488" t="str">
        <f t="shared" ref="G488" si="352">IF(B488&lt;&gt;B1653,"e",IF(D488=0,"q","a"))</f>
        <v>e</v>
      </c>
      <c r="H488" t="str">
        <f>VLOOKUP(D488,name!A:C,3,1)</f>
        <v>assets/icons/image326.png</v>
      </c>
      <c r="I488" t="str">
        <f>IF(A488="","",VLOOKUP(A488,lng!A:B,2,0))</f>
        <v>fr-FR</v>
      </c>
    </row>
    <row r="489" spans="1:12" x14ac:dyDescent="0.15">
      <c r="A489" t="str">
        <f t="shared" si="348"/>
        <v>フランス語</v>
      </c>
      <c r="B489">
        <f t="shared" si="348"/>
        <v>7</v>
      </c>
      <c r="C489">
        <f t="shared" si="338"/>
        <v>95</v>
      </c>
      <c r="D489">
        <f>D422</f>
        <v>6</v>
      </c>
      <c r="E489" t="str">
        <f>VLOOKUP(D489,name!A:B,2,1)</f>
        <v>Céline</v>
      </c>
      <c r="F489" t="str">
        <f t="shared" si="315"/>
        <v>すぐに1錠服用してください。</v>
      </c>
      <c r="G489" t="str">
        <f t="shared" ref="G489:G552" si="353">IF(B489&lt;&gt;B490,"e",IF(D489=0,"q","a"))</f>
        <v>a</v>
      </c>
      <c r="H489" t="str">
        <f>VLOOKUP(D489,name!A:C,3,1)</f>
        <v>assets/icons/image078.png</v>
      </c>
      <c r="I489" t="s">
        <v>463</v>
      </c>
    </row>
    <row r="490" spans="1:12" x14ac:dyDescent="0.15">
      <c r="A490" t="str">
        <f t="shared" si="348"/>
        <v>フランス語</v>
      </c>
      <c r="B490">
        <f t="shared" si="348"/>
        <v>7</v>
      </c>
      <c r="C490">
        <f t="shared" si="338"/>
        <v>96</v>
      </c>
      <c r="D490">
        <v>0</v>
      </c>
      <c r="E490" t="str">
        <f>VLOOKUP(D490,name!A:B,2,1)</f>
        <v>Player</v>
      </c>
      <c r="F490" t="str">
        <f t="shared" si="315"/>
        <v>Prends un comprimé tout de suite.</v>
      </c>
      <c r="G490" t="str">
        <f t="shared" ref="G490" si="354">IF(B490&lt;&gt;B1655,"e",IF(D490=0,"q","a"))</f>
        <v>e</v>
      </c>
      <c r="H490" t="str">
        <f>VLOOKUP(D490,name!A:C,3,1)</f>
        <v>assets/icons/image326.png</v>
      </c>
      <c r="I490" t="str">
        <f>IF(A490="","",VLOOKUP(A490,lng!A:B,2,0))</f>
        <v>fr-FR</v>
      </c>
    </row>
    <row r="491" spans="1:12" x14ac:dyDescent="0.15">
      <c r="A491" t="str">
        <f t="shared" si="348"/>
        <v>フランス語</v>
      </c>
      <c r="B491">
        <f t="shared" si="348"/>
        <v>7</v>
      </c>
      <c r="C491">
        <f t="shared" si="338"/>
        <v>97</v>
      </c>
      <c r="D491">
        <v>1</v>
      </c>
      <c r="E491" t="str">
        <f>VLOOKUP(D491,name!A:B,2,1)</f>
        <v>Navigator</v>
      </c>
      <c r="F491" t="str">
        <f>"とても良くできました。レッスン"&amp;B491&amp;"はこれで終了です。"</f>
        <v>とても良くできました。レッスン7はこれで終了です。</v>
      </c>
      <c r="G491" t="str">
        <f t="shared" ref="G491:G554" si="355">IF(B491&lt;&gt;B492,"e",IF(D491=0,"q","a"))</f>
        <v>e</v>
      </c>
      <c r="H491" t="str">
        <f>VLOOKUP(D491,name!A:C,3,1)</f>
        <v>assets/icons/image014.png</v>
      </c>
      <c r="I491" t="s">
        <v>463</v>
      </c>
    </row>
    <row r="492" spans="1:12" x14ac:dyDescent="0.15">
      <c r="A492" t="str">
        <f>A491</f>
        <v>フランス語</v>
      </c>
      <c r="B492">
        <f>B491+1</f>
        <v>8</v>
      </c>
      <c r="C492">
        <v>1</v>
      </c>
      <c r="D492">
        <v>1</v>
      </c>
      <c r="E492" t="str">
        <f>VLOOKUP(D492,name!A:B,2,1)</f>
        <v>Navigator</v>
      </c>
      <c r="F492" t="s">
        <v>552</v>
      </c>
      <c r="G492" t="str">
        <f t="shared" ref="G492" si="356">IF(B492&lt;&gt;B1657,"e",IF(D492=0,"q","a"))</f>
        <v>e</v>
      </c>
      <c r="H492" t="str">
        <f>VLOOKUP(D492,name!A:C,3,1)</f>
        <v>assets/icons/image014.png</v>
      </c>
      <c r="I492" t="str">
        <f>IF(A492="","",VLOOKUP(A492,lng!A:B,2,0))</f>
        <v>fr-FR</v>
      </c>
    </row>
    <row r="493" spans="1:12" x14ac:dyDescent="0.15">
      <c r="A493" t="str">
        <f t="shared" ref="A493:B508" si="357">A492</f>
        <v>フランス語</v>
      </c>
      <c r="B493">
        <f>B492</f>
        <v>8</v>
      </c>
      <c r="C493">
        <f>C492+1</f>
        <v>2</v>
      </c>
      <c r="D493">
        <v>1</v>
      </c>
      <c r="E493" t="str">
        <f>VLOOKUP(D493,name!A:B,2,1)</f>
        <v>Navigator</v>
      </c>
      <c r="F493" t="str">
        <f>"レッスン"&amp;B493</f>
        <v>レッスン8</v>
      </c>
      <c r="G493" t="str">
        <f t="shared" ref="G493:G556" si="358">IF(B493&lt;&gt;B494,"e",IF(D493=0,"q","a"))</f>
        <v>a</v>
      </c>
      <c r="H493" t="str">
        <f>VLOOKUP(D493,name!A:C,3,1)</f>
        <v>assets/icons/image014.png</v>
      </c>
      <c r="I493" t="s">
        <v>463</v>
      </c>
    </row>
    <row r="494" spans="1:12" ht="40.5" x14ac:dyDescent="0.15">
      <c r="A494" t="str">
        <f t="shared" si="357"/>
        <v>フランス語</v>
      </c>
      <c r="B494">
        <f t="shared" si="357"/>
        <v>8</v>
      </c>
      <c r="C494">
        <f t="shared" ref="C494:C557" si="359">C493+1</f>
        <v>3</v>
      </c>
      <c r="D494">
        <v>1</v>
      </c>
      <c r="E494" t="str">
        <f>VLOOKUP(D494,name!A:B,2,1)</f>
        <v>Navigator</v>
      </c>
      <c r="F494" s="1" t="str">
        <f>"まずは対話文を流します。その後に、日本語と"&amp;A494&amp;"を一文ずつ流すので"&amp;A494&amp;"を真似して下さい。最後に日本語のみを流すので、"&amp;A494&amp;"で答えてください。"</f>
        <v>まずは対話文を流します。その後に、日本語とフランス語を一文ずつ流すのでフランス語を真似して下さい。最後に日本語のみを流すので、フランス語で答えてください。</v>
      </c>
      <c r="G494" t="str">
        <f t="shared" ref="G494" si="360">IF(B494&lt;&gt;B1659,"e",IF(D494=0,"q","a"))</f>
        <v>e</v>
      </c>
      <c r="H494" t="str">
        <f>VLOOKUP(D494,name!A:C,3,1)</f>
        <v>assets/icons/image014.png</v>
      </c>
      <c r="I494" t="s">
        <v>463</v>
      </c>
      <c r="L494" s="1"/>
    </row>
    <row r="495" spans="1:12" x14ac:dyDescent="0.15">
      <c r="A495" t="str">
        <f t="shared" si="357"/>
        <v>フランス語</v>
      </c>
      <c r="B495">
        <f t="shared" si="357"/>
        <v>8</v>
      </c>
      <c r="C495">
        <f t="shared" si="359"/>
        <v>4</v>
      </c>
      <c r="D495">
        <f>D496</f>
        <v>19</v>
      </c>
      <c r="E495" t="str">
        <f>VLOOKUP(D495,name!A:B,2,1)</f>
        <v>Bibliothécaire</v>
      </c>
      <c r="F495" t="s">
        <v>567</v>
      </c>
      <c r="G495" t="str">
        <f t="shared" ref="G495:G558" si="361">IF(B495&lt;&gt;B496,"e",IF(D495=0,"q","a"))</f>
        <v>a</v>
      </c>
      <c r="H495" t="str">
        <f>VLOOKUP(D495,name!A:C,3,1)</f>
        <v>assets/icons/image112.png</v>
      </c>
      <c r="I495" t="s">
        <v>463</v>
      </c>
    </row>
    <row r="496" spans="1:12" x14ac:dyDescent="0.15">
      <c r="A496" t="str">
        <f t="shared" si="357"/>
        <v>フランス語</v>
      </c>
      <c r="B496">
        <f t="shared" si="357"/>
        <v>8</v>
      </c>
      <c r="C496">
        <f t="shared" si="359"/>
        <v>5</v>
      </c>
      <c r="D496">
        <v>19</v>
      </c>
      <c r="E496" t="str">
        <f>VLOOKUP(D496,name!A:B,2,1)</f>
        <v>Bibliothécaire</v>
      </c>
      <c r="F496" t="s">
        <v>553</v>
      </c>
      <c r="G496" t="str">
        <f t="shared" ref="G496" si="362">IF(B496&lt;&gt;B1661,"e",IF(D496=0,"q","a"))</f>
        <v>e</v>
      </c>
      <c r="H496" t="str">
        <f>VLOOKUP(D496,name!A:C,3,1)</f>
        <v>assets/icons/image112.png</v>
      </c>
      <c r="I496" t="str">
        <f>IF(A496="","",VLOOKUP(A496,lng!A:B,2,0))</f>
        <v>fr-FR</v>
      </c>
    </row>
    <row r="497" spans="1:9" x14ac:dyDescent="0.15">
      <c r="A497" t="str">
        <f t="shared" si="357"/>
        <v>フランス語</v>
      </c>
      <c r="B497">
        <f t="shared" si="357"/>
        <v>8</v>
      </c>
      <c r="C497">
        <f t="shared" si="359"/>
        <v>6</v>
      </c>
      <c r="D497">
        <f t="shared" ref="D497:D517" si="363">D498</f>
        <v>5</v>
      </c>
      <c r="E497" t="str">
        <f>VLOOKUP(D497,name!A:B,2,1)</f>
        <v>Minako</v>
      </c>
      <c r="F497" t="s">
        <v>568</v>
      </c>
      <c r="G497" t="str">
        <f t="shared" ref="G497:G560" si="364">IF(B497&lt;&gt;B498,"e",IF(D497=0,"q","a"))</f>
        <v>a</v>
      </c>
      <c r="H497" t="str">
        <f>VLOOKUP(D497,name!A:C,3,1)</f>
        <v>assets/icons/image086.png</v>
      </c>
      <c r="I497" t="s">
        <v>463</v>
      </c>
    </row>
    <row r="498" spans="1:9" x14ac:dyDescent="0.15">
      <c r="A498" t="str">
        <f t="shared" si="357"/>
        <v>フランス語</v>
      </c>
      <c r="B498">
        <f t="shared" si="357"/>
        <v>8</v>
      </c>
      <c r="C498">
        <f t="shared" si="359"/>
        <v>7</v>
      </c>
      <c r="D498">
        <v>5</v>
      </c>
      <c r="E498" t="str">
        <f>VLOOKUP(D498,name!A:B,2,1)</f>
        <v>Minako</v>
      </c>
      <c r="F498" t="s">
        <v>556</v>
      </c>
      <c r="G498" t="str">
        <f t="shared" ref="G498" si="365">IF(B498&lt;&gt;B1663,"e",IF(D498=0,"q","a"))</f>
        <v>e</v>
      </c>
      <c r="H498" t="str">
        <f>VLOOKUP(D498,name!A:C,3,1)</f>
        <v>assets/icons/image086.png</v>
      </c>
      <c r="I498" t="str">
        <f>IF(A498="","",VLOOKUP(A498,lng!A:B,2,0))</f>
        <v>fr-FR</v>
      </c>
    </row>
    <row r="499" spans="1:9" x14ac:dyDescent="0.15">
      <c r="A499" t="str">
        <f t="shared" si="357"/>
        <v>フランス語</v>
      </c>
      <c r="B499">
        <f t="shared" si="357"/>
        <v>8</v>
      </c>
      <c r="C499">
        <f t="shared" si="359"/>
        <v>8</v>
      </c>
      <c r="D499">
        <f t="shared" si="363"/>
        <v>5</v>
      </c>
      <c r="E499" t="str">
        <f>VLOOKUP(D499,name!A:B,2,1)</f>
        <v>Minako</v>
      </c>
      <c r="F499" t="s">
        <v>569</v>
      </c>
      <c r="G499" t="str">
        <f t="shared" ref="G499:G562" si="366">IF(B499&lt;&gt;B500,"e",IF(D499=0,"q","a"))</f>
        <v>a</v>
      </c>
      <c r="H499" t="str">
        <f>VLOOKUP(D499,name!A:C,3,1)</f>
        <v>assets/icons/image086.png</v>
      </c>
      <c r="I499" t="s">
        <v>463</v>
      </c>
    </row>
    <row r="500" spans="1:9" x14ac:dyDescent="0.15">
      <c r="A500" t="str">
        <f t="shared" si="357"/>
        <v>フランス語</v>
      </c>
      <c r="B500">
        <f t="shared" si="357"/>
        <v>8</v>
      </c>
      <c r="C500">
        <f t="shared" si="359"/>
        <v>9</v>
      </c>
      <c r="D500">
        <v>5</v>
      </c>
      <c r="E500" t="str">
        <f>VLOOKUP(D500,name!A:B,2,1)</f>
        <v>Minako</v>
      </c>
      <c r="F500" t="s">
        <v>557</v>
      </c>
      <c r="G500" t="str">
        <f t="shared" ref="G500" si="367">IF(B500&lt;&gt;B1665,"e",IF(D500=0,"q","a"))</f>
        <v>e</v>
      </c>
      <c r="H500" t="str">
        <f>VLOOKUP(D500,name!A:C,3,1)</f>
        <v>assets/icons/image086.png</v>
      </c>
      <c r="I500" t="str">
        <f>IF(A500="","",VLOOKUP(A500,lng!A:B,2,0))</f>
        <v>fr-FR</v>
      </c>
    </row>
    <row r="501" spans="1:9" x14ac:dyDescent="0.15">
      <c r="A501" t="str">
        <f t="shared" si="357"/>
        <v>フランス語</v>
      </c>
      <c r="B501">
        <f t="shared" si="357"/>
        <v>8</v>
      </c>
      <c r="C501">
        <f t="shared" si="359"/>
        <v>10</v>
      </c>
      <c r="D501">
        <f t="shared" si="363"/>
        <v>19</v>
      </c>
      <c r="E501" t="str">
        <f>VLOOKUP(D501,name!A:B,2,1)</f>
        <v>Bibliothécaire</v>
      </c>
      <c r="F501" t="s">
        <v>571</v>
      </c>
      <c r="G501" t="str">
        <f t="shared" ref="G501:G564" si="368">IF(B501&lt;&gt;B502,"e",IF(D501=0,"q","a"))</f>
        <v>a</v>
      </c>
      <c r="H501" t="str">
        <f>VLOOKUP(D501,name!A:C,3,1)</f>
        <v>assets/icons/image112.png</v>
      </c>
      <c r="I501" t="s">
        <v>463</v>
      </c>
    </row>
    <row r="502" spans="1:9" x14ac:dyDescent="0.15">
      <c r="A502" t="str">
        <f t="shared" si="357"/>
        <v>フランス語</v>
      </c>
      <c r="B502">
        <f t="shared" si="357"/>
        <v>8</v>
      </c>
      <c r="C502">
        <f t="shared" si="359"/>
        <v>11</v>
      </c>
      <c r="D502">
        <f t="shared" si="363"/>
        <v>19</v>
      </c>
      <c r="E502" t="str">
        <f>VLOOKUP(D502,name!A:B,2,1)</f>
        <v>Bibliothécaire</v>
      </c>
      <c r="F502" t="s">
        <v>558</v>
      </c>
      <c r="G502" t="str">
        <f t="shared" ref="G502" si="369">IF(B502&lt;&gt;B1667,"e",IF(D502=0,"q","a"))</f>
        <v>e</v>
      </c>
      <c r="H502" t="str">
        <f>VLOOKUP(D502,name!A:C,3,1)</f>
        <v>assets/icons/image112.png</v>
      </c>
      <c r="I502" t="str">
        <f>IF(A502="","",VLOOKUP(A502,lng!A:B,2,0))</f>
        <v>fr-FR</v>
      </c>
    </row>
    <row r="503" spans="1:9" x14ac:dyDescent="0.15">
      <c r="A503" t="str">
        <f t="shared" si="357"/>
        <v>フランス語</v>
      </c>
      <c r="B503">
        <f t="shared" si="357"/>
        <v>8</v>
      </c>
      <c r="C503">
        <f t="shared" si="359"/>
        <v>12</v>
      </c>
      <c r="D503">
        <f t="shared" si="363"/>
        <v>19</v>
      </c>
      <c r="E503" t="str">
        <f>VLOOKUP(D503,name!A:B,2,1)</f>
        <v>Bibliothécaire</v>
      </c>
      <c r="F503" t="s">
        <v>570</v>
      </c>
      <c r="G503" t="str">
        <f t="shared" ref="G503:G566" si="370">IF(B503&lt;&gt;B504,"e",IF(D503=0,"q","a"))</f>
        <v>a</v>
      </c>
      <c r="H503" t="str">
        <f>VLOOKUP(D503,name!A:C,3,1)</f>
        <v>assets/icons/image112.png</v>
      </c>
      <c r="I503" t="s">
        <v>463</v>
      </c>
    </row>
    <row r="504" spans="1:9" x14ac:dyDescent="0.15">
      <c r="A504" t="str">
        <f t="shared" si="357"/>
        <v>フランス語</v>
      </c>
      <c r="B504">
        <f t="shared" si="357"/>
        <v>8</v>
      </c>
      <c r="C504">
        <f t="shared" si="359"/>
        <v>13</v>
      </c>
      <c r="D504">
        <v>19</v>
      </c>
      <c r="E504" t="str">
        <f>VLOOKUP(D504,name!A:B,2,1)</f>
        <v>Bibliothécaire</v>
      </c>
      <c r="F504" t="s">
        <v>559</v>
      </c>
      <c r="G504" t="str">
        <f t="shared" ref="G504" si="371">IF(B504&lt;&gt;B1669,"e",IF(D504=0,"q","a"))</f>
        <v>e</v>
      </c>
      <c r="H504" t="str">
        <f>VLOOKUP(D504,name!A:C,3,1)</f>
        <v>assets/icons/image112.png</v>
      </c>
      <c r="I504" t="str">
        <f>IF(A504="","",VLOOKUP(A504,lng!A:B,2,0))</f>
        <v>fr-FR</v>
      </c>
    </row>
    <row r="505" spans="1:9" x14ac:dyDescent="0.15">
      <c r="A505" t="str">
        <f t="shared" si="357"/>
        <v>フランス語</v>
      </c>
      <c r="B505">
        <f t="shared" si="357"/>
        <v>8</v>
      </c>
      <c r="C505">
        <f t="shared" si="359"/>
        <v>14</v>
      </c>
      <c r="D505">
        <f t="shared" si="363"/>
        <v>5</v>
      </c>
      <c r="E505" t="str">
        <f>VLOOKUP(D505,name!A:B,2,1)</f>
        <v>Minako</v>
      </c>
      <c r="F505" t="s">
        <v>572</v>
      </c>
      <c r="G505" t="str">
        <f t="shared" ref="G505:G568" si="372">IF(B505&lt;&gt;B506,"e",IF(D505=0,"q","a"))</f>
        <v>a</v>
      </c>
      <c r="H505" t="str">
        <f>VLOOKUP(D505,name!A:C,3,1)</f>
        <v>assets/icons/image086.png</v>
      </c>
      <c r="I505" t="s">
        <v>463</v>
      </c>
    </row>
    <row r="506" spans="1:9" x14ac:dyDescent="0.15">
      <c r="A506" t="str">
        <f t="shared" si="357"/>
        <v>フランス語</v>
      </c>
      <c r="B506">
        <f t="shared" si="357"/>
        <v>8</v>
      </c>
      <c r="C506">
        <f t="shared" si="359"/>
        <v>15</v>
      </c>
      <c r="D506">
        <f t="shared" si="363"/>
        <v>5</v>
      </c>
      <c r="E506" t="str">
        <f>VLOOKUP(D506,name!A:B,2,1)</f>
        <v>Minako</v>
      </c>
      <c r="F506" t="s">
        <v>560</v>
      </c>
      <c r="G506" t="str">
        <f t="shared" ref="G506" si="373">IF(B506&lt;&gt;B1671,"e",IF(D506=0,"q","a"))</f>
        <v>e</v>
      </c>
      <c r="H506" t="str">
        <f>VLOOKUP(D506,name!A:C,3,1)</f>
        <v>assets/icons/image086.png</v>
      </c>
      <c r="I506" t="str">
        <f>IF(A506="","",VLOOKUP(A506,lng!A:B,2,0))</f>
        <v>fr-FR</v>
      </c>
    </row>
    <row r="507" spans="1:9" x14ac:dyDescent="0.15">
      <c r="A507" t="str">
        <f t="shared" si="357"/>
        <v>フランス語</v>
      </c>
      <c r="B507">
        <f t="shared" si="357"/>
        <v>8</v>
      </c>
      <c r="C507">
        <f t="shared" si="359"/>
        <v>16</v>
      </c>
      <c r="D507">
        <f t="shared" si="363"/>
        <v>5</v>
      </c>
      <c r="E507" t="str">
        <f>VLOOKUP(D507,name!A:B,2,1)</f>
        <v>Minako</v>
      </c>
      <c r="F507" t="s">
        <v>573</v>
      </c>
      <c r="G507" t="str">
        <f t="shared" ref="G507:G570" si="374">IF(B507&lt;&gt;B508,"e",IF(D507=0,"q","a"))</f>
        <v>a</v>
      </c>
      <c r="H507" t="str">
        <f>VLOOKUP(D507,name!A:C,3,1)</f>
        <v>assets/icons/image086.png</v>
      </c>
      <c r="I507" t="s">
        <v>463</v>
      </c>
    </row>
    <row r="508" spans="1:9" x14ac:dyDescent="0.15">
      <c r="A508" t="str">
        <f t="shared" si="357"/>
        <v>フランス語</v>
      </c>
      <c r="B508">
        <f t="shared" si="357"/>
        <v>8</v>
      </c>
      <c r="C508">
        <f t="shared" si="359"/>
        <v>17</v>
      </c>
      <c r="D508">
        <v>5</v>
      </c>
      <c r="E508" t="str">
        <f>VLOOKUP(D508,name!A:B,2,1)</f>
        <v>Minako</v>
      </c>
      <c r="F508" t="s">
        <v>561</v>
      </c>
      <c r="G508" t="str">
        <f t="shared" ref="G508" si="375">IF(B508&lt;&gt;B1673,"e",IF(D508=0,"q","a"))</f>
        <v>e</v>
      </c>
      <c r="H508" t="str">
        <f>VLOOKUP(D508,name!A:C,3,1)</f>
        <v>assets/icons/image086.png</v>
      </c>
      <c r="I508" t="str">
        <f>IF(A508="","",VLOOKUP(A508,lng!A:B,2,0))</f>
        <v>fr-FR</v>
      </c>
    </row>
    <row r="509" spans="1:9" x14ac:dyDescent="0.15">
      <c r="A509" t="str">
        <f t="shared" ref="A509:B517" si="376">A508</f>
        <v>フランス語</v>
      </c>
      <c r="B509">
        <f t="shared" si="376"/>
        <v>8</v>
      </c>
      <c r="C509">
        <f t="shared" si="359"/>
        <v>18</v>
      </c>
      <c r="D509">
        <f t="shared" si="363"/>
        <v>19</v>
      </c>
      <c r="E509" t="str">
        <f>VLOOKUP(D509,name!A:B,2,1)</f>
        <v>Bibliothécaire</v>
      </c>
      <c r="F509" t="s">
        <v>574</v>
      </c>
      <c r="G509" t="str">
        <f t="shared" ref="G509:G572" si="377">IF(B509&lt;&gt;B510,"e",IF(D509=0,"q","a"))</f>
        <v>a</v>
      </c>
      <c r="H509" t="str">
        <f>VLOOKUP(D509,name!A:C,3,1)</f>
        <v>assets/icons/image112.png</v>
      </c>
      <c r="I509" t="s">
        <v>463</v>
      </c>
    </row>
    <row r="510" spans="1:9" x14ac:dyDescent="0.15">
      <c r="A510" t="str">
        <f t="shared" si="376"/>
        <v>フランス語</v>
      </c>
      <c r="B510">
        <f t="shared" si="376"/>
        <v>8</v>
      </c>
      <c r="C510">
        <f t="shared" si="359"/>
        <v>19</v>
      </c>
      <c r="D510">
        <v>19</v>
      </c>
      <c r="E510" t="str">
        <f>VLOOKUP(D510,name!A:B,2,1)</f>
        <v>Bibliothécaire</v>
      </c>
      <c r="F510" t="s">
        <v>562</v>
      </c>
      <c r="G510" t="str">
        <f t="shared" ref="G510" si="378">IF(B510&lt;&gt;B1675,"e",IF(D510=0,"q","a"))</f>
        <v>e</v>
      </c>
      <c r="H510" t="str">
        <f>VLOOKUP(D510,name!A:C,3,1)</f>
        <v>assets/icons/image112.png</v>
      </c>
      <c r="I510" t="str">
        <f>IF(A510="","",VLOOKUP(A510,lng!A:B,2,0))</f>
        <v>fr-FR</v>
      </c>
    </row>
    <row r="511" spans="1:9" x14ac:dyDescent="0.15">
      <c r="A511" t="str">
        <f t="shared" si="376"/>
        <v>フランス語</v>
      </c>
      <c r="B511">
        <f t="shared" si="376"/>
        <v>8</v>
      </c>
      <c r="C511">
        <f t="shared" si="359"/>
        <v>20</v>
      </c>
      <c r="D511">
        <f t="shared" si="363"/>
        <v>19</v>
      </c>
      <c r="E511" t="str">
        <f>VLOOKUP(D511,name!A:B,2,1)</f>
        <v>Bibliothécaire</v>
      </c>
      <c r="F511" t="s">
        <v>575</v>
      </c>
      <c r="G511" t="str">
        <f t="shared" ref="G511:G574" si="379">IF(B511&lt;&gt;B512,"e",IF(D511=0,"q","a"))</f>
        <v>a</v>
      </c>
      <c r="H511" t="str">
        <f>VLOOKUP(D511,name!A:C,3,1)</f>
        <v>assets/icons/image112.png</v>
      </c>
      <c r="I511" t="s">
        <v>463</v>
      </c>
    </row>
    <row r="512" spans="1:9" x14ac:dyDescent="0.15">
      <c r="A512" t="str">
        <f t="shared" si="376"/>
        <v>フランス語</v>
      </c>
      <c r="B512">
        <f t="shared" si="376"/>
        <v>8</v>
      </c>
      <c r="C512">
        <f t="shared" si="359"/>
        <v>21</v>
      </c>
      <c r="D512">
        <v>19</v>
      </c>
      <c r="E512" t="str">
        <f>VLOOKUP(D512,name!A:B,2,1)</f>
        <v>Bibliothécaire</v>
      </c>
      <c r="F512" t="s">
        <v>563</v>
      </c>
      <c r="G512" t="str">
        <f t="shared" ref="G512" si="380">IF(B512&lt;&gt;B1677,"e",IF(D512=0,"q","a"))</f>
        <v>e</v>
      </c>
      <c r="H512" t="str">
        <f>VLOOKUP(D512,name!A:C,3,1)</f>
        <v>assets/icons/image112.png</v>
      </c>
      <c r="I512" t="str">
        <f>IF(A512="","",VLOOKUP(A512,lng!A:B,2,0))</f>
        <v>fr-FR</v>
      </c>
    </row>
    <row r="513" spans="1:9" x14ac:dyDescent="0.15">
      <c r="A513" t="str">
        <f t="shared" si="376"/>
        <v>フランス語</v>
      </c>
      <c r="B513">
        <f t="shared" si="376"/>
        <v>8</v>
      </c>
      <c r="C513">
        <f t="shared" si="359"/>
        <v>22</v>
      </c>
      <c r="D513">
        <f t="shared" si="363"/>
        <v>5</v>
      </c>
      <c r="E513" t="str">
        <f>VLOOKUP(D513,name!A:B,2,1)</f>
        <v>Minako</v>
      </c>
      <c r="F513" t="s">
        <v>576</v>
      </c>
      <c r="G513" t="str">
        <f t="shared" ref="G513:G576" si="381">IF(B513&lt;&gt;B514,"e",IF(D513=0,"q","a"))</f>
        <v>a</v>
      </c>
      <c r="H513" t="str">
        <f>VLOOKUP(D513,name!A:C,3,1)</f>
        <v>assets/icons/image086.png</v>
      </c>
      <c r="I513" t="s">
        <v>463</v>
      </c>
    </row>
    <row r="514" spans="1:9" x14ac:dyDescent="0.15">
      <c r="A514" t="str">
        <f t="shared" si="376"/>
        <v>フランス語</v>
      </c>
      <c r="B514">
        <f t="shared" si="376"/>
        <v>8</v>
      </c>
      <c r="C514">
        <f t="shared" si="359"/>
        <v>23</v>
      </c>
      <c r="D514">
        <f t="shared" si="363"/>
        <v>5</v>
      </c>
      <c r="E514" t="str">
        <f>VLOOKUP(D514,name!A:B,2,1)</f>
        <v>Minako</v>
      </c>
      <c r="F514" t="s">
        <v>564</v>
      </c>
      <c r="G514" t="str">
        <f t="shared" ref="G514" si="382">IF(B514&lt;&gt;B1679,"e",IF(D514=0,"q","a"))</f>
        <v>e</v>
      </c>
      <c r="H514" t="str">
        <f>VLOOKUP(D514,name!A:C,3,1)</f>
        <v>assets/icons/image086.png</v>
      </c>
      <c r="I514" t="str">
        <f>IF(A514="","",VLOOKUP(A514,lng!A:B,2,0))</f>
        <v>fr-FR</v>
      </c>
    </row>
    <row r="515" spans="1:9" x14ac:dyDescent="0.15">
      <c r="A515" t="str">
        <f t="shared" si="376"/>
        <v>フランス語</v>
      </c>
      <c r="B515">
        <f t="shared" si="376"/>
        <v>8</v>
      </c>
      <c r="C515">
        <f t="shared" si="359"/>
        <v>24</v>
      </c>
      <c r="D515">
        <f t="shared" si="363"/>
        <v>5</v>
      </c>
      <c r="E515" t="str">
        <f>VLOOKUP(D515,name!A:B,2,1)</f>
        <v>Minako</v>
      </c>
      <c r="F515" t="s">
        <v>577</v>
      </c>
      <c r="G515" t="str">
        <f t="shared" ref="G515:G578" si="383">IF(B515&lt;&gt;B516,"e",IF(D515=0,"q","a"))</f>
        <v>a</v>
      </c>
      <c r="H515" t="str">
        <f>VLOOKUP(D515,name!A:C,3,1)</f>
        <v>assets/icons/image086.png</v>
      </c>
      <c r="I515" t="s">
        <v>463</v>
      </c>
    </row>
    <row r="516" spans="1:9" x14ac:dyDescent="0.15">
      <c r="A516" t="str">
        <f t="shared" si="376"/>
        <v>フランス語</v>
      </c>
      <c r="B516">
        <f t="shared" si="376"/>
        <v>8</v>
      </c>
      <c r="C516">
        <f t="shared" si="359"/>
        <v>25</v>
      </c>
      <c r="D516">
        <v>5</v>
      </c>
      <c r="E516" t="str">
        <f>VLOOKUP(D516,name!A:B,2,1)</f>
        <v>Minako</v>
      </c>
      <c r="F516" t="s">
        <v>565</v>
      </c>
      <c r="G516" t="str">
        <f t="shared" ref="G516" si="384">IF(B516&lt;&gt;B1681,"e",IF(D516=0,"q","a"))</f>
        <v>e</v>
      </c>
      <c r="H516" t="str">
        <f>VLOOKUP(D516,name!A:C,3,1)</f>
        <v>assets/icons/image086.png</v>
      </c>
      <c r="I516" t="str">
        <f>IF(A516="","",VLOOKUP(A516,lng!A:B,2,0))</f>
        <v>fr-FR</v>
      </c>
    </row>
    <row r="517" spans="1:9" x14ac:dyDescent="0.15">
      <c r="A517" t="str">
        <f t="shared" si="376"/>
        <v>フランス語</v>
      </c>
      <c r="B517">
        <f t="shared" si="376"/>
        <v>8</v>
      </c>
      <c r="C517">
        <f t="shared" si="359"/>
        <v>26</v>
      </c>
      <c r="D517">
        <f t="shared" si="363"/>
        <v>19</v>
      </c>
      <c r="E517" t="str">
        <f>VLOOKUP(D517,name!A:B,2,1)</f>
        <v>Bibliothécaire</v>
      </c>
      <c r="F517" t="s">
        <v>578</v>
      </c>
      <c r="G517" t="str">
        <f t="shared" ref="G517:G580" si="385">IF(B517&lt;&gt;B518,"e",IF(D517=0,"q","a"))</f>
        <v>a</v>
      </c>
      <c r="H517" t="str">
        <f>VLOOKUP(D517,name!A:C,3,1)</f>
        <v>assets/icons/image112.png</v>
      </c>
      <c r="I517" t="s">
        <v>463</v>
      </c>
    </row>
    <row r="518" spans="1:9" x14ac:dyDescent="0.15">
      <c r="A518" t="str">
        <f t="shared" ref="A518:B518" si="386">A517</f>
        <v>フランス語</v>
      </c>
      <c r="B518">
        <f t="shared" si="386"/>
        <v>8</v>
      </c>
      <c r="C518">
        <f t="shared" si="359"/>
        <v>27</v>
      </c>
      <c r="D518">
        <v>19</v>
      </c>
      <c r="E518" t="str">
        <f>VLOOKUP(D518,name!A:B,2,1)</f>
        <v>Bibliothécaire</v>
      </c>
      <c r="F518" t="s">
        <v>566</v>
      </c>
      <c r="G518" t="str">
        <f t="shared" ref="G518" si="387">IF(B518&lt;&gt;B1683,"e",IF(D518=0,"q","a"))</f>
        <v>e</v>
      </c>
      <c r="H518" t="str">
        <f>VLOOKUP(D518,name!A:C,3,1)</f>
        <v>assets/icons/image112.png</v>
      </c>
      <c r="I518" t="str">
        <f>IF(A518="","",VLOOKUP(A518,lng!A:B,2,0))</f>
        <v>fr-FR</v>
      </c>
    </row>
    <row r="519" spans="1:9" x14ac:dyDescent="0.15">
      <c r="A519" t="str">
        <f t="shared" ref="A519:B519" si="388">A518</f>
        <v>フランス語</v>
      </c>
      <c r="B519">
        <f t="shared" si="388"/>
        <v>8</v>
      </c>
      <c r="C519">
        <f t="shared" si="359"/>
        <v>28</v>
      </c>
      <c r="D519">
        <v>1</v>
      </c>
      <c r="E519" t="str">
        <f>VLOOKUP(D519,name!A:B,2,1)</f>
        <v>Navigator</v>
      </c>
      <c r="F519" t="str">
        <f>"次の"&amp;A519&amp;"を真似してね！"</f>
        <v>次のフランス語を真似してね！</v>
      </c>
      <c r="G519" t="str">
        <f t="shared" ref="G519:G582" si="389">IF(B519&lt;&gt;B520,"e",IF(D519=0,"q","a"))</f>
        <v>a</v>
      </c>
      <c r="H519" t="str">
        <f>VLOOKUP(D519,name!A:C,3,1)</f>
        <v>assets/icons/image014.png</v>
      </c>
      <c r="I519" t="s">
        <v>463</v>
      </c>
    </row>
    <row r="520" spans="1:9" x14ac:dyDescent="0.15">
      <c r="A520" t="str">
        <f t="shared" ref="A520:B520" si="390">A519</f>
        <v>フランス語</v>
      </c>
      <c r="B520">
        <f t="shared" si="390"/>
        <v>8</v>
      </c>
      <c r="C520">
        <f t="shared" si="359"/>
        <v>29</v>
      </c>
      <c r="D520">
        <f>D495</f>
        <v>19</v>
      </c>
      <c r="E520" t="str">
        <f>VLOOKUP(D520,name!A:B,2,1)</f>
        <v>Bibliothécaire</v>
      </c>
      <c r="F520" t="str">
        <f>F495</f>
        <v>おはようございます、お嬢さん。</v>
      </c>
      <c r="G520" t="str">
        <f t="shared" ref="G520" si="391">IF(B520&lt;&gt;B1685,"e",IF(D520=0,"q","a"))</f>
        <v>e</v>
      </c>
      <c r="H520" t="str">
        <f>VLOOKUP(D520,name!A:C,3,1)</f>
        <v>assets/icons/image112.png</v>
      </c>
      <c r="I520" t="s">
        <v>463</v>
      </c>
    </row>
    <row r="521" spans="1:9" x14ac:dyDescent="0.15">
      <c r="A521" t="str">
        <f t="shared" ref="A521:B521" si="392">A520</f>
        <v>フランス語</v>
      </c>
      <c r="B521">
        <f t="shared" si="392"/>
        <v>8</v>
      </c>
      <c r="C521">
        <f t="shared" si="359"/>
        <v>30</v>
      </c>
      <c r="D521">
        <f>D496</f>
        <v>19</v>
      </c>
      <c r="E521" t="str">
        <f>VLOOKUP(D521,name!A:B,2,1)</f>
        <v>Bibliothécaire</v>
      </c>
      <c r="F521" t="str">
        <f>F496</f>
        <v>Bonjour, Mademoiselle.</v>
      </c>
      <c r="G521" t="str">
        <f t="shared" ref="G521:G584" si="393">IF(B521&lt;&gt;B522,"e",IF(D521=0,"q","a"))</f>
        <v>a</v>
      </c>
      <c r="H521" t="str">
        <f>VLOOKUP(D521,name!A:C,3,1)</f>
        <v>assets/icons/image112.png</v>
      </c>
      <c r="I521" t="str">
        <f>IF(A521="","",VLOOKUP(A521,lng!A:B,2,0))</f>
        <v>fr-FR</v>
      </c>
    </row>
    <row r="522" spans="1:9" x14ac:dyDescent="0.15">
      <c r="A522" t="str">
        <f t="shared" ref="A522:B522" si="394">A521</f>
        <v>フランス語</v>
      </c>
      <c r="B522">
        <f t="shared" si="394"/>
        <v>8</v>
      </c>
      <c r="C522">
        <f t="shared" si="359"/>
        <v>31</v>
      </c>
      <c r="D522">
        <v>0</v>
      </c>
      <c r="E522" t="str">
        <f>VLOOKUP(D522,name!A:B,2,1)</f>
        <v>Player</v>
      </c>
      <c r="F522" t="str">
        <f>F496</f>
        <v>Bonjour, Mademoiselle.</v>
      </c>
      <c r="G522" t="str">
        <f t="shared" ref="G522" si="395">IF(B522&lt;&gt;B1687,"e",IF(D522=0,"q","a"))</f>
        <v>e</v>
      </c>
      <c r="H522" t="str">
        <f>VLOOKUP(D522,name!A:C,3,1)</f>
        <v>assets/icons/image326.png</v>
      </c>
      <c r="I522" t="str">
        <f>IF(A522="","",VLOOKUP(A522,lng!A:B,2,0))</f>
        <v>fr-FR</v>
      </c>
    </row>
    <row r="523" spans="1:9" x14ac:dyDescent="0.15">
      <c r="A523" t="str">
        <f t="shared" ref="A523:B523" si="396">A522</f>
        <v>フランス語</v>
      </c>
      <c r="B523">
        <f t="shared" si="396"/>
        <v>8</v>
      </c>
      <c r="C523">
        <f t="shared" si="359"/>
        <v>32</v>
      </c>
      <c r="D523">
        <f>D497</f>
        <v>5</v>
      </c>
      <c r="E523" t="str">
        <f>VLOOKUP(D523,name!A:B,2,1)</f>
        <v>Minako</v>
      </c>
      <c r="F523" t="str">
        <f>F497</f>
        <v>こんにちは。</v>
      </c>
      <c r="G523" t="str">
        <f t="shared" ref="G523:G586" si="397">IF(B523&lt;&gt;B524,"e",IF(D523=0,"q","a"))</f>
        <v>a</v>
      </c>
      <c r="H523" t="str">
        <f>VLOOKUP(D523,name!A:C,3,1)</f>
        <v>assets/icons/image086.png</v>
      </c>
      <c r="I523" t="s">
        <v>463</v>
      </c>
    </row>
    <row r="524" spans="1:9" x14ac:dyDescent="0.15">
      <c r="A524" t="str">
        <f t="shared" ref="A524:B524" si="398">A523</f>
        <v>フランス語</v>
      </c>
      <c r="B524">
        <f t="shared" si="398"/>
        <v>8</v>
      </c>
      <c r="C524">
        <f t="shared" si="359"/>
        <v>33</v>
      </c>
      <c r="D524">
        <f>D498</f>
        <v>5</v>
      </c>
      <c r="E524" t="str">
        <f>VLOOKUP(D524,name!A:B,2,1)</f>
        <v>Minako</v>
      </c>
      <c r="F524" t="str">
        <f>F498</f>
        <v>Bonjour.</v>
      </c>
      <c r="G524" t="str">
        <f t="shared" ref="G524" si="399">IF(B524&lt;&gt;B1689,"e",IF(D524=0,"q","a"))</f>
        <v>e</v>
      </c>
      <c r="H524" t="str">
        <f>VLOOKUP(D524,name!A:C,3,1)</f>
        <v>assets/icons/image086.png</v>
      </c>
      <c r="I524" t="str">
        <f>IF(A524="","",VLOOKUP(A524,lng!A:B,2,0))</f>
        <v>fr-FR</v>
      </c>
    </row>
    <row r="525" spans="1:9" x14ac:dyDescent="0.15">
      <c r="A525" t="str">
        <f t="shared" ref="A525:B525" si="400">A524</f>
        <v>フランス語</v>
      </c>
      <c r="B525">
        <f t="shared" si="400"/>
        <v>8</v>
      </c>
      <c r="C525">
        <f t="shared" si="359"/>
        <v>34</v>
      </c>
      <c r="D525">
        <v>0</v>
      </c>
      <c r="E525" t="str">
        <f>VLOOKUP(D525,name!A:B,2,1)</f>
        <v>Player</v>
      </c>
      <c r="F525" t="str">
        <f>F498</f>
        <v>Bonjour.</v>
      </c>
      <c r="G525" t="str">
        <f t="shared" ref="G525:G588" si="401">IF(B525&lt;&gt;B526,"e",IF(D525=0,"q","a"))</f>
        <v>q</v>
      </c>
      <c r="H525" t="str">
        <f>VLOOKUP(D525,name!A:C,3,1)</f>
        <v>assets/icons/image326.png</v>
      </c>
      <c r="I525" t="str">
        <f>IF(A525="","",VLOOKUP(A525,lng!A:B,2,0))</f>
        <v>fr-FR</v>
      </c>
    </row>
    <row r="526" spans="1:9" x14ac:dyDescent="0.15">
      <c r="A526" t="str">
        <f t="shared" ref="A526:B526" si="402">A525</f>
        <v>フランス語</v>
      </c>
      <c r="B526">
        <f t="shared" si="402"/>
        <v>8</v>
      </c>
      <c r="C526">
        <f t="shared" si="359"/>
        <v>35</v>
      </c>
      <c r="D526">
        <f>D499</f>
        <v>5</v>
      </c>
      <c r="E526" t="str">
        <f>VLOOKUP(D526,name!A:B,2,1)</f>
        <v>Minako</v>
      </c>
      <c r="F526" t="str">
        <f>F499</f>
        <v>画家モネに関する本を探しています。</v>
      </c>
      <c r="G526" t="str">
        <f t="shared" ref="G526" si="403">IF(B526&lt;&gt;B1691,"e",IF(D526=0,"q","a"))</f>
        <v>e</v>
      </c>
      <c r="H526" t="str">
        <f>VLOOKUP(D526,name!A:C,3,1)</f>
        <v>assets/icons/image086.png</v>
      </c>
      <c r="I526" t="s">
        <v>463</v>
      </c>
    </row>
    <row r="527" spans="1:9" x14ac:dyDescent="0.15">
      <c r="A527" t="str">
        <f t="shared" ref="A527:B527" si="404">A526</f>
        <v>フランス語</v>
      </c>
      <c r="B527">
        <f t="shared" si="404"/>
        <v>8</v>
      </c>
      <c r="C527">
        <f t="shared" si="359"/>
        <v>36</v>
      </c>
      <c r="D527">
        <f>D500</f>
        <v>5</v>
      </c>
      <c r="E527" t="str">
        <f>VLOOKUP(D527,name!A:B,2,1)</f>
        <v>Minako</v>
      </c>
      <c r="F527" t="str">
        <f>F500</f>
        <v>Je cherche des livres sur le peintre Monet.</v>
      </c>
      <c r="G527" t="str">
        <f t="shared" ref="G527:G590" si="405">IF(B527&lt;&gt;B528,"e",IF(D527=0,"q","a"))</f>
        <v>a</v>
      </c>
      <c r="H527" t="str">
        <f>VLOOKUP(D527,name!A:C,3,1)</f>
        <v>assets/icons/image086.png</v>
      </c>
      <c r="I527" t="str">
        <f>IF(A527="","",VLOOKUP(A527,lng!A:B,2,0))</f>
        <v>fr-FR</v>
      </c>
    </row>
    <row r="528" spans="1:9" x14ac:dyDescent="0.15">
      <c r="A528" t="str">
        <f t="shared" ref="A528:B528" si="406">A527</f>
        <v>フランス語</v>
      </c>
      <c r="B528">
        <f t="shared" si="406"/>
        <v>8</v>
      </c>
      <c r="C528">
        <f t="shared" si="359"/>
        <v>37</v>
      </c>
      <c r="D528">
        <v>0</v>
      </c>
      <c r="E528" t="str">
        <f>VLOOKUP(D528,name!A:B,2,1)</f>
        <v>Player</v>
      </c>
      <c r="F528" t="str">
        <f>F500</f>
        <v>Je cherche des livres sur le peintre Monet.</v>
      </c>
      <c r="G528" t="str">
        <f t="shared" ref="G528" si="407">IF(B528&lt;&gt;B1693,"e",IF(D528=0,"q","a"))</f>
        <v>e</v>
      </c>
      <c r="H528" t="str">
        <f>VLOOKUP(D528,name!A:C,3,1)</f>
        <v>assets/icons/image326.png</v>
      </c>
      <c r="I528" t="str">
        <f>IF(A528="","",VLOOKUP(A528,lng!A:B,2,0))</f>
        <v>fr-FR</v>
      </c>
    </row>
    <row r="529" spans="1:9" x14ac:dyDescent="0.15">
      <c r="A529" t="str">
        <f t="shared" ref="A529:B529" si="408">A528</f>
        <v>フランス語</v>
      </c>
      <c r="B529">
        <f t="shared" si="408"/>
        <v>8</v>
      </c>
      <c r="C529">
        <f t="shared" si="359"/>
        <v>38</v>
      </c>
      <c r="D529">
        <f>D501</f>
        <v>19</v>
      </c>
      <c r="E529" t="str">
        <f>VLOOKUP(D529,name!A:B,2,1)</f>
        <v>Bibliothécaire</v>
      </c>
      <c r="F529" t="str">
        <f>F501</f>
        <v>探します。</v>
      </c>
      <c r="G529" t="str">
        <f t="shared" ref="G529:G592" si="409">IF(B529&lt;&gt;B530,"e",IF(D529=0,"q","a"))</f>
        <v>a</v>
      </c>
      <c r="H529" t="str">
        <f>VLOOKUP(D529,name!A:C,3,1)</f>
        <v>assets/icons/image112.png</v>
      </c>
      <c r="I529" t="s">
        <v>463</v>
      </c>
    </row>
    <row r="530" spans="1:9" x14ac:dyDescent="0.15">
      <c r="A530" t="str">
        <f t="shared" ref="A530:B530" si="410">A529</f>
        <v>フランス語</v>
      </c>
      <c r="B530">
        <f t="shared" si="410"/>
        <v>8</v>
      </c>
      <c r="C530">
        <f t="shared" si="359"/>
        <v>39</v>
      </c>
      <c r="D530">
        <f>D502</f>
        <v>19</v>
      </c>
      <c r="E530" t="str">
        <f>VLOOKUP(D530,name!A:B,2,1)</f>
        <v>Bibliothécaire</v>
      </c>
      <c r="F530" t="str">
        <f>F502</f>
        <v xml:space="preserve">Voyons. </v>
      </c>
      <c r="G530" t="str">
        <f t="shared" ref="G530" si="411">IF(B530&lt;&gt;B1695,"e",IF(D530=0,"q","a"))</f>
        <v>e</v>
      </c>
      <c r="H530" t="str">
        <f>VLOOKUP(D530,name!A:C,3,1)</f>
        <v>assets/icons/image112.png</v>
      </c>
      <c r="I530" t="str">
        <f>IF(A530="","",VLOOKUP(A530,lng!A:B,2,0))</f>
        <v>fr-FR</v>
      </c>
    </row>
    <row r="531" spans="1:9" x14ac:dyDescent="0.15">
      <c r="A531" t="str">
        <f t="shared" ref="A531:B531" si="412">A530</f>
        <v>フランス語</v>
      </c>
      <c r="B531">
        <f t="shared" si="412"/>
        <v>8</v>
      </c>
      <c r="C531">
        <f t="shared" si="359"/>
        <v>40</v>
      </c>
      <c r="D531">
        <v>0</v>
      </c>
      <c r="E531" t="str">
        <f>VLOOKUP(D531,name!A:B,2,1)</f>
        <v>Player</v>
      </c>
      <c r="F531" t="str">
        <f>F502</f>
        <v xml:space="preserve">Voyons. </v>
      </c>
      <c r="G531" t="str">
        <f t="shared" ref="G531:G594" si="413">IF(B531&lt;&gt;B532,"e",IF(D531=0,"q","a"))</f>
        <v>q</v>
      </c>
      <c r="H531" t="str">
        <f>VLOOKUP(D531,name!A:C,3,1)</f>
        <v>assets/icons/image326.png</v>
      </c>
      <c r="I531" t="str">
        <f>IF(A531="","",VLOOKUP(A531,lng!A:B,2,0))</f>
        <v>fr-FR</v>
      </c>
    </row>
    <row r="532" spans="1:9" x14ac:dyDescent="0.15">
      <c r="A532" t="str">
        <f t="shared" ref="A532:B532" si="414">A531</f>
        <v>フランス語</v>
      </c>
      <c r="B532">
        <f t="shared" si="414"/>
        <v>8</v>
      </c>
      <c r="C532">
        <f t="shared" si="359"/>
        <v>41</v>
      </c>
      <c r="D532">
        <f>D503</f>
        <v>19</v>
      </c>
      <c r="E532" t="str">
        <f>VLOOKUP(D532,name!A:B,2,1)</f>
        <v>Bibliothécaire</v>
      </c>
      <c r="F532" t="str">
        <f>F503</f>
        <v>はい、モネに関する本がいくつかあります。</v>
      </c>
      <c r="G532" t="str">
        <f t="shared" ref="G532" si="415">IF(B532&lt;&gt;B1697,"e",IF(D532=0,"q","a"))</f>
        <v>e</v>
      </c>
      <c r="H532" t="str">
        <f>VLOOKUP(D532,name!A:C,3,1)</f>
        <v>assets/icons/image112.png</v>
      </c>
      <c r="I532" t="s">
        <v>463</v>
      </c>
    </row>
    <row r="533" spans="1:9" x14ac:dyDescent="0.15">
      <c r="A533" t="str">
        <f t="shared" ref="A533:B533" si="416">A532</f>
        <v>フランス語</v>
      </c>
      <c r="B533">
        <f t="shared" si="416"/>
        <v>8</v>
      </c>
      <c r="C533">
        <f t="shared" si="359"/>
        <v>42</v>
      </c>
      <c r="D533">
        <f>D504</f>
        <v>19</v>
      </c>
      <c r="E533" t="str">
        <f>VLOOKUP(D533,name!A:B,2,1)</f>
        <v>Bibliothécaire</v>
      </c>
      <c r="F533" t="str">
        <f>F504</f>
        <v>Oui, nous avons plusieurs livres sur Monet.</v>
      </c>
      <c r="G533" t="str">
        <f t="shared" ref="G533:G596" si="417">IF(B533&lt;&gt;B534,"e",IF(D533=0,"q","a"))</f>
        <v>a</v>
      </c>
      <c r="H533" t="str">
        <f>VLOOKUP(D533,name!A:C,3,1)</f>
        <v>assets/icons/image112.png</v>
      </c>
      <c r="I533" t="str">
        <f>IF(A533="","",VLOOKUP(A533,lng!A:B,2,0))</f>
        <v>fr-FR</v>
      </c>
    </row>
    <row r="534" spans="1:9" x14ac:dyDescent="0.15">
      <c r="A534" t="str">
        <f t="shared" ref="A534:B534" si="418">A533</f>
        <v>フランス語</v>
      </c>
      <c r="B534">
        <f t="shared" si="418"/>
        <v>8</v>
      </c>
      <c r="C534">
        <f t="shared" si="359"/>
        <v>43</v>
      </c>
      <c r="D534">
        <v>0</v>
      </c>
      <c r="E534" t="str">
        <f>VLOOKUP(D534,name!A:B,2,1)</f>
        <v>Player</v>
      </c>
      <c r="F534" t="str">
        <f>F504</f>
        <v>Oui, nous avons plusieurs livres sur Monet.</v>
      </c>
      <c r="G534" t="str">
        <f t="shared" ref="G534" si="419">IF(B534&lt;&gt;B1699,"e",IF(D534=0,"q","a"))</f>
        <v>e</v>
      </c>
      <c r="H534" t="str">
        <f>VLOOKUP(D534,name!A:C,3,1)</f>
        <v>assets/icons/image326.png</v>
      </c>
      <c r="I534" t="str">
        <f>IF(A534="","",VLOOKUP(A534,lng!A:B,2,0))</f>
        <v>fr-FR</v>
      </c>
    </row>
    <row r="535" spans="1:9" x14ac:dyDescent="0.15">
      <c r="A535" t="str">
        <f t="shared" ref="A535:B535" si="420">A534</f>
        <v>フランス語</v>
      </c>
      <c r="B535">
        <f t="shared" si="420"/>
        <v>8</v>
      </c>
      <c r="C535">
        <f t="shared" si="359"/>
        <v>44</v>
      </c>
      <c r="D535">
        <f>D505</f>
        <v>5</v>
      </c>
      <c r="E535" t="str">
        <f>VLOOKUP(D535,name!A:B,2,1)</f>
        <v>Minako</v>
      </c>
      <c r="F535" t="str">
        <f>F505</f>
        <v>日本との関係についての本があれば、</v>
      </c>
      <c r="G535" t="str">
        <f t="shared" ref="G535:G598" si="421">IF(B535&lt;&gt;B536,"e",IF(D535=0,"q","a"))</f>
        <v>a</v>
      </c>
      <c r="H535" t="str">
        <f>VLOOKUP(D535,name!A:C,3,1)</f>
        <v>assets/icons/image086.png</v>
      </c>
      <c r="I535" t="s">
        <v>463</v>
      </c>
    </row>
    <row r="536" spans="1:9" x14ac:dyDescent="0.15">
      <c r="A536" t="str">
        <f t="shared" ref="A536:B536" si="422">A535</f>
        <v>フランス語</v>
      </c>
      <c r="B536">
        <f t="shared" si="422"/>
        <v>8</v>
      </c>
      <c r="C536">
        <f t="shared" si="359"/>
        <v>45</v>
      </c>
      <c r="D536">
        <f>D506</f>
        <v>5</v>
      </c>
      <c r="E536" t="str">
        <f>VLOOKUP(D536,name!A:B,2,1)</f>
        <v>Minako</v>
      </c>
      <c r="F536" t="str">
        <f>F506</f>
        <v>S'il y a un livre sur ses relations avec le Japon,</v>
      </c>
      <c r="G536" t="str">
        <f t="shared" ref="G536" si="423">IF(B536&lt;&gt;B1701,"e",IF(D536=0,"q","a"))</f>
        <v>e</v>
      </c>
      <c r="H536" t="str">
        <f>VLOOKUP(D536,name!A:C,3,1)</f>
        <v>assets/icons/image086.png</v>
      </c>
      <c r="I536" t="str">
        <f>IF(A536="","",VLOOKUP(A536,lng!A:B,2,0))</f>
        <v>fr-FR</v>
      </c>
    </row>
    <row r="537" spans="1:9" x14ac:dyDescent="0.15">
      <c r="A537" t="str">
        <f t="shared" ref="A537:B537" si="424">A536</f>
        <v>フランス語</v>
      </c>
      <c r="B537">
        <f t="shared" si="424"/>
        <v>8</v>
      </c>
      <c r="C537">
        <f t="shared" si="359"/>
        <v>46</v>
      </c>
      <c r="D537">
        <v>0</v>
      </c>
      <c r="E537" t="str">
        <f>VLOOKUP(D537,name!A:B,2,1)</f>
        <v>Player</v>
      </c>
      <c r="F537" t="str">
        <f>F506</f>
        <v>S'il y a un livre sur ses relations avec le Japon,</v>
      </c>
      <c r="G537" t="str">
        <f t="shared" ref="G537:G600" si="425">IF(B537&lt;&gt;B538,"e",IF(D537=0,"q","a"))</f>
        <v>q</v>
      </c>
      <c r="H537" t="str">
        <f>VLOOKUP(D537,name!A:C,3,1)</f>
        <v>assets/icons/image326.png</v>
      </c>
      <c r="I537" t="str">
        <f>IF(A537="","",VLOOKUP(A537,lng!A:B,2,0))</f>
        <v>fr-FR</v>
      </c>
    </row>
    <row r="538" spans="1:9" x14ac:dyDescent="0.15">
      <c r="A538" t="str">
        <f t="shared" ref="A538:B538" si="426">A537</f>
        <v>フランス語</v>
      </c>
      <c r="B538">
        <f t="shared" si="426"/>
        <v>8</v>
      </c>
      <c r="C538">
        <f t="shared" si="359"/>
        <v>47</v>
      </c>
      <c r="D538">
        <f>D507</f>
        <v>5</v>
      </c>
      <c r="E538" t="str">
        <f>VLOOKUP(D538,name!A:B,2,1)</f>
        <v>Minako</v>
      </c>
      <c r="F538" t="str">
        <f>F507</f>
        <v>借りてみたいです。</v>
      </c>
      <c r="G538" t="str">
        <f t="shared" ref="G538" si="427">IF(B538&lt;&gt;B1703,"e",IF(D538=0,"q","a"))</f>
        <v>e</v>
      </c>
      <c r="H538" t="str">
        <f>VLOOKUP(D538,name!A:C,3,1)</f>
        <v>assets/icons/image086.png</v>
      </c>
      <c r="I538" t="s">
        <v>463</v>
      </c>
    </row>
    <row r="539" spans="1:9" x14ac:dyDescent="0.15">
      <c r="A539" t="str">
        <f t="shared" ref="A539:B539" si="428">A538</f>
        <v>フランス語</v>
      </c>
      <c r="B539">
        <f t="shared" si="428"/>
        <v>8</v>
      </c>
      <c r="C539">
        <f t="shared" si="359"/>
        <v>48</v>
      </c>
      <c r="D539">
        <f>D508</f>
        <v>5</v>
      </c>
      <c r="E539" t="str">
        <f>VLOOKUP(D539,name!A:B,2,1)</f>
        <v>Minako</v>
      </c>
      <c r="F539" t="str">
        <f>F508</f>
        <v>je voudrais l'emprunter.</v>
      </c>
      <c r="G539" t="str">
        <f t="shared" ref="G539:G602" si="429">IF(B539&lt;&gt;B540,"e",IF(D539=0,"q","a"))</f>
        <v>a</v>
      </c>
      <c r="H539" t="str">
        <f>VLOOKUP(D539,name!A:C,3,1)</f>
        <v>assets/icons/image086.png</v>
      </c>
      <c r="I539" t="str">
        <f>IF(A539="","",VLOOKUP(A539,lng!A:B,2,0))</f>
        <v>fr-FR</v>
      </c>
    </row>
    <row r="540" spans="1:9" x14ac:dyDescent="0.15">
      <c r="A540" t="str">
        <f t="shared" ref="A540:B540" si="430">A539</f>
        <v>フランス語</v>
      </c>
      <c r="B540">
        <f t="shared" si="430"/>
        <v>8</v>
      </c>
      <c r="C540">
        <f t="shared" si="359"/>
        <v>49</v>
      </c>
      <c r="D540">
        <v>0</v>
      </c>
      <c r="E540" t="str">
        <f>VLOOKUP(D540,name!A:B,2,1)</f>
        <v>Player</v>
      </c>
      <c r="F540" t="str">
        <f>F508</f>
        <v>je voudrais l'emprunter.</v>
      </c>
      <c r="G540" t="str">
        <f t="shared" ref="G540" si="431">IF(B540&lt;&gt;B1705,"e",IF(D540=0,"q","a"))</f>
        <v>e</v>
      </c>
      <c r="H540" t="str">
        <f>VLOOKUP(D540,name!A:C,3,1)</f>
        <v>assets/icons/image326.png</v>
      </c>
      <c r="I540" t="str">
        <f>IF(A540="","",VLOOKUP(A540,lng!A:B,2,0))</f>
        <v>fr-FR</v>
      </c>
    </row>
    <row r="541" spans="1:9" x14ac:dyDescent="0.15">
      <c r="A541" t="str">
        <f t="shared" ref="A541:B541" si="432">A540</f>
        <v>フランス語</v>
      </c>
      <c r="B541">
        <f t="shared" si="432"/>
        <v>8</v>
      </c>
      <c r="C541">
        <f t="shared" si="359"/>
        <v>50</v>
      </c>
      <c r="D541">
        <f>D509</f>
        <v>19</v>
      </c>
      <c r="E541" t="str">
        <f>VLOOKUP(D541,name!A:B,2,1)</f>
        <v>Bibliothécaire</v>
      </c>
      <c r="F541" t="str">
        <f>F509</f>
        <v>貸出については、この申込書に記入する必要があります。</v>
      </c>
      <c r="G541" t="str">
        <f t="shared" ref="G541:G604" si="433">IF(B541&lt;&gt;B542,"e",IF(D541=0,"q","a"))</f>
        <v>a</v>
      </c>
      <c r="H541" t="str">
        <f>VLOOKUP(D541,name!A:C,3,1)</f>
        <v>assets/icons/image112.png</v>
      </c>
      <c r="I541" t="s">
        <v>463</v>
      </c>
    </row>
    <row r="542" spans="1:9" x14ac:dyDescent="0.15">
      <c r="A542" t="str">
        <f t="shared" ref="A542:B542" si="434">A541</f>
        <v>フランス語</v>
      </c>
      <c r="B542">
        <f t="shared" si="434"/>
        <v>8</v>
      </c>
      <c r="C542">
        <f t="shared" si="359"/>
        <v>51</v>
      </c>
      <c r="D542">
        <f>D510</f>
        <v>19</v>
      </c>
      <c r="E542" t="str">
        <f>VLOOKUP(D542,name!A:B,2,1)</f>
        <v>Bibliothécaire</v>
      </c>
      <c r="F542" t="str">
        <f>F510</f>
        <v>Pour le prêt, il faut remplir cette fiche.</v>
      </c>
      <c r="G542" t="str">
        <f t="shared" ref="G542" si="435">IF(B542&lt;&gt;B1707,"e",IF(D542=0,"q","a"))</f>
        <v>e</v>
      </c>
      <c r="H542" t="str">
        <f>VLOOKUP(D542,name!A:C,3,1)</f>
        <v>assets/icons/image112.png</v>
      </c>
      <c r="I542" t="str">
        <f>IF(A542="","",VLOOKUP(A542,lng!A:B,2,0))</f>
        <v>fr-FR</v>
      </c>
    </row>
    <row r="543" spans="1:9" x14ac:dyDescent="0.15">
      <c r="A543" t="str">
        <f t="shared" ref="A543:B543" si="436">A542</f>
        <v>フランス語</v>
      </c>
      <c r="B543">
        <f t="shared" si="436"/>
        <v>8</v>
      </c>
      <c r="C543">
        <f t="shared" si="359"/>
        <v>52</v>
      </c>
      <c r="D543">
        <v>0</v>
      </c>
      <c r="E543" t="str">
        <f>VLOOKUP(D543,name!A:B,2,1)</f>
        <v>Player</v>
      </c>
      <c r="F543" t="str">
        <f>F510</f>
        <v>Pour le prêt, il faut remplir cette fiche.</v>
      </c>
      <c r="G543" t="str">
        <f t="shared" ref="G543:G606" si="437">IF(B543&lt;&gt;B544,"e",IF(D543=0,"q","a"))</f>
        <v>q</v>
      </c>
      <c r="H543" t="str">
        <f>VLOOKUP(D543,name!A:C,3,1)</f>
        <v>assets/icons/image326.png</v>
      </c>
      <c r="I543" t="str">
        <f>IF(A543="","",VLOOKUP(A543,lng!A:B,2,0))</f>
        <v>fr-FR</v>
      </c>
    </row>
    <row r="544" spans="1:9" x14ac:dyDescent="0.15">
      <c r="A544" t="str">
        <f t="shared" ref="A544:B544" si="438">A543</f>
        <v>フランス語</v>
      </c>
      <c r="B544">
        <f t="shared" si="438"/>
        <v>8</v>
      </c>
      <c r="C544">
        <f t="shared" si="359"/>
        <v>53</v>
      </c>
      <c r="D544">
        <f>D511</f>
        <v>19</v>
      </c>
      <c r="E544" t="str">
        <f>VLOOKUP(D544,name!A:B,2,1)</f>
        <v>Bibliothécaire</v>
      </c>
      <c r="F544" t="str">
        <f>F511</f>
        <v>あなたの名前と住所を書いてください。</v>
      </c>
      <c r="G544" t="str">
        <f t="shared" ref="G544" si="439">IF(B544&lt;&gt;B1709,"e",IF(D544=0,"q","a"))</f>
        <v>e</v>
      </c>
      <c r="H544" t="str">
        <f>VLOOKUP(D544,name!A:C,3,1)</f>
        <v>assets/icons/image112.png</v>
      </c>
      <c r="I544" t="s">
        <v>463</v>
      </c>
    </row>
    <row r="545" spans="1:9" x14ac:dyDescent="0.15">
      <c r="A545" t="str">
        <f t="shared" ref="A545:B545" si="440">A544</f>
        <v>フランス語</v>
      </c>
      <c r="B545">
        <f t="shared" si="440"/>
        <v>8</v>
      </c>
      <c r="C545">
        <f t="shared" si="359"/>
        <v>54</v>
      </c>
      <c r="D545">
        <f>D512</f>
        <v>19</v>
      </c>
      <c r="E545" t="str">
        <f>VLOOKUP(D545,name!A:B,2,1)</f>
        <v>Bibliothécaire</v>
      </c>
      <c r="F545" t="str">
        <f>F512</f>
        <v>Ecrivez votre nom et votre adresse.</v>
      </c>
      <c r="G545" t="str">
        <f t="shared" ref="G545:G608" si="441">IF(B545&lt;&gt;B546,"e",IF(D545=0,"q","a"))</f>
        <v>a</v>
      </c>
      <c r="H545" t="str">
        <f>VLOOKUP(D545,name!A:C,3,1)</f>
        <v>assets/icons/image112.png</v>
      </c>
      <c r="I545" t="str">
        <f>IF(A545="","",VLOOKUP(A545,lng!A:B,2,0))</f>
        <v>fr-FR</v>
      </c>
    </row>
    <row r="546" spans="1:9" x14ac:dyDescent="0.15">
      <c r="A546" t="str">
        <f t="shared" ref="A546:B546" si="442">A545</f>
        <v>フランス語</v>
      </c>
      <c r="B546">
        <f t="shared" si="442"/>
        <v>8</v>
      </c>
      <c r="C546">
        <f t="shared" si="359"/>
        <v>55</v>
      </c>
      <c r="D546">
        <v>0</v>
      </c>
      <c r="E546" t="str">
        <f>VLOOKUP(D546,name!A:B,2,1)</f>
        <v>Player</v>
      </c>
      <c r="F546" t="str">
        <f>F512</f>
        <v>Ecrivez votre nom et votre adresse.</v>
      </c>
      <c r="G546" t="str">
        <f t="shared" ref="G546" si="443">IF(B546&lt;&gt;B1711,"e",IF(D546=0,"q","a"))</f>
        <v>e</v>
      </c>
      <c r="H546" t="str">
        <f>VLOOKUP(D546,name!A:C,3,1)</f>
        <v>assets/icons/image326.png</v>
      </c>
      <c r="I546" t="str">
        <f>IF(A546="","",VLOOKUP(A546,lng!A:B,2,0))</f>
        <v>fr-FR</v>
      </c>
    </row>
    <row r="547" spans="1:9" x14ac:dyDescent="0.15">
      <c r="A547" t="str">
        <f t="shared" ref="A547:B547" si="444">A546</f>
        <v>フランス語</v>
      </c>
      <c r="B547">
        <f t="shared" si="444"/>
        <v>8</v>
      </c>
      <c r="C547">
        <f t="shared" si="359"/>
        <v>56</v>
      </c>
      <c r="D547">
        <f>D513</f>
        <v>5</v>
      </c>
      <c r="E547" t="str">
        <f>VLOOKUP(D547,name!A:B,2,1)</f>
        <v>Minako</v>
      </c>
      <c r="F547" t="str">
        <f>F513</f>
        <v>どうぞ。</v>
      </c>
      <c r="G547" t="str">
        <f t="shared" ref="G547:G610" si="445">IF(B547&lt;&gt;B548,"e",IF(D547=0,"q","a"))</f>
        <v>a</v>
      </c>
      <c r="H547" t="str">
        <f>VLOOKUP(D547,name!A:C,3,1)</f>
        <v>assets/icons/image086.png</v>
      </c>
      <c r="I547" t="s">
        <v>463</v>
      </c>
    </row>
    <row r="548" spans="1:9" x14ac:dyDescent="0.15">
      <c r="A548" t="str">
        <f t="shared" ref="A548:B548" si="446">A547</f>
        <v>フランス語</v>
      </c>
      <c r="B548">
        <f t="shared" si="446"/>
        <v>8</v>
      </c>
      <c r="C548">
        <f t="shared" si="359"/>
        <v>57</v>
      </c>
      <c r="D548">
        <f>D514</f>
        <v>5</v>
      </c>
      <c r="E548" t="str">
        <f>VLOOKUP(D548,name!A:B,2,1)</f>
        <v>Minako</v>
      </c>
      <c r="F548" t="str">
        <f>F514</f>
        <v>Voilà.</v>
      </c>
      <c r="G548" t="str">
        <f t="shared" ref="G548" si="447">IF(B548&lt;&gt;B1713,"e",IF(D548=0,"q","a"))</f>
        <v>e</v>
      </c>
      <c r="H548" t="str">
        <f>VLOOKUP(D548,name!A:C,3,1)</f>
        <v>assets/icons/image086.png</v>
      </c>
      <c r="I548" t="str">
        <f>IF(A548="","",VLOOKUP(A548,lng!A:B,2,0))</f>
        <v>fr-FR</v>
      </c>
    </row>
    <row r="549" spans="1:9" x14ac:dyDescent="0.15">
      <c r="A549" t="str">
        <f t="shared" ref="A549:B549" si="448">A548</f>
        <v>フランス語</v>
      </c>
      <c r="B549">
        <f t="shared" si="448"/>
        <v>8</v>
      </c>
      <c r="C549">
        <f t="shared" si="359"/>
        <v>58</v>
      </c>
      <c r="D549">
        <v>0</v>
      </c>
      <c r="E549" t="str">
        <f>VLOOKUP(D549,name!A:B,2,1)</f>
        <v>Player</v>
      </c>
      <c r="F549" t="str">
        <f>F514</f>
        <v>Voilà.</v>
      </c>
      <c r="G549" t="str">
        <f t="shared" ref="G549:G612" si="449">IF(B549&lt;&gt;B550,"e",IF(D549=0,"q","a"))</f>
        <v>q</v>
      </c>
      <c r="H549" t="str">
        <f>VLOOKUP(D549,name!A:C,3,1)</f>
        <v>assets/icons/image326.png</v>
      </c>
      <c r="I549" t="str">
        <f>IF(A549="","",VLOOKUP(A549,lng!A:B,2,0))</f>
        <v>fr-FR</v>
      </c>
    </row>
    <row r="550" spans="1:9" x14ac:dyDescent="0.15">
      <c r="A550" t="str">
        <f t="shared" ref="A550:B550" si="450">A549</f>
        <v>フランス語</v>
      </c>
      <c r="B550">
        <f t="shared" si="450"/>
        <v>8</v>
      </c>
      <c r="C550">
        <f t="shared" si="359"/>
        <v>59</v>
      </c>
      <c r="D550">
        <f>D515</f>
        <v>5</v>
      </c>
      <c r="E550" t="str">
        <f>VLOOKUP(D550,name!A:B,2,1)</f>
        <v>Minako</v>
      </c>
      <c r="F550" t="str">
        <f>F515</f>
        <v>いつ返却すればいいですか?</v>
      </c>
      <c r="G550" t="str">
        <f t="shared" ref="G550" si="451">IF(B550&lt;&gt;B1715,"e",IF(D550=0,"q","a"))</f>
        <v>e</v>
      </c>
      <c r="H550" t="str">
        <f>VLOOKUP(D550,name!A:C,3,1)</f>
        <v>assets/icons/image086.png</v>
      </c>
      <c r="I550" t="s">
        <v>463</v>
      </c>
    </row>
    <row r="551" spans="1:9" x14ac:dyDescent="0.15">
      <c r="A551" t="str">
        <f t="shared" ref="A551:B551" si="452">A550</f>
        <v>フランス語</v>
      </c>
      <c r="B551">
        <f t="shared" si="452"/>
        <v>8</v>
      </c>
      <c r="C551">
        <f t="shared" si="359"/>
        <v>60</v>
      </c>
      <c r="D551">
        <f>D516</f>
        <v>5</v>
      </c>
      <c r="E551" t="str">
        <f>VLOOKUP(D551,name!A:B,2,1)</f>
        <v>Minako</v>
      </c>
      <c r="F551" t="str">
        <f>F516</f>
        <v>Quand est-ce que je le rends?</v>
      </c>
      <c r="G551" t="str">
        <f t="shared" ref="G551:G614" si="453">IF(B551&lt;&gt;B552,"e",IF(D551=0,"q","a"))</f>
        <v>a</v>
      </c>
      <c r="H551" t="str">
        <f>VLOOKUP(D551,name!A:C,3,1)</f>
        <v>assets/icons/image086.png</v>
      </c>
      <c r="I551" t="str">
        <f>IF(A551="","",VLOOKUP(A551,lng!A:B,2,0))</f>
        <v>fr-FR</v>
      </c>
    </row>
    <row r="552" spans="1:9" x14ac:dyDescent="0.15">
      <c r="A552" t="str">
        <f t="shared" ref="A552:B552" si="454">A551</f>
        <v>フランス語</v>
      </c>
      <c r="B552">
        <f t="shared" si="454"/>
        <v>8</v>
      </c>
      <c r="C552">
        <f t="shared" si="359"/>
        <v>61</v>
      </c>
      <c r="D552">
        <v>0</v>
      </c>
      <c r="E552" t="str">
        <f>VLOOKUP(D552,name!A:B,2,1)</f>
        <v>Player</v>
      </c>
      <c r="F552" t="str">
        <f>F516</f>
        <v>Quand est-ce que je le rends?</v>
      </c>
      <c r="G552" t="str">
        <f t="shared" ref="G552" si="455">IF(B552&lt;&gt;B1717,"e",IF(D552=0,"q","a"))</f>
        <v>e</v>
      </c>
      <c r="H552" t="str">
        <f>VLOOKUP(D552,name!A:C,3,1)</f>
        <v>assets/icons/image326.png</v>
      </c>
      <c r="I552" t="str">
        <f>IF(A552="","",VLOOKUP(A552,lng!A:B,2,0))</f>
        <v>fr-FR</v>
      </c>
    </row>
    <row r="553" spans="1:9" x14ac:dyDescent="0.15">
      <c r="A553" t="str">
        <f t="shared" ref="A553:B553" si="456">A552</f>
        <v>フランス語</v>
      </c>
      <c r="B553">
        <f t="shared" si="456"/>
        <v>8</v>
      </c>
      <c r="C553">
        <f t="shared" si="359"/>
        <v>62</v>
      </c>
      <c r="D553">
        <f>D517</f>
        <v>19</v>
      </c>
      <c r="E553" t="str">
        <f>VLOOKUP(D553,name!A:B,2,1)</f>
        <v>Bibliothécaire</v>
      </c>
      <c r="F553" t="str">
        <f>F517</f>
        <v>2週間以内に返品する必要があります。</v>
      </c>
      <c r="G553" t="str">
        <f t="shared" ref="G553:G616" si="457">IF(B553&lt;&gt;B554,"e",IF(D553=0,"q","a"))</f>
        <v>a</v>
      </c>
      <c r="H553" t="str">
        <f>VLOOKUP(D553,name!A:C,3,1)</f>
        <v>assets/icons/image112.png</v>
      </c>
      <c r="I553" t="s">
        <v>463</v>
      </c>
    </row>
    <row r="554" spans="1:9" x14ac:dyDescent="0.15">
      <c r="A554" t="str">
        <f t="shared" ref="A554:B554" si="458">A553</f>
        <v>フランス語</v>
      </c>
      <c r="B554">
        <f t="shared" si="458"/>
        <v>8</v>
      </c>
      <c r="C554">
        <f t="shared" si="359"/>
        <v>63</v>
      </c>
      <c r="D554">
        <f>D518</f>
        <v>19</v>
      </c>
      <c r="E554" t="str">
        <f>VLOOKUP(D554,name!A:B,2,1)</f>
        <v>Bibliothécaire</v>
      </c>
      <c r="F554" t="str">
        <f>F518</f>
        <v>Vous devez le rendre dans deux semaines.</v>
      </c>
      <c r="G554" t="str">
        <f t="shared" ref="G554" si="459">IF(B554&lt;&gt;B1719,"e",IF(D554=0,"q","a"))</f>
        <v>e</v>
      </c>
      <c r="H554" t="str">
        <f>VLOOKUP(D554,name!A:C,3,1)</f>
        <v>assets/icons/image112.png</v>
      </c>
      <c r="I554" t="str">
        <f>IF(A554="","",VLOOKUP(A554,lng!A:B,2,0))</f>
        <v>fr-FR</v>
      </c>
    </row>
    <row r="555" spans="1:9" x14ac:dyDescent="0.15">
      <c r="A555" t="str">
        <f t="shared" ref="A555:B555" si="460">A554</f>
        <v>フランス語</v>
      </c>
      <c r="B555">
        <f t="shared" si="460"/>
        <v>8</v>
      </c>
      <c r="C555">
        <f t="shared" si="359"/>
        <v>64</v>
      </c>
      <c r="D555">
        <v>0</v>
      </c>
      <c r="E555" t="str">
        <f>VLOOKUP(D555,name!A:B,2,1)</f>
        <v>Player</v>
      </c>
      <c r="F555" t="str">
        <f>F518</f>
        <v>Vous devez le rendre dans deux semaines.</v>
      </c>
      <c r="G555" t="str">
        <f t="shared" ref="G555:G618" si="461">IF(B555&lt;&gt;B556,"e",IF(D555=0,"q","a"))</f>
        <v>q</v>
      </c>
      <c r="H555" t="str">
        <f>VLOOKUP(D555,name!A:C,3,1)</f>
        <v>assets/icons/image326.png</v>
      </c>
      <c r="I555" t="str">
        <f>IF(A555="","",VLOOKUP(A555,lng!A:B,2,0))</f>
        <v>fr-FR</v>
      </c>
    </row>
    <row r="556" spans="1:9" x14ac:dyDescent="0.15">
      <c r="A556" t="str">
        <f t="shared" ref="A556:B556" si="462">A555</f>
        <v>フランス語</v>
      </c>
      <c r="B556">
        <f t="shared" si="462"/>
        <v>8</v>
      </c>
      <c r="C556">
        <f t="shared" si="359"/>
        <v>65</v>
      </c>
      <c r="D556">
        <v>1</v>
      </c>
      <c r="E556" t="str">
        <f>VLOOKUP(D556,name!A:B,2,1)</f>
        <v>Navigator</v>
      </c>
      <c r="F556" t="str">
        <f>"次の日本語を"&amp;A556&amp;"に訳して答えてね！"</f>
        <v>次の日本語をフランス語に訳して答えてね！</v>
      </c>
      <c r="G556" t="str">
        <f t="shared" ref="G556" si="463">IF(B556&lt;&gt;B1721,"e",IF(D556=0,"q","a"))</f>
        <v>e</v>
      </c>
      <c r="H556" t="str">
        <f>VLOOKUP(D556,name!A:C,3,1)</f>
        <v>assets/icons/image014.png</v>
      </c>
      <c r="I556" t="s">
        <v>463</v>
      </c>
    </row>
    <row r="557" spans="1:9" x14ac:dyDescent="0.15">
      <c r="A557" t="str">
        <f t="shared" ref="A557:B557" si="464">A556</f>
        <v>フランス語</v>
      </c>
      <c r="B557">
        <f t="shared" si="464"/>
        <v>8</v>
      </c>
      <c r="C557">
        <f t="shared" si="359"/>
        <v>66</v>
      </c>
      <c r="D557">
        <f>D495</f>
        <v>19</v>
      </c>
      <c r="E557" t="str">
        <f>VLOOKUP(D557,name!A:B,2,1)</f>
        <v>Bibliothécaire</v>
      </c>
      <c r="F557" t="str">
        <f t="shared" ref="F557:F580" si="465">F495</f>
        <v>おはようございます、お嬢さん。</v>
      </c>
      <c r="G557" t="str">
        <f t="shared" ref="G557:G620" si="466">IF(B557&lt;&gt;B558,"e",IF(D557=0,"q","a"))</f>
        <v>a</v>
      </c>
      <c r="H557" t="str">
        <f>VLOOKUP(D557,name!A:C,3,1)</f>
        <v>assets/icons/image112.png</v>
      </c>
      <c r="I557" t="s">
        <v>463</v>
      </c>
    </row>
    <row r="558" spans="1:9" x14ac:dyDescent="0.15">
      <c r="A558" t="str">
        <f t="shared" ref="A558:B558" si="467">A557</f>
        <v>フランス語</v>
      </c>
      <c r="B558">
        <f t="shared" si="467"/>
        <v>8</v>
      </c>
      <c r="C558">
        <f t="shared" ref="C558:C581" si="468">C557+1</f>
        <v>67</v>
      </c>
      <c r="D558">
        <v>0</v>
      </c>
      <c r="E558" t="str">
        <f>VLOOKUP(D558,name!A:B,2,1)</f>
        <v>Player</v>
      </c>
      <c r="F558" t="str">
        <f t="shared" si="465"/>
        <v>Bonjour, Mademoiselle.</v>
      </c>
      <c r="G558" t="str">
        <f t="shared" ref="G558" si="469">IF(B558&lt;&gt;B1723,"e",IF(D558=0,"q","a"))</f>
        <v>e</v>
      </c>
      <c r="H558" t="str">
        <f>VLOOKUP(D558,name!A:C,3,1)</f>
        <v>assets/icons/image326.png</v>
      </c>
      <c r="I558" t="str">
        <f>IF(A558="","",VLOOKUP(A558,lng!A:B,2,0))</f>
        <v>fr-FR</v>
      </c>
    </row>
    <row r="559" spans="1:9" x14ac:dyDescent="0.15">
      <c r="A559" t="str">
        <f t="shared" ref="A559:B559" si="470">A558</f>
        <v>フランス語</v>
      </c>
      <c r="B559">
        <f t="shared" si="470"/>
        <v>8</v>
      </c>
      <c r="C559">
        <f t="shared" si="468"/>
        <v>68</v>
      </c>
      <c r="D559">
        <f>D497</f>
        <v>5</v>
      </c>
      <c r="E559" t="str">
        <f>VLOOKUP(D559,name!A:B,2,1)</f>
        <v>Minako</v>
      </c>
      <c r="F559" t="str">
        <f t="shared" si="465"/>
        <v>こんにちは。</v>
      </c>
      <c r="G559" t="str">
        <f t="shared" ref="G559:G622" si="471">IF(B559&lt;&gt;B560,"e",IF(D559=0,"q","a"))</f>
        <v>a</v>
      </c>
      <c r="H559" t="str">
        <f>VLOOKUP(D559,name!A:C,3,1)</f>
        <v>assets/icons/image086.png</v>
      </c>
      <c r="I559" t="s">
        <v>463</v>
      </c>
    </row>
    <row r="560" spans="1:9" x14ac:dyDescent="0.15">
      <c r="A560" t="str">
        <f t="shared" ref="A560:B560" si="472">A559</f>
        <v>フランス語</v>
      </c>
      <c r="B560">
        <f t="shared" si="472"/>
        <v>8</v>
      </c>
      <c r="C560">
        <f t="shared" si="468"/>
        <v>69</v>
      </c>
      <c r="D560">
        <v>0</v>
      </c>
      <c r="E560" t="str">
        <f>VLOOKUP(D560,name!A:B,2,1)</f>
        <v>Player</v>
      </c>
      <c r="F560" t="str">
        <f t="shared" si="465"/>
        <v>Bonjour.</v>
      </c>
      <c r="G560" t="str">
        <f t="shared" ref="G560" si="473">IF(B560&lt;&gt;B1725,"e",IF(D560=0,"q","a"))</f>
        <v>e</v>
      </c>
      <c r="H560" t="str">
        <f>VLOOKUP(D560,name!A:C,3,1)</f>
        <v>assets/icons/image326.png</v>
      </c>
      <c r="I560" t="str">
        <f>IF(A560="","",VLOOKUP(A560,lng!A:B,2,0))</f>
        <v>fr-FR</v>
      </c>
    </row>
    <row r="561" spans="1:9" x14ac:dyDescent="0.15">
      <c r="A561" t="str">
        <f t="shared" ref="A561:B561" si="474">A560</f>
        <v>フランス語</v>
      </c>
      <c r="B561">
        <f t="shared" si="474"/>
        <v>8</v>
      </c>
      <c r="C561">
        <f t="shared" si="468"/>
        <v>70</v>
      </c>
      <c r="D561">
        <f>D499</f>
        <v>5</v>
      </c>
      <c r="E561" t="str">
        <f>VLOOKUP(D561,name!A:B,2,1)</f>
        <v>Minako</v>
      </c>
      <c r="F561" t="str">
        <f t="shared" si="465"/>
        <v>画家モネに関する本を探しています。</v>
      </c>
      <c r="G561" t="str">
        <f t="shared" ref="G561:G624" si="475">IF(B561&lt;&gt;B562,"e",IF(D561=0,"q","a"))</f>
        <v>a</v>
      </c>
      <c r="H561" t="str">
        <f>VLOOKUP(D561,name!A:C,3,1)</f>
        <v>assets/icons/image086.png</v>
      </c>
      <c r="I561" t="s">
        <v>463</v>
      </c>
    </row>
    <row r="562" spans="1:9" x14ac:dyDescent="0.15">
      <c r="A562" t="str">
        <f t="shared" ref="A562:B562" si="476">A561</f>
        <v>フランス語</v>
      </c>
      <c r="B562">
        <f t="shared" si="476"/>
        <v>8</v>
      </c>
      <c r="C562">
        <f t="shared" si="468"/>
        <v>71</v>
      </c>
      <c r="D562">
        <v>0</v>
      </c>
      <c r="E562" t="str">
        <f>VLOOKUP(D562,name!A:B,2,1)</f>
        <v>Player</v>
      </c>
      <c r="F562" t="str">
        <f t="shared" si="465"/>
        <v>Je cherche des livres sur le peintre Monet.</v>
      </c>
      <c r="G562" t="str">
        <f t="shared" ref="G562" si="477">IF(B562&lt;&gt;B1727,"e",IF(D562=0,"q","a"))</f>
        <v>e</v>
      </c>
      <c r="H562" t="str">
        <f>VLOOKUP(D562,name!A:C,3,1)</f>
        <v>assets/icons/image326.png</v>
      </c>
      <c r="I562" t="str">
        <f>IF(A562="","",VLOOKUP(A562,lng!A:B,2,0))</f>
        <v>fr-FR</v>
      </c>
    </row>
    <row r="563" spans="1:9" x14ac:dyDescent="0.15">
      <c r="A563" t="str">
        <f t="shared" ref="A563:B563" si="478">A562</f>
        <v>フランス語</v>
      </c>
      <c r="B563">
        <f t="shared" si="478"/>
        <v>8</v>
      </c>
      <c r="C563">
        <f t="shared" si="468"/>
        <v>72</v>
      </c>
      <c r="D563">
        <f>D501</f>
        <v>19</v>
      </c>
      <c r="E563" t="str">
        <f>VLOOKUP(D563,name!A:B,2,1)</f>
        <v>Bibliothécaire</v>
      </c>
      <c r="F563" t="str">
        <f t="shared" si="465"/>
        <v>探します。</v>
      </c>
      <c r="G563" t="str">
        <f t="shared" ref="G563:G626" si="479">IF(B563&lt;&gt;B564,"e",IF(D563=0,"q","a"))</f>
        <v>a</v>
      </c>
      <c r="H563" t="str">
        <f>VLOOKUP(D563,name!A:C,3,1)</f>
        <v>assets/icons/image112.png</v>
      </c>
      <c r="I563" t="s">
        <v>463</v>
      </c>
    </row>
    <row r="564" spans="1:9" x14ac:dyDescent="0.15">
      <c r="A564" t="str">
        <f t="shared" ref="A564:B564" si="480">A563</f>
        <v>フランス語</v>
      </c>
      <c r="B564">
        <f t="shared" si="480"/>
        <v>8</v>
      </c>
      <c r="C564">
        <f t="shared" si="468"/>
        <v>73</v>
      </c>
      <c r="D564">
        <v>0</v>
      </c>
      <c r="E564" t="str">
        <f>VLOOKUP(D564,name!A:B,2,1)</f>
        <v>Player</v>
      </c>
      <c r="F564" t="str">
        <f t="shared" si="465"/>
        <v xml:space="preserve">Voyons. </v>
      </c>
      <c r="G564" t="str">
        <f t="shared" ref="G564" si="481">IF(B564&lt;&gt;B1729,"e",IF(D564=0,"q","a"))</f>
        <v>e</v>
      </c>
      <c r="H564" t="str">
        <f>VLOOKUP(D564,name!A:C,3,1)</f>
        <v>assets/icons/image326.png</v>
      </c>
      <c r="I564" t="str">
        <f>IF(A564="","",VLOOKUP(A564,lng!A:B,2,0))</f>
        <v>fr-FR</v>
      </c>
    </row>
    <row r="565" spans="1:9" x14ac:dyDescent="0.15">
      <c r="A565" t="str">
        <f t="shared" ref="A565:B565" si="482">A564</f>
        <v>フランス語</v>
      </c>
      <c r="B565">
        <f t="shared" si="482"/>
        <v>8</v>
      </c>
      <c r="C565">
        <f t="shared" si="468"/>
        <v>74</v>
      </c>
      <c r="D565">
        <f>D503</f>
        <v>19</v>
      </c>
      <c r="E565" t="str">
        <f>VLOOKUP(D565,name!A:B,2,1)</f>
        <v>Bibliothécaire</v>
      </c>
      <c r="F565" t="str">
        <f t="shared" si="465"/>
        <v>はい、モネに関する本がいくつかあります。</v>
      </c>
      <c r="G565" t="str">
        <f t="shared" ref="G565:G628" si="483">IF(B565&lt;&gt;B566,"e",IF(D565=0,"q","a"))</f>
        <v>a</v>
      </c>
      <c r="H565" t="str">
        <f>VLOOKUP(D565,name!A:C,3,1)</f>
        <v>assets/icons/image112.png</v>
      </c>
      <c r="I565" t="s">
        <v>463</v>
      </c>
    </row>
    <row r="566" spans="1:9" x14ac:dyDescent="0.15">
      <c r="A566" t="str">
        <f t="shared" ref="A566:B566" si="484">A565</f>
        <v>フランス語</v>
      </c>
      <c r="B566">
        <f t="shared" si="484"/>
        <v>8</v>
      </c>
      <c r="C566">
        <f t="shared" si="468"/>
        <v>75</v>
      </c>
      <c r="D566">
        <v>0</v>
      </c>
      <c r="E566" t="str">
        <f>VLOOKUP(D566,name!A:B,2,1)</f>
        <v>Player</v>
      </c>
      <c r="F566" t="str">
        <f t="shared" si="465"/>
        <v>Oui, nous avons plusieurs livres sur Monet.</v>
      </c>
      <c r="G566" t="str">
        <f t="shared" ref="G566" si="485">IF(B566&lt;&gt;B1731,"e",IF(D566=0,"q","a"))</f>
        <v>e</v>
      </c>
      <c r="H566" t="str">
        <f>VLOOKUP(D566,name!A:C,3,1)</f>
        <v>assets/icons/image326.png</v>
      </c>
      <c r="I566" t="str">
        <f>IF(A566="","",VLOOKUP(A566,lng!A:B,2,0))</f>
        <v>fr-FR</v>
      </c>
    </row>
    <row r="567" spans="1:9" x14ac:dyDescent="0.15">
      <c r="A567" t="str">
        <f t="shared" ref="A567:B567" si="486">A566</f>
        <v>フランス語</v>
      </c>
      <c r="B567">
        <f t="shared" si="486"/>
        <v>8</v>
      </c>
      <c r="C567">
        <f t="shared" si="468"/>
        <v>76</v>
      </c>
      <c r="D567">
        <f>D505</f>
        <v>5</v>
      </c>
      <c r="E567" t="str">
        <f>VLOOKUP(D567,name!A:B,2,1)</f>
        <v>Minako</v>
      </c>
      <c r="F567" t="str">
        <f t="shared" si="465"/>
        <v>日本との関係についての本があれば、</v>
      </c>
      <c r="G567" t="str">
        <f t="shared" ref="G567:G630" si="487">IF(B567&lt;&gt;B568,"e",IF(D567=0,"q","a"))</f>
        <v>a</v>
      </c>
      <c r="H567" t="str">
        <f>VLOOKUP(D567,name!A:C,3,1)</f>
        <v>assets/icons/image086.png</v>
      </c>
      <c r="I567" t="s">
        <v>463</v>
      </c>
    </row>
    <row r="568" spans="1:9" x14ac:dyDescent="0.15">
      <c r="A568" t="str">
        <f t="shared" ref="A568:B568" si="488">A567</f>
        <v>フランス語</v>
      </c>
      <c r="B568">
        <f t="shared" si="488"/>
        <v>8</v>
      </c>
      <c r="C568">
        <f t="shared" si="468"/>
        <v>77</v>
      </c>
      <c r="D568">
        <v>0</v>
      </c>
      <c r="E568" t="str">
        <f>VLOOKUP(D568,name!A:B,2,1)</f>
        <v>Player</v>
      </c>
      <c r="F568" t="str">
        <f t="shared" si="465"/>
        <v>S'il y a un livre sur ses relations avec le Japon,</v>
      </c>
      <c r="G568" t="str">
        <f t="shared" ref="G568" si="489">IF(B568&lt;&gt;B1733,"e",IF(D568=0,"q","a"))</f>
        <v>e</v>
      </c>
      <c r="H568" t="str">
        <f>VLOOKUP(D568,name!A:C,3,1)</f>
        <v>assets/icons/image326.png</v>
      </c>
      <c r="I568" t="str">
        <f>IF(A568="","",VLOOKUP(A568,lng!A:B,2,0))</f>
        <v>fr-FR</v>
      </c>
    </row>
    <row r="569" spans="1:9" x14ac:dyDescent="0.15">
      <c r="A569" t="str">
        <f t="shared" ref="A569:B569" si="490">A568</f>
        <v>フランス語</v>
      </c>
      <c r="B569">
        <f t="shared" si="490"/>
        <v>8</v>
      </c>
      <c r="C569">
        <f t="shared" si="468"/>
        <v>78</v>
      </c>
      <c r="D569">
        <f>D507</f>
        <v>5</v>
      </c>
      <c r="E569" t="str">
        <f>VLOOKUP(D569,name!A:B,2,1)</f>
        <v>Minako</v>
      </c>
      <c r="F569" t="str">
        <f t="shared" si="465"/>
        <v>借りてみたいです。</v>
      </c>
      <c r="G569" t="str">
        <f t="shared" ref="G569:G632" si="491">IF(B569&lt;&gt;B570,"e",IF(D569=0,"q","a"))</f>
        <v>a</v>
      </c>
      <c r="H569" t="str">
        <f>VLOOKUP(D569,name!A:C,3,1)</f>
        <v>assets/icons/image086.png</v>
      </c>
      <c r="I569" t="s">
        <v>463</v>
      </c>
    </row>
    <row r="570" spans="1:9" x14ac:dyDescent="0.15">
      <c r="A570" t="str">
        <f t="shared" ref="A570:B570" si="492">A569</f>
        <v>フランス語</v>
      </c>
      <c r="B570">
        <f t="shared" si="492"/>
        <v>8</v>
      </c>
      <c r="C570">
        <f t="shared" si="468"/>
        <v>79</v>
      </c>
      <c r="D570">
        <v>0</v>
      </c>
      <c r="E570" t="str">
        <f>VLOOKUP(D570,name!A:B,2,1)</f>
        <v>Player</v>
      </c>
      <c r="F570" t="str">
        <f t="shared" si="465"/>
        <v>je voudrais l'emprunter.</v>
      </c>
      <c r="G570" t="str">
        <f t="shared" ref="G570" si="493">IF(B570&lt;&gt;B1735,"e",IF(D570=0,"q","a"))</f>
        <v>e</v>
      </c>
      <c r="H570" t="str">
        <f>VLOOKUP(D570,name!A:C,3,1)</f>
        <v>assets/icons/image326.png</v>
      </c>
      <c r="I570" t="str">
        <f>IF(A570="","",VLOOKUP(A570,lng!A:B,2,0))</f>
        <v>fr-FR</v>
      </c>
    </row>
    <row r="571" spans="1:9" x14ac:dyDescent="0.15">
      <c r="A571" t="str">
        <f t="shared" ref="A571:B571" si="494">A570</f>
        <v>フランス語</v>
      </c>
      <c r="B571">
        <f t="shared" si="494"/>
        <v>8</v>
      </c>
      <c r="C571">
        <f t="shared" si="468"/>
        <v>80</v>
      </c>
      <c r="D571">
        <f>D509</f>
        <v>19</v>
      </c>
      <c r="E571" t="str">
        <f>VLOOKUP(D571,name!A:B,2,1)</f>
        <v>Bibliothécaire</v>
      </c>
      <c r="F571" t="str">
        <f t="shared" si="465"/>
        <v>貸出については、この申込書に記入する必要があります。</v>
      </c>
      <c r="G571" t="str">
        <f t="shared" ref="G571:G634" si="495">IF(B571&lt;&gt;B572,"e",IF(D571=0,"q","a"))</f>
        <v>a</v>
      </c>
      <c r="H571" t="str">
        <f>VLOOKUP(D571,name!A:C,3,1)</f>
        <v>assets/icons/image112.png</v>
      </c>
      <c r="I571" t="s">
        <v>463</v>
      </c>
    </row>
    <row r="572" spans="1:9" x14ac:dyDescent="0.15">
      <c r="A572" t="str">
        <f t="shared" ref="A572:B572" si="496">A571</f>
        <v>フランス語</v>
      </c>
      <c r="B572">
        <f t="shared" si="496"/>
        <v>8</v>
      </c>
      <c r="C572">
        <f t="shared" si="468"/>
        <v>81</v>
      </c>
      <c r="D572">
        <v>0</v>
      </c>
      <c r="E572" t="str">
        <f>VLOOKUP(D572,name!A:B,2,1)</f>
        <v>Player</v>
      </c>
      <c r="F572" t="str">
        <f t="shared" si="465"/>
        <v>Pour le prêt, il faut remplir cette fiche.</v>
      </c>
      <c r="G572" t="str">
        <f t="shared" ref="G572" si="497">IF(B572&lt;&gt;B1737,"e",IF(D572=0,"q","a"))</f>
        <v>e</v>
      </c>
      <c r="H572" t="str">
        <f>VLOOKUP(D572,name!A:C,3,1)</f>
        <v>assets/icons/image326.png</v>
      </c>
      <c r="I572" t="str">
        <f>IF(A572="","",VLOOKUP(A572,lng!A:B,2,0))</f>
        <v>fr-FR</v>
      </c>
    </row>
    <row r="573" spans="1:9" x14ac:dyDescent="0.15">
      <c r="A573" t="str">
        <f t="shared" ref="A573:B573" si="498">A572</f>
        <v>フランス語</v>
      </c>
      <c r="B573">
        <f t="shared" si="498"/>
        <v>8</v>
      </c>
      <c r="C573">
        <f t="shared" si="468"/>
        <v>82</v>
      </c>
      <c r="D573">
        <f>D511</f>
        <v>19</v>
      </c>
      <c r="E573" t="str">
        <f>VLOOKUP(D573,name!A:B,2,1)</f>
        <v>Bibliothécaire</v>
      </c>
      <c r="F573" t="str">
        <f t="shared" si="465"/>
        <v>あなたの名前と住所を書いてください。</v>
      </c>
      <c r="G573" t="str">
        <f t="shared" ref="G573:G636" si="499">IF(B573&lt;&gt;B574,"e",IF(D573=0,"q","a"))</f>
        <v>a</v>
      </c>
      <c r="H573" t="str">
        <f>VLOOKUP(D573,name!A:C,3,1)</f>
        <v>assets/icons/image112.png</v>
      </c>
      <c r="I573" t="s">
        <v>463</v>
      </c>
    </row>
    <row r="574" spans="1:9" x14ac:dyDescent="0.15">
      <c r="A574" t="str">
        <f t="shared" ref="A574:B574" si="500">A573</f>
        <v>フランス語</v>
      </c>
      <c r="B574">
        <f t="shared" si="500"/>
        <v>8</v>
      </c>
      <c r="C574">
        <f t="shared" si="468"/>
        <v>83</v>
      </c>
      <c r="D574">
        <v>0</v>
      </c>
      <c r="E574" t="str">
        <f>VLOOKUP(D574,name!A:B,2,1)</f>
        <v>Player</v>
      </c>
      <c r="F574" t="str">
        <f t="shared" si="465"/>
        <v>Ecrivez votre nom et votre adresse.</v>
      </c>
      <c r="G574" t="str">
        <f t="shared" ref="G574" si="501">IF(B574&lt;&gt;B1739,"e",IF(D574=0,"q","a"))</f>
        <v>e</v>
      </c>
      <c r="H574" t="str">
        <f>VLOOKUP(D574,name!A:C,3,1)</f>
        <v>assets/icons/image326.png</v>
      </c>
      <c r="I574" t="str">
        <f>IF(A574="","",VLOOKUP(A574,lng!A:B,2,0))</f>
        <v>fr-FR</v>
      </c>
    </row>
    <row r="575" spans="1:9" x14ac:dyDescent="0.15">
      <c r="A575" t="str">
        <f t="shared" ref="A575:B575" si="502">A574</f>
        <v>フランス語</v>
      </c>
      <c r="B575">
        <f t="shared" si="502"/>
        <v>8</v>
      </c>
      <c r="C575">
        <f t="shared" si="468"/>
        <v>84</v>
      </c>
      <c r="D575">
        <f>D513</f>
        <v>5</v>
      </c>
      <c r="E575" t="str">
        <f>VLOOKUP(D575,name!A:B,2,1)</f>
        <v>Minako</v>
      </c>
      <c r="F575" t="str">
        <f t="shared" si="465"/>
        <v>どうぞ。</v>
      </c>
      <c r="G575" t="str">
        <f t="shared" ref="G575:G638" si="503">IF(B575&lt;&gt;B576,"e",IF(D575=0,"q","a"))</f>
        <v>a</v>
      </c>
      <c r="H575" t="str">
        <f>VLOOKUP(D575,name!A:C,3,1)</f>
        <v>assets/icons/image086.png</v>
      </c>
      <c r="I575" t="s">
        <v>463</v>
      </c>
    </row>
    <row r="576" spans="1:9" x14ac:dyDescent="0.15">
      <c r="A576" t="str">
        <f t="shared" ref="A576:B576" si="504">A575</f>
        <v>フランス語</v>
      </c>
      <c r="B576">
        <f t="shared" si="504"/>
        <v>8</v>
      </c>
      <c r="C576">
        <f t="shared" si="468"/>
        <v>85</v>
      </c>
      <c r="D576">
        <v>0</v>
      </c>
      <c r="E576" t="str">
        <f>VLOOKUP(D576,name!A:B,2,1)</f>
        <v>Player</v>
      </c>
      <c r="F576" t="str">
        <f t="shared" si="465"/>
        <v>Voilà.</v>
      </c>
      <c r="G576" t="str">
        <f t="shared" ref="G576" si="505">IF(B576&lt;&gt;B1741,"e",IF(D576=0,"q","a"))</f>
        <v>e</v>
      </c>
      <c r="H576" t="str">
        <f>VLOOKUP(D576,name!A:C,3,1)</f>
        <v>assets/icons/image326.png</v>
      </c>
      <c r="I576" t="str">
        <f>IF(A576="","",VLOOKUP(A576,lng!A:B,2,0))</f>
        <v>fr-FR</v>
      </c>
    </row>
    <row r="577" spans="1:12" x14ac:dyDescent="0.15">
      <c r="A577" t="str">
        <f t="shared" ref="A577:B577" si="506">A576</f>
        <v>フランス語</v>
      </c>
      <c r="B577">
        <f t="shared" si="506"/>
        <v>8</v>
      </c>
      <c r="C577">
        <f t="shared" si="468"/>
        <v>86</v>
      </c>
      <c r="D577">
        <f>D515</f>
        <v>5</v>
      </c>
      <c r="E577" t="str">
        <f>VLOOKUP(D577,name!A:B,2,1)</f>
        <v>Minako</v>
      </c>
      <c r="F577" t="str">
        <f t="shared" si="465"/>
        <v>いつ返却すればいいですか?</v>
      </c>
      <c r="G577" t="str">
        <f t="shared" ref="G577:G640" si="507">IF(B577&lt;&gt;B578,"e",IF(D577=0,"q","a"))</f>
        <v>a</v>
      </c>
      <c r="H577" t="str">
        <f>VLOOKUP(D577,name!A:C,3,1)</f>
        <v>assets/icons/image086.png</v>
      </c>
      <c r="I577" t="s">
        <v>463</v>
      </c>
    </row>
    <row r="578" spans="1:12" x14ac:dyDescent="0.15">
      <c r="A578" t="str">
        <f t="shared" ref="A578:B578" si="508">A577</f>
        <v>フランス語</v>
      </c>
      <c r="B578">
        <f t="shared" si="508"/>
        <v>8</v>
      </c>
      <c r="C578">
        <f t="shared" si="468"/>
        <v>87</v>
      </c>
      <c r="D578">
        <v>0</v>
      </c>
      <c r="E578" t="str">
        <f>VLOOKUP(D578,name!A:B,2,1)</f>
        <v>Player</v>
      </c>
      <c r="F578" t="str">
        <f t="shared" si="465"/>
        <v>Quand est-ce que je le rends?</v>
      </c>
      <c r="G578" t="str">
        <f t="shared" ref="G578" si="509">IF(B578&lt;&gt;B1743,"e",IF(D578=0,"q","a"))</f>
        <v>e</v>
      </c>
      <c r="H578" t="str">
        <f>VLOOKUP(D578,name!A:C,3,1)</f>
        <v>assets/icons/image326.png</v>
      </c>
      <c r="I578" t="str">
        <f>IF(A578="","",VLOOKUP(A578,lng!A:B,2,0))</f>
        <v>fr-FR</v>
      </c>
    </row>
    <row r="579" spans="1:12" x14ac:dyDescent="0.15">
      <c r="A579" t="str">
        <f t="shared" ref="A579:B579" si="510">A578</f>
        <v>フランス語</v>
      </c>
      <c r="B579">
        <f t="shared" si="510"/>
        <v>8</v>
      </c>
      <c r="C579">
        <f t="shared" si="468"/>
        <v>88</v>
      </c>
      <c r="D579">
        <f>D517</f>
        <v>19</v>
      </c>
      <c r="E579" t="str">
        <f>VLOOKUP(D579,name!A:B,2,1)</f>
        <v>Bibliothécaire</v>
      </c>
      <c r="F579" t="str">
        <f t="shared" si="465"/>
        <v>2週間以内に返品する必要があります。</v>
      </c>
      <c r="G579" t="str">
        <f t="shared" ref="G579:G642" si="511">IF(B579&lt;&gt;B580,"e",IF(D579=0,"q","a"))</f>
        <v>a</v>
      </c>
      <c r="H579" t="str">
        <f>VLOOKUP(D579,name!A:C,3,1)</f>
        <v>assets/icons/image112.png</v>
      </c>
      <c r="I579" t="s">
        <v>463</v>
      </c>
    </row>
    <row r="580" spans="1:12" x14ac:dyDescent="0.15">
      <c r="A580" t="str">
        <f t="shared" ref="A580:B580" si="512">A579</f>
        <v>フランス語</v>
      </c>
      <c r="B580">
        <f t="shared" si="512"/>
        <v>8</v>
      </c>
      <c r="C580">
        <f t="shared" si="468"/>
        <v>89</v>
      </c>
      <c r="D580">
        <v>0</v>
      </c>
      <c r="E580" t="str">
        <f>VLOOKUP(D580,name!A:B,2,1)</f>
        <v>Player</v>
      </c>
      <c r="F580" t="str">
        <f t="shared" si="465"/>
        <v>Vous devez le rendre dans deux semaines.</v>
      </c>
      <c r="G580" t="str">
        <f t="shared" ref="G580" si="513">IF(B580&lt;&gt;B1745,"e",IF(D580=0,"q","a"))</f>
        <v>e</v>
      </c>
      <c r="H580" t="str">
        <f>VLOOKUP(D580,name!A:C,3,1)</f>
        <v>assets/icons/image326.png</v>
      </c>
      <c r="I580" t="str">
        <f>IF(A580="","",VLOOKUP(A580,lng!A:B,2,0))</f>
        <v>fr-FR</v>
      </c>
    </row>
    <row r="581" spans="1:12" x14ac:dyDescent="0.15">
      <c r="A581" t="str">
        <f t="shared" ref="A581:B581" si="514">A580</f>
        <v>フランス語</v>
      </c>
      <c r="B581">
        <f t="shared" si="514"/>
        <v>8</v>
      </c>
      <c r="C581">
        <f t="shared" si="468"/>
        <v>90</v>
      </c>
      <c r="D581">
        <v>1</v>
      </c>
      <c r="E581" t="str">
        <f>VLOOKUP(D581,name!A:B,2,1)</f>
        <v>Navigator</v>
      </c>
      <c r="F581" t="str">
        <f>"とても良くできました。レッスン"&amp;B581&amp;"はこれで終了です。"</f>
        <v>とても良くできました。レッスン8はこれで終了です。</v>
      </c>
      <c r="G581" t="str">
        <f t="shared" ref="G581:G644" si="515">IF(B581&lt;&gt;B582,"e",IF(D581=0,"q","a"))</f>
        <v>e</v>
      </c>
      <c r="H581" t="str">
        <f>VLOOKUP(D581,name!A:C,3,1)</f>
        <v>assets/icons/image014.png</v>
      </c>
      <c r="I581" t="s">
        <v>463</v>
      </c>
    </row>
    <row r="582" spans="1:12" x14ac:dyDescent="0.15">
      <c r="A582" t="str">
        <f>A581</f>
        <v>フランス語</v>
      </c>
      <c r="B582">
        <f>B581+1</f>
        <v>9</v>
      </c>
      <c r="C582">
        <v>1</v>
      </c>
      <c r="D582">
        <v>1</v>
      </c>
      <c r="E582" t="str">
        <f>VLOOKUP(D582,name!A:B,2,1)</f>
        <v>Navigator</v>
      </c>
      <c r="F582" t="s">
        <v>579</v>
      </c>
      <c r="G582" t="str">
        <f t="shared" ref="G582" si="516">IF(B582&lt;&gt;B1747,"e",IF(D582=0,"q","a"))</f>
        <v>e</v>
      </c>
      <c r="H582" t="str">
        <f>VLOOKUP(D582,name!A:C,3,1)</f>
        <v>assets/icons/image014.png</v>
      </c>
      <c r="I582" t="str">
        <f>IF(A582="","",VLOOKUP(A582,lng!A:B,2,0))</f>
        <v>fr-FR</v>
      </c>
    </row>
    <row r="583" spans="1:12" x14ac:dyDescent="0.15">
      <c r="A583" t="str">
        <f t="shared" ref="A583:B598" si="517">A582</f>
        <v>フランス語</v>
      </c>
      <c r="B583">
        <f>B582</f>
        <v>9</v>
      </c>
      <c r="C583">
        <f>C582+1</f>
        <v>2</v>
      </c>
      <c r="D583">
        <v>1</v>
      </c>
      <c r="E583" t="str">
        <f>VLOOKUP(D583,name!A:B,2,1)</f>
        <v>Navigator</v>
      </c>
      <c r="F583" t="str">
        <f>"レッスン"&amp;B583</f>
        <v>レッスン9</v>
      </c>
      <c r="G583" t="str">
        <f t="shared" ref="G583:G646" si="518">IF(B583&lt;&gt;B584,"e",IF(D583=0,"q","a"))</f>
        <v>a</v>
      </c>
      <c r="H583" t="str">
        <f>VLOOKUP(D583,name!A:C,3,1)</f>
        <v>assets/icons/image014.png</v>
      </c>
      <c r="I583" t="s">
        <v>463</v>
      </c>
    </row>
    <row r="584" spans="1:12" ht="40.5" x14ac:dyDescent="0.15">
      <c r="A584" t="str">
        <f t="shared" si="517"/>
        <v>フランス語</v>
      </c>
      <c r="B584">
        <f t="shared" si="517"/>
        <v>9</v>
      </c>
      <c r="C584">
        <f t="shared" ref="C584:C647" si="519">C583+1</f>
        <v>3</v>
      </c>
      <c r="D584">
        <v>1</v>
      </c>
      <c r="E584" t="str">
        <f>VLOOKUP(D584,name!A:B,2,1)</f>
        <v>Navigator</v>
      </c>
      <c r="F584" s="1" t="str">
        <f>"まずは対話文を流します。その後に、日本語と"&amp;A584&amp;"を一文ずつ流すので"&amp;A584&amp;"を真似して下さい。最後に日本語のみを流すので、"&amp;A584&amp;"で答えてください。"</f>
        <v>まずは対話文を流します。その後に、日本語とフランス語を一文ずつ流すのでフランス語を真似して下さい。最後に日本語のみを流すので、フランス語で答えてください。</v>
      </c>
      <c r="G584" t="str">
        <f t="shared" ref="G584" si="520">IF(B584&lt;&gt;B1749,"e",IF(D584=0,"q","a"))</f>
        <v>e</v>
      </c>
      <c r="H584" t="str">
        <f>VLOOKUP(D584,name!A:C,3,1)</f>
        <v>assets/icons/image014.png</v>
      </c>
      <c r="I584" t="s">
        <v>463</v>
      </c>
      <c r="L584" s="1"/>
    </row>
    <row r="585" spans="1:12" x14ac:dyDescent="0.15">
      <c r="A585" t="str">
        <f t="shared" si="517"/>
        <v>フランス語</v>
      </c>
      <c r="B585">
        <f t="shared" si="517"/>
        <v>9</v>
      </c>
      <c r="C585">
        <f t="shared" si="519"/>
        <v>4</v>
      </c>
      <c r="D585">
        <f>D586</f>
        <v>20</v>
      </c>
      <c r="E585" t="str">
        <f>VLOOKUP(D585,name!A:B,2,1)</f>
        <v>Vendeur</v>
      </c>
      <c r="F585" t="s">
        <v>568</v>
      </c>
      <c r="G585" t="str">
        <f t="shared" ref="G585:G648" si="521">IF(B585&lt;&gt;B586,"e",IF(D585=0,"q","a"))</f>
        <v>a</v>
      </c>
      <c r="H585" t="str">
        <f>VLOOKUP(D585,name!A:C,3,1)</f>
        <v>assets/icons/image025.png</v>
      </c>
      <c r="I585" t="s">
        <v>463</v>
      </c>
    </row>
    <row r="586" spans="1:12" x14ac:dyDescent="0.15">
      <c r="A586" t="str">
        <f t="shared" si="517"/>
        <v>フランス語</v>
      </c>
      <c r="B586">
        <f t="shared" si="517"/>
        <v>9</v>
      </c>
      <c r="C586">
        <f t="shared" si="519"/>
        <v>5</v>
      </c>
      <c r="D586">
        <f t="shared" ref="D586:D609" si="522">D587</f>
        <v>20</v>
      </c>
      <c r="E586" t="str">
        <f>VLOOKUP(D586,name!A:B,2,1)</f>
        <v>Vendeur</v>
      </c>
      <c r="F586" t="s">
        <v>556</v>
      </c>
      <c r="G586" t="str">
        <f t="shared" ref="G586" si="523">IF(B586&lt;&gt;B1751,"e",IF(D586=0,"q","a"))</f>
        <v>e</v>
      </c>
      <c r="H586" t="str">
        <f>VLOOKUP(D586,name!A:C,3,1)</f>
        <v>assets/icons/image025.png</v>
      </c>
      <c r="I586" t="str">
        <f>IF(A586="","",VLOOKUP(A586,lng!A:B,2,0))</f>
        <v>fr-FR</v>
      </c>
    </row>
    <row r="587" spans="1:12" x14ac:dyDescent="0.15">
      <c r="A587" t="str">
        <f t="shared" si="517"/>
        <v>フランス語</v>
      </c>
      <c r="B587">
        <f t="shared" si="517"/>
        <v>9</v>
      </c>
      <c r="C587">
        <f t="shared" si="519"/>
        <v>6</v>
      </c>
      <c r="D587">
        <f t="shared" si="522"/>
        <v>20</v>
      </c>
      <c r="E587" t="str">
        <f>VLOOKUP(D587,name!A:B,2,1)</f>
        <v>Vendeur</v>
      </c>
      <c r="F587" t="s">
        <v>593</v>
      </c>
      <c r="G587" t="str">
        <f t="shared" ref="G587:G650" si="524">IF(B587&lt;&gt;B588,"e",IF(D587=0,"q","a"))</f>
        <v>a</v>
      </c>
      <c r="H587" t="str">
        <f>VLOOKUP(D587,name!A:C,3,1)</f>
        <v>assets/icons/image025.png</v>
      </c>
      <c r="I587" t="s">
        <v>463</v>
      </c>
    </row>
    <row r="588" spans="1:12" x14ac:dyDescent="0.15">
      <c r="A588" t="str">
        <f t="shared" si="517"/>
        <v>フランス語</v>
      </c>
      <c r="B588">
        <f t="shared" si="517"/>
        <v>9</v>
      </c>
      <c r="C588">
        <f t="shared" si="519"/>
        <v>7</v>
      </c>
      <c r="D588">
        <v>20</v>
      </c>
      <c r="E588" t="str">
        <f>VLOOKUP(D588,name!A:B,2,1)</f>
        <v>Vendeur</v>
      </c>
      <c r="F588" t="s">
        <v>580</v>
      </c>
      <c r="G588" t="str">
        <f t="shared" ref="G588" si="525">IF(B588&lt;&gt;B1753,"e",IF(D588=0,"q","a"))</f>
        <v>e</v>
      </c>
      <c r="H588" t="str">
        <f>VLOOKUP(D588,name!A:C,3,1)</f>
        <v>assets/icons/image025.png</v>
      </c>
      <c r="I588" t="str">
        <f>IF(A588="","",VLOOKUP(A588,lng!A:B,2,0))</f>
        <v>fr-FR</v>
      </c>
    </row>
    <row r="589" spans="1:12" x14ac:dyDescent="0.15">
      <c r="A589" t="str">
        <f t="shared" si="517"/>
        <v>フランス語</v>
      </c>
      <c r="B589">
        <f t="shared" si="517"/>
        <v>9</v>
      </c>
      <c r="C589">
        <f t="shared" si="519"/>
        <v>8</v>
      </c>
      <c r="D589">
        <f t="shared" si="522"/>
        <v>5</v>
      </c>
      <c r="E589" t="str">
        <f>VLOOKUP(D589,name!A:B,2,1)</f>
        <v>Minako</v>
      </c>
      <c r="F589" t="s">
        <v>594</v>
      </c>
      <c r="G589" t="str">
        <f t="shared" ref="G589:G652" si="526">IF(B589&lt;&gt;B590,"e",IF(D589=0,"q","a"))</f>
        <v>a</v>
      </c>
      <c r="H589" t="str">
        <f>VLOOKUP(D589,name!A:C,3,1)</f>
        <v>assets/icons/image086.png</v>
      </c>
      <c r="I589" t="s">
        <v>463</v>
      </c>
    </row>
    <row r="590" spans="1:12" x14ac:dyDescent="0.15">
      <c r="A590" t="str">
        <f t="shared" si="517"/>
        <v>フランス語</v>
      </c>
      <c r="B590">
        <f t="shared" si="517"/>
        <v>9</v>
      </c>
      <c r="C590">
        <f t="shared" si="519"/>
        <v>9</v>
      </c>
      <c r="D590">
        <v>5</v>
      </c>
      <c r="E590" t="str">
        <f>VLOOKUP(D590,name!A:B,2,1)</f>
        <v>Minako</v>
      </c>
      <c r="F590" t="s">
        <v>581</v>
      </c>
      <c r="G590" t="str">
        <f t="shared" ref="G590" si="527">IF(B590&lt;&gt;B1755,"e",IF(D590=0,"q","a"))</f>
        <v>e</v>
      </c>
      <c r="H590" t="str">
        <f>VLOOKUP(D590,name!A:C,3,1)</f>
        <v>assets/icons/image086.png</v>
      </c>
      <c r="I590" t="str">
        <f>IF(A590="","",VLOOKUP(A590,lng!A:B,2,0))</f>
        <v>fr-FR</v>
      </c>
    </row>
    <row r="591" spans="1:12" x14ac:dyDescent="0.15">
      <c r="A591" t="str">
        <f t="shared" si="517"/>
        <v>フランス語</v>
      </c>
      <c r="B591">
        <f t="shared" si="517"/>
        <v>9</v>
      </c>
      <c r="C591">
        <f t="shared" si="519"/>
        <v>10</v>
      </c>
      <c r="D591">
        <f t="shared" si="522"/>
        <v>20</v>
      </c>
      <c r="E591" t="str">
        <f>VLOOKUP(D591,name!A:B,2,1)</f>
        <v>Vendeur</v>
      </c>
      <c r="F591" t="s">
        <v>595</v>
      </c>
      <c r="G591" t="str">
        <f t="shared" ref="G591:G654" si="528">IF(B591&lt;&gt;B592,"e",IF(D591=0,"q","a"))</f>
        <v>a</v>
      </c>
      <c r="H591" t="str">
        <f>VLOOKUP(D591,name!A:C,3,1)</f>
        <v>assets/icons/image025.png</v>
      </c>
      <c r="I591" t="s">
        <v>463</v>
      </c>
    </row>
    <row r="592" spans="1:12" x14ac:dyDescent="0.15">
      <c r="A592" t="str">
        <f t="shared" si="517"/>
        <v>フランス語</v>
      </c>
      <c r="B592">
        <f t="shared" si="517"/>
        <v>9</v>
      </c>
      <c r="C592">
        <f t="shared" si="519"/>
        <v>11</v>
      </c>
      <c r="D592">
        <v>20</v>
      </c>
      <c r="E592" t="str">
        <f>VLOOKUP(D592,name!A:B,2,1)</f>
        <v>Vendeur</v>
      </c>
      <c r="F592" t="s">
        <v>584</v>
      </c>
      <c r="G592" t="str">
        <f t="shared" ref="G592" si="529">IF(B592&lt;&gt;B1757,"e",IF(D592=0,"q","a"))</f>
        <v>e</v>
      </c>
      <c r="H592" t="str">
        <f>VLOOKUP(D592,name!A:C,3,1)</f>
        <v>assets/icons/image025.png</v>
      </c>
      <c r="I592" t="str">
        <f>IF(A592="","",VLOOKUP(A592,lng!A:B,2,0))</f>
        <v>fr-FR</v>
      </c>
    </row>
    <row r="593" spans="1:9" x14ac:dyDescent="0.15">
      <c r="A593" t="str">
        <f t="shared" si="517"/>
        <v>フランス語</v>
      </c>
      <c r="B593">
        <f t="shared" si="517"/>
        <v>9</v>
      </c>
      <c r="C593">
        <f t="shared" si="519"/>
        <v>12</v>
      </c>
      <c r="D593">
        <f t="shared" si="522"/>
        <v>5</v>
      </c>
      <c r="E593" t="str">
        <f>VLOOKUP(D593,name!A:B,2,1)</f>
        <v>Minako</v>
      </c>
      <c r="F593" t="s">
        <v>596</v>
      </c>
      <c r="G593" t="str">
        <f t="shared" ref="G593:G656" si="530">IF(B593&lt;&gt;B594,"e",IF(D593=0,"q","a"))</f>
        <v>a</v>
      </c>
      <c r="H593" t="str">
        <f>VLOOKUP(D593,name!A:C,3,1)</f>
        <v>assets/icons/image086.png</v>
      </c>
      <c r="I593" t="s">
        <v>463</v>
      </c>
    </row>
    <row r="594" spans="1:9" x14ac:dyDescent="0.15">
      <c r="A594" t="str">
        <f t="shared" si="517"/>
        <v>フランス語</v>
      </c>
      <c r="B594">
        <f t="shared" si="517"/>
        <v>9</v>
      </c>
      <c r="C594">
        <f t="shared" si="519"/>
        <v>13</v>
      </c>
      <c r="D594">
        <v>5</v>
      </c>
      <c r="E594" t="str">
        <f>VLOOKUP(D594,name!A:B,2,1)</f>
        <v>Minako</v>
      </c>
      <c r="F594" t="s">
        <v>588</v>
      </c>
      <c r="G594" t="str">
        <f t="shared" ref="G594" si="531">IF(B594&lt;&gt;B1759,"e",IF(D594=0,"q","a"))</f>
        <v>e</v>
      </c>
      <c r="H594" t="str">
        <f>VLOOKUP(D594,name!A:C,3,1)</f>
        <v>assets/icons/image086.png</v>
      </c>
      <c r="I594" t="str">
        <f>IF(A594="","",VLOOKUP(A594,lng!A:B,2,0))</f>
        <v>fr-FR</v>
      </c>
    </row>
    <row r="595" spans="1:9" x14ac:dyDescent="0.15">
      <c r="A595" t="str">
        <f t="shared" si="517"/>
        <v>フランス語</v>
      </c>
      <c r="B595">
        <f t="shared" si="517"/>
        <v>9</v>
      </c>
      <c r="C595">
        <f t="shared" si="519"/>
        <v>14</v>
      </c>
      <c r="D595">
        <f t="shared" si="522"/>
        <v>20</v>
      </c>
      <c r="E595" t="str">
        <f>VLOOKUP(D595,name!A:B,2,1)</f>
        <v>Vendeur</v>
      </c>
      <c r="F595" t="s">
        <v>597</v>
      </c>
      <c r="G595" t="str">
        <f t="shared" ref="G595:G658" si="532">IF(B595&lt;&gt;B596,"e",IF(D595=0,"q","a"))</f>
        <v>a</v>
      </c>
      <c r="H595" t="str">
        <f>VLOOKUP(D595,name!A:C,3,1)</f>
        <v>assets/icons/image025.png</v>
      </c>
      <c r="I595" t="s">
        <v>463</v>
      </c>
    </row>
    <row r="596" spans="1:9" x14ac:dyDescent="0.15">
      <c r="A596" t="str">
        <f t="shared" si="517"/>
        <v>フランス語</v>
      </c>
      <c r="B596">
        <f t="shared" si="517"/>
        <v>9</v>
      </c>
      <c r="C596">
        <f t="shared" si="519"/>
        <v>15</v>
      </c>
      <c r="D596">
        <f t="shared" si="522"/>
        <v>20</v>
      </c>
      <c r="E596" t="str">
        <f>VLOOKUP(D596,name!A:B,2,1)</f>
        <v>Vendeur</v>
      </c>
      <c r="F596" t="s">
        <v>585</v>
      </c>
      <c r="G596" t="str">
        <f t="shared" ref="G596" si="533">IF(B596&lt;&gt;B1761,"e",IF(D596=0,"q","a"))</f>
        <v>e</v>
      </c>
      <c r="H596" t="str">
        <f>VLOOKUP(D596,name!A:C,3,1)</f>
        <v>assets/icons/image025.png</v>
      </c>
      <c r="I596" t="str">
        <f>IF(A596="","",VLOOKUP(A596,lng!A:B,2,0))</f>
        <v>fr-FR</v>
      </c>
    </row>
    <row r="597" spans="1:9" x14ac:dyDescent="0.15">
      <c r="A597" t="str">
        <f t="shared" si="517"/>
        <v>フランス語</v>
      </c>
      <c r="B597">
        <f t="shared" si="517"/>
        <v>9</v>
      </c>
      <c r="C597">
        <f t="shared" si="519"/>
        <v>16</v>
      </c>
      <c r="D597">
        <f t="shared" si="522"/>
        <v>20</v>
      </c>
      <c r="E597" t="str">
        <f>VLOOKUP(D597,name!A:B,2,1)</f>
        <v>Vendeur</v>
      </c>
      <c r="F597" t="s">
        <v>598</v>
      </c>
      <c r="G597" t="str">
        <f t="shared" ref="G597:G660" si="534">IF(B597&lt;&gt;B598,"e",IF(D597=0,"q","a"))</f>
        <v>a</v>
      </c>
      <c r="H597" t="str">
        <f>VLOOKUP(D597,name!A:C,3,1)</f>
        <v>assets/icons/image025.png</v>
      </c>
      <c r="I597" t="s">
        <v>463</v>
      </c>
    </row>
    <row r="598" spans="1:9" x14ac:dyDescent="0.15">
      <c r="A598" t="str">
        <f t="shared" si="517"/>
        <v>フランス語</v>
      </c>
      <c r="B598">
        <f t="shared" si="517"/>
        <v>9</v>
      </c>
      <c r="C598">
        <f t="shared" si="519"/>
        <v>17</v>
      </c>
      <c r="D598">
        <v>20</v>
      </c>
      <c r="E598" t="str">
        <f>VLOOKUP(D598,name!A:B,2,1)</f>
        <v>Vendeur</v>
      </c>
      <c r="F598" t="s">
        <v>586</v>
      </c>
      <c r="G598" t="str">
        <f t="shared" ref="G598" si="535">IF(B598&lt;&gt;B1763,"e",IF(D598=0,"q","a"))</f>
        <v>e</v>
      </c>
      <c r="H598" t="str">
        <f>VLOOKUP(D598,name!A:C,3,1)</f>
        <v>assets/icons/image025.png</v>
      </c>
      <c r="I598" t="str">
        <f>IF(A598="","",VLOOKUP(A598,lng!A:B,2,0))</f>
        <v>fr-FR</v>
      </c>
    </row>
    <row r="599" spans="1:9" x14ac:dyDescent="0.15">
      <c r="A599" t="str">
        <f t="shared" ref="A599:B603" si="536">A598</f>
        <v>フランス語</v>
      </c>
      <c r="B599">
        <f t="shared" si="536"/>
        <v>9</v>
      </c>
      <c r="C599">
        <f t="shared" si="519"/>
        <v>18</v>
      </c>
      <c r="D599">
        <f t="shared" si="522"/>
        <v>5</v>
      </c>
      <c r="E599" t="str">
        <f>VLOOKUP(D599,name!A:B,2,1)</f>
        <v>Minako</v>
      </c>
      <c r="F599" t="s">
        <v>599</v>
      </c>
      <c r="G599" t="str">
        <f t="shared" ref="G599:G662" si="537">IF(B599&lt;&gt;B600,"e",IF(D599=0,"q","a"))</f>
        <v>a</v>
      </c>
      <c r="H599" t="str">
        <f>VLOOKUP(D599,name!A:C,3,1)</f>
        <v>assets/icons/image086.png</v>
      </c>
      <c r="I599" t="s">
        <v>463</v>
      </c>
    </row>
    <row r="600" spans="1:9" x14ac:dyDescent="0.15">
      <c r="A600" t="str">
        <f t="shared" si="536"/>
        <v>フランス語</v>
      </c>
      <c r="B600">
        <f t="shared" si="536"/>
        <v>9</v>
      </c>
      <c r="C600">
        <f t="shared" si="519"/>
        <v>19</v>
      </c>
      <c r="D600">
        <f t="shared" si="522"/>
        <v>5</v>
      </c>
      <c r="E600" t="str">
        <f>VLOOKUP(D600,name!A:B,2,1)</f>
        <v>Minako</v>
      </c>
      <c r="F600" t="s">
        <v>587</v>
      </c>
      <c r="G600" t="str">
        <f t="shared" ref="G600" si="538">IF(B600&lt;&gt;B1765,"e",IF(D600=0,"q","a"))</f>
        <v>e</v>
      </c>
      <c r="H600" t="str">
        <f>VLOOKUP(D600,name!A:C,3,1)</f>
        <v>assets/icons/image086.png</v>
      </c>
      <c r="I600" t="str">
        <f>IF(A600="","",VLOOKUP(A600,lng!A:B,2,0))</f>
        <v>fr-FR</v>
      </c>
    </row>
    <row r="601" spans="1:9" x14ac:dyDescent="0.15">
      <c r="A601" t="str">
        <f t="shared" si="536"/>
        <v>フランス語</v>
      </c>
      <c r="B601">
        <f t="shared" si="536"/>
        <v>9</v>
      </c>
      <c r="C601">
        <f t="shared" si="519"/>
        <v>20</v>
      </c>
      <c r="D601">
        <f t="shared" si="522"/>
        <v>5</v>
      </c>
      <c r="E601" t="str">
        <f>VLOOKUP(D601,name!A:B,2,1)</f>
        <v>Minako</v>
      </c>
      <c r="F601" t="s">
        <v>601</v>
      </c>
      <c r="G601" t="str">
        <f t="shared" ref="G601:G664" si="539">IF(B601&lt;&gt;B602,"e",IF(D601=0,"q","a"))</f>
        <v>a</v>
      </c>
      <c r="H601" t="str">
        <f>VLOOKUP(D601,name!A:C,3,1)</f>
        <v>assets/icons/image086.png</v>
      </c>
      <c r="I601" t="s">
        <v>463</v>
      </c>
    </row>
    <row r="602" spans="1:9" x14ac:dyDescent="0.15">
      <c r="A602" t="str">
        <f t="shared" si="536"/>
        <v>フランス語</v>
      </c>
      <c r="B602">
        <f t="shared" si="536"/>
        <v>9</v>
      </c>
      <c r="C602">
        <f t="shared" si="519"/>
        <v>21</v>
      </c>
      <c r="D602">
        <v>5</v>
      </c>
      <c r="E602" t="str">
        <f>VLOOKUP(D602,name!A:B,2,1)</f>
        <v>Minako</v>
      </c>
      <c r="F602" t="s">
        <v>600</v>
      </c>
      <c r="G602" t="str">
        <f t="shared" ref="G602" si="540">IF(B602&lt;&gt;B1767,"e",IF(D602=0,"q","a"))</f>
        <v>e</v>
      </c>
      <c r="H602" t="str">
        <f>VLOOKUP(D602,name!A:C,3,1)</f>
        <v>assets/icons/image086.png</v>
      </c>
      <c r="I602" t="str">
        <f>IF(A602="","",VLOOKUP(A602,lng!A:B,2,0))</f>
        <v>fr-FR</v>
      </c>
    </row>
    <row r="603" spans="1:9" x14ac:dyDescent="0.15">
      <c r="A603" t="str">
        <f t="shared" si="536"/>
        <v>フランス語</v>
      </c>
      <c r="B603">
        <f t="shared" si="536"/>
        <v>9</v>
      </c>
      <c r="C603">
        <f t="shared" si="519"/>
        <v>22</v>
      </c>
      <c r="D603">
        <f t="shared" si="522"/>
        <v>20</v>
      </c>
      <c r="E603" t="str">
        <f>VLOOKUP(D603,name!A:B,2,1)</f>
        <v>Vendeur</v>
      </c>
      <c r="F603" t="s">
        <v>602</v>
      </c>
      <c r="G603" t="str">
        <f t="shared" ref="G603:G666" si="541">IF(B603&lt;&gt;B604,"e",IF(D603=0,"q","a"))</f>
        <v>a</v>
      </c>
      <c r="H603" t="str">
        <f>VLOOKUP(D603,name!A:C,3,1)</f>
        <v>assets/icons/image025.png</v>
      </c>
      <c r="I603" t="s">
        <v>463</v>
      </c>
    </row>
    <row r="604" spans="1:9" x14ac:dyDescent="0.15">
      <c r="A604" t="str">
        <f t="shared" ref="A604:B604" si="542">A603</f>
        <v>フランス語</v>
      </c>
      <c r="B604">
        <f t="shared" si="542"/>
        <v>9</v>
      </c>
      <c r="C604">
        <f t="shared" si="519"/>
        <v>23</v>
      </c>
      <c r="D604">
        <v>20</v>
      </c>
      <c r="E604" t="str">
        <f>VLOOKUP(D604,name!A:B,2,1)</f>
        <v>Vendeur</v>
      </c>
      <c r="F604" t="s">
        <v>589</v>
      </c>
      <c r="G604" t="str">
        <f t="shared" ref="G604" si="543">IF(B604&lt;&gt;B1769,"e",IF(D604=0,"q","a"))</f>
        <v>e</v>
      </c>
      <c r="H604" t="str">
        <f>VLOOKUP(D604,name!A:C,3,1)</f>
        <v>assets/icons/image025.png</v>
      </c>
      <c r="I604" t="str">
        <f>IF(A604="","",VLOOKUP(A604,lng!A:B,2,0))</f>
        <v>fr-FR</v>
      </c>
    </row>
    <row r="605" spans="1:9" x14ac:dyDescent="0.15">
      <c r="A605" t="str">
        <f t="shared" ref="A605:B605" si="544">A604</f>
        <v>フランス語</v>
      </c>
      <c r="B605">
        <f t="shared" si="544"/>
        <v>9</v>
      </c>
      <c r="C605">
        <f t="shared" si="519"/>
        <v>24</v>
      </c>
      <c r="D605">
        <f t="shared" si="522"/>
        <v>5</v>
      </c>
      <c r="E605" t="str">
        <f>VLOOKUP(D605,name!A:B,2,1)</f>
        <v>Minako</v>
      </c>
      <c r="F605" t="s">
        <v>603</v>
      </c>
      <c r="G605" t="str">
        <f t="shared" ref="G605:G668" si="545">IF(B605&lt;&gt;B606,"e",IF(D605=0,"q","a"))</f>
        <v>a</v>
      </c>
      <c r="H605" t="str">
        <f>VLOOKUP(D605,name!A:C,3,1)</f>
        <v>assets/icons/image086.png</v>
      </c>
      <c r="I605" t="s">
        <v>463</v>
      </c>
    </row>
    <row r="606" spans="1:9" x14ac:dyDescent="0.15">
      <c r="A606" t="str">
        <f t="shared" ref="A606:B606" si="546">A605</f>
        <v>フランス語</v>
      </c>
      <c r="B606">
        <f t="shared" si="546"/>
        <v>9</v>
      </c>
      <c r="C606">
        <f t="shared" si="519"/>
        <v>25</v>
      </c>
      <c r="D606">
        <v>5</v>
      </c>
      <c r="E606" t="str">
        <f>VLOOKUP(D606,name!A:B,2,1)</f>
        <v>Minako</v>
      </c>
      <c r="F606" t="s">
        <v>590</v>
      </c>
      <c r="G606" t="str">
        <f t="shared" ref="G606" si="547">IF(B606&lt;&gt;B1771,"e",IF(D606=0,"q","a"))</f>
        <v>e</v>
      </c>
      <c r="H606" t="str">
        <f>VLOOKUP(D606,name!A:C,3,1)</f>
        <v>assets/icons/image086.png</v>
      </c>
      <c r="I606" t="str">
        <f>IF(A606="","",VLOOKUP(A606,lng!A:B,2,0))</f>
        <v>fr-FR</v>
      </c>
    </row>
    <row r="607" spans="1:9" x14ac:dyDescent="0.15">
      <c r="A607" t="str">
        <f t="shared" ref="A607:B607" si="548">A606</f>
        <v>フランス語</v>
      </c>
      <c r="B607">
        <f t="shared" si="548"/>
        <v>9</v>
      </c>
      <c r="C607">
        <f t="shared" si="519"/>
        <v>26</v>
      </c>
      <c r="D607">
        <f t="shared" si="522"/>
        <v>20</v>
      </c>
      <c r="E607" t="str">
        <f>VLOOKUP(D607,name!A:B,2,1)</f>
        <v>Vendeur</v>
      </c>
      <c r="F607" t="s">
        <v>604</v>
      </c>
      <c r="G607" t="str">
        <f t="shared" ref="G607:G670" si="549">IF(B607&lt;&gt;B608,"e",IF(D607=0,"q","a"))</f>
        <v>a</v>
      </c>
      <c r="H607" t="str">
        <f>VLOOKUP(D607,name!A:C,3,1)</f>
        <v>assets/icons/image025.png</v>
      </c>
      <c r="I607" t="s">
        <v>463</v>
      </c>
    </row>
    <row r="608" spans="1:9" x14ac:dyDescent="0.15">
      <c r="A608" t="str">
        <f t="shared" ref="A608:B608" si="550">A607</f>
        <v>フランス語</v>
      </c>
      <c r="B608">
        <f t="shared" si="550"/>
        <v>9</v>
      </c>
      <c r="C608">
        <f t="shared" si="519"/>
        <v>27</v>
      </c>
      <c r="D608">
        <v>20</v>
      </c>
      <c r="E608" t="str">
        <f>VLOOKUP(D608,name!A:B,2,1)</f>
        <v>Vendeur</v>
      </c>
      <c r="F608" t="s">
        <v>591</v>
      </c>
      <c r="G608" t="str">
        <f t="shared" ref="G608" si="551">IF(B608&lt;&gt;B1773,"e",IF(D608=0,"q","a"))</f>
        <v>e</v>
      </c>
      <c r="H608" t="str">
        <f>VLOOKUP(D608,name!A:C,3,1)</f>
        <v>assets/icons/image025.png</v>
      </c>
      <c r="I608" t="str">
        <f>IF(A608="","",VLOOKUP(A608,lng!A:B,2,0))</f>
        <v>fr-FR</v>
      </c>
    </row>
    <row r="609" spans="1:9" x14ac:dyDescent="0.15">
      <c r="A609" t="str">
        <f t="shared" ref="A609:B609" si="552">A608</f>
        <v>フランス語</v>
      </c>
      <c r="B609">
        <f t="shared" si="552"/>
        <v>9</v>
      </c>
      <c r="C609">
        <f t="shared" si="519"/>
        <v>28</v>
      </c>
      <c r="D609">
        <f t="shared" si="522"/>
        <v>5</v>
      </c>
      <c r="E609" t="str">
        <f>VLOOKUP(D609,name!A:B,2,1)</f>
        <v>Minako</v>
      </c>
      <c r="F609" t="s">
        <v>605</v>
      </c>
      <c r="G609" t="str">
        <f t="shared" ref="G609:G672" si="553">IF(B609&lt;&gt;B610,"e",IF(D609=0,"q","a"))</f>
        <v>a</v>
      </c>
      <c r="H609" t="str">
        <f>VLOOKUP(D609,name!A:C,3,1)</f>
        <v>assets/icons/image086.png</v>
      </c>
      <c r="I609" t="s">
        <v>463</v>
      </c>
    </row>
    <row r="610" spans="1:9" x14ac:dyDescent="0.15">
      <c r="A610" t="str">
        <f t="shared" ref="A610:B610" si="554">A609</f>
        <v>フランス語</v>
      </c>
      <c r="B610">
        <f t="shared" si="554"/>
        <v>9</v>
      </c>
      <c r="C610">
        <f t="shared" si="519"/>
        <v>29</v>
      </c>
      <c r="D610">
        <v>5</v>
      </c>
      <c r="E610" t="str">
        <f>VLOOKUP(D610,name!A:B,2,1)</f>
        <v>Minako</v>
      </c>
      <c r="F610" t="s">
        <v>592</v>
      </c>
      <c r="G610" t="str">
        <f t="shared" ref="G610" si="555">IF(B610&lt;&gt;B1775,"e",IF(D610=0,"q","a"))</f>
        <v>e</v>
      </c>
      <c r="H610" t="str">
        <f>VLOOKUP(D610,name!A:C,3,1)</f>
        <v>assets/icons/image086.png</v>
      </c>
      <c r="I610" t="str">
        <f>IF(A610="","",VLOOKUP(A610,lng!A:B,2,0))</f>
        <v>fr-FR</v>
      </c>
    </row>
    <row r="611" spans="1:9" x14ac:dyDescent="0.15">
      <c r="A611" t="str">
        <f t="shared" ref="A611:B611" si="556">A610</f>
        <v>フランス語</v>
      </c>
      <c r="B611">
        <f t="shared" si="556"/>
        <v>9</v>
      </c>
      <c r="C611">
        <f t="shared" si="519"/>
        <v>30</v>
      </c>
      <c r="D611">
        <v>1</v>
      </c>
      <c r="E611" t="str">
        <f>VLOOKUP(D611,name!A:B,2,1)</f>
        <v>Navigator</v>
      </c>
      <c r="F611" t="str">
        <f>"次の"&amp;A611&amp;"を真似してね！"</f>
        <v>次のフランス語を真似してね！</v>
      </c>
      <c r="G611" t="str">
        <f t="shared" ref="G611:G674" si="557">IF(B611&lt;&gt;B612,"e",IF(D611=0,"q","a"))</f>
        <v>a</v>
      </c>
      <c r="H611" t="str">
        <f>VLOOKUP(D611,name!A:C,3,1)</f>
        <v>assets/icons/image014.png</v>
      </c>
      <c r="I611" t="s">
        <v>463</v>
      </c>
    </row>
    <row r="612" spans="1:9" x14ac:dyDescent="0.15">
      <c r="A612" t="str">
        <f t="shared" ref="A612:B612" si="558">A611</f>
        <v>フランス語</v>
      </c>
      <c r="B612">
        <f t="shared" si="558"/>
        <v>9</v>
      </c>
      <c r="C612">
        <f t="shared" si="519"/>
        <v>31</v>
      </c>
      <c r="D612">
        <f>D585</f>
        <v>20</v>
      </c>
      <c r="E612" t="str">
        <f>VLOOKUP(D612,name!A:B,2,1)</f>
        <v>Vendeur</v>
      </c>
      <c r="F612" t="str">
        <f>F585</f>
        <v>こんにちは。</v>
      </c>
      <c r="G612" t="str">
        <f t="shared" ref="G612" si="559">IF(B612&lt;&gt;B1777,"e",IF(D612=0,"q","a"))</f>
        <v>e</v>
      </c>
      <c r="H612" t="str">
        <f>VLOOKUP(D612,name!A:C,3,1)</f>
        <v>assets/icons/image025.png</v>
      </c>
      <c r="I612" t="s">
        <v>463</v>
      </c>
    </row>
    <row r="613" spans="1:9" x14ac:dyDescent="0.15">
      <c r="A613" t="str">
        <f t="shared" ref="A613:B613" si="560">A612</f>
        <v>フランス語</v>
      </c>
      <c r="B613">
        <f t="shared" si="560"/>
        <v>9</v>
      </c>
      <c r="C613">
        <f t="shared" si="519"/>
        <v>32</v>
      </c>
      <c r="D613">
        <f>D586</f>
        <v>20</v>
      </c>
      <c r="E613" t="str">
        <f>VLOOKUP(D613,name!A:B,2,1)</f>
        <v>Vendeur</v>
      </c>
      <c r="F613" t="str">
        <f>F586</f>
        <v>Bonjour.</v>
      </c>
      <c r="G613" t="str">
        <f t="shared" ref="G613:G676" si="561">IF(B613&lt;&gt;B614,"e",IF(D613=0,"q","a"))</f>
        <v>a</v>
      </c>
      <c r="H613" t="str">
        <f>VLOOKUP(D613,name!A:C,3,1)</f>
        <v>assets/icons/image025.png</v>
      </c>
      <c r="I613" t="str">
        <f>IF(A613="","",VLOOKUP(A613,lng!A:B,2,0))</f>
        <v>fr-FR</v>
      </c>
    </row>
    <row r="614" spans="1:9" x14ac:dyDescent="0.15">
      <c r="A614" t="str">
        <f t="shared" ref="A614:B614" si="562">A613</f>
        <v>フランス語</v>
      </c>
      <c r="B614">
        <f t="shared" si="562"/>
        <v>9</v>
      </c>
      <c r="C614">
        <f t="shared" si="519"/>
        <v>33</v>
      </c>
      <c r="D614">
        <v>0</v>
      </c>
      <c r="E614" t="str">
        <f>VLOOKUP(D614,name!A:B,2,1)</f>
        <v>Player</v>
      </c>
      <c r="F614" t="str">
        <f>F586</f>
        <v>Bonjour.</v>
      </c>
      <c r="G614" t="str">
        <f t="shared" ref="G614" si="563">IF(B614&lt;&gt;B1779,"e",IF(D614=0,"q","a"))</f>
        <v>e</v>
      </c>
      <c r="H614" t="str">
        <f>VLOOKUP(D614,name!A:C,3,1)</f>
        <v>assets/icons/image326.png</v>
      </c>
      <c r="I614" t="str">
        <f>IF(A614="","",VLOOKUP(A614,lng!A:B,2,0))</f>
        <v>fr-FR</v>
      </c>
    </row>
    <row r="615" spans="1:9" x14ac:dyDescent="0.15">
      <c r="A615" t="str">
        <f t="shared" ref="A615:B615" si="564">A614</f>
        <v>フランス語</v>
      </c>
      <c r="B615">
        <f t="shared" si="564"/>
        <v>9</v>
      </c>
      <c r="C615">
        <f t="shared" si="519"/>
        <v>34</v>
      </c>
      <c r="D615">
        <f>D587</f>
        <v>20</v>
      </c>
      <c r="E615" t="str">
        <f>VLOOKUP(D615,name!A:B,2,1)</f>
        <v>Vendeur</v>
      </c>
      <c r="F615" t="str">
        <f>F587</f>
        <v>お手伝いしましょうか?</v>
      </c>
      <c r="G615" t="str">
        <f t="shared" ref="G615:G678" si="565">IF(B615&lt;&gt;B616,"e",IF(D615=0,"q","a"))</f>
        <v>a</v>
      </c>
      <c r="H615" t="str">
        <f>VLOOKUP(D615,name!A:C,3,1)</f>
        <v>assets/icons/image025.png</v>
      </c>
      <c r="I615" t="s">
        <v>463</v>
      </c>
    </row>
    <row r="616" spans="1:9" x14ac:dyDescent="0.15">
      <c r="A616" t="str">
        <f t="shared" ref="A616:B616" si="566">A615</f>
        <v>フランス語</v>
      </c>
      <c r="B616">
        <f t="shared" si="566"/>
        <v>9</v>
      </c>
      <c r="C616">
        <f t="shared" si="519"/>
        <v>35</v>
      </c>
      <c r="D616">
        <f>D588</f>
        <v>20</v>
      </c>
      <c r="E616" t="str">
        <f>VLOOKUP(D616,name!A:B,2,1)</f>
        <v>Vendeur</v>
      </c>
      <c r="F616" t="str">
        <f>F588</f>
        <v>Je peux vous aider ?</v>
      </c>
      <c r="G616" t="str">
        <f t="shared" ref="G616" si="567">IF(B616&lt;&gt;B1781,"e",IF(D616=0,"q","a"))</f>
        <v>e</v>
      </c>
      <c r="H616" t="str">
        <f>VLOOKUP(D616,name!A:C,3,1)</f>
        <v>assets/icons/image025.png</v>
      </c>
      <c r="I616" t="str">
        <f>IF(A616="","",VLOOKUP(A616,lng!A:B,2,0))</f>
        <v>fr-FR</v>
      </c>
    </row>
    <row r="617" spans="1:9" x14ac:dyDescent="0.15">
      <c r="A617" t="str">
        <f t="shared" ref="A617:B617" si="568">A616</f>
        <v>フランス語</v>
      </c>
      <c r="B617">
        <f t="shared" si="568"/>
        <v>9</v>
      </c>
      <c r="C617">
        <f t="shared" si="519"/>
        <v>36</v>
      </c>
      <c r="D617">
        <v>0</v>
      </c>
      <c r="E617" t="str">
        <f>VLOOKUP(D617,name!A:B,2,1)</f>
        <v>Player</v>
      </c>
      <c r="F617" t="str">
        <f>F588</f>
        <v>Je peux vous aider ?</v>
      </c>
      <c r="G617" t="str">
        <f t="shared" ref="G617:G680" si="569">IF(B617&lt;&gt;B618,"e",IF(D617=0,"q","a"))</f>
        <v>q</v>
      </c>
      <c r="H617" t="str">
        <f>VLOOKUP(D617,name!A:C,3,1)</f>
        <v>assets/icons/image326.png</v>
      </c>
      <c r="I617" t="str">
        <f>IF(A617="","",VLOOKUP(A617,lng!A:B,2,0))</f>
        <v>fr-FR</v>
      </c>
    </row>
    <row r="618" spans="1:9" x14ac:dyDescent="0.15">
      <c r="A618" t="str">
        <f t="shared" ref="A618:B618" si="570">A617</f>
        <v>フランス語</v>
      </c>
      <c r="B618">
        <f t="shared" si="570"/>
        <v>9</v>
      </c>
      <c r="C618">
        <f t="shared" si="519"/>
        <v>37</v>
      </c>
      <c r="D618">
        <f>D589</f>
        <v>5</v>
      </c>
      <c r="E618" t="str">
        <f>VLOOKUP(D618,name!A:B,2,1)</f>
        <v>Minako</v>
      </c>
      <c r="F618" t="str">
        <f>F589</f>
        <v>ジャケットをお願いします。</v>
      </c>
      <c r="G618" t="str">
        <f t="shared" ref="G618" si="571">IF(B618&lt;&gt;B1783,"e",IF(D618=0,"q","a"))</f>
        <v>e</v>
      </c>
      <c r="H618" t="str">
        <f>VLOOKUP(D618,name!A:C,3,1)</f>
        <v>assets/icons/image086.png</v>
      </c>
      <c r="I618" t="s">
        <v>463</v>
      </c>
    </row>
    <row r="619" spans="1:9" x14ac:dyDescent="0.15">
      <c r="A619" t="str">
        <f t="shared" ref="A619:B619" si="572">A618</f>
        <v>フランス語</v>
      </c>
      <c r="B619">
        <f t="shared" si="572"/>
        <v>9</v>
      </c>
      <c r="C619">
        <f t="shared" si="519"/>
        <v>38</v>
      </c>
      <c r="D619">
        <f>D590</f>
        <v>5</v>
      </c>
      <c r="E619" t="str">
        <f>VLOOKUP(D619,name!A:B,2,1)</f>
        <v>Minako</v>
      </c>
      <c r="F619" t="str">
        <f>F590</f>
        <v>Je voudrais une veste.</v>
      </c>
      <c r="G619" t="str">
        <f t="shared" ref="G619:G682" si="573">IF(B619&lt;&gt;B620,"e",IF(D619=0,"q","a"))</f>
        <v>a</v>
      </c>
      <c r="H619" t="str">
        <f>VLOOKUP(D619,name!A:C,3,1)</f>
        <v>assets/icons/image086.png</v>
      </c>
      <c r="I619" t="str">
        <f>IF(A619="","",VLOOKUP(A619,lng!A:B,2,0))</f>
        <v>fr-FR</v>
      </c>
    </row>
    <row r="620" spans="1:9" x14ac:dyDescent="0.15">
      <c r="A620" t="str">
        <f t="shared" ref="A620:B620" si="574">A619</f>
        <v>フランス語</v>
      </c>
      <c r="B620">
        <f t="shared" si="574"/>
        <v>9</v>
      </c>
      <c r="C620">
        <f t="shared" si="519"/>
        <v>39</v>
      </c>
      <c r="D620">
        <v>0</v>
      </c>
      <c r="E620" t="str">
        <f>VLOOKUP(D620,name!A:B,2,1)</f>
        <v>Player</v>
      </c>
      <c r="F620" t="str">
        <f>F590</f>
        <v>Je voudrais une veste.</v>
      </c>
      <c r="G620" t="str">
        <f t="shared" ref="G620" si="575">IF(B620&lt;&gt;B1785,"e",IF(D620=0,"q","a"))</f>
        <v>e</v>
      </c>
      <c r="H620" t="str">
        <f>VLOOKUP(D620,name!A:C,3,1)</f>
        <v>assets/icons/image326.png</v>
      </c>
      <c r="I620" t="str">
        <f>IF(A620="","",VLOOKUP(A620,lng!A:B,2,0))</f>
        <v>fr-FR</v>
      </c>
    </row>
    <row r="621" spans="1:9" x14ac:dyDescent="0.15">
      <c r="A621" t="str">
        <f t="shared" ref="A621:B621" si="576">A620</f>
        <v>フランス語</v>
      </c>
      <c r="B621">
        <f t="shared" si="576"/>
        <v>9</v>
      </c>
      <c r="C621">
        <f t="shared" si="519"/>
        <v>40</v>
      </c>
      <c r="D621">
        <f>D591</f>
        <v>20</v>
      </c>
      <c r="E621" t="str">
        <f>VLOOKUP(D621,name!A:B,2,1)</f>
        <v>Vendeur</v>
      </c>
      <c r="F621" t="str">
        <f>F591</f>
        <v>あなたの身長は?</v>
      </c>
      <c r="G621" t="str">
        <f t="shared" ref="G621:G684" si="577">IF(B621&lt;&gt;B622,"e",IF(D621=0,"q","a"))</f>
        <v>a</v>
      </c>
      <c r="H621" t="str">
        <f>VLOOKUP(D621,name!A:C,3,1)</f>
        <v>assets/icons/image025.png</v>
      </c>
      <c r="I621" t="s">
        <v>463</v>
      </c>
    </row>
    <row r="622" spans="1:9" x14ac:dyDescent="0.15">
      <c r="A622" t="str">
        <f t="shared" ref="A622:B622" si="578">A621</f>
        <v>フランス語</v>
      </c>
      <c r="B622">
        <f t="shared" si="578"/>
        <v>9</v>
      </c>
      <c r="C622">
        <f t="shared" si="519"/>
        <v>41</v>
      </c>
      <c r="D622">
        <f>D592</f>
        <v>20</v>
      </c>
      <c r="E622" t="str">
        <f>VLOOKUP(D622,name!A:B,2,1)</f>
        <v>Vendeur</v>
      </c>
      <c r="F622" t="str">
        <f>F592</f>
        <v>Quelle est votre taille ?</v>
      </c>
      <c r="G622" t="str">
        <f t="shared" ref="G622" si="579">IF(B622&lt;&gt;B1787,"e",IF(D622=0,"q","a"))</f>
        <v>e</v>
      </c>
      <c r="H622" t="str">
        <f>VLOOKUP(D622,name!A:C,3,1)</f>
        <v>assets/icons/image025.png</v>
      </c>
      <c r="I622" t="str">
        <f>IF(A622="","",VLOOKUP(A622,lng!A:B,2,0))</f>
        <v>fr-FR</v>
      </c>
    </row>
    <row r="623" spans="1:9" x14ac:dyDescent="0.15">
      <c r="A623" t="str">
        <f t="shared" ref="A623:B623" si="580">A622</f>
        <v>フランス語</v>
      </c>
      <c r="B623">
        <f t="shared" si="580"/>
        <v>9</v>
      </c>
      <c r="C623">
        <f t="shared" si="519"/>
        <v>42</v>
      </c>
      <c r="D623">
        <v>0</v>
      </c>
      <c r="E623" t="str">
        <f>VLOOKUP(D623,name!A:B,2,1)</f>
        <v>Player</v>
      </c>
      <c r="F623" t="str">
        <f>F592</f>
        <v>Quelle est votre taille ?</v>
      </c>
      <c r="G623" t="str">
        <f t="shared" ref="G623:G686" si="581">IF(B623&lt;&gt;B624,"e",IF(D623=0,"q","a"))</f>
        <v>q</v>
      </c>
      <c r="H623" t="str">
        <f>VLOOKUP(D623,name!A:C,3,1)</f>
        <v>assets/icons/image326.png</v>
      </c>
      <c r="I623" t="str">
        <f>IF(A623="","",VLOOKUP(A623,lng!A:B,2,0))</f>
        <v>fr-FR</v>
      </c>
    </row>
    <row r="624" spans="1:9" x14ac:dyDescent="0.15">
      <c r="A624" t="str">
        <f t="shared" ref="A624:B624" si="582">A623</f>
        <v>フランス語</v>
      </c>
      <c r="B624">
        <f t="shared" si="582"/>
        <v>9</v>
      </c>
      <c r="C624">
        <f t="shared" si="519"/>
        <v>43</v>
      </c>
      <c r="D624">
        <f>D593</f>
        <v>5</v>
      </c>
      <c r="E624" t="str">
        <f>VLOOKUP(D624,name!A:B,2,1)</f>
        <v>Minako</v>
      </c>
      <c r="F624" t="str">
        <f>F593</f>
        <v>私は38です。</v>
      </c>
      <c r="G624" t="str">
        <f t="shared" ref="G624" si="583">IF(B624&lt;&gt;B1789,"e",IF(D624=0,"q","a"))</f>
        <v>e</v>
      </c>
      <c r="H624" t="str">
        <f>VLOOKUP(D624,name!A:C,3,1)</f>
        <v>assets/icons/image086.png</v>
      </c>
      <c r="I624" t="s">
        <v>463</v>
      </c>
    </row>
    <row r="625" spans="1:9" x14ac:dyDescent="0.15">
      <c r="A625" t="str">
        <f t="shared" ref="A625:B625" si="584">A624</f>
        <v>フランス語</v>
      </c>
      <c r="B625">
        <f t="shared" si="584"/>
        <v>9</v>
      </c>
      <c r="C625">
        <f t="shared" si="519"/>
        <v>44</v>
      </c>
      <c r="D625">
        <f>D594</f>
        <v>5</v>
      </c>
      <c r="E625" t="str">
        <f>VLOOKUP(D625,name!A:B,2,1)</f>
        <v>Minako</v>
      </c>
      <c r="F625" t="str">
        <f>F594</f>
        <v>Je fais du trente-huit.</v>
      </c>
      <c r="G625" t="str">
        <f t="shared" ref="G625:G688" si="585">IF(B625&lt;&gt;B626,"e",IF(D625=0,"q","a"))</f>
        <v>a</v>
      </c>
      <c r="H625" t="str">
        <f>VLOOKUP(D625,name!A:C,3,1)</f>
        <v>assets/icons/image086.png</v>
      </c>
      <c r="I625" t="str">
        <f>IF(A625="","",VLOOKUP(A625,lng!A:B,2,0))</f>
        <v>fr-FR</v>
      </c>
    </row>
    <row r="626" spans="1:9" x14ac:dyDescent="0.15">
      <c r="A626" t="str">
        <f t="shared" ref="A626:B626" si="586">A625</f>
        <v>フランス語</v>
      </c>
      <c r="B626">
        <f t="shared" si="586"/>
        <v>9</v>
      </c>
      <c r="C626">
        <f t="shared" si="519"/>
        <v>45</v>
      </c>
      <c r="D626">
        <v>0</v>
      </c>
      <c r="E626" t="str">
        <f>VLOOKUP(D626,name!A:B,2,1)</f>
        <v>Player</v>
      </c>
      <c r="F626" t="str">
        <f>F594</f>
        <v>Je fais du trente-huit.</v>
      </c>
      <c r="G626" t="str">
        <f t="shared" ref="G626" si="587">IF(B626&lt;&gt;B1791,"e",IF(D626=0,"q","a"))</f>
        <v>e</v>
      </c>
      <c r="H626" t="str">
        <f>VLOOKUP(D626,name!A:C,3,1)</f>
        <v>assets/icons/image326.png</v>
      </c>
      <c r="I626" t="str">
        <f>IF(A626="","",VLOOKUP(A626,lng!A:B,2,0))</f>
        <v>fr-FR</v>
      </c>
    </row>
    <row r="627" spans="1:9" x14ac:dyDescent="0.15">
      <c r="A627" t="str">
        <f t="shared" ref="A627:B627" si="588">A626</f>
        <v>フランス語</v>
      </c>
      <c r="B627">
        <f t="shared" si="588"/>
        <v>9</v>
      </c>
      <c r="C627">
        <f t="shared" si="519"/>
        <v>46</v>
      </c>
      <c r="D627">
        <f>D595</f>
        <v>20</v>
      </c>
      <c r="E627" t="str">
        <f>VLOOKUP(D627,name!A:B,2,1)</f>
        <v>Vendeur</v>
      </c>
      <c r="F627" t="str">
        <f>F595</f>
        <v>たとえば、こちらなどです。</v>
      </c>
      <c r="G627" t="str">
        <f t="shared" ref="G627:G690" si="589">IF(B627&lt;&gt;B628,"e",IF(D627=0,"q","a"))</f>
        <v>a</v>
      </c>
      <c r="H627" t="str">
        <f>VLOOKUP(D627,name!A:C,3,1)</f>
        <v>assets/icons/image025.png</v>
      </c>
      <c r="I627" t="s">
        <v>463</v>
      </c>
    </row>
    <row r="628" spans="1:9" x14ac:dyDescent="0.15">
      <c r="A628" t="str">
        <f t="shared" ref="A628:B628" si="590">A627</f>
        <v>フランス語</v>
      </c>
      <c r="B628">
        <f t="shared" si="590"/>
        <v>9</v>
      </c>
      <c r="C628">
        <f t="shared" si="519"/>
        <v>47</v>
      </c>
      <c r="D628">
        <f>D596</f>
        <v>20</v>
      </c>
      <c r="E628" t="str">
        <f>VLOOKUP(D628,name!A:B,2,1)</f>
        <v>Vendeur</v>
      </c>
      <c r="F628" t="str">
        <f>F596</f>
        <v>Celle-ci, par exemple.</v>
      </c>
      <c r="G628" t="str">
        <f t="shared" ref="G628" si="591">IF(B628&lt;&gt;B1793,"e",IF(D628=0,"q","a"))</f>
        <v>e</v>
      </c>
      <c r="H628" t="str">
        <f>VLOOKUP(D628,name!A:C,3,1)</f>
        <v>assets/icons/image025.png</v>
      </c>
      <c r="I628" t="str">
        <f>IF(A628="","",VLOOKUP(A628,lng!A:B,2,0))</f>
        <v>fr-FR</v>
      </c>
    </row>
    <row r="629" spans="1:9" x14ac:dyDescent="0.15">
      <c r="A629" t="str">
        <f t="shared" ref="A629:B629" si="592">A628</f>
        <v>フランス語</v>
      </c>
      <c r="B629">
        <f t="shared" si="592"/>
        <v>9</v>
      </c>
      <c r="C629">
        <f t="shared" si="519"/>
        <v>48</v>
      </c>
      <c r="D629">
        <v>0</v>
      </c>
      <c r="E629" t="str">
        <f>VLOOKUP(D629,name!A:B,2,1)</f>
        <v>Player</v>
      </c>
      <c r="F629" t="str">
        <f>F596</f>
        <v>Celle-ci, par exemple.</v>
      </c>
      <c r="G629" t="str">
        <f t="shared" ref="G629:G692" si="593">IF(B629&lt;&gt;B630,"e",IF(D629=0,"q","a"))</f>
        <v>q</v>
      </c>
      <c r="H629" t="str">
        <f>VLOOKUP(D629,name!A:C,3,1)</f>
        <v>assets/icons/image326.png</v>
      </c>
      <c r="I629" t="str">
        <f>IF(A629="","",VLOOKUP(A629,lng!A:B,2,0))</f>
        <v>fr-FR</v>
      </c>
    </row>
    <row r="630" spans="1:9" x14ac:dyDescent="0.15">
      <c r="A630" t="str">
        <f t="shared" ref="A630:B630" si="594">A629</f>
        <v>フランス語</v>
      </c>
      <c r="B630">
        <f t="shared" si="594"/>
        <v>9</v>
      </c>
      <c r="C630">
        <f t="shared" si="519"/>
        <v>49</v>
      </c>
      <c r="D630">
        <f>D597</f>
        <v>20</v>
      </c>
      <c r="E630" t="str">
        <f>VLOOKUP(D630,name!A:B,2,1)</f>
        <v>Vendeur</v>
      </c>
      <c r="F630" t="str">
        <f>F597</f>
        <v>あなたにとてもよく似合いです。</v>
      </c>
      <c r="G630" t="str">
        <f t="shared" ref="G630" si="595">IF(B630&lt;&gt;B1795,"e",IF(D630=0,"q","a"))</f>
        <v>e</v>
      </c>
      <c r="H630" t="str">
        <f>VLOOKUP(D630,name!A:C,3,1)</f>
        <v>assets/icons/image025.png</v>
      </c>
      <c r="I630" t="s">
        <v>463</v>
      </c>
    </row>
    <row r="631" spans="1:9" x14ac:dyDescent="0.15">
      <c r="A631" t="str">
        <f t="shared" ref="A631:B631" si="596">A630</f>
        <v>フランス語</v>
      </c>
      <c r="B631">
        <f t="shared" si="596"/>
        <v>9</v>
      </c>
      <c r="C631">
        <f t="shared" si="519"/>
        <v>50</v>
      </c>
      <c r="D631">
        <f>D598</f>
        <v>20</v>
      </c>
      <c r="E631" t="str">
        <f>VLOOKUP(D631,name!A:B,2,1)</f>
        <v>Vendeur</v>
      </c>
      <c r="F631" t="str">
        <f>F598</f>
        <v>Elle vous va très bien.</v>
      </c>
      <c r="G631" t="str">
        <f t="shared" ref="G631:G694" si="597">IF(B631&lt;&gt;B632,"e",IF(D631=0,"q","a"))</f>
        <v>a</v>
      </c>
      <c r="H631" t="str">
        <f>VLOOKUP(D631,name!A:C,3,1)</f>
        <v>assets/icons/image025.png</v>
      </c>
      <c r="I631" t="str">
        <f>IF(A631="","",VLOOKUP(A631,lng!A:B,2,0))</f>
        <v>fr-FR</v>
      </c>
    </row>
    <row r="632" spans="1:9" x14ac:dyDescent="0.15">
      <c r="A632" t="str">
        <f t="shared" ref="A632:B632" si="598">A631</f>
        <v>フランス語</v>
      </c>
      <c r="B632">
        <f t="shared" si="598"/>
        <v>9</v>
      </c>
      <c r="C632">
        <f t="shared" si="519"/>
        <v>51</v>
      </c>
      <c r="D632">
        <v>0</v>
      </c>
      <c r="E632" t="str">
        <f>VLOOKUP(D632,name!A:B,2,1)</f>
        <v>Player</v>
      </c>
      <c r="F632" t="str">
        <f>F598</f>
        <v>Elle vous va très bien.</v>
      </c>
      <c r="G632" t="str">
        <f t="shared" ref="G632" si="599">IF(B632&lt;&gt;B1797,"e",IF(D632=0,"q","a"))</f>
        <v>e</v>
      </c>
      <c r="H632" t="str">
        <f>VLOOKUP(D632,name!A:C,3,1)</f>
        <v>assets/icons/image326.png</v>
      </c>
      <c r="I632" t="str">
        <f>IF(A632="","",VLOOKUP(A632,lng!A:B,2,0))</f>
        <v>fr-FR</v>
      </c>
    </row>
    <row r="633" spans="1:9" x14ac:dyDescent="0.15">
      <c r="A633" t="str">
        <f t="shared" ref="A633:B633" si="600">A632</f>
        <v>フランス語</v>
      </c>
      <c r="B633">
        <f t="shared" si="600"/>
        <v>9</v>
      </c>
      <c r="C633">
        <f t="shared" si="519"/>
        <v>52</v>
      </c>
      <c r="D633">
        <f>D599</f>
        <v>5</v>
      </c>
      <c r="E633" t="str">
        <f>VLOOKUP(D633,name!A:B,2,1)</f>
        <v>Minako</v>
      </c>
      <c r="F633" t="str">
        <f>F599</f>
        <v>ええ、良いですね。</v>
      </c>
      <c r="G633" t="str">
        <f t="shared" ref="G633:G696" si="601">IF(B633&lt;&gt;B634,"e",IF(D633=0,"q","a"))</f>
        <v>a</v>
      </c>
      <c r="H633" t="str">
        <f>VLOOKUP(D633,name!A:C,3,1)</f>
        <v>assets/icons/image086.png</v>
      </c>
      <c r="I633" t="s">
        <v>463</v>
      </c>
    </row>
    <row r="634" spans="1:9" x14ac:dyDescent="0.15">
      <c r="A634" t="str">
        <f t="shared" ref="A634:B634" si="602">A633</f>
        <v>フランス語</v>
      </c>
      <c r="B634">
        <f t="shared" si="602"/>
        <v>9</v>
      </c>
      <c r="C634">
        <f t="shared" si="519"/>
        <v>53</v>
      </c>
      <c r="D634">
        <f>D600</f>
        <v>5</v>
      </c>
      <c r="E634" t="str">
        <f>VLOOKUP(D634,name!A:B,2,1)</f>
        <v>Minako</v>
      </c>
      <c r="F634" t="str">
        <f>F600</f>
        <v>Oui, elle me plaît.</v>
      </c>
      <c r="G634" t="str">
        <f t="shared" ref="G634" si="603">IF(B634&lt;&gt;B1799,"e",IF(D634=0,"q","a"))</f>
        <v>e</v>
      </c>
      <c r="H634" t="str">
        <f>VLOOKUP(D634,name!A:C,3,1)</f>
        <v>assets/icons/image086.png</v>
      </c>
      <c r="I634" t="str">
        <f>IF(A634="","",VLOOKUP(A634,lng!A:B,2,0))</f>
        <v>fr-FR</v>
      </c>
    </row>
    <row r="635" spans="1:9" x14ac:dyDescent="0.15">
      <c r="A635" t="str">
        <f t="shared" ref="A635:B635" si="604">A634</f>
        <v>フランス語</v>
      </c>
      <c r="B635">
        <f t="shared" si="604"/>
        <v>9</v>
      </c>
      <c r="C635">
        <f t="shared" si="519"/>
        <v>54</v>
      </c>
      <c r="D635">
        <v>0</v>
      </c>
      <c r="E635" t="str">
        <f>VLOOKUP(D635,name!A:B,2,1)</f>
        <v>Player</v>
      </c>
      <c r="F635" t="str">
        <f>F600</f>
        <v>Oui, elle me plaît.</v>
      </c>
      <c r="G635" t="str">
        <f t="shared" ref="G635:G698" si="605">IF(B635&lt;&gt;B636,"e",IF(D635=0,"q","a"))</f>
        <v>q</v>
      </c>
      <c r="H635" t="str">
        <f>VLOOKUP(D635,name!A:C,3,1)</f>
        <v>assets/icons/image326.png</v>
      </c>
      <c r="I635" t="str">
        <f>IF(A635="","",VLOOKUP(A635,lng!A:B,2,0))</f>
        <v>fr-FR</v>
      </c>
    </row>
    <row r="636" spans="1:9" x14ac:dyDescent="0.15">
      <c r="A636" t="str">
        <f t="shared" ref="A636:B636" si="606">A635</f>
        <v>フランス語</v>
      </c>
      <c r="B636">
        <f t="shared" si="606"/>
        <v>9</v>
      </c>
      <c r="C636">
        <f t="shared" si="519"/>
        <v>55</v>
      </c>
      <c r="D636">
        <f>D601</f>
        <v>5</v>
      </c>
      <c r="E636" t="str">
        <f>VLOOKUP(D636,name!A:B,2,1)</f>
        <v>Minako</v>
      </c>
      <c r="F636" t="str">
        <f>F601</f>
        <v>おいくらですか。</v>
      </c>
      <c r="G636" t="str">
        <f t="shared" ref="G636" si="607">IF(B636&lt;&gt;B1801,"e",IF(D636=0,"q","a"))</f>
        <v>e</v>
      </c>
      <c r="H636" t="str">
        <f>VLOOKUP(D636,name!A:C,3,1)</f>
        <v>assets/icons/image086.png</v>
      </c>
      <c r="I636" t="s">
        <v>463</v>
      </c>
    </row>
    <row r="637" spans="1:9" x14ac:dyDescent="0.15">
      <c r="A637" t="str">
        <f t="shared" ref="A637:B637" si="608">A636</f>
        <v>フランス語</v>
      </c>
      <c r="B637">
        <f t="shared" si="608"/>
        <v>9</v>
      </c>
      <c r="C637">
        <f t="shared" si="519"/>
        <v>56</v>
      </c>
      <c r="D637">
        <f>D602</f>
        <v>5</v>
      </c>
      <c r="E637" t="str">
        <f>VLOOKUP(D637,name!A:B,2,1)</f>
        <v>Minako</v>
      </c>
      <c r="F637" t="str">
        <f>F602</f>
        <v>Elle coûte combien ?</v>
      </c>
      <c r="G637" t="str">
        <f t="shared" ref="G637:G700" si="609">IF(B637&lt;&gt;B638,"e",IF(D637=0,"q","a"))</f>
        <v>a</v>
      </c>
      <c r="H637" t="str">
        <f>VLOOKUP(D637,name!A:C,3,1)</f>
        <v>assets/icons/image086.png</v>
      </c>
      <c r="I637" t="str">
        <f>IF(A637="","",VLOOKUP(A637,lng!A:B,2,0))</f>
        <v>fr-FR</v>
      </c>
    </row>
    <row r="638" spans="1:9" x14ac:dyDescent="0.15">
      <c r="A638" t="str">
        <f t="shared" ref="A638:B638" si="610">A637</f>
        <v>フランス語</v>
      </c>
      <c r="B638">
        <f t="shared" si="610"/>
        <v>9</v>
      </c>
      <c r="C638">
        <f t="shared" si="519"/>
        <v>57</v>
      </c>
      <c r="D638">
        <v>0</v>
      </c>
      <c r="E638" t="str">
        <f>VLOOKUP(D638,name!A:B,2,1)</f>
        <v>Player</v>
      </c>
      <c r="F638" t="str">
        <f>F602</f>
        <v>Elle coûte combien ?</v>
      </c>
      <c r="G638" t="str">
        <f t="shared" ref="G638" si="611">IF(B638&lt;&gt;B1803,"e",IF(D638=0,"q","a"))</f>
        <v>e</v>
      </c>
      <c r="H638" t="str">
        <f>VLOOKUP(D638,name!A:C,3,1)</f>
        <v>assets/icons/image326.png</v>
      </c>
      <c r="I638" t="str">
        <f>IF(A638="","",VLOOKUP(A638,lng!A:B,2,0))</f>
        <v>fr-FR</v>
      </c>
    </row>
    <row r="639" spans="1:9" x14ac:dyDescent="0.15">
      <c r="A639" t="str">
        <f t="shared" ref="A639:B639" si="612">A638</f>
        <v>フランス語</v>
      </c>
      <c r="B639">
        <f t="shared" si="612"/>
        <v>9</v>
      </c>
      <c r="C639">
        <f t="shared" si="519"/>
        <v>58</v>
      </c>
      <c r="D639">
        <f>D603</f>
        <v>20</v>
      </c>
      <c r="E639" t="str">
        <f>VLOOKUP(D639,name!A:B,2,1)</f>
        <v>Vendeur</v>
      </c>
      <c r="F639" t="str">
        <f>F603</f>
        <v>90ユーロです。</v>
      </c>
      <c r="G639" t="str">
        <f t="shared" ref="G639:G702" si="613">IF(B639&lt;&gt;B640,"e",IF(D639=0,"q","a"))</f>
        <v>a</v>
      </c>
      <c r="H639" t="str">
        <f>VLOOKUP(D639,name!A:C,3,1)</f>
        <v>assets/icons/image025.png</v>
      </c>
      <c r="I639" t="s">
        <v>463</v>
      </c>
    </row>
    <row r="640" spans="1:9" x14ac:dyDescent="0.15">
      <c r="A640" t="str">
        <f t="shared" ref="A640:B640" si="614">A639</f>
        <v>フランス語</v>
      </c>
      <c r="B640">
        <f t="shared" si="614"/>
        <v>9</v>
      </c>
      <c r="C640">
        <f t="shared" si="519"/>
        <v>59</v>
      </c>
      <c r="D640">
        <f>D604</f>
        <v>20</v>
      </c>
      <c r="E640" t="str">
        <f>VLOOKUP(D640,name!A:B,2,1)</f>
        <v>Vendeur</v>
      </c>
      <c r="F640" t="str">
        <f>F604</f>
        <v>quatre-vingt-dix euros.</v>
      </c>
      <c r="G640" t="str">
        <f t="shared" ref="G640" si="615">IF(B640&lt;&gt;B1805,"e",IF(D640=0,"q","a"))</f>
        <v>e</v>
      </c>
      <c r="H640" t="str">
        <f>VLOOKUP(D640,name!A:C,3,1)</f>
        <v>assets/icons/image025.png</v>
      </c>
      <c r="I640" t="str">
        <f>IF(A640="","",VLOOKUP(A640,lng!A:B,2,0))</f>
        <v>fr-FR</v>
      </c>
    </row>
    <row r="641" spans="1:9" x14ac:dyDescent="0.15">
      <c r="A641" t="str">
        <f t="shared" ref="A641:B641" si="616">A640</f>
        <v>フランス語</v>
      </c>
      <c r="B641">
        <f t="shared" si="616"/>
        <v>9</v>
      </c>
      <c r="C641">
        <f t="shared" si="519"/>
        <v>60</v>
      </c>
      <c r="D641">
        <v>0</v>
      </c>
      <c r="E641" t="str">
        <f>VLOOKUP(D641,name!A:B,2,1)</f>
        <v>Player</v>
      </c>
      <c r="F641" t="str">
        <f>F604</f>
        <v>quatre-vingt-dix euros.</v>
      </c>
      <c r="G641" t="str">
        <f t="shared" ref="G641:G704" si="617">IF(B641&lt;&gt;B642,"e",IF(D641=0,"q","a"))</f>
        <v>q</v>
      </c>
      <c r="H641" t="str">
        <f>VLOOKUP(D641,name!A:C,3,1)</f>
        <v>assets/icons/image326.png</v>
      </c>
      <c r="I641" t="str">
        <f>IF(A641="","",VLOOKUP(A641,lng!A:B,2,0))</f>
        <v>fr-FR</v>
      </c>
    </row>
    <row r="642" spans="1:9" x14ac:dyDescent="0.15">
      <c r="A642" t="str">
        <f t="shared" ref="A642:B642" si="618">A641</f>
        <v>フランス語</v>
      </c>
      <c r="B642">
        <f t="shared" si="618"/>
        <v>9</v>
      </c>
      <c r="C642">
        <f t="shared" si="519"/>
        <v>61</v>
      </c>
      <c r="D642">
        <f>D605</f>
        <v>5</v>
      </c>
      <c r="E642" t="str">
        <f>VLOOKUP(D642,name!A:B,2,1)</f>
        <v>Minako</v>
      </c>
      <c r="F642" t="str">
        <f>F605</f>
        <v>では、これを買います。</v>
      </c>
      <c r="G642" t="str">
        <f t="shared" ref="G642" si="619">IF(B642&lt;&gt;B1807,"e",IF(D642=0,"q","a"))</f>
        <v>e</v>
      </c>
      <c r="H642" t="str">
        <f>VLOOKUP(D642,name!A:C,3,1)</f>
        <v>assets/icons/image086.png</v>
      </c>
      <c r="I642" t="s">
        <v>463</v>
      </c>
    </row>
    <row r="643" spans="1:9" x14ac:dyDescent="0.15">
      <c r="A643" t="str">
        <f t="shared" ref="A643:B643" si="620">A642</f>
        <v>フランス語</v>
      </c>
      <c r="B643">
        <f t="shared" si="620"/>
        <v>9</v>
      </c>
      <c r="C643">
        <f t="shared" si="519"/>
        <v>62</v>
      </c>
      <c r="D643">
        <f>D606</f>
        <v>5</v>
      </c>
      <c r="E643" t="str">
        <f>VLOOKUP(D643,name!A:B,2,1)</f>
        <v>Minako</v>
      </c>
      <c r="F643" t="str">
        <f>F606</f>
        <v>Alors, je prends celle-ci.</v>
      </c>
      <c r="G643" t="str">
        <f t="shared" ref="G643:G706" si="621">IF(B643&lt;&gt;B644,"e",IF(D643=0,"q","a"))</f>
        <v>a</v>
      </c>
      <c r="H643" t="str">
        <f>VLOOKUP(D643,name!A:C,3,1)</f>
        <v>assets/icons/image086.png</v>
      </c>
      <c r="I643" t="str">
        <f>IF(A643="","",VLOOKUP(A643,lng!A:B,2,0))</f>
        <v>fr-FR</v>
      </c>
    </row>
    <row r="644" spans="1:9" x14ac:dyDescent="0.15">
      <c r="A644" t="str">
        <f t="shared" ref="A644:B644" si="622">A643</f>
        <v>フランス語</v>
      </c>
      <c r="B644">
        <f t="shared" si="622"/>
        <v>9</v>
      </c>
      <c r="C644">
        <f t="shared" si="519"/>
        <v>63</v>
      </c>
      <c r="D644">
        <v>0</v>
      </c>
      <c r="E644" t="str">
        <f>VLOOKUP(D644,name!A:B,2,1)</f>
        <v>Player</v>
      </c>
      <c r="F644" t="str">
        <f>F606</f>
        <v>Alors, je prends celle-ci.</v>
      </c>
      <c r="G644" t="str">
        <f t="shared" ref="G644" si="623">IF(B644&lt;&gt;B1809,"e",IF(D644=0,"q","a"))</f>
        <v>e</v>
      </c>
      <c r="H644" t="str">
        <f>VLOOKUP(D644,name!A:C,3,1)</f>
        <v>assets/icons/image326.png</v>
      </c>
      <c r="I644" t="str">
        <f>IF(A644="","",VLOOKUP(A644,lng!A:B,2,0))</f>
        <v>fr-FR</v>
      </c>
    </row>
    <row r="645" spans="1:9" x14ac:dyDescent="0.15">
      <c r="A645" t="str">
        <f t="shared" ref="A645:B645" si="624">A644</f>
        <v>フランス語</v>
      </c>
      <c r="B645">
        <f t="shared" si="624"/>
        <v>9</v>
      </c>
      <c r="C645">
        <f t="shared" si="519"/>
        <v>64</v>
      </c>
      <c r="D645">
        <f>D607</f>
        <v>20</v>
      </c>
      <c r="E645" t="str">
        <f>VLOOKUP(D645,name!A:B,2,1)</f>
        <v>Vendeur</v>
      </c>
      <c r="F645" t="str">
        <f>F607</f>
        <v>お支払い方法は?</v>
      </c>
      <c r="G645" t="str">
        <f t="shared" ref="G645:G708" si="625">IF(B645&lt;&gt;B646,"e",IF(D645=0,"q","a"))</f>
        <v>a</v>
      </c>
      <c r="H645" t="str">
        <f>VLOOKUP(D645,name!A:C,3,1)</f>
        <v>assets/icons/image025.png</v>
      </c>
      <c r="I645" t="s">
        <v>463</v>
      </c>
    </row>
    <row r="646" spans="1:9" x14ac:dyDescent="0.15">
      <c r="A646" t="str">
        <f t="shared" ref="A646:B646" si="626">A645</f>
        <v>フランス語</v>
      </c>
      <c r="B646">
        <f t="shared" si="626"/>
        <v>9</v>
      </c>
      <c r="C646">
        <f t="shared" si="519"/>
        <v>65</v>
      </c>
      <c r="D646">
        <f>D608</f>
        <v>20</v>
      </c>
      <c r="E646" t="str">
        <f>VLOOKUP(D646,name!A:B,2,1)</f>
        <v>Vendeur</v>
      </c>
      <c r="F646" t="str">
        <f>F608</f>
        <v>Vous payez comment ?</v>
      </c>
      <c r="G646" t="str">
        <f t="shared" ref="G646" si="627">IF(B646&lt;&gt;B1811,"e",IF(D646=0,"q","a"))</f>
        <v>e</v>
      </c>
      <c r="H646" t="str">
        <f>VLOOKUP(D646,name!A:C,3,1)</f>
        <v>assets/icons/image025.png</v>
      </c>
      <c r="I646" t="str">
        <f>IF(A646="","",VLOOKUP(A646,lng!A:B,2,0))</f>
        <v>fr-FR</v>
      </c>
    </row>
    <row r="647" spans="1:9" x14ac:dyDescent="0.15">
      <c r="A647" t="str">
        <f t="shared" ref="A647:B647" si="628">A646</f>
        <v>フランス語</v>
      </c>
      <c r="B647">
        <f t="shared" si="628"/>
        <v>9</v>
      </c>
      <c r="C647">
        <f t="shared" si="519"/>
        <v>66</v>
      </c>
      <c r="D647">
        <v>0</v>
      </c>
      <c r="E647" t="str">
        <f>VLOOKUP(D647,name!A:B,2,1)</f>
        <v>Player</v>
      </c>
      <c r="F647" t="str">
        <f>F608</f>
        <v>Vous payez comment ?</v>
      </c>
      <c r="G647" t="str">
        <f t="shared" ref="G647:G710" si="629">IF(B647&lt;&gt;B648,"e",IF(D647=0,"q","a"))</f>
        <v>q</v>
      </c>
      <c r="H647" t="str">
        <f>VLOOKUP(D647,name!A:C,3,1)</f>
        <v>assets/icons/image326.png</v>
      </c>
      <c r="I647" t="str">
        <f>IF(A647="","",VLOOKUP(A647,lng!A:B,2,0))</f>
        <v>fr-FR</v>
      </c>
    </row>
    <row r="648" spans="1:9" x14ac:dyDescent="0.15">
      <c r="A648" t="str">
        <f t="shared" ref="A648:B648" si="630">A647</f>
        <v>フランス語</v>
      </c>
      <c r="B648">
        <f t="shared" si="630"/>
        <v>9</v>
      </c>
      <c r="C648">
        <f t="shared" ref="C648:C678" si="631">C647+1</f>
        <v>67</v>
      </c>
      <c r="D648">
        <f>D609</f>
        <v>5</v>
      </c>
      <c r="E648" t="str">
        <f>VLOOKUP(D648,name!A:B,2,1)</f>
        <v>Minako</v>
      </c>
      <c r="F648" t="str">
        <f>F609</f>
        <v>クレジットカードでお願いします。</v>
      </c>
      <c r="G648" t="str">
        <f t="shared" ref="G648" si="632">IF(B648&lt;&gt;B1813,"e",IF(D648=0,"q","a"))</f>
        <v>e</v>
      </c>
      <c r="H648" t="str">
        <f>VLOOKUP(D648,name!A:C,3,1)</f>
        <v>assets/icons/image086.png</v>
      </c>
      <c r="I648" t="s">
        <v>463</v>
      </c>
    </row>
    <row r="649" spans="1:9" x14ac:dyDescent="0.15">
      <c r="A649" t="str">
        <f t="shared" ref="A649:B649" si="633">A648</f>
        <v>フランス語</v>
      </c>
      <c r="B649">
        <f t="shared" si="633"/>
        <v>9</v>
      </c>
      <c r="C649">
        <f t="shared" si="631"/>
        <v>68</v>
      </c>
      <c r="D649">
        <f>D610</f>
        <v>5</v>
      </c>
      <c r="E649" t="str">
        <f>VLOOKUP(D649,name!A:B,2,1)</f>
        <v>Minako</v>
      </c>
      <c r="F649" t="str">
        <f>F610</f>
        <v>Par carte de crédit.</v>
      </c>
      <c r="G649" t="str">
        <f t="shared" ref="G649:G712" si="634">IF(B649&lt;&gt;B650,"e",IF(D649=0,"q","a"))</f>
        <v>a</v>
      </c>
      <c r="H649" t="str">
        <f>VLOOKUP(D649,name!A:C,3,1)</f>
        <v>assets/icons/image086.png</v>
      </c>
      <c r="I649" t="str">
        <f>IF(A649="","",VLOOKUP(A649,lng!A:B,2,0))</f>
        <v>fr-FR</v>
      </c>
    </row>
    <row r="650" spans="1:9" x14ac:dyDescent="0.15">
      <c r="A650" t="str">
        <f t="shared" ref="A650:B650" si="635">A649</f>
        <v>フランス語</v>
      </c>
      <c r="B650">
        <f t="shared" si="635"/>
        <v>9</v>
      </c>
      <c r="C650">
        <f t="shared" si="631"/>
        <v>69</v>
      </c>
      <c r="D650">
        <v>0</v>
      </c>
      <c r="E650" t="str">
        <f>VLOOKUP(D650,name!A:B,2,1)</f>
        <v>Player</v>
      </c>
      <c r="F650" t="str">
        <f>F610</f>
        <v>Par carte de crédit.</v>
      </c>
      <c r="G650" t="str">
        <f t="shared" ref="G650" si="636">IF(B650&lt;&gt;B1815,"e",IF(D650=0,"q","a"))</f>
        <v>e</v>
      </c>
      <c r="H650" t="str">
        <f>VLOOKUP(D650,name!A:C,3,1)</f>
        <v>assets/icons/image326.png</v>
      </c>
      <c r="I650" t="str">
        <f>IF(A650="","",VLOOKUP(A650,lng!A:B,2,0))</f>
        <v>fr-FR</v>
      </c>
    </row>
    <row r="651" spans="1:9" x14ac:dyDescent="0.15">
      <c r="A651" t="str">
        <f t="shared" ref="A651:B651" si="637">A650</f>
        <v>フランス語</v>
      </c>
      <c r="B651">
        <f t="shared" si="637"/>
        <v>9</v>
      </c>
      <c r="C651">
        <f t="shared" si="631"/>
        <v>70</v>
      </c>
      <c r="D651">
        <v>1</v>
      </c>
      <c r="E651" t="str">
        <f>VLOOKUP(D651,name!A:B,2,1)</f>
        <v>Navigator</v>
      </c>
      <c r="F651" t="str">
        <f>"次の日本語を"&amp;A651&amp;"に訳して答えてね！"</f>
        <v>次の日本語をフランス語に訳して答えてね！</v>
      </c>
      <c r="G651" t="str">
        <f t="shared" ref="G651:G714" si="638">IF(B651&lt;&gt;B652,"e",IF(D651=0,"q","a"))</f>
        <v>a</v>
      </c>
      <c r="H651" t="str">
        <f>VLOOKUP(D651,name!A:C,3,1)</f>
        <v>assets/icons/image014.png</v>
      </c>
      <c r="I651" t="s">
        <v>463</v>
      </c>
    </row>
    <row r="652" spans="1:9" x14ac:dyDescent="0.15">
      <c r="A652" t="str">
        <f t="shared" ref="A652:B652" si="639">A651</f>
        <v>フランス語</v>
      </c>
      <c r="B652">
        <f t="shared" si="639"/>
        <v>9</v>
      </c>
      <c r="C652">
        <f t="shared" si="631"/>
        <v>71</v>
      </c>
      <c r="D652">
        <f>D585</f>
        <v>20</v>
      </c>
      <c r="E652" t="str">
        <f>VLOOKUP(D652,name!A:B,2,1)</f>
        <v>Vendeur</v>
      </c>
      <c r="F652" t="str">
        <f t="shared" ref="F652:F677" si="640">F585</f>
        <v>こんにちは。</v>
      </c>
      <c r="G652" t="str">
        <f t="shared" ref="G652" si="641">IF(B652&lt;&gt;B1817,"e",IF(D652=0,"q","a"))</f>
        <v>e</v>
      </c>
      <c r="H652" t="str">
        <f>VLOOKUP(D652,name!A:C,3,1)</f>
        <v>assets/icons/image025.png</v>
      </c>
      <c r="I652" t="s">
        <v>463</v>
      </c>
    </row>
    <row r="653" spans="1:9" x14ac:dyDescent="0.15">
      <c r="A653" t="str">
        <f t="shared" ref="A653:B653" si="642">A652</f>
        <v>フランス語</v>
      </c>
      <c r="B653">
        <f t="shared" si="642"/>
        <v>9</v>
      </c>
      <c r="C653">
        <f t="shared" si="631"/>
        <v>72</v>
      </c>
      <c r="D653">
        <v>0</v>
      </c>
      <c r="E653" t="str">
        <f>VLOOKUP(D653,name!A:B,2,1)</f>
        <v>Player</v>
      </c>
      <c r="F653" t="str">
        <f t="shared" si="640"/>
        <v>Bonjour.</v>
      </c>
      <c r="G653" t="str">
        <f t="shared" ref="G653:G716" si="643">IF(B653&lt;&gt;B654,"e",IF(D653=0,"q","a"))</f>
        <v>q</v>
      </c>
      <c r="H653" t="str">
        <f>VLOOKUP(D653,name!A:C,3,1)</f>
        <v>assets/icons/image326.png</v>
      </c>
      <c r="I653" t="str">
        <f>IF(A653="","",VLOOKUP(A653,lng!A:B,2,0))</f>
        <v>fr-FR</v>
      </c>
    </row>
    <row r="654" spans="1:9" x14ac:dyDescent="0.15">
      <c r="A654" t="str">
        <f t="shared" ref="A654:B654" si="644">A653</f>
        <v>フランス語</v>
      </c>
      <c r="B654">
        <f t="shared" si="644"/>
        <v>9</v>
      </c>
      <c r="C654">
        <f t="shared" si="631"/>
        <v>73</v>
      </c>
      <c r="D654">
        <f>D587</f>
        <v>20</v>
      </c>
      <c r="E654" t="str">
        <f>VLOOKUP(D654,name!A:B,2,1)</f>
        <v>Vendeur</v>
      </c>
      <c r="F654" t="str">
        <f t="shared" si="640"/>
        <v>お手伝いしましょうか?</v>
      </c>
      <c r="G654" t="str">
        <f t="shared" ref="G654" si="645">IF(B654&lt;&gt;B1819,"e",IF(D654=0,"q","a"))</f>
        <v>e</v>
      </c>
      <c r="H654" t="str">
        <f>VLOOKUP(D654,name!A:C,3,1)</f>
        <v>assets/icons/image025.png</v>
      </c>
      <c r="I654" t="s">
        <v>463</v>
      </c>
    </row>
    <row r="655" spans="1:9" x14ac:dyDescent="0.15">
      <c r="A655" t="str">
        <f t="shared" ref="A655:B655" si="646">A654</f>
        <v>フランス語</v>
      </c>
      <c r="B655">
        <f t="shared" si="646"/>
        <v>9</v>
      </c>
      <c r="C655">
        <f t="shared" si="631"/>
        <v>74</v>
      </c>
      <c r="D655">
        <v>0</v>
      </c>
      <c r="E655" t="str">
        <f>VLOOKUP(D655,name!A:B,2,1)</f>
        <v>Player</v>
      </c>
      <c r="F655" t="str">
        <f t="shared" si="640"/>
        <v>Je peux vous aider ?</v>
      </c>
      <c r="G655" t="str">
        <f t="shared" ref="G655:G718" si="647">IF(B655&lt;&gt;B656,"e",IF(D655=0,"q","a"))</f>
        <v>q</v>
      </c>
      <c r="H655" t="str">
        <f>VLOOKUP(D655,name!A:C,3,1)</f>
        <v>assets/icons/image326.png</v>
      </c>
      <c r="I655" t="str">
        <f>IF(A655="","",VLOOKUP(A655,lng!A:B,2,0))</f>
        <v>fr-FR</v>
      </c>
    </row>
    <row r="656" spans="1:9" x14ac:dyDescent="0.15">
      <c r="A656" t="str">
        <f t="shared" ref="A656:B656" si="648">A655</f>
        <v>フランス語</v>
      </c>
      <c r="B656">
        <f t="shared" si="648"/>
        <v>9</v>
      </c>
      <c r="C656">
        <f t="shared" si="631"/>
        <v>75</v>
      </c>
      <c r="D656">
        <f>D589</f>
        <v>5</v>
      </c>
      <c r="E656" t="str">
        <f>VLOOKUP(D656,name!A:B,2,1)</f>
        <v>Minako</v>
      </c>
      <c r="F656" t="str">
        <f t="shared" si="640"/>
        <v>ジャケットをお願いします。</v>
      </c>
      <c r="G656" t="str">
        <f t="shared" ref="G656" si="649">IF(B656&lt;&gt;B1821,"e",IF(D656=0,"q","a"))</f>
        <v>e</v>
      </c>
      <c r="H656" t="str">
        <f>VLOOKUP(D656,name!A:C,3,1)</f>
        <v>assets/icons/image086.png</v>
      </c>
      <c r="I656" t="s">
        <v>463</v>
      </c>
    </row>
    <row r="657" spans="1:9" x14ac:dyDescent="0.15">
      <c r="A657" t="str">
        <f t="shared" ref="A657:B657" si="650">A656</f>
        <v>フランス語</v>
      </c>
      <c r="B657">
        <f t="shared" si="650"/>
        <v>9</v>
      </c>
      <c r="C657">
        <f t="shared" si="631"/>
        <v>76</v>
      </c>
      <c r="D657">
        <v>0</v>
      </c>
      <c r="E657" t="str">
        <f>VLOOKUP(D657,name!A:B,2,1)</f>
        <v>Player</v>
      </c>
      <c r="F657" t="str">
        <f t="shared" si="640"/>
        <v>Je voudrais une veste.</v>
      </c>
      <c r="G657" t="str">
        <f t="shared" ref="G657:G720" si="651">IF(B657&lt;&gt;B658,"e",IF(D657=0,"q","a"))</f>
        <v>q</v>
      </c>
      <c r="H657" t="str">
        <f>VLOOKUP(D657,name!A:C,3,1)</f>
        <v>assets/icons/image326.png</v>
      </c>
      <c r="I657" t="str">
        <f>IF(A657="","",VLOOKUP(A657,lng!A:B,2,0))</f>
        <v>fr-FR</v>
      </c>
    </row>
    <row r="658" spans="1:9" x14ac:dyDescent="0.15">
      <c r="A658" t="str">
        <f t="shared" ref="A658:B658" si="652">A657</f>
        <v>フランス語</v>
      </c>
      <c r="B658">
        <f t="shared" si="652"/>
        <v>9</v>
      </c>
      <c r="C658">
        <f t="shared" si="631"/>
        <v>77</v>
      </c>
      <c r="D658">
        <f>D591</f>
        <v>20</v>
      </c>
      <c r="E658" t="str">
        <f>VLOOKUP(D658,name!A:B,2,1)</f>
        <v>Vendeur</v>
      </c>
      <c r="F658" t="str">
        <f t="shared" si="640"/>
        <v>あなたの身長は?</v>
      </c>
      <c r="G658" t="str">
        <f t="shared" ref="G658" si="653">IF(B658&lt;&gt;B1823,"e",IF(D658=0,"q","a"))</f>
        <v>e</v>
      </c>
      <c r="H658" t="str">
        <f>VLOOKUP(D658,name!A:C,3,1)</f>
        <v>assets/icons/image025.png</v>
      </c>
      <c r="I658" t="s">
        <v>463</v>
      </c>
    </row>
    <row r="659" spans="1:9" x14ac:dyDescent="0.15">
      <c r="A659" t="str">
        <f t="shared" ref="A659:B659" si="654">A658</f>
        <v>フランス語</v>
      </c>
      <c r="B659">
        <f t="shared" si="654"/>
        <v>9</v>
      </c>
      <c r="C659">
        <f t="shared" si="631"/>
        <v>78</v>
      </c>
      <c r="D659">
        <v>0</v>
      </c>
      <c r="E659" t="str">
        <f>VLOOKUP(D659,name!A:B,2,1)</f>
        <v>Player</v>
      </c>
      <c r="F659" t="str">
        <f t="shared" si="640"/>
        <v>Quelle est votre taille ?</v>
      </c>
      <c r="G659" t="str">
        <f t="shared" ref="G659:G722" si="655">IF(B659&lt;&gt;B660,"e",IF(D659=0,"q","a"))</f>
        <v>q</v>
      </c>
      <c r="H659" t="str">
        <f>VLOOKUP(D659,name!A:C,3,1)</f>
        <v>assets/icons/image326.png</v>
      </c>
      <c r="I659" t="str">
        <f>IF(A659="","",VLOOKUP(A659,lng!A:B,2,0))</f>
        <v>fr-FR</v>
      </c>
    </row>
    <row r="660" spans="1:9" x14ac:dyDescent="0.15">
      <c r="A660" t="str">
        <f t="shared" ref="A660:B660" si="656">A659</f>
        <v>フランス語</v>
      </c>
      <c r="B660">
        <f t="shared" si="656"/>
        <v>9</v>
      </c>
      <c r="C660">
        <f t="shared" si="631"/>
        <v>79</v>
      </c>
      <c r="D660">
        <f>D593</f>
        <v>5</v>
      </c>
      <c r="E660" t="str">
        <f>VLOOKUP(D660,name!A:B,2,1)</f>
        <v>Minako</v>
      </c>
      <c r="F660" t="str">
        <f t="shared" si="640"/>
        <v>私は38です。</v>
      </c>
      <c r="G660" t="str">
        <f t="shared" ref="G660" si="657">IF(B660&lt;&gt;B1825,"e",IF(D660=0,"q","a"))</f>
        <v>e</v>
      </c>
      <c r="H660" t="str">
        <f>VLOOKUP(D660,name!A:C,3,1)</f>
        <v>assets/icons/image086.png</v>
      </c>
      <c r="I660" t="s">
        <v>463</v>
      </c>
    </row>
    <row r="661" spans="1:9" x14ac:dyDescent="0.15">
      <c r="A661" t="str">
        <f t="shared" ref="A661:B661" si="658">A660</f>
        <v>フランス語</v>
      </c>
      <c r="B661">
        <f t="shared" si="658"/>
        <v>9</v>
      </c>
      <c r="C661">
        <f t="shared" si="631"/>
        <v>80</v>
      </c>
      <c r="D661">
        <v>0</v>
      </c>
      <c r="E661" t="str">
        <f>VLOOKUP(D661,name!A:B,2,1)</f>
        <v>Player</v>
      </c>
      <c r="F661" t="str">
        <f t="shared" si="640"/>
        <v>Je fais du trente-huit.</v>
      </c>
      <c r="G661" t="str">
        <f t="shared" ref="G661:G724" si="659">IF(B661&lt;&gt;B662,"e",IF(D661=0,"q","a"))</f>
        <v>q</v>
      </c>
      <c r="H661" t="str">
        <f>VLOOKUP(D661,name!A:C,3,1)</f>
        <v>assets/icons/image326.png</v>
      </c>
      <c r="I661" t="str">
        <f>IF(A661="","",VLOOKUP(A661,lng!A:B,2,0))</f>
        <v>fr-FR</v>
      </c>
    </row>
    <row r="662" spans="1:9" x14ac:dyDescent="0.15">
      <c r="A662" t="str">
        <f t="shared" ref="A662:B662" si="660">A661</f>
        <v>フランス語</v>
      </c>
      <c r="B662">
        <f t="shared" si="660"/>
        <v>9</v>
      </c>
      <c r="C662">
        <f t="shared" si="631"/>
        <v>81</v>
      </c>
      <c r="D662">
        <f>D595</f>
        <v>20</v>
      </c>
      <c r="E662" t="str">
        <f>VLOOKUP(D662,name!A:B,2,1)</f>
        <v>Vendeur</v>
      </c>
      <c r="F662" t="str">
        <f t="shared" si="640"/>
        <v>たとえば、こちらなどです。</v>
      </c>
      <c r="G662" t="str">
        <f t="shared" ref="G662" si="661">IF(B662&lt;&gt;B1827,"e",IF(D662=0,"q","a"))</f>
        <v>e</v>
      </c>
      <c r="H662" t="str">
        <f>VLOOKUP(D662,name!A:C,3,1)</f>
        <v>assets/icons/image025.png</v>
      </c>
      <c r="I662" t="s">
        <v>463</v>
      </c>
    </row>
    <row r="663" spans="1:9" x14ac:dyDescent="0.15">
      <c r="A663" t="str">
        <f t="shared" ref="A663:B663" si="662">A662</f>
        <v>フランス語</v>
      </c>
      <c r="B663">
        <f t="shared" si="662"/>
        <v>9</v>
      </c>
      <c r="C663">
        <f t="shared" si="631"/>
        <v>82</v>
      </c>
      <c r="D663">
        <v>0</v>
      </c>
      <c r="E663" t="str">
        <f>VLOOKUP(D663,name!A:B,2,1)</f>
        <v>Player</v>
      </c>
      <c r="F663" t="str">
        <f t="shared" si="640"/>
        <v>Celle-ci, par exemple.</v>
      </c>
      <c r="G663" t="str">
        <f t="shared" ref="G663:G726" si="663">IF(B663&lt;&gt;B664,"e",IF(D663=0,"q","a"))</f>
        <v>q</v>
      </c>
      <c r="H663" t="str">
        <f>VLOOKUP(D663,name!A:C,3,1)</f>
        <v>assets/icons/image326.png</v>
      </c>
      <c r="I663" t="str">
        <f>IF(A663="","",VLOOKUP(A663,lng!A:B,2,0))</f>
        <v>fr-FR</v>
      </c>
    </row>
    <row r="664" spans="1:9" x14ac:dyDescent="0.15">
      <c r="A664" t="str">
        <f t="shared" ref="A664:B664" si="664">A663</f>
        <v>フランス語</v>
      </c>
      <c r="B664">
        <f t="shared" si="664"/>
        <v>9</v>
      </c>
      <c r="C664">
        <f t="shared" si="631"/>
        <v>83</v>
      </c>
      <c r="D664">
        <f>D597</f>
        <v>20</v>
      </c>
      <c r="E664" t="str">
        <f>VLOOKUP(D664,name!A:B,2,1)</f>
        <v>Vendeur</v>
      </c>
      <c r="F664" t="str">
        <f t="shared" si="640"/>
        <v>あなたにとてもよく似合いです。</v>
      </c>
      <c r="G664" t="str">
        <f t="shared" ref="G664" si="665">IF(B664&lt;&gt;B1829,"e",IF(D664=0,"q","a"))</f>
        <v>e</v>
      </c>
      <c r="H664" t="str">
        <f>VLOOKUP(D664,name!A:C,3,1)</f>
        <v>assets/icons/image025.png</v>
      </c>
      <c r="I664" t="s">
        <v>463</v>
      </c>
    </row>
    <row r="665" spans="1:9" x14ac:dyDescent="0.15">
      <c r="A665" t="str">
        <f t="shared" ref="A665:B665" si="666">A664</f>
        <v>フランス語</v>
      </c>
      <c r="B665">
        <f t="shared" si="666"/>
        <v>9</v>
      </c>
      <c r="C665">
        <f t="shared" si="631"/>
        <v>84</v>
      </c>
      <c r="D665">
        <v>0</v>
      </c>
      <c r="E665" t="str">
        <f>VLOOKUP(D665,name!A:B,2,1)</f>
        <v>Player</v>
      </c>
      <c r="F665" t="str">
        <f t="shared" si="640"/>
        <v>Elle vous va très bien.</v>
      </c>
      <c r="G665" t="str">
        <f t="shared" ref="G665:G728" si="667">IF(B665&lt;&gt;B666,"e",IF(D665=0,"q","a"))</f>
        <v>q</v>
      </c>
      <c r="H665" t="str">
        <f>VLOOKUP(D665,name!A:C,3,1)</f>
        <v>assets/icons/image326.png</v>
      </c>
      <c r="I665" t="str">
        <f>IF(A665="","",VLOOKUP(A665,lng!A:B,2,0))</f>
        <v>fr-FR</v>
      </c>
    </row>
    <row r="666" spans="1:9" x14ac:dyDescent="0.15">
      <c r="A666" t="str">
        <f t="shared" ref="A666:B666" si="668">A665</f>
        <v>フランス語</v>
      </c>
      <c r="B666">
        <f t="shared" si="668"/>
        <v>9</v>
      </c>
      <c r="C666">
        <f t="shared" si="631"/>
        <v>85</v>
      </c>
      <c r="D666">
        <f>D599</f>
        <v>5</v>
      </c>
      <c r="E666" t="str">
        <f>VLOOKUP(D666,name!A:B,2,1)</f>
        <v>Minako</v>
      </c>
      <c r="F666" t="str">
        <f t="shared" si="640"/>
        <v>ええ、良いですね。</v>
      </c>
      <c r="G666" t="str">
        <f t="shared" ref="G666" si="669">IF(B666&lt;&gt;B1831,"e",IF(D666=0,"q","a"))</f>
        <v>e</v>
      </c>
      <c r="H666" t="str">
        <f>VLOOKUP(D666,name!A:C,3,1)</f>
        <v>assets/icons/image086.png</v>
      </c>
      <c r="I666" t="s">
        <v>463</v>
      </c>
    </row>
    <row r="667" spans="1:9" x14ac:dyDescent="0.15">
      <c r="A667" t="str">
        <f t="shared" ref="A667:B667" si="670">A666</f>
        <v>フランス語</v>
      </c>
      <c r="B667">
        <f t="shared" si="670"/>
        <v>9</v>
      </c>
      <c r="C667">
        <f t="shared" si="631"/>
        <v>86</v>
      </c>
      <c r="D667">
        <v>0</v>
      </c>
      <c r="E667" t="str">
        <f>VLOOKUP(D667,name!A:B,2,1)</f>
        <v>Player</v>
      </c>
      <c r="F667" t="str">
        <f t="shared" si="640"/>
        <v>Oui, elle me plaît.</v>
      </c>
      <c r="G667" t="str">
        <f t="shared" ref="G667:G730" si="671">IF(B667&lt;&gt;B668,"e",IF(D667=0,"q","a"))</f>
        <v>q</v>
      </c>
      <c r="H667" t="str">
        <f>VLOOKUP(D667,name!A:C,3,1)</f>
        <v>assets/icons/image326.png</v>
      </c>
      <c r="I667" t="str">
        <f>IF(A667="","",VLOOKUP(A667,lng!A:B,2,0))</f>
        <v>fr-FR</v>
      </c>
    </row>
    <row r="668" spans="1:9" x14ac:dyDescent="0.15">
      <c r="A668" t="str">
        <f t="shared" ref="A668:B668" si="672">A667</f>
        <v>フランス語</v>
      </c>
      <c r="B668">
        <f t="shared" si="672"/>
        <v>9</v>
      </c>
      <c r="C668">
        <f t="shared" si="631"/>
        <v>87</v>
      </c>
      <c r="D668">
        <f>D601</f>
        <v>5</v>
      </c>
      <c r="E668" t="str">
        <f>VLOOKUP(D668,name!A:B,2,1)</f>
        <v>Minako</v>
      </c>
      <c r="F668" t="str">
        <f t="shared" si="640"/>
        <v>おいくらですか。</v>
      </c>
      <c r="G668" t="str">
        <f t="shared" ref="G668" si="673">IF(B668&lt;&gt;B1833,"e",IF(D668=0,"q","a"))</f>
        <v>e</v>
      </c>
      <c r="H668" t="str">
        <f>VLOOKUP(D668,name!A:C,3,1)</f>
        <v>assets/icons/image086.png</v>
      </c>
      <c r="I668" t="s">
        <v>463</v>
      </c>
    </row>
    <row r="669" spans="1:9" x14ac:dyDescent="0.15">
      <c r="A669" t="str">
        <f t="shared" ref="A669:B669" si="674">A668</f>
        <v>フランス語</v>
      </c>
      <c r="B669">
        <f t="shared" si="674"/>
        <v>9</v>
      </c>
      <c r="C669">
        <f t="shared" si="631"/>
        <v>88</v>
      </c>
      <c r="D669">
        <v>0</v>
      </c>
      <c r="E669" t="str">
        <f>VLOOKUP(D669,name!A:B,2,1)</f>
        <v>Player</v>
      </c>
      <c r="F669" t="str">
        <f t="shared" si="640"/>
        <v>Elle coûte combien ?</v>
      </c>
      <c r="G669" t="str">
        <f t="shared" ref="G669:G732" si="675">IF(B669&lt;&gt;B670,"e",IF(D669=0,"q","a"))</f>
        <v>q</v>
      </c>
      <c r="H669" t="str">
        <f>VLOOKUP(D669,name!A:C,3,1)</f>
        <v>assets/icons/image326.png</v>
      </c>
      <c r="I669" t="str">
        <f>IF(A669="","",VLOOKUP(A669,lng!A:B,2,0))</f>
        <v>fr-FR</v>
      </c>
    </row>
    <row r="670" spans="1:9" x14ac:dyDescent="0.15">
      <c r="A670" t="str">
        <f t="shared" ref="A670:B670" si="676">A669</f>
        <v>フランス語</v>
      </c>
      <c r="B670">
        <f t="shared" si="676"/>
        <v>9</v>
      </c>
      <c r="C670">
        <f t="shared" si="631"/>
        <v>89</v>
      </c>
      <c r="D670">
        <f>D603</f>
        <v>20</v>
      </c>
      <c r="E670" t="str">
        <f>VLOOKUP(D670,name!A:B,2,1)</f>
        <v>Vendeur</v>
      </c>
      <c r="F670" t="str">
        <f t="shared" si="640"/>
        <v>90ユーロです。</v>
      </c>
      <c r="G670" t="str">
        <f t="shared" ref="G670" si="677">IF(B670&lt;&gt;B1835,"e",IF(D670=0,"q","a"))</f>
        <v>e</v>
      </c>
      <c r="H670" t="str">
        <f>VLOOKUP(D670,name!A:C,3,1)</f>
        <v>assets/icons/image025.png</v>
      </c>
      <c r="I670" t="s">
        <v>463</v>
      </c>
    </row>
    <row r="671" spans="1:9" x14ac:dyDescent="0.15">
      <c r="A671" t="str">
        <f t="shared" ref="A671:B671" si="678">A670</f>
        <v>フランス語</v>
      </c>
      <c r="B671">
        <f t="shared" si="678"/>
        <v>9</v>
      </c>
      <c r="C671">
        <f t="shared" si="631"/>
        <v>90</v>
      </c>
      <c r="D671">
        <v>0</v>
      </c>
      <c r="E671" t="str">
        <f>VLOOKUP(D671,name!A:B,2,1)</f>
        <v>Player</v>
      </c>
      <c r="F671" t="str">
        <f t="shared" si="640"/>
        <v>quatre-vingt-dix euros.</v>
      </c>
      <c r="G671" t="str">
        <f t="shared" ref="G671:G734" si="679">IF(B671&lt;&gt;B672,"e",IF(D671=0,"q","a"))</f>
        <v>q</v>
      </c>
      <c r="H671" t="str">
        <f>VLOOKUP(D671,name!A:C,3,1)</f>
        <v>assets/icons/image326.png</v>
      </c>
      <c r="I671" t="str">
        <f>IF(A671="","",VLOOKUP(A671,lng!A:B,2,0))</f>
        <v>fr-FR</v>
      </c>
    </row>
    <row r="672" spans="1:9" x14ac:dyDescent="0.15">
      <c r="A672" t="str">
        <f t="shared" ref="A672:B672" si="680">A671</f>
        <v>フランス語</v>
      </c>
      <c r="B672">
        <f t="shared" si="680"/>
        <v>9</v>
      </c>
      <c r="C672">
        <f t="shared" si="631"/>
        <v>91</v>
      </c>
      <c r="D672">
        <f>D605</f>
        <v>5</v>
      </c>
      <c r="E672" t="str">
        <f>VLOOKUP(D672,name!A:B,2,1)</f>
        <v>Minako</v>
      </c>
      <c r="F672" t="str">
        <f t="shared" si="640"/>
        <v>では、これを買います。</v>
      </c>
      <c r="G672" t="str">
        <f t="shared" ref="G672" si="681">IF(B672&lt;&gt;B1837,"e",IF(D672=0,"q","a"))</f>
        <v>e</v>
      </c>
      <c r="H672" t="str">
        <f>VLOOKUP(D672,name!A:C,3,1)</f>
        <v>assets/icons/image086.png</v>
      </c>
      <c r="I672" t="s">
        <v>463</v>
      </c>
    </row>
    <row r="673" spans="1:12" x14ac:dyDescent="0.15">
      <c r="A673" t="str">
        <f t="shared" ref="A673:B673" si="682">A672</f>
        <v>フランス語</v>
      </c>
      <c r="B673">
        <f t="shared" si="682"/>
        <v>9</v>
      </c>
      <c r="C673">
        <f t="shared" si="631"/>
        <v>92</v>
      </c>
      <c r="D673">
        <v>0</v>
      </c>
      <c r="E673" t="str">
        <f>VLOOKUP(D673,name!A:B,2,1)</f>
        <v>Player</v>
      </c>
      <c r="F673" t="str">
        <f t="shared" si="640"/>
        <v>Alors, je prends celle-ci.</v>
      </c>
      <c r="G673" t="str">
        <f t="shared" ref="G673:G736" si="683">IF(B673&lt;&gt;B674,"e",IF(D673=0,"q","a"))</f>
        <v>q</v>
      </c>
      <c r="H673" t="str">
        <f>VLOOKUP(D673,name!A:C,3,1)</f>
        <v>assets/icons/image326.png</v>
      </c>
      <c r="I673" t="str">
        <f>IF(A673="","",VLOOKUP(A673,lng!A:B,2,0))</f>
        <v>fr-FR</v>
      </c>
    </row>
    <row r="674" spans="1:12" x14ac:dyDescent="0.15">
      <c r="A674" t="str">
        <f t="shared" ref="A674:B674" si="684">A673</f>
        <v>フランス語</v>
      </c>
      <c r="B674">
        <f t="shared" si="684"/>
        <v>9</v>
      </c>
      <c r="C674">
        <f t="shared" si="631"/>
        <v>93</v>
      </c>
      <c r="D674">
        <f>D607</f>
        <v>20</v>
      </c>
      <c r="E674" t="str">
        <f>VLOOKUP(D674,name!A:B,2,1)</f>
        <v>Vendeur</v>
      </c>
      <c r="F674" t="str">
        <f t="shared" si="640"/>
        <v>お支払い方法は?</v>
      </c>
      <c r="G674" t="str">
        <f t="shared" ref="G674" si="685">IF(B674&lt;&gt;B1839,"e",IF(D674=0,"q","a"))</f>
        <v>e</v>
      </c>
      <c r="H674" t="str">
        <f>VLOOKUP(D674,name!A:C,3,1)</f>
        <v>assets/icons/image025.png</v>
      </c>
      <c r="I674" t="s">
        <v>463</v>
      </c>
    </row>
    <row r="675" spans="1:12" x14ac:dyDescent="0.15">
      <c r="A675" t="str">
        <f t="shared" ref="A675:B675" si="686">A674</f>
        <v>フランス語</v>
      </c>
      <c r="B675">
        <f t="shared" si="686"/>
        <v>9</v>
      </c>
      <c r="C675">
        <f t="shared" si="631"/>
        <v>94</v>
      </c>
      <c r="D675">
        <v>0</v>
      </c>
      <c r="E675" t="str">
        <f>VLOOKUP(D675,name!A:B,2,1)</f>
        <v>Player</v>
      </c>
      <c r="F675" t="str">
        <f t="shared" si="640"/>
        <v>Vous payez comment ?</v>
      </c>
      <c r="G675" t="str">
        <f t="shared" ref="G675:G738" si="687">IF(B675&lt;&gt;B676,"e",IF(D675=0,"q","a"))</f>
        <v>q</v>
      </c>
      <c r="H675" t="str">
        <f>VLOOKUP(D675,name!A:C,3,1)</f>
        <v>assets/icons/image326.png</v>
      </c>
      <c r="I675" t="str">
        <f>IF(A675="","",VLOOKUP(A675,lng!A:B,2,0))</f>
        <v>fr-FR</v>
      </c>
    </row>
    <row r="676" spans="1:12" x14ac:dyDescent="0.15">
      <c r="A676" t="str">
        <f t="shared" ref="A676:B676" si="688">A675</f>
        <v>フランス語</v>
      </c>
      <c r="B676">
        <f t="shared" si="688"/>
        <v>9</v>
      </c>
      <c r="C676">
        <f t="shared" si="631"/>
        <v>95</v>
      </c>
      <c r="D676">
        <f>D609</f>
        <v>5</v>
      </c>
      <c r="E676" t="str">
        <f>VLOOKUP(D676,name!A:B,2,1)</f>
        <v>Minako</v>
      </c>
      <c r="F676" t="str">
        <f t="shared" si="640"/>
        <v>クレジットカードでお願いします。</v>
      </c>
      <c r="G676" t="str">
        <f t="shared" ref="G676" si="689">IF(B676&lt;&gt;B1841,"e",IF(D676=0,"q","a"))</f>
        <v>e</v>
      </c>
      <c r="H676" t="str">
        <f>VLOOKUP(D676,name!A:C,3,1)</f>
        <v>assets/icons/image086.png</v>
      </c>
      <c r="I676" t="s">
        <v>463</v>
      </c>
    </row>
    <row r="677" spans="1:12" x14ac:dyDescent="0.15">
      <c r="A677" t="str">
        <f t="shared" ref="A677:B677" si="690">A676</f>
        <v>フランス語</v>
      </c>
      <c r="B677">
        <f t="shared" si="690"/>
        <v>9</v>
      </c>
      <c r="C677">
        <f t="shared" si="631"/>
        <v>96</v>
      </c>
      <c r="D677">
        <v>0</v>
      </c>
      <c r="E677" t="str">
        <f>VLOOKUP(D677,name!A:B,2,1)</f>
        <v>Player</v>
      </c>
      <c r="F677" t="str">
        <f t="shared" si="640"/>
        <v>Par carte de crédit.</v>
      </c>
      <c r="G677" t="str">
        <f t="shared" ref="G677:G740" si="691">IF(B677&lt;&gt;B678,"e",IF(D677=0,"q","a"))</f>
        <v>q</v>
      </c>
      <c r="H677" t="str">
        <f>VLOOKUP(D677,name!A:C,3,1)</f>
        <v>assets/icons/image326.png</v>
      </c>
      <c r="I677" t="str">
        <f>IF(A677="","",VLOOKUP(A677,lng!A:B,2,0))</f>
        <v>fr-FR</v>
      </c>
    </row>
    <row r="678" spans="1:12" x14ac:dyDescent="0.15">
      <c r="A678" t="str">
        <f t="shared" ref="A678:B678" si="692">A677</f>
        <v>フランス語</v>
      </c>
      <c r="B678">
        <f t="shared" si="692"/>
        <v>9</v>
      </c>
      <c r="C678">
        <f t="shared" si="631"/>
        <v>97</v>
      </c>
      <c r="D678">
        <v>1</v>
      </c>
      <c r="E678" t="str">
        <f>VLOOKUP(D678,name!A:B,2,1)</f>
        <v>Navigator</v>
      </c>
      <c r="F678" t="str">
        <f>"とても良くできました。レッスン"&amp;B678&amp;"はこれで終了です。"</f>
        <v>とても良くできました。レッスン9はこれで終了です。</v>
      </c>
      <c r="G678" t="str">
        <f t="shared" ref="G678" si="693">IF(B678&lt;&gt;B1843,"e",IF(D678=0,"q","a"))</f>
        <v>e</v>
      </c>
      <c r="H678" t="str">
        <f>VLOOKUP(D678,name!A:C,3,1)</f>
        <v>assets/icons/image014.png</v>
      </c>
      <c r="I678" t="s">
        <v>463</v>
      </c>
    </row>
    <row r="679" spans="1:12" x14ac:dyDescent="0.15">
      <c r="A679" t="str">
        <f>A678</f>
        <v>フランス語</v>
      </c>
      <c r="B679">
        <f>B678+1</f>
        <v>10</v>
      </c>
      <c r="C679">
        <v>1</v>
      </c>
      <c r="D679">
        <v>1</v>
      </c>
      <c r="E679" t="str">
        <f>VLOOKUP(D679,name!A:B,2,1)</f>
        <v>Navigator</v>
      </c>
      <c r="F679" t="s">
        <v>606</v>
      </c>
      <c r="G679" t="str">
        <f t="shared" ref="G679:G742" si="694">IF(B679&lt;&gt;B680,"e",IF(D679=0,"q","a"))</f>
        <v>a</v>
      </c>
      <c r="H679" t="str">
        <f>VLOOKUP(D679,name!A:C,3,1)</f>
        <v>assets/icons/image014.png</v>
      </c>
      <c r="I679" t="str">
        <f>IF(A679="","",VLOOKUP(A679,lng!A:B,2,0))</f>
        <v>fr-FR</v>
      </c>
    </row>
    <row r="680" spans="1:12" x14ac:dyDescent="0.15">
      <c r="A680" t="str">
        <f t="shared" ref="A680:B690" si="695">A679</f>
        <v>フランス語</v>
      </c>
      <c r="B680">
        <f>B679</f>
        <v>10</v>
      </c>
      <c r="C680">
        <f>C679+1</f>
        <v>2</v>
      </c>
      <c r="D680">
        <v>1</v>
      </c>
      <c r="E680" t="str">
        <f>VLOOKUP(D680,name!A:B,2,1)</f>
        <v>Navigator</v>
      </c>
      <c r="F680" t="str">
        <f>"レッスン"&amp;B680</f>
        <v>レッスン10</v>
      </c>
      <c r="G680" t="str">
        <f t="shared" ref="G680" si="696">IF(B680&lt;&gt;B1845,"e",IF(D680=0,"q","a"))</f>
        <v>e</v>
      </c>
      <c r="H680" t="str">
        <f>VLOOKUP(D680,name!A:C,3,1)</f>
        <v>assets/icons/image014.png</v>
      </c>
      <c r="I680" t="s">
        <v>463</v>
      </c>
    </row>
    <row r="681" spans="1:12" ht="40.5" x14ac:dyDescent="0.15">
      <c r="A681" t="str">
        <f t="shared" si="695"/>
        <v>フランス語</v>
      </c>
      <c r="B681">
        <f t="shared" si="695"/>
        <v>10</v>
      </c>
      <c r="C681">
        <f t="shared" ref="C681:C744" si="697">C680+1</f>
        <v>3</v>
      </c>
      <c r="D681">
        <v>1</v>
      </c>
      <c r="E681" t="str">
        <f>VLOOKUP(D681,name!A:B,2,1)</f>
        <v>Navigator</v>
      </c>
      <c r="F681" s="1" t="str">
        <f>"まずは対話文を流します。その後に、日本語と"&amp;A681&amp;"を一文ずつ流すので"&amp;A681&amp;"を真似して下さい。最後に日本語のみを流すので、"&amp;A681&amp;"で答えてください。"</f>
        <v>まずは対話文を流します。その後に、日本語とフランス語を一文ずつ流すのでフランス語を真似して下さい。最後に日本語のみを流すので、フランス語で答えてください。</v>
      </c>
      <c r="G681" t="str">
        <f t="shared" ref="G681:G744" si="698">IF(B681&lt;&gt;B682,"e",IF(D681=0,"q","a"))</f>
        <v>a</v>
      </c>
      <c r="H681" t="str">
        <f>VLOOKUP(D681,name!A:C,3,1)</f>
        <v>assets/icons/image014.png</v>
      </c>
      <c r="I681" t="s">
        <v>463</v>
      </c>
      <c r="L681" s="1"/>
    </row>
    <row r="682" spans="1:12" x14ac:dyDescent="0.15">
      <c r="A682" t="str">
        <f t="shared" si="695"/>
        <v>フランス語</v>
      </c>
      <c r="B682">
        <f t="shared" si="695"/>
        <v>10</v>
      </c>
      <c r="C682">
        <f t="shared" si="697"/>
        <v>4</v>
      </c>
      <c r="D682">
        <f>D683</f>
        <v>6</v>
      </c>
      <c r="E682" t="str">
        <f>VLOOKUP(D682,name!A:B,2,1)</f>
        <v>Céline</v>
      </c>
      <c r="F682" t="s">
        <v>618</v>
      </c>
      <c r="G682" t="str">
        <f t="shared" ref="G682" si="699">IF(B682&lt;&gt;B1847,"e",IF(D682=0,"q","a"))</f>
        <v>e</v>
      </c>
      <c r="H682" t="str">
        <f>VLOOKUP(D682,name!A:C,3,1)</f>
        <v>assets/icons/image078.png</v>
      </c>
      <c r="I682" t="s">
        <v>463</v>
      </c>
    </row>
    <row r="683" spans="1:12" x14ac:dyDescent="0.15">
      <c r="A683" t="str">
        <f t="shared" si="695"/>
        <v>フランス語</v>
      </c>
      <c r="B683">
        <f t="shared" si="695"/>
        <v>10</v>
      </c>
      <c r="C683">
        <f t="shared" si="697"/>
        <v>5</v>
      </c>
      <c r="D683">
        <v>6</v>
      </c>
      <c r="E683" t="str">
        <f>VLOOKUP(D683,name!A:B,2,1)</f>
        <v>Céline</v>
      </c>
      <c r="F683" t="s">
        <v>607</v>
      </c>
      <c r="G683" t="str">
        <f t="shared" ref="G683:G746" si="700">IF(B683&lt;&gt;B684,"e",IF(D683=0,"q","a"))</f>
        <v>a</v>
      </c>
      <c r="H683" t="str">
        <f>VLOOKUP(D683,name!A:C,3,1)</f>
        <v>assets/icons/image078.png</v>
      </c>
      <c r="I683" t="str">
        <f>IF(A683="","",VLOOKUP(A683,lng!A:B,2,0))</f>
        <v>fr-FR</v>
      </c>
    </row>
    <row r="684" spans="1:12" x14ac:dyDescent="0.15">
      <c r="A684" t="str">
        <f t="shared" si="695"/>
        <v>フランス語</v>
      </c>
      <c r="B684">
        <f t="shared" si="695"/>
        <v>10</v>
      </c>
      <c r="C684">
        <f t="shared" si="697"/>
        <v>6</v>
      </c>
      <c r="D684">
        <f t="shared" ref="D684:D702" si="701">D685</f>
        <v>5</v>
      </c>
      <c r="E684" t="str">
        <f>VLOOKUP(D684,name!A:B,2,1)</f>
        <v>Minako</v>
      </c>
      <c r="F684" t="s">
        <v>619</v>
      </c>
      <c r="G684" t="str">
        <f t="shared" ref="G684" si="702">IF(B684&lt;&gt;B1849,"e",IF(D684=0,"q","a"))</f>
        <v>e</v>
      </c>
      <c r="H684" t="str">
        <f>VLOOKUP(D684,name!A:C,3,1)</f>
        <v>assets/icons/image086.png</v>
      </c>
      <c r="I684" t="s">
        <v>463</v>
      </c>
    </row>
    <row r="685" spans="1:12" x14ac:dyDescent="0.15">
      <c r="A685" t="str">
        <f t="shared" si="695"/>
        <v>フランス語</v>
      </c>
      <c r="B685">
        <f t="shared" si="695"/>
        <v>10</v>
      </c>
      <c r="C685">
        <f t="shared" si="697"/>
        <v>7</v>
      </c>
      <c r="D685">
        <v>5</v>
      </c>
      <c r="E685" t="str">
        <f>VLOOKUP(D685,name!A:B,2,1)</f>
        <v>Minako</v>
      </c>
      <c r="F685" t="s">
        <v>608</v>
      </c>
      <c r="G685" t="str">
        <f t="shared" ref="G685:G748" si="703">IF(B685&lt;&gt;B686,"e",IF(D685=0,"q","a"))</f>
        <v>a</v>
      </c>
      <c r="H685" t="str">
        <f>VLOOKUP(D685,name!A:C,3,1)</f>
        <v>assets/icons/image086.png</v>
      </c>
      <c r="I685" t="str">
        <f>IF(A685="","",VLOOKUP(A685,lng!A:B,2,0))</f>
        <v>fr-FR</v>
      </c>
    </row>
    <row r="686" spans="1:12" x14ac:dyDescent="0.15">
      <c r="A686" t="str">
        <f t="shared" si="695"/>
        <v>フランス語</v>
      </c>
      <c r="B686">
        <f t="shared" si="695"/>
        <v>10</v>
      </c>
      <c r="C686">
        <f t="shared" si="697"/>
        <v>8</v>
      </c>
      <c r="D686">
        <f t="shared" si="701"/>
        <v>7</v>
      </c>
      <c r="E686" t="str">
        <f>VLOOKUP(D686,name!A:B,2,1)</f>
        <v>Luigi</v>
      </c>
      <c r="F686" t="s">
        <v>620</v>
      </c>
      <c r="G686" t="str">
        <f t="shared" ref="G686" si="704">IF(B686&lt;&gt;B1851,"e",IF(D686=0,"q","a"))</f>
        <v>e</v>
      </c>
      <c r="H686" t="str">
        <f>VLOOKUP(D686,name!A:C,3,1)</f>
        <v>assets/icons/image023.png</v>
      </c>
      <c r="I686" t="s">
        <v>463</v>
      </c>
    </row>
    <row r="687" spans="1:12" x14ac:dyDescent="0.15">
      <c r="A687" t="str">
        <f t="shared" si="695"/>
        <v>フランス語</v>
      </c>
      <c r="B687">
        <f t="shared" si="695"/>
        <v>10</v>
      </c>
      <c r="C687">
        <f t="shared" si="697"/>
        <v>9</v>
      </c>
      <c r="D687">
        <v>7</v>
      </c>
      <c r="E687" t="str">
        <f>VLOOKUP(D687,name!A:B,2,1)</f>
        <v>Luigi</v>
      </c>
      <c r="F687" t="s">
        <v>609</v>
      </c>
      <c r="G687" t="str">
        <f t="shared" ref="G687:G750" si="705">IF(B687&lt;&gt;B688,"e",IF(D687=0,"q","a"))</f>
        <v>a</v>
      </c>
      <c r="H687" t="str">
        <f>VLOOKUP(D687,name!A:C,3,1)</f>
        <v>assets/icons/image023.png</v>
      </c>
      <c r="I687" t="str">
        <f>IF(A687="","",VLOOKUP(A687,lng!A:B,2,0))</f>
        <v>fr-FR</v>
      </c>
    </row>
    <row r="688" spans="1:12" x14ac:dyDescent="0.15">
      <c r="A688" t="str">
        <f t="shared" si="695"/>
        <v>フランス語</v>
      </c>
      <c r="B688">
        <f t="shared" si="695"/>
        <v>10</v>
      </c>
      <c r="C688">
        <f t="shared" si="697"/>
        <v>10</v>
      </c>
      <c r="D688">
        <f t="shared" si="701"/>
        <v>5</v>
      </c>
      <c r="E688" t="str">
        <f>VLOOKUP(D688,name!A:B,2,1)</f>
        <v>Minako</v>
      </c>
      <c r="F688" t="s">
        <v>621</v>
      </c>
      <c r="G688" t="str">
        <f t="shared" ref="G688" si="706">IF(B688&lt;&gt;B1853,"e",IF(D688=0,"q","a"))</f>
        <v>e</v>
      </c>
      <c r="H688" t="str">
        <f>VLOOKUP(D688,name!A:C,3,1)</f>
        <v>assets/icons/image086.png</v>
      </c>
      <c r="I688" t="s">
        <v>463</v>
      </c>
    </row>
    <row r="689" spans="1:9" x14ac:dyDescent="0.15">
      <c r="A689" t="str">
        <f t="shared" si="695"/>
        <v>フランス語</v>
      </c>
      <c r="B689">
        <f t="shared" si="695"/>
        <v>10</v>
      </c>
      <c r="C689">
        <f t="shared" si="697"/>
        <v>11</v>
      </c>
      <c r="D689">
        <v>5</v>
      </c>
      <c r="E689" t="str">
        <f>VLOOKUP(D689,name!A:B,2,1)</f>
        <v>Minako</v>
      </c>
      <c r="F689" t="s">
        <v>610</v>
      </c>
      <c r="G689" t="str">
        <f t="shared" ref="G689:G752" si="707">IF(B689&lt;&gt;B690,"e",IF(D689=0,"q","a"))</f>
        <v>a</v>
      </c>
      <c r="H689" t="str">
        <f>VLOOKUP(D689,name!A:C,3,1)</f>
        <v>assets/icons/image086.png</v>
      </c>
      <c r="I689" t="str">
        <f>IF(A689="","",VLOOKUP(A689,lng!A:B,2,0))</f>
        <v>fr-FR</v>
      </c>
    </row>
    <row r="690" spans="1:9" x14ac:dyDescent="0.15">
      <c r="A690" t="str">
        <f t="shared" si="695"/>
        <v>フランス語</v>
      </c>
      <c r="B690">
        <f t="shared" si="695"/>
        <v>10</v>
      </c>
      <c r="C690">
        <f t="shared" si="697"/>
        <v>12</v>
      </c>
      <c r="D690">
        <f t="shared" si="701"/>
        <v>6</v>
      </c>
      <c r="E690" t="str">
        <f>VLOOKUP(D690,name!A:B,2,1)</f>
        <v>Céline</v>
      </c>
      <c r="F690" t="s">
        <v>622</v>
      </c>
      <c r="G690" t="str">
        <f t="shared" ref="G690" si="708">IF(B690&lt;&gt;B1855,"e",IF(D690=0,"q","a"))</f>
        <v>e</v>
      </c>
      <c r="H690" t="str">
        <f>VLOOKUP(D690,name!A:C,3,1)</f>
        <v>assets/icons/image078.png</v>
      </c>
      <c r="I690" t="s">
        <v>463</v>
      </c>
    </row>
    <row r="691" spans="1:9" x14ac:dyDescent="0.15">
      <c r="A691" t="str">
        <f t="shared" ref="A691:B691" si="709">A690</f>
        <v>フランス語</v>
      </c>
      <c r="B691">
        <f t="shared" si="709"/>
        <v>10</v>
      </c>
      <c r="C691">
        <f t="shared" si="697"/>
        <v>13</v>
      </c>
      <c r="D691">
        <v>6</v>
      </c>
      <c r="E691" t="str">
        <f>VLOOKUP(D691,name!A:B,2,1)</f>
        <v>Céline</v>
      </c>
      <c r="F691" t="s">
        <v>611</v>
      </c>
      <c r="G691" t="str">
        <f t="shared" ref="G691:G754" si="710">IF(B691&lt;&gt;B692,"e",IF(D691=0,"q","a"))</f>
        <v>a</v>
      </c>
      <c r="H691" t="str">
        <f>VLOOKUP(D691,name!A:C,3,1)</f>
        <v>assets/icons/image078.png</v>
      </c>
      <c r="I691" t="str">
        <f>IF(A691="","",VLOOKUP(A691,lng!A:B,2,0))</f>
        <v>fr-FR</v>
      </c>
    </row>
    <row r="692" spans="1:9" x14ac:dyDescent="0.15">
      <c r="A692" t="str">
        <f t="shared" ref="A692:B692" si="711">A691</f>
        <v>フランス語</v>
      </c>
      <c r="B692">
        <f t="shared" si="711"/>
        <v>10</v>
      </c>
      <c r="C692">
        <f t="shared" si="697"/>
        <v>14</v>
      </c>
      <c r="D692">
        <f t="shared" si="701"/>
        <v>6</v>
      </c>
      <c r="E692" t="str">
        <f>VLOOKUP(D692,name!A:B,2,1)</f>
        <v>Céline</v>
      </c>
      <c r="F692" t="s">
        <v>623</v>
      </c>
      <c r="G692" t="str">
        <f t="shared" ref="G692" si="712">IF(B692&lt;&gt;B1857,"e",IF(D692=0,"q","a"))</f>
        <v>e</v>
      </c>
      <c r="H692" t="str">
        <f>VLOOKUP(D692,name!A:C,3,1)</f>
        <v>assets/icons/image078.png</v>
      </c>
      <c r="I692" t="s">
        <v>463</v>
      </c>
    </row>
    <row r="693" spans="1:9" x14ac:dyDescent="0.15">
      <c r="A693" t="str">
        <f t="shared" ref="A693:B693" si="713">A692</f>
        <v>フランス語</v>
      </c>
      <c r="B693">
        <f t="shared" si="713"/>
        <v>10</v>
      </c>
      <c r="C693">
        <f t="shared" si="697"/>
        <v>15</v>
      </c>
      <c r="D693">
        <v>6</v>
      </c>
      <c r="E693" t="str">
        <f>VLOOKUP(D693,name!A:B,2,1)</f>
        <v>Céline</v>
      </c>
      <c r="F693" t="s">
        <v>612</v>
      </c>
      <c r="G693" t="str">
        <f t="shared" ref="G693:G756" si="714">IF(B693&lt;&gt;B694,"e",IF(D693=0,"q","a"))</f>
        <v>a</v>
      </c>
      <c r="H693" t="str">
        <f>VLOOKUP(D693,name!A:C,3,1)</f>
        <v>assets/icons/image078.png</v>
      </c>
      <c r="I693" t="str">
        <f>IF(A693="","",VLOOKUP(A693,lng!A:B,2,0))</f>
        <v>fr-FR</v>
      </c>
    </row>
    <row r="694" spans="1:9" x14ac:dyDescent="0.15">
      <c r="A694" t="str">
        <f t="shared" ref="A694:B694" si="715">A693</f>
        <v>フランス語</v>
      </c>
      <c r="B694">
        <f t="shared" si="715"/>
        <v>10</v>
      </c>
      <c r="C694">
        <f t="shared" si="697"/>
        <v>16</v>
      </c>
      <c r="D694">
        <f t="shared" si="701"/>
        <v>5</v>
      </c>
      <c r="E694" t="str">
        <f>VLOOKUP(D694,name!A:B,2,1)</f>
        <v>Minako</v>
      </c>
      <c r="F694" t="s">
        <v>624</v>
      </c>
      <c r="G694" t="str">
        <f t="shared" ref="G694" si="716">IF(B694&lt;&gt;B1859,"e",IF(D694=0,"q","a"))</f>
        <v>e</v>
      </c>
      <c r="H694" t="str">
        <f>VLOOKUP(D694,name!A:C,3,1)</f>
        <v>assets/icons/image086.png</v>
      </c>
      <c r="I694" t="s">
        <v>463</v>
      </c>
    </row>
    <row r="695" spans="1:9" x14ac:dyDescent="0.15">
      <c r="A695" t="str">
        <f t="shared" ref="A695:B695" si="717">A694</f>
        <v>フランス語</v>
      </c>
      <c r="B695">
        <f t="shared" si="717"/>
        <v>10</v>
      </c>
      <c r="C695">
        <f t="shared" si="697"/>
        <v>17</v>
      </c>
      <c r="D695">
        <f t="shared" si="701"/>
        <v>5</v>
      </c>
      <c r="E695" t="str">
        <f>VLOOKUP(D695,name!A:B,2,1)</f>
        <v>Minako</v>
      </c>
      <c r="F695" t="s">
        <v>613</v>
      </c>
      <c r="G695" t="str">
        <f t="shared" ref="G695:G758" si="718">IF(B695&lt;&gt;B696,"e",IF(D695=0,"q","a"))</f>
        <v>a</v>
      </c>
      <c r="H695" t="str">
        <f>VLOOKUP(D695,name!A:C,3,1)</f>
        <v>assets/icons/image086.png</v>
      </c>
      <c r="I695" t="str">
        <f>IF(A695="","",VLOOKUP(A695,lng!A:B,2,0))</f>
        <v>fr-FR</v>
      </c>
    </row>
    <row r="696" spans="1:9" x14ac:dyDescent="0.15">
      <c r="A696" t="str">
        <f t="shared" ref="A696:B696" si="719">A695</f>
        <v>フランス語</v>
      </c>
      <c r="B696">
        <f t="shared" si="719"/>
        <v>10</v>
      </c>
      <c r="C696">
        <f t="shared" si="697"/>
        <v>18</v>
      </c>
      <c r="D696">
        <f t="shared" si="701"/>
        <v>5</v>
      </c>
      <c r="E696" t="str">
        <f>VLOOKUP(D696,name!A:B,2,1)</f>
        <v>Minako</v>
      </c>
      <c r="F696" t="s">
        <v>625</v>
      </c>
      <c r="G696" t="str">
        <f t="shared" ref="G696" si="720">IF(B696&lt;&gt;B1861,"e",IF(D696=0,"q","a"))</f>
        <v>e</v>
      </c>
      <c r="H696" t="str">
        <f>VLOOKUP(D696,name!A:C,3,1)</f>
        <v>assets/icons/image086.png</v>
      </c>
      <c r="I696" t="s">
        <v>463</v>
      </c>
    </row>
    <row r="697" spans="1:9" x14ac:dyDescent="0.15">
      <c r="A697" t="str">
        <f t="shared" ref="A697:B697" si="721">A696</f>
        <v>フランス語</v>
      </c>
      <c r="B697">
        <f t="shared" si="721"/>
        <v>10</v>
      </c>
      <c r="C697">
        <f t="shared" si="697"/>
        <v>19</v>
      </c>
      <c r="D697">
        <v>5</v>
      </c>
      <c r="E697" t="str">
        <f>VLOOKUP(D697,name!A:B,2,1)</f>
        <v>Minako</v>
      </c>
      <c r="F697" t="s">
        <v>614</v>
      </c>
      <c r="G697" t="str">
        <f t="shared" ref="G697:G760" si="722">IF(B697&lt;&gt;B698,"e",IF(D697=0,"q","a"))</f>
        <v>a</v>
      </c>
      <c r="H697" t="str">
        <f>VLOOKUP(D697,name!A:C,3,1)</f>
        <v>assets/icons/image086.png</v>
      </c>
      <c r="I697" t="str">
        <f>IF(A697="","",VLOOKUP(A697,lng!A:B,2,0))</f>
        <v>fr-FR</v>
      </c>
    </row>
    <row r="698" spans="1:9" x14ac:dyDescent="0.15">
      <c r="A698" t="str">
        <f t="shared" ref="A698:B698" si="723">A697</f>
        <v>フランス語</v>
      </c>
      <c r="B698">
        <f t="shared" si="723"/>
        <v>10</v>
      </c>
      <c r="C698">
        <f t="shared" si="697"/>
        <v>20</v>
      </c>
      <c r="D698">
        <f t="shared" si="701"/>
        <v>7</v>
      </c>
      <c r="E698" t="str">
        <f>VLOOKUP(D698,name!A:B,2,1)</f>
        <v>Luigi</v>
      </c>
      <c r="F698" t="s">
        <v>626</v>
      </c>
      <c r="G698" t="str">
        <f t="shared" ref="G698" si="724">IF(B698&lt;&gt;B1863,"e",IF(D698=0,"q","a"))</f>
        <v>e</v>
      </c>
      <c r="H698" t="str">
        <f>VLOOKUP(D698,name!A:C,3,1)</f>
        <v>assets/icons/image023.png</v>
      </c>
      <c r="I698" t="s">
        <v>463</v>
      </c>
    </row>
    <row r="699" spans="1:9" x14ac:dyDescent="0.15">
      <c r="A699" t="str">
        <f t="shared" ref="A699:B699" si="725">A698</f>
        <v>フランス語</v>
      </c>
      <c r="B699">
        <f t="shared" si="725"/>
        <v>10</v>
      </c>
      <c r="C699">
        <f t="shared" si="697"/>
        <v>21</v>
      </c>
      <c r="D699">
        <v>7</v>
      </c>
      <c r="E699" t="str">
        <f>VLOOKUP(D699,name!A:B,2,1)</f>
        <v>Luigi</v>
      </c>
      <c r="F699" t="s">
        <v>615</v>
      </c>
      <c r="G699" t="str">
        <f t="shared" ref="G699:G762" si="726">IF(B699&lt;&gt;B700,"e",IF(D699=0,"q","a"))</f>
        <v>a</v>
      </c>
      <c r="H699" t="str">
        <f>VLOOKUP(D699,name!A:C,3,1)</f>
        <v>assets/icons/image023.png</v>
      </c>
      <c r="I699" t="str">
        <f>IF(A699="","",VLOOKUP(A699,lng!A:B,2,0))</f>
        <v>fr-FR</v>
      </c>
    </row>
    <row r="700" spans="1:9" x14ac:dyDescent="0.15">
      <c r="A700" t="str">
        <f t="shared" ref="A700:B700" si="727">A699</f>
        <v>フランス語</v>
      </c>
      <c r="B700">
        <f t="shared" si="727"/>
        <v>10</v>
      </c>
      <c r="C700">
        <f t="shared" si="697"/>
        <v>22</v>
      </c>
      <c r="D700">
        <f t="shared" si="701"/>
        <v>7</v>
      </c>
      <c r="E700" t="str">
        <f>VLOOKUP(D700,name!A:B,2,1)</f>
        <v>Luigi</v>
      </c>
      <c r="F700" t="s">
        <v>627</v>
      </c>
      <c r="G700" t="str">
        <f t="shared" ref="G700" si="728">IF(B700&lt;&gt;B1865,"e",IF(D700=0,"q","a"))</f>
        <v>e</v>
      </c>
      <c r="H700" t="str">
        <f>VLOOKUP(D700,name!A:C,3,1)</f>
        <v>assets/icons/image023.png</v>
      </c>
      <c r="I700" t="s">
        <v>463</v>
      </c>
    </row>
    <row r="701" spans="1:9" x14ac:dyDescent="0.15">
      <c r="A701" t="str">
        <f t="shared" ref="A701:B701" si="729">A700</f>
        <v>フランス語</v>
      </c>
      <c r="B701">
        <f t="shared" si="729"/>
        <v>10</v>
      </c>
      <c r="C701">
        <f t="shared" si="697"/>
        <v>23</v>
      </c>
      <c r="D701">
        <v>7</v>
      </c>
      <c r="E701" t="str">
        <f>VLOOKUP(D701,name!A:B,2,1)</f>
        <v>Luigi</v>
      </c>
      <c r="F701" t="s">
        <v>616</v>
      </c>
      <c r="G701" t="str">
        <f t="shared" ref="G701:G764" si="730">IF(B701&lt;&gt;B702,"e",IF(D701=0,"q","a"))</f>
        <v>a</v>
      </c>
      <c r="H701" t="str">
        <f>VLOOKUP(D701,name!A:C,3,1)</f>
        <v>assets/icons/image023.png</v>
      </c>
      <c r="I701" t="str">
        <f>IF(A701="","",VLOOKUP(A701,lng!A:B,2,0))</f>
        <v>fr-FR</v>
      </c>
    </row>
    <row r="702" spans="1:9" x14ac:dyDescent="0.15">
      <c r="A702" t="str">
        <f t="shared" ref="A702:B702" si="731">A701</f>
        <v>フランス語</v>
      </c>
      <c r="B702">
        <f t="shared" si="731"/>
        <v>10</v>
      </c>
      <c r="C702">
        <f t="shared" si="697"/>
        <v>24</v>
      </c>
      <c r="D702">
        <f t="shared" si="701"/>
        <v>5</v>
      </c>
      <c r="E702" t="str">
        <f>VLOOKUP(D702,name!A:B,2,1)</f>
        <v>Minako</v>
      </c>
      <c r="F702" t="s">
        <v>628</v>
      </c>
      <c r="G702" t="str">
        <f t="shared" ref="G702" si="732">IF(B702&lt;&gt;B1867,"e",IF(D702=0,"q","a"))</f>
        <v>e</v>
      </c>
      <c r="H702" t="str">
        <f>VLOOKUP(D702,name!A:C,3,1)</f>
        <v>assets/icons/image086.png</v>
      </c>
      <c r="I702" t="s">
        <v>463</v>
      </c>
    </row>
    <row r="703" spans="1:9" x14ac:dyDescent="0.15">
      <c r="A703" t="str">
        <f t="shared" ref="A703:B703" si="733">A702</f>
        <v>フランス語</v>
      </c>
      <c r="B703">
        <f t="shared" si="733"/>
        <v>10</v>
      </c>
      <c r="C703">
        <f t="shared" si="697"/>
        <v>25</v>
      </c>
      <c r="D703">
        <v>5</v>
      </c>
      <c r="E703" t="str">
        <f>VLOOKUP(D703,name!A:B,2,1)</f>
        <v>Minako</v>
      </c>
      <c r="F703" t="s">
        <v>617</v>
      </c>
      <c r="G703" t="str">
        <f t="shared" ref="G703:G766" si="734">IF(B703&lt;&gt;B704,"e",IF(D703=0,"q","a"))</f>
        <v>a</v>
      </c>
      <c r="H703" t="str">
        <f>VLOOKUP(D703,name!A:C,3,1)</f>
        <v>assets/icons/image086.png</v>
      </c>
      <c r="I703" t="str">
        <f>IF(A703="","",VLOOKUP(A703,lng!A:B,2,0))</f>
        <v>fr-FR</v>
      </c>
    </row>
    <row r="704" spans="1:9" x14ac:dyDescent="0.15">
      <c r="A704" t="str">
        <f t="shared" ref="A704:B704" si="735">A703</f>
        <v>フランス語</v>
      </c>
      <c r="B704">
        <f t="shared" si="735"/>
        <v>10</v>
      </c>
      <c r="C704">
        <f t="shared" si="697"/>
        <v>26</v>
      </c>
      <c r="D704">
        <v>1</v>
      </c>
      <c r="E704" t="str">
        <f>VLOOKUP(D704,name!A:B,2,1)</f>
        <v>Navigator</v>
      </c>
      <c r="F704" t="str">
        <f>"次の"&amp;A704&amp;"を真似してね！"</f>
        <v>次のフランス語を真似してね！</v>
      </c>
      <c r="G704" t="str">
        <f t="shared" ref="G704" si="736">IF(B704&lt;&gt;B1869,"e",IF(D704=0,"q","a"))</f>
        <v>e</v>
      </c>
      <c r="H704" t="str">
        <f>VLOOKUP(D704,name!A:C,3,1)</f>
        <v>assets/icons/image014.png</v>
      </c>
      <c r="I704" t="s">
        <v>463</v>
      </c>
    </row>
    <row r="705" spans="1:9" x14ac:dyDescent="0.15">
      <c r="A705" t="str">
        <f t="shared" ref="A705:B705" si="737">A704</f>
        <v>フランス語</v>
      </c>
      <c r="B705">
        <f t="shared" si="737"/>
        <v>10</v>
      </c>
      <c r="C705">
        <f t="shared" si="697"/>
        <v>27</v>
      </c>
      <c r="D705">
        <f>D682</f>
        <v>6</v>
      </c>
      <c r="E705" t="str">
        <f>VLOOKUP(D705,name!A:B,2,1)</f>
        <v>Céline</v>
      </c>
      <c r="F705" t="str">
        <f>F682</f>
        <v>美奈子さん、お誕生日おめでとう!</v>
      </c>
      <c r="G705" t="str">
        <f t="shared" ref="G705:G768" si="738">IF(B705&lt;&gt;B706,"e",IF(D705=0,"q","a"))</f>
        <v>a</v>
      </c>
      <c r="H705" t="str">
        <f>VLOOKUP(D705,name!A:C,3,1)</f>
        <v>assets/icons/image078.png</v>
      </c>
      <c r="I705" t="s">
        <v>463</v>
      </c>
    </row>
    <row r="706" spans="1:9" x14ac:dyDescent="0.15">
      <c r="A706" t="str">
        <f t="shared" ref="A706:B706" si="739">A705</f>
        <v>フランス語</v>
      </c>
      <c r="B706">
        <f t="shared" si="739"/>
        <v>10</v>
      </c>
      <c r="C706">
        <f t="shared" si="697"/>
        <v>28</v>
      </c>
      <c r="D706">
        <f>D683</f>
        <v>6</v>
      </c>
      <c r="E706" t="str">
        <f>VLOOKUP(D706,name!A:B,2,1)</f>
        <v>Céline</v>
      </c>
      <c r="F706" t="str">
        <f>F683</f>
        <v>Bon anniversaire, Minako !</v>
      </c>
      <c r="G706" t="str">
        <f t="shared" ref="G706" si="740">IF(B706&lt;&gt;B1871,"e",IF(D706=0,"q","a"))</f>
        <v>e</v>
      </c>
      <c r="H706" t="str">
        <f>VLOOKUP(D706,name!A:C,3,1)</f>
        <v>assets/icons/image078.png</v>
      </c>
      <c r="I706" t="str">
        <f>IF(A706="","",VLOOKUP(A706,lng!A:B,2,0))</f>
        <v>fr-FR</v>
      </c>
    </row>
    <row r="707" spans="1:9" x14ac:dyDescent="0.15">
      <c r="A707" t="str">
        <f t="shared" ref="A707:B707" si="741">A706</f>
        <v>フランス語</v>
      </c>
      <c r="B707">
        <f t="shared" si="741"/>
        <v>10</v>
      </c>
      <c r="C707">
        <f t="shared" si="697"/>
        <v>29</v>
      </c>
      <c r="D707">
        <v>0</v>
      </c>
      <c r="E707" t="str">
        <f>VLOOKUP(D707,name!A:B,2,1)</f>
        <v>Player</v>
      </c>
      <c r="F707" t="str">
        <f>F683</f>
        <v>Bon anniversaire, Minako !</v>
      </c>
      <c r="G707" t="str">
        <f t="shared" ref="G707:G770" si="742">IF(B707&lt;&gt;B708,"e",IF(D707=0,"q","a"))</f>
        <v>q</v>
      </c>
      <c r="H707" t="str">
        <f>VLOOKUP(D707,name!A:C,3,1)</f>
        <v>assets/icons/image326.png</v>
      </c>
      <c r="I707" t="str">
        <f>IF(A707="","",VLOOKUP(A707,lng!A:B,2,0))</f>
        <v>fr-FR</v>
      </c>
    </row>
    <row r="708" spans="1:9" x14ac:dyDescent="0.15">
      <c r="A708" t="str">
        <f t="shared" ref="A708:B708" si="743">A707</f>
        <v>フランス語</v>
      </c>
      <c r="B708">
        <f t="shared" si="743"/>
        <v>10</v>
      </c>
      <c r="C708">
        <f t="shared" si="697"/>
        <v>30</v>
      </c>
      <c r="D708">
        <f>D684</f>
        <v>5</v>
      </c>
      <c r="E708" t="str">
        <f>VLOOKUP(D708,name!A:B,2,1)</f>
        <v>Minako</v>
      </c>
      <c r="F708" t="str">
        <f>F684</f>
        <v>ありがとうございます。</v>
      </c>
      <c r="G708" t="str">
        <f t="shared" ref="G708" si="744">IF(B708&lt;&gt;B1873,"e",IF(D708=0,"q","a"))</f>
        <v>e</v>
      </c>
      <c r="H708" t="str">
        <f>VLOOKUP(D708,name!A:C,3,1)</f>
        <v>assets/icons/image086.png</v>
      </c>
      <c r="I708" t="s">
        <v>463</v>
      </c>
    </row>
    <row r="709" spans="1:9" x14ac:dyDescent="0.15">
      <c r="A709" t="str">
        <f t="shared" ref="A709:B709" si="745">A708</f>
        <v>フランス語</v>
      </c>
      <c r="B709">
        <f t="shared" si="745"/>
        <v>10</v>
      </c>
      <c r="C709">
        <f t="shared" si="697"/>
        <v>31</v>
      </c>
      <c r="D709">
        <f>D685</f>
        <v>5</v>
      </c>
      <c r="E709" t="str">
        <f>VLOOKUP(D709,name!A:B,2,1)</f>
        <v>Minako</v>
      </c>
      <c r="F709" t="str">
        <f>F685</f>
        <v>Merci beaucoup.</v>
      </c>
      <c r="G709" t="str">
        <f t="shared" ref="G709:G772" si="746">IF(B709&lt;&gt;B710,"e",IF(D709=0,"q","a"))</f>
        <v>a</v>
      </c>
      <c r="H709" t="str">
        <f>VLOOKUP(D709,name!A:C,3,1)</f>
        <v>assets/icons/image086.png</v>
      </c>
      <c r="I709" t="str">
        <f>IF(A709="","",VLOOKUP(A709,lng!A:B,2,0))</f>
        <v>fr-FR</v>
      </c>
    </row>
    <row r="710" spans="1:9" x14ac:dyDescent="0.15">
      <c r="A710" t="str">
        <f t="shared" ref="A710:B710" si="747">A709</f>
        <v>フランス語</v>
      </c>
      <c r="B710">
        <f t="shared" si="747"/>
        <v>10</v>
      </c>
      <c r="C710">
        <f t="shared" si="697"/>
        <v>32</v>
      </c>
      <c r="D710">
        <v>0</v>
      </c>
      <c r="E710" t="str">
        <f>VLOOKUP(D710,name!A:B,2,1)</f>
        <v>Player</v>
      </c>
      <c r="F710" t="str">
        <f>F685</f>
        <v>Merci beaucoup.</v>
      </c>
      <c r="G710" t="str">
        <f t="shared" ref="G710" si="748">IF(B710&lt;&gt;B1875,"e",IF(D710=0,"q","a"))</f>
        <v>e</v>
      </c>
      <c r="H710" t="str">
        <f>VLOOKUP(D710,name!A:C,3,1)</f>
        <v>assets/icons/image326.png</v>
      </c>
      <c r="I710" t="str">
        <f>IF(A710="","",VLOOKUP(A710,lng!A:B,2,0))</f>
        <v>fr-FR</v>
      </c>
    </row>
    <row r="711" spans="1:9" x14ac:dyDescent="0.15">
      <c r="A711" t="str">
        <f t="shared" ref="A711:B711" si="749">A710</f>
        <v>フランス語</v>
      </c>
      <c r="B711">
        <f t="shared" si="749"/>
        <v>10</v>
      </c>
      <c r="C711">
        <f t="shared" si="697"/>
        <v>33</v>
      </c>
      <c r="D711">
        <f>D686</f>
        <v>7</v>
      </c>
      <c r="E711" t="str">
        <f>VLOOKUP(D711,name!A:B,2,1)</f>
        <v>Luigi</v>
      </c>
      <c r="F711" t="str">
        <f>F686</f>
        <v>あなたは何歳になったのですか?</v>
      </c>
      <c r="G711" t="str">
        <f t="shared" ref="G711:G774" si="750">IF(B711&lt;&gt;B712,"e",IF(D711=0,"q","a"))</f>
        <v>a</v>
      </c>
      <c r="H711" t="str">
        <f>VLOOKUP(D711,name!A:C,3,1)</f>
        <v>assets/icons/image023.png</v>
      </c>
      <c r="I711" t="s">
        <v>463</v>
      </c>
    </row>
    <row r="712" spans="1:9" x14ac:dyDescent="0.15">
      <c r="A712" t="str">
        <f t="shared" ref="A712:B712" si="751">A711</f>
        <v>フランス語</v>
      </c>
      <c r="B712">
        <f t="shared" si="751"/>
        <v>10</v>
      </c>
      <c r="C712">
        <f t="shared" si="697"/>
        <v>34</v>
      </c>
      <c r="D712">
        <f>D687</f>
        <v>7</v>
      </c>
      <c r="E712" t="str">
        <f>VLOOKUP(D712,name!A:B,2,1)</f>
        <v>Luigi</v>
      </c>
      <c r="F712" t="str">
        <f>F687</f>
        <v>Tu as quel âge maintenant ?</v>
      </c>
      <c r="G712" t="str">
        <f t="shared" ref="G712" si="752">IF(B712&lt;&gt;B1877,"e",IF(D712=0,"q","a"))</f>
        <v>e</v>
      </c>
      <c r="H712" t="str">
        <f>VLOOKUP(D712,name!A:C,3,1)</f>
        <v>assets/icons/image023.png</v>
      </c>
      <c r="I712" t="str">
        <f>IF(A712="","",VLOOKUP(A712,lng!A:B,2,0))</f>
        <v>fr-FR</v>
      </c>
    </row>
    <row r="713" spans="1:9" x14ac:dyDescent="0.15">
      <c r="A713" t="str">
        <f t="shared" ref="A713:B713" si="753">A712</f>
        <v>フランス語</v>
      </c>
      <c r="B713">
        <f t="shared" si="753"/>
        <v>10</v>
      </c>
      <c r="C713">
        <f t="shared" si="697"/>
        <v>35</v>
      </c>
      <c r="D713">
        <v>0</v>
      </c>
      <c r="E713" t="str">
        <f>VLOOKUP(D713,name!A:B,2,1)</f>
        <v>Player</v>
      </c>
      <c r="F713" t="str">
        <f>F687</f>
        <v>Tu as quel âge maintenant ?</v>
      </c>
      <c r="G713" t="str">
        <f t="shared" ref="G713:G776" si="754">IF(B713&lt;&gt;B714,"e",IF(D713=0,"q","a"))</f>
        <v>q</v>
      </c>
      <c r="H713" t="str">
        <f>VLOOKUP(D713,name!A:C,3,1)</f>
        <v>assets/icons/image326.png</v>
      </c>
      <c r="I713" t="str">
        <f>IF(A713="","",VLOOKUP(A713,lng!A:B,2,0))</f>
        <v>fr-FR</v>
      </c>
    </row>
    <row r="714" spans="1:9" x14ac:dyDescent="0.15">
      <c r="A714" t="str">
        <f t="shared" ref="A714:B714" si="755">A713</f>
        <v>フランス語</v>
      </c>
      <c r="B714">
        <f t="shared" si="755"/>
        <v>10</v>
      </c>
      <c r="C714">
        <f t="shared" si="697"/>
        <v>36</v>
      </c>
      <c r="D714">
        <f>D688</f>
        <v>5</v>
      </c>
      <c r="E714" t="str">
        <f>VLOOKUP(D714,name!A:B,2,1)</f>
        <v>Minako</v>
      </c>
      <c r="F714" t="str">
        <f>F688</f>
        <v>私はちょうど22歳になりました。</v>
      </c>
      <c r="G714" t="str">
        <f t="shared" ref="G714" si="756">IF(B714&lt;&gt;B1879,"e",IF(D714=0,"q","a"))</f>
        <v>e</v>
      </c>
      <c r="H714" t="str">
        <f>VLOOKUP(D714,name!A:C,3,1)</f>
        <v>assets/icons/image086.png</v>
      </c>
      <c r="I714" t="s">
        <v>463</v>
      </c>
    </row>
    <row r="715" spans="1:9" x14ac:dyDescent="0.15">
      <c r="A715" t="str">
        <f t="shared" ref="A715:B715" si="757">A714</f>
        <v>フランス語</v>
      </c>
      <c r="B715">
        <f t="shared" si="757"/>
        <v>10</v>
      </c>
      <c r="C715">
        <f t="shared" si="697"/>
        <v>37</v>
      </c>
      <c r="D715">
        <f>D689</f>
        <v>5</v>
      </c>
      <c r="E715" t="str">
        <f>VLOOKUP(D715,name!A:B,2,1)</f>
        <v>Minako</v>
      </c>
      <c r="F715" t="str">
        <f>F689</f>
        <v>Je viens d'avoir vingt-deux ans.</v>
      </c>
      <c r="G715" t="str">
        <f t="shared" ref="G715:G778" si="758">IF(B715&lt;&gt;B716,"e",IF(D715=0,"q","a"))</f>
        <v>a</v>
      </c>
      <c r="H715" t="str">
        <f>VLOOKUP(D715,name!A:C,3,1)</f>
        <v>assets/icons/image086.png</v>
      </c>
      <c r="I715" t="str">
        <f>IF(A715="","",VLOOKUP(A715,lng!A:B,2,0))</f>
        <v>fr-FR</v>
      </c>
    </row>
    <row r="716" spans="1:9" x14ac:dyDescent="0.15">
      <c r="A716" t="str">
        <f t="shared" ref="A716:B716" si="759">A715</f>
        <v>フランス語</v>
      </c>
      <c r="B716">
        <f t="shared" si="759"/>
        <v>10</v>
      </c>
      <c r="C716">
        <f t="shared" si="697"/>
        <v>38</v>
      </c>
      <c r="D716">
        <v>0</v>
      </c>
      <c r="E716" t="str">
        <f>VLOOKUP(D716,name!A:B,2,1)</f>
        <v>Player</v>
      </c>
      <c r="F716" t="str">
        <f>F689</f>
        <v>Je viens d'avoir vingt-deux ans.</v>
      </c>
      <c r="G716" t="str">
        <f t="shared" ref="G716" si="760">IF(B716&lt;&gt;B1881,"e",IF(D716=0,"q","a"))</f>
        <v>e</v>
      </c>
      <c r="H716" t="str">
        <f>VLOOKUP(D716,name!A:C,3,1)</f>
        <v>assets/icons/image326.png</v>
      </c>
      <c r="I716" t="str">
        <f>IF(A716="","",VLOOKUP(A716,lng!A:B,2,0))</f>
        <v>fr-FR</v>
      </c>
    </row>
    <row r="717" spans="1:9" x14ac:dyDescent="0.15">
      <c r="A717" t="str">
        <f t="shared" ref="A717:B717" si="761">A716</f>
        <v>フランス語</v>
      </c>
      <c r="B717">
        <f t="shared" si="761"/>
        <v>10</v>
      </c>
      <c r="C717">
        <f t="shared" si="697"/>
        <v>39</v>
      </c>
      <c r="D717">
        <f>D690</f>
        <v>6</v>
      </c>
      <c r="E717" t="str">
        <f>VLOOKUP(D717,name!A:B,2,1)</f>
        <v>Céline</v>
      </c>
      <c r="F717" t="str">
        <f>F690</f>
        <v>サプライズがあります。</v>
      </c>
      <c r="G717" t="str">
        <f t="shared" ref="G717:G780" si="762">IF(B717&lt;&gt;B718,"e",IF(D717=0,"q","a"))</f>
        <v>a</v>
      </c>
      <c r="H717" t="str">
        <f>VLOOKUP(D717,name!A:C,3,1)</f>
        <v>assets/icons/image078.png</v>
      </c>
      <c r="I717" t="s">
        <v>463</v>
      </c>
    </row>
    <row r="718" spans="1:9" x14ac:dyDescent="0.15">
      <c r="A718" t="str">
        <f t="shared" ref="A718:B718" si="763">A717</f>
        <v>フランス語</v>
      </c>
      <c r="B718">
        <f t="shared" si="763"/>
        <v>10</v>
      </c>
      <c r="C718">
        <f t="shared" si="697"/>
        <v>40</v>
      </c>
      <c r="D718">
        <f>D691</f>
        <v>6</v>
      </c>
      <c r="E718" t="str">
        <f>VLOOKUP(D718,name!A:B,2,1)</f>
        <v>Céline</v>
      </c>
      <c r="F718" t="str">
        <f>F691</f>
        <v>Nous avons une surprise pour toi.</v>
      </c>
      <c r="G718" t="str">
        <f t="shared" ref="G718" si="764">IF(B718&lt;&gt;B1883,"e",IF(D718=0,"q","a"))</f>
        <v>e</v>
      </c>
      <c r="H718" t="str">
        <f>VLOOKUP(D718,name!A:C,3,1)</f>
        <v>assets/icons/image078.png</v>
      </c>
      <c r="I718" t="str">
        <f>IF(A718="","",VLOOKUP(A718,lng!A:B,2,0))</f>
        <v>fr-FR</v>
      </c>
    </row>
    <row r="719" spans="1:9" x14ac:dyDescent="0.15">
      <c r="A719" t="str">
        <f t="shared" ref="A719:B719" si="765">A718</f>
        <v>フランス語</v>
      </c>
      <c r="B719">
        <f t="shared" si="765"/>
        <v>10</v>
      </c>
      <c r="C719">
        <f t="shared" si="697"/>
        <v>41</v>
      </c>
      <c r="D719">
        <v>0</v>
      </c>
      <c r="E719" t="str">
        <f>VLOOKUP(D719,name!A:B,2,1)</f>
        <v>Player</v>
      </c>
      <c r="F719" t="str">
        <f>F691</f>
        <v>Nous avons une surprise pour toi.</v>
      </c>
      <c r="G719" t="str">
        <f t="shared" ref="G719:G782" si="766">IF(B719&lt;&gt;B720,"e",IF(D719=0,"q","a"))</f>
        <v>q</v>
      </c>
      <c r="H719" t="str">
        <f>VLOOKUP(D719,name!A:C,3,1)</f>
        <v>assets/icons/image326.png</v>
      </c>
      <c r="I719" t="str">
        <f>IF(A719="","",VLOOKUP(A719,lng!A:B,2,0))</f>
        <v>fr-FR</v>
      </c>
    </row>
    <row r="720" spans="1:9" x14ac:dyDescent="0.15">
      <c r="A720" t="str">
        <f t="shared" ref="A720:B720" si="767">A719</f>
        <v>フランス語</v>
      </c>
      <c r="B720">
        <f t="shared" si="767"/>
        <v>10</v>
      </c>
      <c r="C720">
        <f t="shared" si="697"/>
        <v>42</v>
      </c>
      <c r="D720">
        <f>D692</f>
        <v>6</v>
      </c>
      <c r="E720" t="str">
        <f>VLOOKUP(D720,name!A:B,2,1)</f>
        <v>Céline</v>
      </c>
      <c r="F720" t="str">
        <f>F692</f>
        <v>これはバースデーケーキです。</v>
      </c>
      <c r="G720" t="str">
        <f t="shared" ref="G720" si="768">IF(B720&lt;&gt;B1885,"e",IF(D720=0,"q","a"))</f>
        <v>e</v>
      </c>
      <c r="H720" t="str">
        <f>VLOOKUP(D720,name!A:C,3,1)</f>
        <v>assets/icons/image078.png</v>
      </c>
      <c r="I720" t="s">
        <v>463</v>
      </c>
    </row>
    <row r="721" spans="1:9" x14ac:dyDescent="0.15">
      <c r="A721" t="str">
        <f t="shared" ref="A721:B721" si="769">A720</f>
        <v>フランス語</v>
      </c>
      <c r="B721">
        <f t="shared" si="769"/>
        <v>10</v>
      </c>
      <c r="C721">
        <f t="shared" si="697"/>
        <v>43</v>
      </c>
      <c r="D721">
        <f>D693</f>
        <v>6</v>
      </c>
      <c r="E721" t="str">
        <f>VLOOKUP(D721,name!A:B,2,1)</f>
        <v>Céline</v>
      </c>
      <c r="F721" t="str">
        <f>F693</f>
        <v>Voilà un gâteau d'anniversaire.</v>
      </c>
      <c r="G721" t="str">
        <f t="shared" ref="G721:G784" si="770">IF(B721&lt;&gt;B722,"e",IF(D721=0,"q","a"))</f>
        <v>a</v>
      </c>
      <c r="H721" t="str">
        <f>VLOOKUP(D721,name!A:C,3,1)</f>
        <v>assets/icons/image078.png</v>
      </c>
      <c r="I721" t="str">
        <f>IF(A721="","",VLOOKUP(A721,lng!A:B,2,0))</f>
        <v>fr-FR</v>
      </c>
    </row>
    <row r="722" spans="1:9" x14ac:dyDescent="0.15">
      <c r="A722" t="str">
        <f t="shared" ref="A722:B722" si="771">A721</f>
        <v>フランス語</v>
      </c>
      <c r="B722">
        <f t="shared" si="771"/>
        <v>10</v>
      </c>
      <c r="C722">
        <f t="shared" si="697"/>
        <v>44</v>
      </c>
      <c r="D722">
        <v>0</v>
      </c>
      <c r="E722" t="str">
        <f>VLOOKUP(D722,name!A:B,2,1)</f>
        <v>Player</v>
      </c>
      <c r="F722" t="str">
        <f>F693</f>
        <v>Voilà un gâteau d'anniversaire.</v>
      </c>
      <c r="G722" t="str">
        <f t="shared" ref="G722" si="772">IF(B722&lt;&gt;B1887,"e",IF(D722=0,"q","a"))</f>
        <v>e</v>
      </c>
      <c r="H722" t="str">
        <f>VLOOKUP(D722,name!A:C,3,1)</f>
        <v>assets/icons/image326.png</v>
      </c>
      <c r="I722" t="str">
        <f>IF(A722="","",VLOOKUP(A722,lng!A:B,2,0))</f>
        <v>fr-FR</v>
      </c>
    </row>
    <row r="723" spans="1:9" x14ac:dyDescent="0.15">
      <c r="A723" t="str">
        <f t="shared" ref="A723:B723" si="773">A722</f>
        <v>フランス語</v>
      </c>
      <c r="B723">
        <f t="shared" si="773"/>
        <v>10</v>
      </c>
      <c r="C723">
        <f t="shared" si="697"/>
        <v>45</v>
      </c>
      <c r="D723">
        <f>D694</f>
        <v>5</v>
      </c>
      <c r="E723" t="str">
        <f>VLOOKUP(D723,name!A:B,2,1)</f>
        <v>Minako</v>
      </c>
      <c r="F723" t="str">
        <f>F694</f>
        <v>すごい！</v>
      </c>
      <c r="G723" t="str">
        <f t="shared" ref="G723:G786" si="774">IF(B723&lt;&gt;B724,"e",IF(D723=0,"q","a"))</f>
        <v>a</v>
      </c>
      <c r="H723" t="str">
        <f>VLOOKUP(D723,name!A:C,3,1)</f>
        <v>assets/icons/image086.png</v>
      </c>
      <c r="I723" t="s">
        <v>463</v>
      </c>
    </row>
    <row r="724" spans="1:9" x14ac:dyDescent="0.15">
      <c r="A724" t="str">
        <f t="shared" ref="A724:B724" si="775">A723</f>
        <v>フランス語</v>
      </c>
      <c r="B724">
        <f t="shared" si="775"/>
        <v>10</v>
      </c>
      <c r="C724">
        <f t="shared" si="697"/>
        <v>46</v>
      </c>
      <c r="D724">
        <f>D695</f>
        <v>5</v>
      </c>
      <c r="E724" t="str">
        <f>VLOOKUP(D724,name!A:B,2,1)</f>
        <v>Minako</v>
      </c>
      <c r="F724" t="str">
        <f>F695</f>
        <v>Super!</v>
      </c>
      <c r="G724" t="str">
        <f t="shared" ref="G724" si="776">IF(B724&lt;&gt;B1889,"e",IF(D724=0,"q","a"))</f>
        <v>e</v>
      </c>
      <c r="H724" t="str">
        <f>VLOOKUP(D724,name!A:C,3,1)</f>
        <v>assets/icons/image086.png</v>
      </c>
      <c r="I724" t="str">
        <f>IF(A724="","",VLOOKUP(A724,lng!A:B,2,0))</f>
        <v>fr-FR</v>
      </c>
    </row>
    <row r="725" spans="1:9" x14ac:dyDescent="0.15">
      <c r="A725" t="str">
        <f t="shared" ref="A725:B725" si="777">A724</f>
        <v>フランス語</v>
      </c>
      <c r="B725">
        <f t="shared" si="777"/>
        <v>10</v>
      </c>
      <c r="C725">
        <f t="shared" si="697"/>
        <v>47</v>
      </c>
      <c r="D725">
        <v>0</v>
      </c>
      <c r="E725" t="str">
        <f>VLOOKUP(D725,name!A:B,2,1)</f>
        <v>Player</v>
      </c>
      <c r="F725" t="str">
        <f>F695</f>
        <v>Super!</v>
      </c>
      <c r="G725" t="str">
        <f t="shared" ref="G725:G788" si="778">IF(B725&lt;&gt;B726,"e",IF(D725=0,"q","a"))</f>
        <v>q</v>
      </c>
      <c r="H725" t="str">
        <f>VLOOKUP(D725,name!A:C,3,1)</f>
        <v>assets/icons/image326.png</v>
      </c>
      <c r="I725" t="str">
        <f>IF(A725="","",VLOOKUP(A725,lng!A:B,2,0))</f>
        <v>fr-FR</v>
      </c>
    </row>
    <row r="726" spans="1:9" x14ac:dyDescent="0.15">
      <c r="A726" t="str">
        <f t="shared" ref="A726:B726" si="779">A725</f>
        <v>フランス語</v>
      </c>
      <c r="B726">
        <f t="shared" si="779"/>
        <v>10</v>
      </c>
      <c r="C726">
        <f t="shared" si="697"/>
        <v>48</v>
      </c>
      <c r="D726">
        <f>D696</f>
        <v>5</v>
      </c>
      <c r="E726" t="str">
        <f>VLOOKUP(D726,name!A:B,2,1)</f>
        <v>Minako</v>
      </c>
      <c r="F726" t="str">
        <f>F696</f>
        <v>このケーキは作ったんですか?</v>
      </c>
      <c r="G726" t="str">
        <f t="shared" ref="G726" si="780">IF(B726&lt;&gt;B1891,"e",IF(D726=0,"q","a"))</f>
        <v>e</v>
      </c>
      <c r="H726" t="str">
        <f>VLOOKUP(D726,name!A:C,3,1)</f>
        <v>assets/icons/image086.png</v>
      </c>
      <c r="I726" t="s">
        <v>463</v>
      </c>
    </row>
    <row r="727" spans="1:9" x14ac:dyDescent="0.15">
      <c r="A727" t="str">
        <f t="shared" ref="A727:B727" si="781">A726</f>
        <v>フランス語</v>
      </c>
      <c r="B727">
        <f t="shared" si="781"/>
        <v>10</v>
      </c>
      <c r="C727">
        <f t="shared" si="697"/>
        <v>49</v>
      </c>
      <c r="D727">
        <f>D697</f>
        <v>5</v>
      </c>
      <c r="E727" t="str">
        <f>VLOOKUP(D727,name!A:B,2,1)</f>
        <v>Minako</v>
      </c>
      <c r="F727" t="str">
        <f>F697</f>
        <v>Vous avez fait ce gâteau ?</v>
      </c>
      <c r="G727" t="str">
        <f t="shared" ref="G727:G790" si="782">IF(B727&lt;&gt;B728,"e",IF(D727=0,"q","a"))</f>
        <v>a</v>
      </c>
      <c r="H727" t="str">
        <f>VLOOKUP(D727,name!A:C,3,1)</f>
        <v>assets/icons/image086.png</v>
      </c>
      <c r="I727" t="str">
        <f>IF(A727="","",VLOOKUP(A727,lng!A:B,2,0))</f>
        <v>fr-FR</v>
      </c>
    </row>
    <row r="728" spans="1:9" x14ac:dyDescent="0.15">
      <c r="A728" t="str">
        <f t="shared" ref="A728:B728" si="783">A727</f>
        <v>フランス語</v>
      </c>
      <c r="B728">
        <f t="shared" si="783"/>
        <v>10</v>
      </c>
      <c r="C728">
        <f t="shared" si="697"/>
        <v>50</v>
      </c>
      <c r="D728">
        <v>0</v>
      </c>
      <c r="E728" t="str">
        <f>VLOOKUP(D728,name!A:B,2,1)</f>
        <v>Player</v>
      </c>
      <c r="F728" t="str">
        <f>F697</f>
        <v>Vous avez fait ce gâteau ?</v>
      </c>
      <c r="G728" t="str">
        <f t="shared" ref="G728" si="784">IF(B728&lt;&gt;B1893,"e",IF(D728=0,"q","a"))</f>
        <v>e</v>
      </c>
      <c r="H728" t="str">
        <f>VLOOKUP(D728,name!A:C,3,1)</f>
        <v>assets/icons/image326.png</v>
      </c>
      <c r="I728" t="str">
        <f>IF(A728="","",VLOOKUP(A728,lng!A:B,2,0))</f>
        <v>fr-FR</v>
      </c>
    </row>
    <row r="729" spans="1:9" x14ac:dyDescent="0.15">
      <c r="A729" t="str">
        <f t="shared" ref="A729:B729" si="785">A728</f>
        <v>フランス語</v>
      </c>
      <c r="B729">
        <f t="shared" si="785"/>
        <v>10</v>
      </c>
      <c r="C729">
        <f t="shared" si="697"/>
        <v>51</v>
      </c>
      <c r="D729">
        <f>D698</f>
        <v>7</v>
      </c>
      <c r="E729" t="str">
        <f>VLOOKUP(D729,name!A:B,2,1)</f>
        <v>Luigi</v>
      </c>
      <c r="F729" t="str">
        <f>F698</f>
        <v>セリーヌが作りました。</v>
      </c>
      <c r="G729" t="str">
        <f t="shared" ref="G729:G792" si="786">IF(B729&lt;&gt;B730,"e",IF(D729=0,"q","a"))</f>
        <v>a</v>
      </c>
      <c r="H729" t="str">
        <f>VLOOKUP(D729,name!A:C,3,1)</f>
        <v>assets/icons/image023.png</v>
      </c>
      <c r="I729" t="s">
        <v>463</v>
      </c>
    </row>
    <row r="730" spans="1:9" x14ac:dyDescent="0.15">
      <c r="A730" t="str">
        <f t="shared" ref="A730:B730" si="787">A729</f>
        <v>フランス語</v>
      </c>
      <c r="B730">
        <f t="shared" si="787"/>
        <v>10</v>
      </c>
      <c r="C730">
        <f t="shared" si="697"/>
        <v>52</v>
      </c>
      <c r="D730">
        <f>D699</f>
        <v>7</v>
      </c>
      <c r="E730" t="str">
        <f>VLOOKUP(D730,name!A:B,2,1)</f>
        <v>Luigi</v>
      </c>
      <c r="F730" t="str">
        <f>F699</f>
        <v>C'est Céline qui l'a fait.</v>
      </c>
      <c r="G730" t="str">
        <f t="shared" ref="G730" si="788">IF(B730&lt;&gt;B1895,"e",IF(D730=0,"q","a"))</f>
        <v>e</v>
      </c>
      <c r="H730" t="str">
        <f>VLOOKUP(D730,name!A:C,3,1)</f>
        <v>assets/icons/image023.png</v>
      </c>
      <c r="I730" t="str">
        <f>IF(A730="","",VLOOKUP(A730,lng!A:B,2,0))</f>
        <v>fr-FR</v>
      </c>
    </row>
    <row r="731" spans="1:9" x14ac:dyDescent="0.15">
      <c r="A731" t="str">
        <f t="shared" ref="A731:B731" si="789">A730</f>
        <v>フランス語</v>
      </c>
      <c r="B731">
        <f t="shared" si="789"/>
        <v>10</v>
      </c>
      <c r="C731">
        <f t="shared" si="697"/>
        <v>53</v>
      </c>
      <c r="D731">
        <v>0</v>
      </c>
      <c r="E731" t="str">
        <f>VLOOKUP(D731,name!A:B,2,1)</f>
        <v>Player</v>
      </c>
      <c r="F731" t="str">
        <f>F699</f>
        <v>C'est Céline qui l'a fait.</v>
      </c>
      <c r="G731" t="str">
        <f t="shared" ref="G731:G794" si="790">IF(B731&lt;&gt;B732,"e",IF(D731=0,"q","a"))</f>
        <v>q</v>
      </c>
      <c r="H731" t="str">
        <f>VLOOKUP(D731,name!A:C,3,1)</f>
        <v>assets/icons/image326.png</v>
      </c>
      <c r="I731" t="str">
        <f>IF(A731="","",VLOOKUP(A731,lng!A:B,2,0))</f>
        <v>fr-FR</v>
      </c>
    </row>
    <row r="732" spans="1:9" x14ac:dyDescent="0.15">
      <c r="A732" t="str">
        <f t="shared" ref="A732:B732" si="791">A731</f>
        <v>フランス語</v>
      </c>
      <c r="B732">
        <f t="shared" si="791"/>
        <v>10</v>
      </c>
      <c r="C732">
        <f t="shared" si="697"/>
        <v>54</v>
      </c>
      <c r="D732">
        <f>D700</f>
        <v>7</v>
      </c>
      <c r="E732" t="str">
        <f>VLOOKUP(D732,name!A:B,2,1)</f>
        <v>Luigi</v>
      </c>
      <c r="F732" t="str">
        <f>F700</f>
        <v>私はそれを少し手伝いました。</v>
      </c>
      <c r="G732" t="str">
        <f t="shared" ref="G732" si="792">IF(B732&lt;&gt;B1897,"e",IF(D732=0,"q","a"))</f>
        <v>e</v>
      </c>
      <c r="H732" t="str">
        <f>VLOOKUP(D732,name!A:C,3,1)</f>
        <v>assets/icons/image023.png</v>
      </c>
      <c r="I732" t="s">
        <v>463</v>
      </c>
    </row>
    <row r="733" spans="1:9" x14ac:dyDescent="0.15">
      <c r="A733" t="str">
        <f t="shared" ref="A733:B733" si="793">A732</f>
        <v>フランス語</v>
      </c>
      <c r="B733">
        <f t="shared" si="793"/>
        <v>10</v>
      </c>
      <c r="C733">
        <f t="shared" si="697"/>
        <v>55</v>
      </c>
      <c r="D733">
        <f>D701</f>
        <v>7</v>
      </c>
      <c r="E733" t="str">
        <f>VLOOKUP(D733,name!A:B,2,1)</f>
        <v>Luigi</v>
      </c>
      <c r="F733" t="str">
        <f>F701</f>
        <v>Je lui ai donné un petit coup de main.</v>
      </c>
      <c r="G733" t="str">
        <f t="shared" ref="G733:G796" si="794">IF(B733&lt;&gt;B734,"e",IF(D733=0,"q","a"))</f>
        <v>a</v>
      </c>
      <c r="H733" t="str">
        <f>VLOOKUP(D733,name!A:C,3,1)</f>
        <v>assets/icons/image023.png</v>
      </c>
      <c r="I733" t="str">
        <f>IF(A733="","",VLOOKUP(A733,lng!A:B,2,0))</f>
        <v>fr-FR</v>
      </c>
    </row>
    <row r="734" spans="1:9" x14ac:dyDescent="0.15">
      <c r="A734" t="str">
        <f t="shared" ref="A734:B734" si="795">A733</f>
        <v>フランス語</v>
      </c>
      <c r="B734">
        <f t="shared" si="795"/>
        <v>10</v>
      </c>
      <c r="C734">
        <f t="shared" si="697"/>
        <v>56</v>
      </c>
      <c r="D734">
        <v>0</v>
      </c>
      <c r="E734" t="str">
        <f>VLOOKUP(D734,name!A:B,2,1)</f>
        <v>Player</v>
      </c>
      <c r="F734" t="str">
        <f>F701</f>
        <v>Je lui ai donné un petit coup de main.</v>
      </c>
      <c r="G734" t="str">
        <f t="shared" ref="G734" si="796">IF(B734&lt;&gt;B1899,"e",IF(D734=0,"q","a"))</f>
        <v>e</v>
      </c>
      <c r="H734" t="str">
        <f>VLOOKUP(D734,name!A:C,3,1)</f>
        <v>assets/icons/image326.png</v>
      </c>
      <c r="I734" t="str">
        <f>IF(A734="","",VLOOKUP(A734,lng!A:B,2,0))</f>
        <v>fr-FR</v>
      </c>
    </row>
    <row r="735" spans="1:9" x14ac:dyDescent="0.15">
      <c r="A735" t="str">
        <f t="shared" ref="A735:B735" si="797">A734</f>
        <v>フランス語</v>
      </c>
      <c r="B735">
        <f t="shared" si="797"/>
        <v>10</v>
      </c>
      <c r="C735">
        <f t="shared" si="697"/>
        <v>57</v>
      </c>
      <c r="D735">
        <f>D702</f>
        <v>5</v>
      </c>
      <c r="E735" t="str">
        <f>VLOOKUP(D735,name!A:B,2,1)</f>
        <v>Minako</v>
      </c>
      <c r="F735" t="str">
        <f>F702</f>
        <v>本当にありがとうございます。</v>
      </c>
      <c r="G735" t="str">
        <f t="shared" ref="G735:G798" si="798">IF(B735&lt;&gt;B736,"e",IF(D735=0,"q","a"))</f>
        <v>a</v>
      </c>
      <c r="H735" t="str">
        <f>VLOOKUP(D735,name!A:C,3,1)</f>
        <v>assets/icons/image086.png</v>
      </c>
      <c r="I735" t="s">
        <v>463</v>
      </c>
    </row>
    <row r="736" spans="1:9" x14ac:dyDescent="0.15">
      <c r="A736" t="str">
        <f t="shared" ref="A736:B736" si="799">A735</f>
        <v>フランス語</v>
      </c>
      <c r="B736">
        <f t="shared" si="799"/>
        <v>10</v>
      </c>
      <c r="C736">
        <f t="shared" si="697"/>
        <v>58</v>
      </c>
      <c r="D736">
        <f>D703</f>
        <v>5</v>
      </c>
      <c r="E736" t="str">
        <f>VLOOKUP(D736,name!A:B,2,1)</f>
        <v>Minako</v>
      </c>
      <c r="F736" t="str">
        <f>F703</f>
        <v>Vous êtes trop gentils.</v>
      </c>
      <c r="G736" t="str">
        <f t="shared" ref="G736" si="800">IF(B736&lt;&gt;B1901,"e",IF(D736=0,"q","a"))</f>
        <v>e</v>
      </c>
      <c r="H736" t="str">
        <f>VLOOKUP(D736,name!A:C,3,1)</f>
        <v>assets/icons/image086.png</v>
      </c>
      <c r="I736" t="str">
        <f>IF(A736="","",VLOOKUP(A736,lng!A:B,2,0))</f>
        <v>fr-FR</v>
      </c>
    </row>
    <row r="737" spans="1:9" x14ac:dyDescent="0.15">
      <c r="A737" t="str">
        <f t="shared" ref="A737:B737" si="801">A736</f>
        <v>フランス語</v>
      </c>
      <c r="B737">
        <f t="shared" si="801"/>
        <v>10</v>
      </c>
      <c r="C737">
        <f t="shared" si="697"/>
        <v>59</v>
      </c>
      <c r="D737">
        <v>0</v>
      </c>
      <c r="E737" t="str">
        <f>VLOOKUP(D737,name!A:B,2,1)</f>
        <v>Player</v>
      </c>
      <c r="F737" t="str">
        <f>F703</f>
        <v>Vous êtes trop gentils.</v>
      </c>
      <c r="G737" t="str">
        <f t="shared" ref="G737:G800" si="802">IF(B737&lt;&gt;B738,"e",IF(D737=0,"q","a"))</f>
        <v>q</v>
      </c>
      <c r="H737" t="str">
        <f>VLOOKUP(D737,name!A:C,3,1)</f>
        <v>assets/icons/image326.png</v>
      </c>
      <c r="I737" t="str">
        <f>IF(A737="","",VLOOKUP(A737,lng!A:B,2,0))</f>
        <v>fr-FR</v>
      </c>
    </row>
    <row r="738" spans="1:9" x14ac:dyDescent="0.15">
      <c r="A738" t="str">
        <f t="shared" ref="A738:B738" si="803">A737</f>
        <v>フランス語</v>
      </c>
      <c r="B738">
        <f t="shared" si="803"/>
        <v>10</v>
      </c>
      <c r="C738">
        <f t="shared" si="697"/>
        <v>60</v>
      </c>
      <c r="D738">
        <v>1</v>
      </c>
      <c r="E738" t="str">
        <f>VLOOKUP(D738,name!A:B,2,1)</f>
        <v>Navigator</v>
      </c>
      <c r="F738" t="str">
        <f>"次の日本語を"&amp;A738&amp;"に訳して答えてね！"</f>
        <v>次の日本語をフランス語に訳して答えてね！</v>
      </c>
      <c r="G738" t="str">
        <f t="shared" ref="G738" si="804">IF(B738&lt;&gt;B1903,"e",IF(D738=0,"q","a"))</f>
        <v>e</v>
      </c>
      <c r="H738" t="str">
        <f>VLOOKUP(D738,name!A:C,3,1)</f>
        <v>assets/icons/image014.png</v>
      </c>
      <c r="I738" t="s">
        <v>463</v>
      </c>
    </row>
    <row r="739" spans="1:9" x14ac:dyDescent="0.15">
      <c r="A739" t="str">
        <f t="shared" ref="A739:B739" si="805">A738</f>
        <v>フランス語</v>
      </c>
      <c r="B739">
        <f t="shared" si="805"/>
        <v>10</v>
      </c>
      <c r="C739">
        <f t="shared" si="697"/>
        <v>61</v>
      </c>
      <c r="D739">
        <f>D682</f>
        <v>6</v>
      </c>
      <c r="E739" t="str">
        <f>VLOOKUP(D739,name!A:B,2,1)</f>
        <v>Céline</v>
      </c>
      <c r="F739" t="str">
        <f t="shared" ref="F739:F760" si="806">F682</f>
        <v>美奈子さん、お誕生日おめでとう!</v>
      </c>
      <c r="G739" t="str">
        <f t="shared" ref="G739:G802" si="807">IF(B739&lt;&gt;B740,"e",IF(D739=0,"q","a"))</f>
        <v>a</v>
      </c>
      <c r="H739" t="str">
        <f>VLOOKUP(D739,name!A:C,3,1)</f>
        <v>assets/icons/image078.png</v>
      </c>
      <c r="I739" t="s">
        <v>463</v>
      </c>
    </row>
    <row r="740" spans="1:9" x14ac:dyDescent="0.15">
      <c r="A740" t="str">
        <f t="shared" ref="A740:B740" si="808">A739</f>
        <v>フランス語</v>
      </c>
      <c r="B740">
        <f t="shared" si="808"/>
        <v>10</v>
      </c>
      <c r="C740">
        <f t="shared" si="697"/>
        <v>62</v>
      </c>
      <c r="D740">
        <v>0</v>
      </c>
      <c r="E740" t="str">
        <f>VLOOKUP(D740,name!A:B,2,1)</f>
        <v>Player</v>
      </c>
      <c r="F740" t="str">
        <f t="shared" si="806"/>
        <v>Bon anniversaire, Minako !</v>
      </c>
      <c r="G740" t="str">
        <f t="shared" ref="G740" si="809">IF(B740&lt;&gt;B1905,"e",IF(D740=0,"q","a"))</f>
        <v>e</v>
      </c>
      <c r="H740" t="str">
        <f>VLOOKUP(D740,name!A:C,3,1)</f>
        <v>assets/icons/image326.png</v>
      </c>
      <c r="I740" t="str">
        <f>IF(A740="","",VLOOKUP(A740,lng!A:B,2,0))</f>
        <v>fr-FR</v>
      </c>
    </row>
    <row r="741" spans="1:9" x14ac:dyDescent="0.15">
      <c r="A741" t="str">
        <f t="shared" ref="A741:B741" si="810">A740</f>
        <v>フランス語</v>
      </c>
      <c r="B741">
        <f t="shared" si="810"/>
        <v>10</v>
      </c>
      <c r="C741">
        <f t="shared" si="697"/>
        <v>63</v>
      </c>
      <c r="D741">
        <f>D684</f>
        <v>5</v>
      </c>
      <c r="E741" t="str">
        <f>VLOOKUP(D741,name!A:B,2,1)</f>
        <v>Minako</v>
      </c>
      <c r="F741" t="str">
        <f t="shared" si="806"/>
        <v>ありがとうございます。</v>
      </c>
      <c r="G741" t="str">
        <f t="shared" ref="G741:G804" si="811">IF(B741&lt;&gt;B742,"e",IF(D741=0,"q","a"))</f>
        <v>a</v>
      </c>
      <c r="H741" t="str">
        <f>VLOOKUP(D741,name!A:C,3,1)</f>
        <v>assets/icons/image086.png</v>
      </c>
      <c r="I741" t="s">
        <v>463</v>
      </c>
    </row>
    <row r="742" spans="1:9" x14ac:dyDescent="0.15">
      <c r="A742" t="str">
        <f t="shared" ref="A742:B742" si="812">A741</f>
        <v>フランス語</v>
      </c>
      <c r="B742">
        <f t="shared" si="812"/>
        <v>10</v>
      </c>
      <c r="C742">
        <f t="shared" si="697"/>
        <v>64</v>
      </c>
      <c r="D742">
        <v>0</v>
      </c>
      <c r="E742" t="str">
        <f>VLOOKUP(D742,name!A:B,2,1)</f>
        <v>Player</v>
      </c>
      <c r="F742" t="str">
        <f t="shared" si="806"/>
        <v>Merci beaucoup.</v>
      </c>
      <c r="G742" t="str">
        <f t="shared" ref="G742" si="813">IF(B742&lt;&gt;B1907,"e",IF(D742=0,"q","a"))</f>
        <v>e</v>
      </c>
      <c r="H742" t="str">
        <f>VLOOKUP(D742,name!A:C,3,1)</f>
        <v>assets/icons/image326.png</v>
      </c>
      <c r="I742" t="str">
        <f>IF(A742="","",VLOOKUP(A742,lng!A:B,2,0))</f>
        <v>fr-FR</v>
      </c>
    </row>
    <row r="743" spans="1:9" x14ac:dyDescent="0.15">
      <c r="A743" t="str">
        <f t="shared" ref="A743:B743" si="814">A742</f>
        <v>フランス語</v>
      </c>
      <c r="B743">
        <f t="shared" si="814"/>
        <v>10</v>
      </c>
      <c r="C743">
        <f t="shared" si="697"/>
        <v>65</v>
      </c>
      <c r="D743">
        <f>D686</f>
        <v>7</v>
      </c>
      <c r="E743" t="str">
        <f>VLOOKUP(D743,name!A:B,2,1)</f>
        <v>Luigi</v>
      </c>
      <c r="F743" t="str">
        <f t="shared" si="806"/>
        <v>あなたは何歳になったのですか?</v>
      </c>
      <c r="G743" t="str">
        <f t="shared" ref="G743:G806" si="815">IF(B743&lt;&gt;B744,"e",IF(D743=0,"q","a"))</f>
        <v>a</v>
      </c>
      <c r="H743" t="str">
        <f>VLOOKUP(D743,name!A:C,3,1)</f>
        <v>assets/icons/image023.png</v>
      </c>
      <c r="I743" t="s">
        <v>463</v>
      </c>
    </row>
    <row r="744" spans="1:9" x14ac:dyDescent="0.15">
      <c r="A744" t="str">
        <f t="shared" ref="A744:B744" si="816">A743</f>
        <v>フランス語</v>
      </c>
      <c r="B744">
        <f t="shared" si="816"/>
        <v>10</v>
      </c>
      <c r="C744">
        <f t="shared" si="697"/>
        <v>66</v>
      </c>
      <c r="D744">
        <v>0</v>
      </c>
      <c r="E744" t="str">
        <f>VLOOKUP(D744,name!A:B,2,1)</f>
        <v>Player</v>
      </c>
      <c r="F744" t="str">
        <f t="shared" si="806"/>
        <v>Tu as quel âge maintenant ?</v>
      </c>
      <c r="G744" t="str">
        <f t="shared" ref="G744" si="817">IF(B744&lt;&gt;B1909,"e",IF(D744=0,"q","a"))</f>
        <v>e</v>
      </c>
      <c r="H744" t="str">
        <f>VLOOKUP(D744,name!A:C,3,1)</f>
        <v>assets/icons/image326.png</v>
      </c>
      <c r="I744" t="str">
        <f>IF(A744="","",VLOOKUP(A744,lng!A:B,2,0))</f>
        <v>fr-FR</v>
      </c>
    </row>
    <row r="745" spans="1:9" x14ac:dyDescent="0.15">
      <c r="A745" t="str">
        <f t="shared" ref="A745:B745" si="818">A744</f>
        <v>フランス語</v>
      </c>
      <c r="B745">
        <f t="shared" si="818"/>
        <v>10</v>
      </c>
      <c r="C745">
        <f t="shared" ref="C745:C761" si="819">C744+1</f>
        <v>67</v>
      </c>
      <c r="D745">
        <f>D688</f>
        <v>5</v>
      </c>
      <c r="E745" t="str">
        <f>VLOOKUP(D745,name!A:B,2,1)</f>
        <v>Minako</v>
      </c>
      <c r="F745" t="str">
        <f t="shared" si="806"/>
        <v>私はちょうど22歳になりました。</v>
      </c>
      <c r="G745" t="str">
        <f t="shared" ref="G745:G808" si="820">IF(B745&lt;&gt;B746,"e",IF(D745=0,"q","a"))</f>
        <v>a</v>
      </c>
      <c r="H745" t="str">
        <f>VLOOKUP(D745,name!A:C,3,1)</f>
        <v>assets/icons/image086.png</v>
      </c>
      <c r="I745" t="s">
        <v>463</v>
      </c>
    </row>
    <row r="746" spans="1:9" x14ac:dyDescent="0.15">
      <c r="A746" t="str">
        <f t="shared" ref="A746:B746" si="821">A745</f>
        <v>フランス語</v>
      </c>
      <c r="B746">
        <f t="shared" si="821"/>
        <v>10</v>
      </c>
      <c r="C746">
        <f t="shared" si="819"/>
        <v>68</v>
      </c>
      <c r="D746">
        <v>0</v>
      </c>
      <c r="E746" t="str">
        <f>VLOOKUP(D746,name!A:B,2,1)</f>
        <v>Player</v>
      </c>
      <c r="F746" t="str">
        <f t="shared" si="806"/>
        <v>Je viens d'avoir vingt-deux ans.</v>
      </c>
      <c r="G746" t="str">
        <f t="shared" ref="G746" si="822">IF(B746&lt;&gt;B1911,"e",IF(D746=0,"q","a"))</f>
        <v>e</v>
      </c>
      <c r="H746" t="str">
        <f>VLOOKUP(D746,name!A:C,3,1)</f>
        <v>assets/icons/image326.png</v>
      </c>
      <c r="I746" t="str">
        <f>IF(A746="","",VLOOKUP(A746,lng!A:B,2,0))</f>
        <v>fr-FR</v>
      </c>
    </row>
    <row r="747" spans="1:9" x14ac:dyDescent="0.15">
      <c r="A747" t="str">
        <f t="shared" ref="A747:B747" si="823">A746</f>
        <v>フランス語</v>
      </c>
      <c r="B747">
        <f t="shared" si="823"/>
        <v>10</v>
      </c>
      <c r="C747">
        <f t="shared" si="819"/>
        <v>69</v>
      </c>
      <c r="D747">
        <f>D690</f>
        <v>6</v>
      </c>
      <c r="E747" t="str">
        <f>VLOOKUP(D747,name!A:B,2,1)</f>
        <v>Céline</v>
      </c>
      <c r="F747" t="str">
        <f t="shared" si="806"/>
        <v>サプライズがあります。</v>
      </c>
      <c r="G747" t="str">
        <f t="shared" ref="G747:G810" si="824">IF(B747&lt;&gt;B748,"e",IF(D747=0,"q","a"))</f>
        <v>a</v>
      </c>
      <c r="H747" t="str">
        <f>VLOOKUP(D747,name!A:C,3,1)</f>
        <v>assets/icons/image078.png</v>
      </c>
      <c r="I747" t="s">
        <v>463</v>
      </c>
    </row>
    <row r="748" spans="1:9" x14ac:dyDescent="0.15">
      <c r="A748" t="str">
        <f t="shared" ref="A748:B748" si="825">A747</f>
        <v>フランス語</v>
      </c>
      <c r="B748">
        <f t="shared" si="825"/>
        <v>10</v>
      </c>
      <c r="C748">
        <f t="shared" si="819"/>
        <v>70</v>
      </c>
      <c r="D748">
        <v>0</v>
      </c>
      <c r="E748" t="str">
        <f>VLOOKUP(D748,name!A:B,2,1)</f>
        <v>Player</v>
      </c>
      <c r="F748" t="str">
        <f t="shared" si="806"/>
        <v>Nous avons une surprise pour toi.</v>
      </c>
      <c r="G748" t="str">
        <f t="shared" ref="G748" si="826">IF(B748&lt;&gt;B1913,"e",IF(D748=0,"q","a"))</f>
        <v>e</v>
      </c>
      <c r="H748" t="str">
        <f>VLOOKUP(D748,name!A:C,3,1)</f>
        <v>assets/icons/image326.png</v>
      </c>
      <c r="I748" t="str">
        <f>IF(A748="","",VLOOKUP(A748,lng!A:B,2,0))</f>
        <v>fr-FR</v>
      </c>
    </row>
    <row r="749" spans="1:9" x14ac:dyDescent="0.15">
      <c r="A749" t="str">
        <f t="shared" ref="A749:B749" si="827">A748</f>
        <v>フランス語</v>
      </c>
      <c r="B749">
        <f t="shared" si="827"/>
        <v>10</v>
      </c>
      <c r="C749">
        <f t="shared" si="819"/>
        <v>71</v>
      </c>
      <c r="D749">
        <f>D692</f>
        <v>6</v>
      </c>
      <c r="E749" t="str">
        <f>VLOOKUP(D749,name!A:B,2,1)</f>
        <v>Céline</v>
      </c>
      <c r="F749" t="str">
        <f t="shared" si="806"/>
        <v>これはバースデーケーキです。</v>
      </c>
      <c r="G749" t="str">
        <f t="shared" ref="G749:G812" si="828">IF(B749&lt;&gt;B750,"e",IF(D749=0,"q","a"))</f>
        <v>a</v>
      </c>
      <c r="H749" t="str">
        <f>VLOOKUP(D749,name!A:C,3,1)</f>
        <v>assets/icons/image078.png</v>
      </c>
      <c r="I749" t="s">
        <v>463</v>
      </c>
    </row>
    <row r="750" spans="1:9" x14ac:dyDescent="0.15">
      <c r="A750" t="str">
        <f t="shared" ref="A750:B750" si="829">A749</f>
        <v>フランス語</v>
      </c>
      <c r="B750">
        <f t="shared" si="829"/>
        <v>10</v>
      </c>
      <c r="C750">
        <f t="shared" si="819"/>
        <v>72</v>
      </c>
      <c r="D750">
        <v>0</v>
      </c>
      <c r="E750" t="str">
        <f>VLOOKUP(D750,name!A:B,2,1)</f>
        <v>Player</v>
      </c>
      <c r="F750" t="str">
        <f t="shared" si="806"/>
        <v>Voilà un gâteau d'anniversaire.</v>
      </c>
      <c r="G750" t="str">
        <f t="shared" ref="G750" si="830">IF(B750&lt;&gt;B1915,"e",IF(D750=0,"q","a"))</f>
        <v>e</v>
      </c>
      <c r="H750" t="str">
        <f>VLOOKUP(D750,name!A:C,3,1)</f>
        <v>assets/icons/image326.png</v>
      </c>
      <c r="I750" t="str">
        <f>IF(A750="","",VLOOKUP(A750,lng!A:B,2,0))</f>
        <v>fr-FR</v>
      </c>
    </row>
    <row r="751" spans="1:9" x14ac:dyDescent="0.15">
      <c r="A751" t="str">
        <f t="shared" ref="A751:B751" si="831">A750</f>
        <v>フランス語</v>
      </c>
      <c r="B751">
        <f t="shared" si="831"/>
        <v>10</v>
      </c>
      <c r="C751">
        <f t="shared" si="819"/>
        <v>73</v>
      </c>
      <c r="D751">
        <f>D694</f>
        <v>5</v>
      </c>
      <c r="E751" t="str">
        <f>VLOOKUP(D751,name!A:B,2,1)</f>
        <v>Minako</v>
      </c>
      <c r="F751" t="str">
        <f t="shared" si="806"/>
        <v>すごい！</v>
      </c>
      <c r="G751" t="str">
        <f t="shared" ref="G751:G814" si="832">IF(B751&lt;&gt;B752,"e",IF(D751=0,"q","a"))</f>
        <v>a</v>
      </c>
      <c r="H751" t="str">
        <f>VLOOKUP(D751,name!A:C,3,1)</f>
        <v>assets/icons/image086.png</v>
      </c>
      <c r="I751" t="s">
        <v>463</v>
      </c>
    </row>
    <row r="752" spans="1:9" x14ac:dyDescent="0.15">
      <c r="A752" t="str">
        <f t="shared" ref="A752:B752" si="833">A751</f>
        <v>フランス語</v>
      </c>
      <c r="B752">
        <f t="shared" si="833"/>
        <v>10</v>
      </c>
      <c r="C752">
        <f t="shared" si="819"/>
        <v>74</v>
      </c>
      <c r="D752">
        <v>0</v>
      </c>
      <c r="E752" t="str">
        <f>VLOOKUP(D752,name!A:B,2,1)</f>
        <v>Player</v>
      </c>
      <c r="F752" t="str">
        <f t="shared" si="806"/>
        <v>Super!</v>
      </c>
      <c r="G752" t="str">
        <f t="shared" ref="G752" si="834">IF(B752&lt;&gt;B1917,"e",IF(D752=0,"q","a"))</f>
        <v>e</v>
      </c>
      <c r="H752" t="str">
        <f>VLOOKUP(D752,name!A:C,3,1)</f>
        <v>assets/icons/image326.png</v>
      </c>
      <c r="I752" t="str">
        <f>IF(A752="","",VLOOKUP(A752,lng!A:B,2,0))</f>
        <v>fr-FR</v>
      </c>
    </row>
    <row r="753" spans="1:12" x14ac:dyDescent="0.15">
      <c r="A753" t="str">
        <f t="shared" ref="A753:B753" si="835">A752</f>
        <v>フランス語</v>
      </c>
      <c r="B753">
        <f t="shared" si="835"/>
        <v>10</v>
      </c>
      <c r="C753">
        <f t="shared" si="819"/>
        <v>75</v>
      </c>
      <c r="D753">
        <f>D696</f>
        <v>5</v>
      </c>
      <c r="E753" t="str">
        <f>VLOOKUP(D753,name!A:B,2,1)</f>
        <v>Minako</v>
      </c>
      <c r="F753" t="str">
        <f t="shared" si="806"/>
        <v>このケーキは作ったんですか?</v>
      </c>
      <c r="G753" t="str">
        <f t="shared" ref="G753:G816" si="836">IF(B753&lt;&gt;B754,"e",IF(D753=0,"q","a"))</f>
        <v>a</v>
      </c>
      <c r="H753" t="str">
        <f>VLOOKUP(D753,name!A:C,3,1)</f>
        <v>assets/icons/image086.png</v>
      </c>
      <c r="I753" t="s">
        <v>463</v>
      </c>
    </row>
    <row r="754" spans="1:12" x14ac:dyDescent="0.15">
      <c r="A754" t="str">
        <f t="shared" ref="A754:B754" si="837">A753</f>
        <v>フランス語</v>
      </c>
      <c r="B754">
        <f t="shared" si="837"/>
        <v>10</v>
      </c>
      <c r="C754">
        <f t="shared" si="819"/>
        <v>76</v>
      </c>
      <c r="D754">
        <v>0</v>
      </c>
      <c r="E754" t="str">
        <f>VLOOKUP(D754,name!A:B,2,1)</f>
        <v>Player</v>
      </c>
      <c r="F754" t="str">
        <f t="shared" si="806"/>
        <v>Vous avez fait ce gâteau ?</v>
      </c>
      <c r="G754" t="str">
        <f t="shared" ref="G754" si="838">IF(B754&lt;&gt;B1919,"e",IF(D754=0,"q","a"))</f>
        <v>e</v>
      </c>
      <c r="H754" t="str">
        <f>VLOOKUP(D754,name!A:C,3,1)</f>
        <v>assets/icons/image326.png</v>
      </c>
      <c r="I754" t="str">
        <f>IF(A754="","",VLOOKUP(A754,lng!A:B,2,0))</f>
        <v>fr-FR</v>
      </c>
    </row>
    <row r="755" spans="1:12" x14ac:dyDescent="0.15">
      <c r="A755" t="str">
        <f t="shared" ref="A755:B755" si="839">A754</f>
        <v>フランス語</v>
      </c>
      <c r="B755">
        <f t="shared" si="839"/>
        <v>10</v>
      </c>
      <c r="C755">
        <f t="shared" si="819"/>
        <v>77</v>
      </c>
      <c r="D755">
        <f>D698</f>
        <v>7</v>
      </c>
      <c r="E755" t="str">
        <f>VLOOKUP(D755,name!A:B,2,1)</f>
        <v>Luigi</v>
      </c>
      <c r="F755" t="str">
        <f t="shared" si="806"/>
        <v>セリーヌが作りました。</v>
      </c>
      <c r="G755" t="str">
        <f t="shared" ref="G755:G818" si="840">IF(B755&lt;&gt;B756,"e",IF(D755=0,"q","a"))</f>
        <v>a</v>
      </c>
      <c r="H755" t="str">
        <f>VLOOKUP(D755,name!A:C,3,1)</f>
        <v>assets/icons/image023.png</v>
      </c>
      <c r="I755" t="s">
        <v>463</v>
      </c>
    </row>
    <row r="756" spans="1:12" x14ac:dyDescent="0.15">
      <c r="A756" t="str">
        <f t="shared" ref="A756:B756" si="841">A755</f>
        <v>フランス語</v>
      </c>
      <c r="B756">
        <f t="shared" si="841"/>
        <v>10</v>
      </c>
      <c r="C756">
        <f t="shared" si="819"/>
        <v>78</v>
      </c>
      <c r="D756">
        <v>0</v>
      </c>
      <c r="E756" t="str">
        <f>VLOOKUP(D756,name!A:B,2,1)</f>
        <v>Player</v>
      </c>
      <c r="F756" t="str">
        <f t="shared" si="806"/>
        <v>C'est Céline qui l'a fait.</v>
      </c>
      <c r="G756" t="str">
        <f t="shared" ref="G756" si="842">IF(B756&lt;&gt;B1921,"e",IF(D756=0,"q","a"))</f>
        <v>e</v>
      </c>
      <c r="H756" t="str">
        <f>VLOOKUP(D756,name!A:C,3,1)</f>
        <v>assets/icons/image326.png</v>
      </c>
      <c r="I756" t="str">
        <f>IF(A756="","",VLOOKUP(A756,lng!A:B,2,0))</f>
        <v>fr-FR</v>
      </c>
    </row>
    <row r="757" spans="1:12" x14ac:dyDescent="0.15">
      <c r="A757" t="str">
        <f t="shared" ref="A757:B757" si="843">A756</f>
        <v>フランス語</v>
      </c>
      <c r="B757">
        <f t="shared" si="843"/>
        <v>10</v>
      </c>
      <c r="C757">
        <f t="shared" si="819"/>
        <v>79</v>
      </c>
      <c r="D757">
        <f>D700</f>
        <v>7</v>
      </c>
      <c r="E757" t="str">
        <f>VLOOKUP(D757,name!A:B,2,1)</f>
        <v>Luigi</v>
      </c>
      <c r="F757" t="str">
        <f t="shared" si="806"/>
        <v>私はそれを少し手伝いました。</v>
      </c>
      <c r="G757" t="str">
        <f t="shared" ref="G757:G820" si="844">IF(B757&lt;&gt;B758,"e",IF(D757=0,"q","a"))</f>
        <v>a</v>
      </c>
      <c r="H757" t="str">
        <f>VLOOKUP(D757,name!A:C,3,1)</f>
        <v>assets/icons/image023.png</v>
      </c>
      <c r="I757" t="s">
        <v>463</v>
      </c>
    </row>
    <row r="758" spans="1:12" x14ac:dyDescent="0.15">
      <c r="A758" t="str">
        <f t="shared" ref="A758:B758" si="845">A757</f>
        <v>フランス語</v>
      </c>
      <c r="B758">
        <f t="shared" si="845"/>
        <v>10</v>
      </c>
      <c r="C758">
        <f t="shared" si="819"/>
        <v>80</v>
      </c>
      <c r="D758">
        <v>0</v>
      </c>
      <c r="E758" t="str">
        <f>VLOOKUP(D758,name!A:B,2,1)</f>
        <v>Player</v>
      </c>
      <c r="F758" t="str">
        <f t="shared" si="806"/>
        <v>Je lui ai donné un petit coup de main.</v>
      </c>
      <c r="G758" t="str">
        <f t="shared" ref="G758" si="846">IF(B758&lt;&gt;B1923,"e",IF(D758=0,"q","a"))</f>
        <v>e</v>
      </c>
      <c r="H758" t="str">
        <f>VLOOKUP(D758,name!A:C,3,1)</f>
        <v>assets/icons/image326.png</v>
      </c>
      <c r="I758" t="str">
        <f>IF(A758="","",VLOOKUP(A758,lng!A:B,2,0))</f>
        <v>fr-FR</v>
      </c>
    </row>
    <row r="759" spans="1:12" x14ac:dyDescent="0.15">
      <c r="A759" t="str">
        <f t="shared" ref="A759:B759" si="847">A758</f>
        <v>フランス語</v>
      </c>
      <c r="B759">
        <f t="shared" si="847"/>
        <v>10</v>
      </c>
      <c r="C759">
        <f t="shared" si="819"/>
        <v>81</v>
      </c>
      <c r="D759">
        <f>D702</f>
        <v>5</v>
      </c>
      <c r="E759" t="str">
        <f>VLOOKUP(D759,name!A:B,2,1)</f>
        <v>Minako</v>
      </c>
      <c r="F759" t="str">
        <f t="shared" si="806"/>
        <v>本当にありがとうございます。</v>
      </c>
      <c r="G759" t="str">
        <f t="shared" ref="G759:G822" si="848">IF(B759&lt;&gt;B760,"e",IF(D759=0,"q","a"))</f>
        <v>a</v>
      </c>
      <c r="H759" t="str">
        <f>VLOOKUP(D759,name!A:C,3,1)</f>
        <v>assets/icons/image086.png</v>
      </c>
      <c r="I759" t="s">
        <v>463</v>
      </c>
    </row>
    <row r="760" spans="1:12" x14ac:dyDescent="0.15">
      <c r="A760" t="str">
        <f t="shared" ref="A760:B760" si="849">A759</f>
        <v>フランス語</v>
      </c>
      <c r="B760">
        <f t="shared" si="849"/>
        <v>10</v>
      </c>
      <c r="C760">
        <f t="shared" si="819"/>
        <v>82</v>
      </c>
      <c r="D760">
        <v>0</v>
      </c>
      <c r="E760" t="str">
        <f>VLOOKUP(D760,name!A:B,2,1)</f>
        <v>Player</v>
      </c>
      <c r="F760" t="str">
        <f t="shared" si="806"/>
        <v>Vous êtes trop gentils.</v>
      </c>
      <c r="G760" t="str">
        <f t="shared" ref="G760" si="850">IF(B760&lt;&gt;B1925,"e",IF(D760=0,"q","a"))</f>
        <v>e</v>
      </c>
      <c r="H760" t="str">
        <f>VLOOKUP(D760,name!A:C,3,1)</f>
        <v>assets/icons/image326.png</v>
      </c>
      <c r="I760" t="str">
        <f>IF(A760="","",VLOOKUP(A760,lng!A:B,2,0))</f>
        <v>fr-FR</v>
      </c>
    </row>
    <row r="761" spans="1:12" x14ac:dyDescent="0.15">
      <c r="A761" t="str">
        <f t="shared" ref="A761:B761" si="851">A760</f>
        <v>フランス語</v>
      </c>
      <c r="B761">
        <f t="shared" si="851"/>
        <v>10</v>
      </c>
      <c r="C761">
        <f t="shared" si="819"/>
        <v>83</v>
      </c>
      <c r="D761">
        <v>1</v>
      </c>
      <c r="E761" t="str">
        <f>VLOOKUP(D761,name!A:B,2,1)</f>
        <v>Navigator</v>
      </c>
      <c r="F761" t="str">
        <f>"とても良くできました。レッスン"&amp;B761&amp;"はこれで終了です。"</f>
        <v>とても良くできました。レッスン10はこれで終了です。</v>
      </c>
      <c r="G761" t="str">
        <f t="shared" ref="G761:G824" si="852">IF(B761&lt;&gt;B762,"e",IF(D761=0,"q","a"))</f>
        <v>e</v>
      </c>
      <c r="H761" t="str">
        <f>VLOOKUP(D761,name!A:C,3,1)</f>
        <v>assets/icons/image014.png</v>
      </c>
      <c r="I761" t="s">
        <v>463</v>
      </c>
    </row>
    <row r="762" spans="1:12" x14ac:dyDescent="0.15">
      <c r="A762" t="str">
        <f>A761</f>
        <v>フランス語</v>
      </c>
      <c r="B762">
        <f>B761+1</f>
        <v>11</v>
      </c>
      <c r="C762">
        <v>1</v>
      </c>
      <c r="D762">
        <v>1</v>
      </c>
      <c r="E762" t="str">
        <f>VLOOKUP(D762,name!A:B,2,1)</f>
        <v>Navigator</v>
      </c>
      <c r="F762" t="s">
        <v>629</v>
      </c>
      <c r="G762" t="str">
        <f t="shared" ref="G762" si="853">IF(B762&lt;&gt;B1927,"e",IF(D762=0,"q","a"))</f>
        <v>e</v>
      </c>
      <c r="H762" t="str">
        <f>VLOOKUP(D762,name!A:C,3,1)</f>
        <v>assets/icons/image014.png</v>
      </c>
      <c r="I762" t="str">
        <f>IF(A762="","",VLOOKUP(A762,lng!A:B,2,0))</f>
        <v>fr-FR</v>
      </c>
    </row>
    <row r="763" spans="1:12" x14ac:dyDescent="0.15">
      <c r="A763" t="str">
        <f t="shared" ref="A763:B778" si="854">A762</f>
        <v>フランス語</v>
      </c>
      <c r="B763">
        <f>B762</f>
        <v>11</v>
      </c>
      <c r="C763">
        <f>C762+1</f>
        <v>2</v>
      </c>
      <c r="D763">
        <v>1</v>
      </c>
      <c r="E763" t="str">
        <f>VLOOKUP(D763,name!A:B,2,1)</f>
        <v>Navigator</v>
      </c>
      <c r="F763" t="str">
        <f>"レッスン"&amp;B763</f>
        <v>レッスン11</v>
      </c>
      <c r="G763" t="str">
        <f t="shared" ref="G763:G826" si="855">IF(B763&lt;&gt;B764,"e",IF(D763=0,"q","a"))</f>
        <v>a</v>
      </c>
      <c r="H763" t="str">
        <f>VLOOKUP(D763,name!A:C,3,1)</f>
        <v>assets/icons/image014.png</v>
      </c>
      <c r="I763" t="s">
        <v>463</v>
      </c>
    </row>
    <row r="764" spans="1:12" ht="40.5" x14ac:dyDescent="0.15">
      <c r="A764" t="str">
        <f t="shared" si="854"/>
        <v>フランス語</v>
      </c>
      <c r="B764">
        <f t="shared" si="854"/>
        <v>11</v>
      </c>
      <c r="C764">
        <f t="shared" ref="C764:C827" si="856">C763+1</f>
        <v>3</v>
      </c>
      <c r="D764">
        <v>1</v>
      </c>
      <c r="E764" t="str">
        <f>VLOOKUP(D764,name!A:B,2,1)</f>
        <v>Navigator</v>
      </c>
      <c r="F764" s="1" t="str">
        <f>"まずは対話文を流します。その後に、日本語と"&amp;A764&amp;"を一文ずつ流すので"&amp;A764&amp;"を真似して下さい。最後に日本語のみを流すので、"&amp;A764&amp;"で答えてください。"</f>
        <v>まずは対話文を流します。その後に、日本語とフランス語を一文ずつ流すのでフランス語を真似して下さい。最後に日本語のみを流すので、フランス語で答えてください。</v>
      </c>
      <c r="G764" t="str">
        <f t="shared" ref="G764" si="857">IF(B764&lt;&gt;B1929,"e",IF(D764=0,"q","a"))</f>
        <v>e</v>
      </c>
      <c r="H764" t="str">
        <f>VLOOKUP(D764,name!A:C,3,1)</f>
        <v>assets/icons/image014.png</v>
      </c>
      <c r="I764" t="s">
        <v>463</v>
      </c>
      <c r="L764" s="1"/>
    </row>
    <row r="765" spans="1:12" x14ac:dyDescent="0.15">
      <c r="A765" t="str">
        <f t="shared" si="854"/>
        <v>フランス語</v>
      </c>
      <c r="B765">
        <f t="shared" si="854"/>
        <v>11</v>
      </c>
      <c r="C765">
        <f t="shared" si="856"/>
        <v>4</v>
      </c>
      <c r="D765">
        <f>D766</f>
        <v>7</v>
      </c>
      <c r="E765" t="str">
        <f>VLOOKUP(D765,name!A:B,2,1)</f>
        <v>Luigi</v>
      </c>
      <c r="F765" t="s">
        <v>643</v>
      </c>
      <c r="G765" t="str">
        <f t="shared" ref="G765:G828" si="858">IF(B765&lt;&gt;B766,"e",IF(D765=0,"q","a"))</f>
        <v>a</v>
      </c>
      <c r="H765" t="str">
        <f>VLOOKUP(D765,name!A:C,3,1)</f>
        <v>assets/icons/image023.png</v>
      </c>
      <c r="I765" t="s">
        <v>463</v>
      </c>
    </row>
    <row r="766" spans="1:12" x14ac:dyDescent="0.15">
      <c r="A766" t="str">
        <f t="shared" si="854"/>
        <v>フランス語</v>
      </c>
      <c r="B766">
        <f t="shared" si="854"/>
        <v>11</v>
      </c>
      <c r="C766">
        <f t="shared" si="856"/>
        <v>5</v>
      </c>
      <c r="D766">
        <f t="shared" ref="D766:D789" si="859">D767</f>
        <v>7</v>
      </c>
      <c r="E766" t="str">
        <f>VLOOKUP(D766,name!A:B,2,1)</f>
        <v>Luigi</v>
      </c>
      <c r="F766" t="s">
        <v>630</v>
      </c>
      <c r="G766" t="str">
        <f t="shared" ref="G766" si="860">IF(B766&lt;&gt;B1931,"e",IF(D766=0,"q","a"))</f>
        <v>e</v>
      </c>
      <c r="H766" t="str">
        <f>VLOOKUP(D766,name!A:C,3,1)</f>
        <v>assets/icons/image023.png</v>
      </c>
      <c r="I766" t="str">
        <f>IF(A766="","",VLOOKUP(A766,lng!A:B,2,0))</f>
        <v>fr-FR</v>
      </c>
    </row>
    <row r="767" spans="1:12" x14ac:dyDescent="0.15">
      <c r="A767" t="str">
        <f t="shared" si="854"/>
        <v>フランス語</v>
      </c>
      <c r="B767">
        <f t="shared" si="854"/>
        <v>11</v>
      </c>
      <c r="C767">
        <f t="shared" si="856"/>
        <v>6</v>
      </c>
      <c r="D767">
        <f t="shared" si="859"/>
        <v>7</v>
      </c>
      <c r="E767" t="str">
        <f>VLOOKUP(D767,name!A:B,2,1)</f>
        <v>Luigi</v>
      </c>
      <c r="F767" t="s">
        <v>645</v>
      </c>
      <c r="G767" t="str">
        <f t="shared" ref="G767:G830" si="861">IF(B767&lt;&gt;B768,"e",IF(D767=0,"q","a"))</f>
        <v>a</v>
      </c>
      <c r="H767" t="str">
        <f>VLOOKUP(D767,name!A:C,3,1)</f>
        <v>assets/icons/image023.png</v>
      </c>
      <c r="I767" t="s">
        <v>463</v>
      </c>
    </row>
    <row r="768" spans="1:12" x14ac:dyDescent="0.15">
      <c r="A768" t="str">
        <f t="shared" si="854"/>
        <v>フランス語</v>
      </c>
      <c r="B768">
        <f t="shared" si="854"/>
        <v>11</v>
      </c>
      <c r="C768">
        <f t="shared" si="856"/>
        <v>7</v>
      </c>
      <c r="D768">
        <f t="shared" si="859"/>
        <v>7</v>
      </c>
      <c r="E768" t="str">
        <f>VLOOKUP(D768,name!A:B,2,1)</f>
        <v>Luigi</v>
      </c>
      <c r="F768" t="s">
        <v>631</v>
      </c>
      <c r="G768" t="str">
        <f t="shared" ref="G768" si="862">IF(B768&lt;&gt;B1933,"e",IF(D768=0,"q","a"))</f>
        <v>e</v>
      </c>
      <c r="H768" t="str">
        <f>VLOOKUP(D768,name!A:C,3,1)</f>
        <v>assets/icons/image023.png</v>
      </c>
      <c r="I768" t="str">
        <f>IF(A768="","",VLOOKUP(A768,lng!A:B,2,0))</f>
        <v>fr-FR</v>
      </c>
    </row>
    <row r="769" spans="1:9" x14ac:dyDescent="0.15">
      <c r="A769" t="str">
        <f t="shared" si="854"/>
        <v>フランス語</v>
      </c>
      <c r="B769">
        <f t="shared" si="854"/>
        <v>11</v>
      </c>
      <c r="C769">
        <f t="shared" si="856"/>
        <v>8</v>
      </c>
      <c r="D769">
        <f t="shared" si="859"/>
        <v>7</v>
      </c>
      <c r="E769" t="str">
        <f>VLOOKUP(D769,name!A:B,2,1)</f>
        <v>Luigi</v>
      </c>
      <c r="F769" t="s">
        <v>644</v>
      </c>
      <c r="G769" t="str">
        <f t="shared" ref="G769:G832" si="863">IF(B769&lt;&gt;B770,"e",IF(D769=0,"q","a"))</f>
        <v>a</v>
      </c>
      <c r="H769" t="str">
        <f>VLOOKUP(D769,name!A:C,3,1)</f>
        <v>assets/icons/image023.png</v>
      </c>
      <c r="I769" t="s">
        <v>463</v>
      </c>
    </row>
    <row r="770" spans="1:9" x14ac:dyDescent="0.15">
      <c r="A770" t="str">
        <f t="shared" si="854"/>
        <v>フランス語</v>
      </c>
      <c r="B770">
        <f t="shared" si="854"/>
        <v>11</v>
      </c>
      <c r="C770">
        <f t="shared" si="856"/>
        <v>9</v>
      </c>
      <c r="D770">
        <v>7</v>
      </c>
      <c r="E770" t="str">
        <f>VLOOKUP(D770,name!A:B,2,1)</f>
        <v>Luigi</v>
      </c>
      <c r="F770" t="s">
        <v>632</v>
      </c>
      <c r="G770" t="str">
        <f t="shared" ref="G770" si="864">IF(B770&lt;&gt;B1935,"e",IF(D770=0,"q","a"))</f>
        <v>e</v>
      </c>
      <c r="H770" t="str">
        <f>VLOOKUP(D770,name!A:C,3,1)</f>
        <v>assets/icons/image023.png</v>
      </c>
      <c r="I770" t="str">
        <f>IF(A770="","",VLOOKUP(A770,lng!A:B,2,0))</f>
        <v>fr-FR</v>
      </c>
    </row>
    <row r="771" spans="1:9" x14ac:dyDescent="0.15">
      <c r="A771" t="str">
        <f t="shared" si="854"/>
        <v>フランス語</v>
      </c>
      <c r="B771">
        <f t="shared" si="854"/>
        <v>11</v>
      </c>
      <c r="C771">
        <f t="shared" si="856"/>
        <v>10</v>
      </c>
      <c r="D771">
        <f t="shared" si="859"/>
        <v>5</v>
      </c>
      <c r="E771" t="str">
        <f>VLOOKUP(D771,name!A:B,2,1)</f>
        <v>Minako</v>
      </c>
      <c r="F771" t="s">
        <v>646</v>
      </c>
      <c r="G771" t="str">
        <f t="shared" ref="G771:G834" si="865">IF(B771&lt;&gt;B772,"e",IF(D771=0,"q","a"))</f>
        <v>a</v>
      </c>
      <c r="H771" t="str">
        <f>VLOOKUP(D771,name!A:C,3,1)</f>
        <v>assets/icons/image086.png</v>
      </c>
      <c r="I771" t="s">
        <v>463</v>
      </c>
    </row>
    <row r="772" spans="1:9" x14ac:dyDescent="0.15">
      <c r="A772" t="str">
        <f t="shared" si="854"/>
        <v>フランス語</v>
      </c>
      <c r="B772">
        <f t="shared" si="854"/>
        <v>11</v>
      </c>
      <c r="C772">
        <f t="shared" si="856"/>
        <v>11</v>
      </c>
      <c r="D772">
        <v>5</v>
      </c>
      <c r="E772" t="str">
        <f>VLOOKUP(D772,name!A:B,2,1)</f>
        <v>Minako</v>
      </c>
      <c r="F772" t="s">
        <v>633</v>
      </c>
      <c r="G772" t="str">
        <f t="shared" ref="G772" si="866">IF(B772&lt;&gt;B1937,"e",IF(D772=0,"q","a"))</f>
        <v>e</v>
      </c>
      <c r="H772" t="str">
        <f>VLOOKUP(D772,name!A:C,3,1)</f>
        <v>assets/icons/image086.png</v>
      </c>
      <c r="I772" t="str">
        <f>IF(A772="","",VLOOKUP(A772,lng!A:B,2,0))</f>
        <v>fr-FR</v>
      </c>
    </row>
    <row r="773" spans="1:9" x14ac:dyDescent="0.15">
      <c r="A773" t="str">
        <f t="shared" si="854"/>
        <v>フランス語</v>
      </c>
      <c r="B773">
        <f t="shared" si="854"/>
        <v>11</v>
      </c>
      <c r="C773">
        <f t="shared" si="856"/>
        <v>12</v>
      </c>
      <c r="D773">
        <f t="shared" si="859"/>
        <v>6</v>
      </c>
      <c r="E773" t="str">
        <f>VLOOKUP(D773,name!A:B,2,1)</f>
        <v>Céline</v>
      </c>
      <c r="F773" t="s">
        <v>647</v>
      </c>
      <c r="G773" t="str">
        <f t="shared" ref="G773:G836" si="867">IF(B773&lt;&gt;B774,"e",IF(D773=0,"q","a"))</f>
        <v>a</v>
      </c>
      <c r="H773" t="str">
        <f>VLOOKUP(D773,name!A:C,3,1)</f>
        <v>assets/icons/image078.png</v>
      </c>
      <c r="I773" t="s">
        <v>463</v>
      </c>
    </row>
    <row r="774" spans="1:9" x14ac:dyDescent="0.15">
      <c r="A774" t="str">
        <f t="shared" si="854"/>
        <v>フランス語</v>
      </c>
      <c r="B774">
        <f t="shared" si="854"/>
        <v>11</v>
      </c>
      <c r="C774">
        <f t="shared" si="856"/>
        <v>13</v>
      </c>
      <c r="D774">
        <v>6</v>
      </c>
      <c r="E774" t="str">
        <f>VLOOKUP(D774,name!A:B,2,1)</f>
        <v>Céline</v>
      </c>
      <c r="F774" t="s">
        <v>634</v>
      </c>
      <c r="G774" t="str">
        <f t="shared" ref="G774" si="868">IF(B774&lt;&gt;B1939,"e",IF(D774=0,"q","a"))</f>
        <v>e</v>
      </c>
      <c r="H774" t="str">
        <f>VLOOKUP(D774,name!A:C,3,1)</f>
        <v>assets/icons/image078.png</v>
      </c>
      <c r="I774" t="str">
        <f>IF(A774="","",VLOOKUP(A774,lng!A:B,2,0))</f>
        <v>fr-FR</v>
      </c>
    </row>
    <row r="775" spans="1:9" x14ac:dyDescent="0.15">
      <c r="A775" t="str">
        <f t="shared" si="854"/>
        <v>フランス語</v>
      </c>
      <c r="B775">
        <f t="shared" si="854"/>
        <v>11</v>
      </c>
      <c r="C775">
        <f t="shared" si="856"/>
        <v>14</v>
      </c>
      <c r="D775">
        <f t="shared" si="859"/>
        <v>5</v>
      </c>
      <c r="E775" t="str">
        <f>VLOOKUP(D775,name!A:B,2,1)</f>
        <v>Minako</v>
      </c>
      <c r="F775" t="s">
        <v>648</v>
      </c>
      <c r="G775" t="str">
        <f t="shared" ref="G775:G838" si="869">IF(B775&lt;&gt;B776,"e",IF(D775=0,"q","a"))</f>
        <v>a</v>
      </c>
      <c r="H775" t="str">
        <f>VLOOKUP(D775,name!A:C,3,1)</f>
        <v>assets/icons/image086.png</v>
      </c>
      <c r="I775" t="s">
        <v>463</v>
      </c>
    </row>
    <row r="776" spans="1:9" x14ac:dyDescent="0.15">
      <c r="A776" t="str">
        <f t="shared" si="854"/>
        <v>フランス語</v>
      </c>
      <c r="B776">
        <f t="shared" si="854"/>
        <v>11</v>
      </c>
      <c r="C776">
        <f t="shared" si="856"/>
        <v>15</v>
      </c>
      <c r="D776">
        <f t="shared" si="859"/>
        <v>5</v>
      </c>
      <c r="E776" t="str">
        <f>VLOOKUP(D776,name!A:B,2,1)</f>
        <v>Minako</v>
      </c>
      <c r="F776" t="s">
        <v>635</v>
      </c>
      <c r="G776" t="str">
        <f t="shared" ref="G776" si="870">IF(B776&lt;&gt;B1941,"e",IF(D776=0,"q","a"))</f>
        <v>e</v>
      </c>
      <c r="H776" t="str">
        <f>VLOOKUP(D776,name!A:C,3,1)</f>
        <v>assets/icons/image086.png</v>
      </c>
      <c r="I776" t="str">
        <f>IF(A776="","",VLOOKUP(A776,lng!A:B,2,0))</f>
        <v>fr-FR</v>
      </c>
    </row>
    <row r="777" spans="1:9" x14ac:dyDescent="0.15">
      <c r="A777" t="str">
        <f t="shared" si="854"/>
        <v>フランス語</v>
      </c>
      <c r="B777">
        <f t="shared" si="854"/>
        <v>11</v>
      </c>
      <c r="C777">
        <f t="shared" si="856"/>
        <v>16</v>
      </c>
      <c r="D777">
        <f t="shared" si="859"/>
        <v>5</v>
      </c>
      <c r="E777" t="str">
        <f>VLOOKUP(D777,name!A:B,2,1)</f>
        <v>Minako</v>
      </c>
      <c r="F777" t="s">
        <v>649</v>
      </c>
      <c r="G777" t="str">
        <f t="shared" ref="G777:G840" si="871">IF(B777&lt;&gt;B778,"e",IF(D777=0,"q","a"))</f>
        <v>a</v>
      </c>
      <c r="H777" t="str">
        <f>VLOOKUP(D777,name!A:C,3,1)</f>
        <v>assets/icons/image086.png</v>
      </c>
      <c r="I777" t="s">
        <v>463</v>
      </c>
    </row>
    <row r="778" spans="1:9" x14ac:dyDescent="0.15">
      <c r="A778" t="str">
        <f t="shared" si="854"/>
        <v>フランス語</v>
      </c>
      <c r="B778">
        <f t="shared" si="854"/>
        <v>11</v>
      </c>
      <c r="C778">
        <f t="shared" si="856"/>
        <v>17</v>
      </c>
      <c r="D778">
        <f t="shared" si="859"/>
        <v>5</v>
      </c>
      <c r="E778" t="str">
        <f>VLOOKUP(D778,name!A:B,2,1)</f>
        <v>Minako</v>
      </c>
      <c r="F778" t="s">
        <v>636</v>
      </c>
      <c r="G778" t="str">
        <f t="shared" ref="G778" si="872">IF(B778&lt;&gt;B1943,"e",IF(D778=0,"q","a"))</f>
        <v>e</v>
      </c>
      <c r="H778" t="str">
        <f>VLOOKUP(D778,name!A:C,3,1)</f>
        <v>assets/icons/image086.png</v>
      </c>
      <c r="I778" t="str">
        <f>IF(A778="","",VLOOKUP(A778,lng!A:B,2,0))</f>
        <v>fr-FR</v>
      </c>
    </row>
    <row r="779" spans="1:9" x14ac:dyDescent="0.15">
      <c r="A779" t="str">
        <f t="shared" ref="A779:B782" si="873">A778</f>
        <v>フランス語</v>
      </c>
      <c r="B779">
        <f t="shared" si="873"/>
        <v>11</v>
      </c>
      <c r="C779">
        <f t="shared" si="856"/>
        <v>18</v>
      </c>
      <c r="D779">
        <f t="shared" si="859"/>
        <v>5</v>
      </c>
      <c r="E779" t="str">
        <f>VLOOKUP(D779,name!A:B,2,1)</f>
        <v>Minako</v>
      </c>
      <c r="F779" t="s">
        <v>650</v>
      </c>
      <c r="G779" t="str">
        <f t="shared" ref="G779:G842" si="874">IF(B779&lt;&gt;B780,"e",IF(D779=0,"q","a"))</f>
        <v>a</v>
      </c>
      <c r="H779" t="str">
        <f>VLOOKUP(D779,name!A:C,3,1)</f>
        <v>assets/icons/image086.png</v>
      </c>
      <c r="I779" t="s">
        <v>463</v>
      </c>
    </row>
    <row r="780" spans="1:9" x14ac:dyDescent="0.15">
      <c r="A780" t="str">
        <f t="shared" si="873"/>
        <v>フランス語</v>
      </c>
      <c r="B780">
        <f t="shared" si="873"/>
        <v>11</v>
      </c>
      <c r="C780">
        <f t="shared" si="856"/>
        <v>19</v>
      </c>
      <c r="D780">
        <v>5</v>
      </c>
      <c r="E780" t="str">
        <f>VLOOKUP(D780,name!A:B,2,1)</f>
        <v>Minako</v>
      </c>
      <c r="F780" t="s">
        <v>637</v>
      </c>
      <c r="G780" t="str">
        <f t="shared" ref="G780" si="875">IF(B780&lt;&gt;B1945,"e",IF(D780=0,"q","a"))</f>
        <v>e</v>
      </c>
      <c r="H780" t="str">
        <f>VLOOKUP(D780,name!A:C,3,1)</f>
        <v>assets/icons/image086.png</v>
      </c>
      <c r="I780" t="str">
        <f>IF(A780="","",VLOOKUP(A780,lng!A:B,2,0))</f>
        <v>fr-FR</v>
      </c>
    </row>
    <row r="781" spans="1:9" x14ac:dyDescent="0.15">
      <c r="A781" t="str">
        <f t="shared" si="873"/>
        <v>フランス語</v>
      </c>
      <c r="B781">
        <f t="shared" si="873"/>
        <v>11</v>
      </c>
      <c r="C781">
        <f t="shared" si="856"/>
        <v>20</v>
      </c>
      <c r="D781">
        <f t="shared" si="859"/>
        <v>7</v>
      </c>
      <c r="E781" t="str">
        <f>VLOOKUP(D781,name!A:B,2,1)</f>
        <v>Luigi</v>
      </c>
      <c r="F781" t="s">
        <v>651</v>
      </c>
      <c r="G781" t="str">
        <f t="shared" ref="G781:G844" si="876">IF(B781&lt;&gt;B782,"e",IF(D781=0,"q","a"))</f>
        <v>a</v>
      </c>
      <c r="H781" t="str">
        <f>VLOOKUP(D781,name!A:C,3,1)</f>
        <v>assets/icons/image023.png</v>
      </c>
      <c r="I781" t="s">
        <v>463</v>
      </c>
    </row>
    <row r="782" spans="1:9" x14ac:dyDescent="0.15">
      <c r="A782" t="str">
        <f t="shared" si="873"/>
        <v>フランス語</v>
      </c>
      <c r="B782">
        <f t="shared" si="873"/>
        <v>11</v>
      </c>
      <c r="C782">
        <f t="shared" si="856"/>
        <v>21</v>
      </c>
      <c r="D782">
        <v>7</v>
      </c>
      <c r="E782" t="str">
        <f>VLOOKUP(D782,name!A:B,2,1)</f>
        <v>Luigi</v>
      </c>
      <c r="F782" t="s">
        <v>638</v>
      </c>
      <c r="G782" t="str">
        <f t="shared" ref="G782" si="877">IF(B782&lt;&gt;B1947,"e",IF(D782=0,"q","a"))</f>
        <v>e</v>
      </c>
      <c r="H782" t="str">
        <f>VLOOKUP(D782,name!A:C,3,1)</f>
        <v>assets/icons/image023.png</v>
      </c>
      <c r="I782" t="str">
        <f>IF(A782="","",VLOOKUP(A782,lng!A:B,2,0))</f>
        <v>fr-FR</v>
      </c>
    </row>
    <row r="783" spans="1:9" x14ac:dyDescent="0.15">
      <c r="A783" t="str">
        <f t="shared" ref="A783:B783" si="878">A782</f>
        <v>フランス語</v>
      </c>
      <c r="B783">
        <f t="shared" si="878"/>
        <v>11</v>
      </c>
      <c r="C783">
        <f t="shared" si="856"/>
        <v>22</v>
      </c>
      <c r="D783">
        <f t="shared" si="859"/>
        <v>5</v>
      </c>
      <c r="E783" t="str">
        <f>VLOOKUP(D783,name!A:B,2,1)</f>
        <v>Minako</v>
      </c>
      <c r="F783" t="s">
        <v>652</v>
      </c>
      <c r="G783" t="str">
        <f t="shared" ref="G783:G846" si="879">IF(B783&lt;&gt;B784,"e",IF(D783=0,"q","a"))</f>
        <v>a</v>
      </c>
      <c r="H783" t="str">
        <f>VLOOKUP(D783,name!A:C,3,1)</f>
        <v>assets/icons/image086.png</v>
      </c>
      <c r="I783" t="s">
        <v>463</v>
      </c>
    </row>
    <row r="784" spans="1:9" x14ac:dyDescent="0.15">
      <c r="A784" t="str">
        <f t="shared" ref="A784:B784" si="880">A783</f>
        <v>フランス語</v>
      </c>
      <c r="B784">
        <f t="shared" si="880"/>
        <v>11</v>
      </c>
      <c r="C784">
        <f t="shared" si="856"/>
        <v>23</v>
      </c>
      <c r="D784">
        <f t="shared" si="859"/>
        <v>5</v>
      </c>
      <c r="E784" t="str">
        <f>VLOOKUP(D784,name!A:B,2,1)</f>
        <v>Minako</v>
      </c>
      <c r="F784" t="s">
        <v>639</v>
      </c>
      <c r="G784" t="str">
        <f t="shared" ref="G784" si="881">IF(B784&lt;&gt;B1949,"e",IF(D784=0,"q","a"))</f>
        <v>e</v>
      </c>
      <c r="H784" t="str">
        <f>VLOOKUP(D784,name!A:C,3,1)</f>
        <v>assets/icons/image086.png</v>
      </c>
      <c r="I784" t="str">
        <f>IF(A784="","",VLOOKUP(A784,lng!A:B,2,0))</f>
        <v>fr-FR</v>
      </c>
    </row>
    <row r="785" spans="1:9" x14ac:dyDescent="0.15">
      <c r="A785" t="str">
        <f t="shared" ref="A785:B785" si="882">A784</f>
        <v>フランス語</v>
      </c>
      <c r="B785">
        <f t="shared" si="882"/>
        <v>11</v>
      </c>
      <c r="C785">
        <f t="shared" si="856"/>
        <v>24</v>
      </c>
      <c r="D785">
        <f t="shared" si="859"/>
        <v>5</v>
      </c>
      <c r="E785" t="str">
        <f>VLOOKUP(D785,name!A:B,2,1)</f>
        <v>Minako</v>
      </c>
      <c r="F785" t="s">
        <v>654</v>
      </c>
      <c r="G785" t="str">
        <f t="shared" ref="G785:G848" si="883">IF(B785&lt;&gt;B786,"e",IF(D785=0,"q","a"))</f>
        <v>a</v>
      </c>
      <c r="H785" t="str">
        <f>VLOOKUP(D785,name!A:C,3,1)</f>
        <v>assets/icons/image086.png</v>
      </c>
      <c r="I785" t="s">
        <v>463</v>
      </c>
    </row>
    <row r="786" spans="1:9" x14ac:dyDescent="0.15">
      <c r="A786" t="str">
        <f t="shared" ref="A786:B786" si="884">A785</f>
        <v>フランス語</v>
      </c>
      <c r="B786">
        <f t="shared" si="884"/>
        <v>11</v>
      </c>
      <c r="C786">
        <f t="shared" si="856"/>
        <v>25</v>
      </c>
      <c r="D786">
        <v>5</v>
      </c>
      <c r="E786" t="str">
        <f>VLOOKUP(D786,name!A:B,2,1)</f>
        <v>Minako</v>
      </c>
      <c r="F786" t="s">
        <v>640</v>
      </c>
      <c r="G786" t="str">
        <f t="shared" ref="G786" si="885">IF(B786&lt;&gt;B1951,"e",IF(D786=0,"q","a"))</f>
        <v>e</v>
      </c>
      <c r="H786" t="str">
        <f>VLOOKUP(D786,name!A:C,3,1)</f>
        <v>assets/icons/image086.png</v>
      </c>
      <c r="I786" t="str">
        <f>IF(A786="","",VLOOKUP(A786,lng!A:B,2,0))</f>
        <v>fr-FR</v>
      </c>
    </row>
    <row r="787" spans="1:9" x14ac:dyDescent="0.15">
      <c r="A787" t="str">
        <f t="shared" ref="A787:B787" si="886">A786</f>
        <v>フランス語</v>
      </c>
      <c r="B787">
        <f t="shared" si="886"/>
        <v>11</v>
      </c>
      <c r="C787">
        <f t="shared" si="856"/>
        <v>26</v>
      </c>
      <c r="D787">
        <f t="shared" si="859"/>
        <v>6</v>
      </c>
      <c r="E787" t="str">
        <f>VLOOKUP(D787,name!A:B,2,1)</f>
        <v>Céline</v>
      </c>
      <c r="F787" t="s">
        <v>653</v>
      </c>
      <c r="G787" t="str">
        <f t="shared" ref="G787:G850" si="887">IF(B787&lt;&gt;B788,"e",IF(D787=0,"q","a"))</f>
        <v>a</v>
      </c>
      <c r="H787" t="str">
        <f>VLOOKUP(D787,name!A:C,3,1)</f>
        <v>assets/icons/image078.png</v>
      </c>
      <c r="I787" t="s">
        <v>463</v>
      </c>
    </row>
    <row r="788" spans="1:9" x14ac:dyDescent="0.15">
      <c r="A788" t="str">
        <f t="shared" ref="A788:B788" si="888">A787</f>
        <v>フランス語</v>
      </c>
      <c r="B788">
        <f t="shared" si="888"/>
        <v>11</v>
      </c>
      <c r="C788">
        <f t="shared" si="856"/>
        <v>27</v>
      </c>
      <c r="D788">
        <v>6</v>
      </c>
      <c r="E788" t="str">
        <f>VLOOKUP(D788,name!A:B,2,1)</f>
        <v>Céline</v>
      </c>
      <c r="F788" t="s">
        <v>641</v>
      </c>
      <c r="G788" t="str">
        <f t="shared" ref="G788" si="889">IF(B788&lt;&gt;B1953,"e",IF(D788=0,"q","a"))</f>
        <v>e</v>
      </c>
      <c r="H788" t="str">
        <f>VLOOKUP(D788,name!A:C,3,1)</f>
        <v>assets/icons/image078.png</v>
      </c>
      <c r="I788" t="str">
        <f>IF(A788="","",VLOOKUP(A788,lng!A:B,2,0))</f>
        <v>fr-FR</v>
      </c>
    </row>
    <row r="789" spans="1:9" x14ac:dyDescent="0.15">
      <c r="A789" t="str">
        <f t="shared" ref="A789:B789" si="890">A788</f>
        <v>フランス語</v>
      </c>
      <c r="B789">
        <f t="shared" si="890"/>
        <v>11</v>
      </c>
      <c r="C789">
        <f t="shared" si="856"/>
        <v>28</v>
      </c>
      <c r="D789">
        <f t="shared" si="859"/>
        <v>7</v>
      </c>
      <c r="E789" t="str">
        <f>VLOOKUP(D789,name!A:B,2,1)</f>
        <v>Luigi</v>
      </c>
      <c r="F789" t="s">
        <v>655</v>
      </c>
      <c r="G789" t="str">
        <f t="shared" ref="G789:G852" si="891">IF(B789&lt;&gt;B790,"e",IF(D789=0,"q","a"))</f>
        <v>a</v>
      </c>
      <c r="H789" t="str">
        <f>VLOOKUP(D789,name!A:C,3,1)</f>
        <v>assets/icons/image023.png</v>
      </c>
      <c r="I789" t="s">
        <v>463</v>
      </c>
    </row>
    <row r="790" spans="1:9" x14ac:dyDescent="0.15">
      <c r="A790" t="str">
        <f t="shared" ref="A790:B790" si="892">A789</f>
        <v>フランス語</v>
      </c>
      <c r="B790">
        <f t="shared" si="892"/>
        <v>11</v>
      </c>
      <c r="C790">
        <f t="shared" si="856"/>
        <v>29</v>
      </c>
      <c r="D790">
        <v>7</v>
      </c>
      <c r="E790" t="str">
        <f>VLOOKUP(D790,name!A:B,2,1)</f>
        <v>Luigi</v>
      </c>
      <c r="F790" t="s">
        <v>642</v>
      </c>
      <c r="G790" t="str">
        <f t="shared" ref="G790" si="893">IF(B790&lt;&gt;B1955,"e",IF(D790=0,"q","a"))</f>
        <v>e</v>
      </c>
      <c r="H790" t="str">
        <f>VLOOKUP(D790,name!A:C,3,1)</f>
        <v>assets/icons/image023.png</v>
      </c>
      <c r="I790" t="str">
        <f>IF(A790="","",VLOOKUP(A790,lng!A:B,2,0))</f>
        <v>fr-FR</v>
      </c>
    </row>
    <row r="791" spans="1:9" x14ac:dyDescent="0.15">
      <c r="A791" t="str">
        <f t="shared" ref="A791:B791" si="894">A790</f>
        <v>フランス語</v>
      </c>
      <c r="B791">
        <f t="shared" si="894"/>
        <v>11</v>
      </c>
      <c r="C791">
        <f t="shared" si="856"/>
        <v>30</v>
      </c>
      <c r="D791">
        <v>1</v>
      </c>
      <c r="E791" t="str">
        <f>VLOOKUP(D791,name!A:B,2,1)</f>
        <v>Navigator</v>
      </c>
      <c r="F791" t="str">
        <f>"次の"&amp;A791&amp;"を真似してね！"</f>
        <v>次のフランス語を真似してね！</v>
      </c>
      <c r="G791" t="str">
        <f t="shared" ref="G791:G854" si="895">IF(B791&lt;&gt;B792,"e",IF(D791=0,"q","a"))</f>
        <v>a</v>
      </c>
      <c r="H791" t="str">
        <f>VLOOKUP(D791,name!A:C,3,1)</f>
        <v>assets/icons/image014.png</v>
      </c>
      <c r="I791" t="s">
        <v>463</v>
      </c>
    </row>
    <row r="792" spans="1:9" x14ac:dyDescent="0.15">
      <c r="A792" t="str">
        <f t="shared" ref="A792:B792" si="896">A791</f>
        <v>フランス語</v>
      </c>
      <c r="B792">
        <f t="shared" si="896"/>
        <v>11</v>
      </c>
      <c r="C792">
        <f t="shared" si="856"/>
        <v>31</v>
      </c>
      <c r="D792">
        <f>D765</f>
        <v>7</v>
      </c>
      <c r="E792" t="str">
        <f>VLOOKUP(D792,name!A:B,2,1)</f>
        <v>Luigi</v>
      </c>
      <c r="F792" t="str">
        <f>F765</f>
        <v>こんにちは、美奈子さん。</v>
      </c>
      <c r="G792" t="str">
        <f t="shared" ref="G792" si="897">IF(B792&lt;&gt;B1957,"e",IF(D792=0,"q","a"))</f>
        <v>e</v>
      </c>
      <c r="H792" t="str">
        <f>VLOOKUP(D792,name!A:C,3,1)</f>
        <v>assets/icons/image023.png</v>
      </c>
      <c r="I792" t="s">
        <v>463</v>
      </c>
    </row>
    <row r="793" spans="1:9" x14ac:dyDescent="0.15">
      <c r="A793" t="str">
        <f t="shared" ref="A793:B793" si="898">A792</f>
        <v>フランス語</v>
      </c>
      <c r="B793">
        <f t="shared" si="898"/>
        <v>11</v>
      </c>
      <c r="C793">
        <f t="shared" si="856"/>
        <v>32</v>
      </c>
      <c r="D793">
        <f>D766</f>
        <v>7</v>
      </c>
      <c r="E793" t="str">
        <f>VLOOKUP(D793,name!A:B,2,1)</f>
        <v>Luigi</v>
      </c>
      <c r="F793" t="str">
        <f>F766</f>
        <v>Salut, Minako.</v>
      </c>
      <c r="G793" t="str">
        <f t="shared" ref="G793:G856" si="899">IF(B793&lt;&gt;B794,"e",IF(D793=0,"q","a"))</f>
        <v>a</v>
      </c>
      <c r="H793" t="str">
        <f>VLOOKUP(D793,name!A:C,3,1)</f>
        <v>assets/icons/image023.png</v>
      </c>
      <c r="I793" t="str">
        <f>IF(A793="","",VLOOKUP(A793,lng!A:B,2,0))</f>
        <v>fr-FR</v>
      </c>
    </row>
    <row r="794" spans="1:9" x14ac:dyDescent="0.15">
      <c r="A794" t="str">
        <f t="shared" ref="A794:B794" si="900">A793</f>
        <v>フランス語</v>
      </c>
      <c r="B794">
        <f t="shared" si="900"/>
        <v>11</v>
      </c>
      <c r="C794">
        <f t="shared" si="856"/>
        <v>33</v>
      </c>
      <c r="D794">
        <v>0</v>
      </c>
      <c r="E794" t="str">
        <f>VLOOKUP(D794,name!A:B,2,1)</f>
        <v>Player</v>
      </c>
      <c r="F794" t="str">
        <f>F766</f>
        <v>Salut, Minako.</v>
      </c>
      <c r="G794" t="str">
        <f t="shared" ref="G794" si="901">IF(B794&lt;&gt;B1959,"e",IF(D794=0,"q","a"))</f>
        <v>e</v>
      </c>
      <c r="H794" t="str">
        <f>VLOOKUP(D794,name!A:C,3,1)</f>
        <v>assets/icons/image326.png</v>
      </c>
      <c r="I794" t="str">
        <f>IF(A794="","",VLOOKUP(A794,lng!A:B,2,0))</f>
        <v>fr-FR</v>
      </c>
    </row>
    <row r="795" spans="1:9" x14ac:dyDescent="0.15">
      <c r="A795" t="str">
        <f t="shared" ref="A795:B795" si="902">A794</f>
        <v>フランス語</v>
      </c>
      <c r="B795">
        <f t="shared" si="902"/>
        <v>11</v>
      </c>
      <c r="C795">
        <f t="shared" si="856"/>
        <v>34</v>
      </c>
      <c r="D795">
        <f>D767</f>
        <v>7</v>
      </c>
      <c r="E795" t="str">
        <f>VLOOKUP(D795,name!A:B,2,1)</f>
        <v>Luigi</v>
      </c>
      <c r="F795" t="str">
        <f>F767</f>
        <v>あなたはすっかり日焼けしています。</v>
      </c>
      <c r="G795" t="str">
        <f t="shared" ref="G795:G858" si="903">IF(B795&lt;&gt;B796,"e",IF(D795=0,"q","a"))</f>
        <v>a</v>
      </c>
      <c r="H795" t="str">
        <f>VLOOKUP(D795,name!A:C,3,1)</f>
        <v>assets/icons/image023.png</v>
      </c>
      <c r="I795" t="s">
        <v>463</v>
      </c>
    </row>
    <row r="796" spans="1:9" x14ac:dyDescent="0.15">
      <c r="A796" t="str">
        <f t="shared" ref="A796:B796" si="904">A795</f>
        <v>フランス語</v>
      </c>
      <c r="B796">
        <f t="shared" si="904"/>
        <v>11</v>
      </c>
      <c r="C796">
        <f t="shared" si="856"/>
        <v>35</v>
      </c>
      <c r="D796">
        <f>D768</f>
        <v>7</v>
      </c>
      <c r="E796" t="str">
        <f>VLOOKUP(D796,name!A:B,2,1)</f>
        <v>Luigi</v>
      </c>
      <c r="F796" t="str">
        <f>F768</f>
        <v>Tu es toute bronzée.</v>
      </c>
      <c r="G796" t="str">
        <f t="shared" ref="G796" si="905">IF(B796&lt;&gt;B1961,"e",IF(D796=0,"q","a"))</f>
        <v>e</v>
      </c>
      <c r="H796" t="str">
        <f>VLOOKUP(D796,name!A:C,3,1)</f>
        <v>assets/icons/image023.png</v>
      </c>
      <c r="I796" t="str">
        <f>IF(A796="","",VLOOKUP(A796,lng!A:B,2,0))</f>
        <v>fr-FR</v>
      </c>
    </row>
    <row r="797" spans="1:9" x14ac:dyDescent="0.15">
      <c r="A797" t="str">
        <f t="shared" ref="A797:B797" si="906">A796</f>
        <v>フランス語</v>
      </c>
      <c r="B797">
        <f t="shared" si="906"/>
        <v>11</v>
      </c>
      <c r="C797">
        <f t="shared" si="856"/>
        <v>36</v>
      </c>
      <c r="D797">
        <v>0</v>
      </c>
      <c r="E797" t="str">
        <f>VLOOKUP(D797,name!A:B,2,1)</f>
        <v>Player</v>
      </c>
      <c r="F797" t="str">
        <f>F768</f>
        <v>Tu es toute bronzée.</v>
      </c>
      <c r="G797" t="str">
        <f t="shared" ref="G797:G860" si="907">IF(B797&lt;&gt;B798,"e",IF(D797=0,"q","a"))</f>
        <v>q</v>
      </c>
      <c r="H797" t="str">
        <f>VLOOKUP(D797,name!A:C,3,1)</f>
        <v>assets/icons/image326.png</v>
      </c>
      <c r="I797" t="str">
        <f>IF(A797="","",VLOOKUP(A797,lng!A:B,2,0))</f>
        <v>fr-FR</v>
      </c>
    </row>
    <row r="798" spans="1:9" x14ac:dyDescent="0.15">
      <c r="A798" t="str">
        <f t="shared" ref="A798:B798" si="908">A797</f>
        <v>フランス語</v>
      </c>
      <c r="B798">
        <f t="shared" si="908"/>
        <v>11</v>
      </c>
      <c r="C798">
        <f t="shared" si="856"/>
        <v>37</v>
      </c>
      <c r="D798">
        <f>D769</f>
        <v>7</v>
      </c>
      <c r="E798" t="str">
        <f>VLOOKUP(D798,name!A:B,2,1)</f>
        <v>Luigi</v>
      </c>
      <c r="F798" t="str">
        <f>F769</f>
        <v>良い休日を過ごしましたか?</v>
      </c>
      <c r="G798" t="str">
        <f t="shared" ref="G798" si="909">IF(B798&lt;&gt;B1963,"e",IF(D798=0,"q","a"))</f>
        <v>e</v>
      </c>
      <c r="H798" t="str">
        <f>VLOOKUP(D798,name!A:C,3,1)</f>
        <v>assets/icons/image023.png</v>
      </c>
      <c r="I798" t="s">
        <v>463</v>
      </c>
    </row>
    <row r="799" spans="1:9" x14ac:dyDescent="0.15">
      <c r="A799" t="str">
        <f t="shared" ref="A799:B799" si="910">A798</f>
        <v>フランス語</v>
      </c>
      <c r="B799">
        <f t="shared" si="910"/>
        <v>11</v>
      </c>
      <c r="C799">
        <f t="shared" si="856"/>
        <v>38</v>
      </c>
      <c r="D799">
        <f>D770</f>
        <v>7</v>
      </c>
      <c r="E799" t="str">
        <f>VLOOKUP(D799,name!A:B,2,1)</f>
        <v>Luigi</v>
      </c>
      <c r="F799" t="str">
        <f>F770</f>
        <v>Tu as passé de bonnes vacances ?</v>
      </c>
      <c r="G799" t="str">
        <f t="shared" ref="G799:G862" si="911">IF(B799&lt;&gt;B800,"e",IF(D799=0,"q","a"))</f>
        <v>a</v>
      </c>
      <c r="H799" t="str">
        <f>VLOOKUP(D799,name!A:C,3,1)</f>
        <v>assets/icons/image023.png</v>
      </c>
      <c r="I799" t="str">
        <f>IF(A799="","",VLOOKUP(A799,lng!A:B,2,0))</f>
        <v>fr-FR</v>
      </c>
    </row>
    <row r="800" spans="1:9" x14ac:dyDescent="0.15">
      <c r="A800" t="str">
        <f t="shared" ref="A800:B800" si="912">A799</f>
        <v>フランス語</v>
      </c>
      <c r="B800">
        <f t="shared" si="912"/>
        <v>11</v>
      </c>
      <c r="C800">
        <f t="shared" si="856"/>
        <v>39</v>
      </c>
      <c r="D800">
        <v>0</v>
      </c>
      <c r="E800" t="str">
        <f>VLOOKUP(D800,name!A:B,2,1)</f>
        <v>Player</v>
      </c>
      <c r="F800" t="str">
        <f>F770</f>
        <v>Tu as passé de bonnes vacances ?</v>
      </c>
      <c r="G800" t="str">
        <f t="shared" ref="G800" si="913">IF(B800&lt;&gt;B1965,"e",IF(D800=0,"q","a"))</f>
        <v>e</v>
      </c>
      <c r="H800" t="str">
        <f>VLOOKUP(D800,name!A:C,3,1)</f>
        <v>assets/icons/image326.png</v>
      </c>
      <c r="I800" t="str">
        <f>IF(A800="","",VLOOKUP(A800,lng!A:B,2,0))</f>
        <v>fr-FR</v>
      </c>
    </row>
    <row r="801" spans="1:9" x14ac:dyDescent="0.15">
      <c r="A801" t="str">
        <f t="shared" ref="A801:B801" si="914">A800</f>
        <v>フランス語</v>
      </c>
      <c r="B801">
        <f t="shared" si="914"/>
        <v>11</v>
      </c>
      <c r="C801">
        <f t="shared" si="856"/>
        <v>40</v>
      </c>
      <c r="D801">
        <f>D771</f>
        <v>5</v>
      </c>
      <c r="E801" t="str">
        <f>VLOOKUP(D801,name!A:B,2,1)</f>
        <v>Minako</v>
      </c>
      <c r="F801" t="str">
        <f>F771</f>
        <v>はい、日本人の友達と南に行きました。</v>
      </c>
      <c r="G801" t="str">
        <f t="shared" ref="G801:G864" si="915">IF(B801&lt;&gt;B802,"e",IF(D801=0,"q","a"))</f>
        <v>a</v>
      </c>
      <c r="H801" t="str">
        <f>VLOOKUP(D801,name!A:C,3,1)</f>
        <v>assets/icons/image086.png</v>
      </c>
      <c r="I801" t="s">
        <v>463</v>
      </c>
    </row>
    <row r="802" spans="1:9" x14ac:dyDescent="0.15">
      <c r="A802" t="str">
        <f t="shared" ref="A802:B802" si="916">A801</f>
        <v>フランス語</v>
      </c>
      <c r="B802">
        <f t="shared" si="916"/>
        <v>11</v>
      </c>
      <c r="C802">
        <f t="shared" si="856"/>
        <v>41</v>
      </c>
      <c r="D802">
        <f>D772</f>
        <v>5</v>
      </c>
      <c r="E802" t="str">
        <f>VLOOKUP(D802,name!A:B,2,1)</f>
        <v>Minako</v>
      </c>
      <c r="F802" t="str">
        <f>F772</f>
        <v>Oui, je suis allée dans le Midi avec une amie japonaise.</v>
      </c>
      <c r="G802" t="str">
        <f t="shared" ref="G802" si="917">IF(B802&lt;&gt;B1967,"e",IF(D802=0,"q","a"))</f>
        <v>e</v>
      </c>
      <c r="H802" t="str">
        <f>VLOOKUP(D802,name!A:C,3,1)</f>
        <v>assets/icons/image086.png</v>
      </c>
      <c r="I802" t="str">
        <f>IF(A802="","",VLOOKUP(A802,lng!A:B,2,0))</f>
        <v>fr-FR</v>
      </c>
    </row>
    <row r="803" spans="1:9" x14ac:dyDescent="0.15">
      <c r="A803" t="str">
        <f t="shared" ref="A803:B803" si="918">A802</f>
        <v>フランス語</v>
      </c>
      <c r="B803">
        <f t="shared" si="918"/>
        <v>11</v>
      </c>
      <c r="C803">
        <f t="shared" si="856"/>
        <v>42</v>
      </c>
      <c r="D803">
        <v>0</v>
      </c>
      <c r="E803" t="str">
        <f>VLOOKUP(D803,name!A:B,2,1)</f>
        <v>Player</v>
      </c>
      <c r="F803" t="str">
        <f>F772</f>
        <v>Oui, je suis allée dans le Midi avec une amie japonaise.</v>
      </c>
      <c r="G803" t="str">
        <f t="shared" ref="G803:G866" si="919">IF(B803&lt;&gt;B804,"e",IF(D803=0,"q","a"))</f>
        <v>q</v>
      </c>
      <c r="H803" t="str">
        <f>VLOOKUP(D803,name!A:C,3,1)</f>
        <v>assets/icons/image326.png</v>
      </c>
      <c r="I803" t="str">
        <f>IF(A803="","",VLOOKUP(A803,lng!A:B,2,0))</f>
        <v>fr-FR</v>
      </c>
    </row>
    <row r="804" spans="1:9" x14ac:dyDescent="0.15">
      <c r="A804" t="str">
        <f t="shared" ref="A804:B804" si="920">A803</f>
        <v>フランス語</v>
      </c>
      <c r="B804">
        <f t="shared" si="920"/>
        <v>11</v>
      </c>
      <c r="C804">
        <f t="shared" si="856"/>
        <v>43</v>
      </c>
      <c r="D804">
        <f>D773</f>
        <v>6</v>
      </c>
      <c r="E804" t="str">
        <f>VLOOKUP(D804,name!A:B,2,1)</f>
        <v>Céline</v>
      </c>
      <c r="F804" t="str">
        <f>F773</f>
        <v>いったいどこへ行ったの?</v>
      </c>
      <c r="G804" t="str">
        <f t="shared" ref="G804" si="921">IF(B804&lt;&gt;B1969,"e",IF(D804=0,"q","a"))</f>
        <v>e</v>
      </c>
      <c r="H804" t="str">
        <f>VLOOKUP(D804,name!A:C,3,1)</f>
        <v>assets/icons/image078.png</v>
      </c>
      <c r="I804" t="s">
        <v>463</v>
      </c>
    </row>
    <row r="805" spans="1:9" x14ac:dyDescent="0.15">
      <c r="A805" t="str">
        <f t="shared" ref="A805:B805" si="922">A804</f>
        <v>フランス語</v>
      </c>
      <c r="B805">
        <f t="shared" si="922"/>
        <v>11</v>
      </c>
      <c r="C805">
        <f t="shared" si="856"/>
        <v>44</v>
      </c>
      <c r="D805">
        <f>D774</f>
        <v>6</v>
      </c>
      <c r="E805" t="str">
        <f>VLOOKUP(D805,name!A:B,2,1)</f>
        <v>Céline</v>
      </c>
      <c r="F805" t="str">
        <f>F774</f>
        <v>Où êtes-vous allées exactement ?</v>
      </c>
      <c r="G805" t="str">
        <f t="shared" ref="G805:G868" si="923">IF(B805&lt;&gt;B806,"e",IF(D805=0,"q","a"))</f>
        <v>a</v>
      </c>
      <c r="H805" t="str">
        <f>VLOOKUP(D805,name!A:C,3,1)</f>
        <v>assets/icons/image078.png</v>
      </c>
      <c r="I805" t="str">
        <f>IF(A805="","",VLOOKUP(A805,lng!A:B,2,0))</f>
        <v>fr-FR</v>
      </c>
    </row>
    <row r="806" spans="1:9" x14ac:dyDescent="0.15">
      <c r="A806" t="str">
        <f t="shared" ref="A806:B806" si="924">A805</f>
        <v>フランス語</v>
      </c>
      <c r="B806">
        <f t="shared" si="924"/>
        <v>11</v>
      </c>
      <c r="C806">
        <f t="shared" si="856"/>
        <v>45</v>
      </c>
      <c r="D806">
        <v>0</v>
      </c>
      <c r="E806" t="str">
        <f>VLOOKUP(D806,name!A:B,2,1)</f>
        <v>Player</v>
      </c>
      <c r="F806" t="str">
        <f>F774</f>
        <v>Où êtes-vous allées exactement ?</v>
      </c>
      <c r="G806" t="str">
        <f t="shared" ref="G806" si="925">IF(B806&lt;&gt;B1971,"e",IF(D806=0,"q","a"))</f>
        <v>e</v>
      </c>
      <c r="H806" t="str">
        <f>VLOOKUP(D806,name!A:C,3,1)</f>
        <v>assets/icons/image326.png</v>
      </c>
      <c r="I806" t="str">
        <f>IF(A806="","",VLOOKUP(A806,lng!A:B,2,0))</f>
        <v>fr-FR</v>
      </c>
    </row>
    <row r="807" spans="1:9" x14ac:dyDescent="0.15">
      <c r="A807" t="str">
        <f t="shared" ref="A807:B807" si="926">A806</f>
        <v>フランス語</v>
      </c>
      <c r="B807">
        <f t="shared" si="926"/>
        <v>11</v>
      </c>
      <c r="C807">
        <f t="shared" si="856"/>
        <v>46</v>
      </c>
      <c r="D807">
        <f>D775</f>
        <v>5</v>
      </c>
      <c r="E807" t="str">
        <f>VLOOKUP(D807,name!A:B,2,1)</f>
        <v>Minako</v>
      </c>
      <c r="F807" t="str">
        <f>F775</f>
        <v>私たちは8月1日に出発しました。</v>
      </c>
      <c r="G807" t="str">
        <f t="shared" ref="G807:G870" si="927">IF(B807&lt;&gt;B808,"e",IF(D807=0,"q","a"))</f>
        <v>a</v>
      </c>
      <c r="H807" t="str">
        <f>VLOOKUP(D807,name!A:C,3,1)</f>
        <v>assets/icons/image086.png</v>
      </c>
      <c r="I807" t="s">
        <v>463</v>
      </c>
    </row>
    <row r="808" spans="1:9" x14ac:dyDescent="0.15">
      <c r="A808" t="str">
        <f t="shared" ref="A808:B808" si="928">A807</f>
        <v>フランス語</v>
      </c>
      <c r="B808">
        <f t="shared" si="928"/>
        <v>11</v>
      </c>
      <c r="C808">
        <f t="shared" si="856"/>
        <v>47</v>
      </c>
      <c r="D808">
        <f>D776</f>
        <v>5</v>
      </c>
      <c r="E808" t="str">
        <f>VLOOKUP(D808,name!A:B,2,1)</f>
        <v>Minako</v>
      </c>
      <c r="F808" t="str">
        <f>F776</f>
        <v>Nous sommes parties le 1er août.</v>
      </c>
      <c r="G808" t="str">
        <f t="shared" ref="G808" si="929">IF(B808&lt;&gt;B1973,"e",IF(D808=0,"q","a"))</f>
        <v>e</v>
      </c>
      <c r="H808" t="str">
        <f>VLOOKUP(D808,name!A:C,3,1)</f>
        <v>assets/icons/image086.png</v>
      </c>
      <c r="I808" t="str">
        <f>IF(A808="","",VLOOKUP(A808,lng!A:B,2,0))</f>
        <v>fr-FR</v>
      </c>
    </row>
    <row r="809" spans="1:9" x14ac:dyDescent="0.15">
      <c r="A809" t="str">
        <f t="shared" ref="A809:B809" si="930">A808</f>
        <v>フランス語</v>
      </c>
      <c r="B809">
        <f t="shared" si="930"/>
        <v>11</v>
      </c>
      <c r="C809">
        <f t="shared" si="856"/>
        <v>48</v>
      </c>
      <c r="D809">
        <v>0</v>
      </c>
      <c r="E809" t="str">
        <f>VLOOKUP(D809,name!A:B,2,1)</f>
        <v>Player</v>
      </c>
      <c r="F809" t="str">
        <f>F776</f>
        <v>Nous sommes parties le 1er août.</v>
      </c>
      <c r="G809" t="str">
        <f t="shared" ref="G809:G872" si="931">IF(B809&lt;&gt;B810,"e",IF(D809=0,"q","a"))</f>
        <v>q</v>
      </c>
      <c r="H809" t="str">
        <f>VLOOKUP(D809,name!A:C,3,1)</f>
        <v>assets/icons/image326.png</v>
      </c>
      <c r="I809" t="str">
        <f>IF(A809="","",VLOOKUP(A809,lng!A:B,2,0))</f>
        <v>fr-FR</v>
      </c>
    </row>
    <row r="810" spans="1:9" x14ac:dyDescent="0.15">
      <c r="A810" t="str">
        <f t="shared" ref="A810:B810" si="932">A809</f>
        <v>フランス語</v>
      </c>
      <c r="B810">
        <f t="shared" si="932"/>
        <v>11</v>
      </c>
      <c r="C810">
        <f t="shared" si="856"/>
        <v>49</v>
      </c>
      <c r="D810">
        <f>D777</f>
        <v>5</v>
      </c>
      <c r="E810" t="str">
        <f>VLOOKUP(D810,name!A:B,2,1)</f>
        <v>Minako</v>
      </c>
      <c r="F810" t="str">
        <f>F777</f>
        <v>私たちは最初にアヴィニョンに行きました、</v>
      </c>
      <c r="G810" t="str">
        <f t="shared" ref="G810" si="933">IF(B810&lt;&gt;B1975,"e",IF(D810=0,"q","a"))</f>
        <v>e</v>
      </c>
      <c r="H810" t="str">
        <f>VLOOKUP(D810,name!A:C,3,1)</f>
        <v>assets/icons/image086.png</v>
      </c>
      <c r="I810" t="s">
        <v>463</v>
      </c>
    </row>
    <row r="811" spans="1:9" x14ac:dyDescent="0.15">
      <c r="A811" t="str">
        <f t="shared" ref="A811:B811" si="934">A810</f>
        <v>フランス語</v>
      </c>
      <c r="B811">
        <f t="shared" si="934"/>
        <v>11</v>
      </c>
      <c r="C811">
        <f t="shared" si="856"/>
        <v>50</v>
      </c>
      <c r="D811">
        <f>D778</f>
        <v>5</v>
      </c>
      <c r="E811" t="str">
        <f>VLOOKUP(D811,name!A:B,2,1)</f>
        <v>Minako</v>
      </c>
      <c r="F811" t="str">
        <f>F778</f>
        <v>Nous sommes allées d'abord à Avignon,</v>
      </c>
      <c r="G811" t="str">
        <f t="shared" ref="G811:G874" si="935">IF(B811&lt;&gt;B812,"e",IF(D811=0,"q","a"))</f>
        <v>a</v>
      </c>
      <c r="H811" t="str">
        <f>VLOOKUP(D811,name!A:C,3,1)</f>
        <v>assets/icons/image086.png</v>
      </c>
      <c r="I811" t="str">
        <f>IF(A811="","",VLOOKUP(A811,lng!A:B,2,0))</f>
        <v>fr-FR</v>
      </c>
    </row>
    <row r="812" spans="1:9" x14ac:dyDescent="0.15">
      <c r="A812" t="str">
        <f t="shared" ref="A812:B812" si="936">A811</f>
        <v>フランス語</v>
      </c>
      <c r="B812">
        <f t="shared" si="936"/>
        <v>11</v>
      </c>
      <c r="C812">
        <f t="shared" si="856"/>
        <v>51</v>
      </c>
      <c r="D812">
        <v>0</v>
      </c>
      <c r="E812" t="str">
        <f>VLOOKUP(D812,name!A:B,2,1)</f>
        <v>Player</v>
      </c>
      <c r="F812" t="str">
        <f>F778</f>
        <v>Nous sommes allées d'abord à Avignon,</v>
      </c>
      <c r="G812" t="str">
        <f t="shared" ref="G812" si="937">IF(B812&lt;&gt;B1977,"e",IF(D812=0,"q","a"))</f>
        <v>e</v>
      </c>
      <c r="H812" t="str">
        <f>VLOOKUP(D812,name!A:C,3,1)</f>
        <v>assets/icons/image326.png</v>
      </c>
      <c r="I812" t="str">
        <f>IF(A812="","",VLOOKUP(A812,lng!A:B,2,0))</f>
        <v>fr-FR</v>
      </c>
    </row>
    <row r="813" spans="1:9" x14ac:dyDescent="0.15">
      <c r="A813" t="str">
        <f t="shared" ref="A813:B813" si="938">A812</f>
        <v>フランス語</v>
      </c>
      <c r="B813">
        <f t="shared" si="938"/>
        <v>11</v>
      </c>
      <c r="C813">
        <f t="shared" si="856"/>
        <v>52</v>
      </c>
      <c r="D813">
        <f>D779</f>
        <v>5</v>
      </c>
      <c r="E813" t="str">
        <f>VLOOKUP(D813,name!A:B,2,1)</f>
        <v>Minako</v>
      </c>
      <c r="F813" t="str">
        <f>F779</f>
        <v>その後、エクス-アン-プロヴァンスへ。</v>
      </c>
      <c r="G813" t="str">
        <f t="shared" ref="G813:G876" si="939">IF(B813&lt;&gt;B814,"e",IF(D813=0,"q","a"))</f>
        <v>a</v>
      </c>
      <c r="H813" t="str">
        <f>VLOOKUP(D813,name!A:C,3,1)</f>
        <v>assets/icons/image086.png</v>
      </c>
      <c r="I813" t="s">
        <v>463</v>
      </c>
    </row>
    <row r="814" spans="1:9" x14ac:dyDescent="0.15">
      <c r="A814" t="str">
        <f t="shared" ref="A814:B814" si="940">A813</f>
        <v>フランス語</v>
      </c>
      <c r="B814">
        <f t="shared" si="940"/>
        <v>11</v>
      </c>
      <c r="C814">
        <f t="shared" si="856"/>
        <v>53</v>
      </c>
      <c r="D814">
        <f>D780</f>
        <v>5</v>
      </c>
      <c r="E814" t="str">
        <f>VLOOKUP(D814,name!A:B,2,1)</f>
        <v>Minako</v>
      </c>
      <c r="F814" t="str">
        <f>F780</f>
        <v>puis à Aix-en-Provence.</v>
      </c>
      <c r="G814" t="str">
        <f t="shared" ref="G814" si="941">IF(B814&lt;&gt;B1979,"e",IF(D814=0,"q","a"))</f>
        <v>e</v>
      </c>
      <c r="H814" t="str">
        <f>VLOOKUP(D814,name!A:C,3,1)</f>
        <v>assets/icons/image086.png</v>
      </c>
      <c r="I814" t="str">
        <f>IF(A814="","",VLOOKUP(A814,lng!A:B,2,0))</f>
        <v>fr-FR</v>
      </c>
    </row>
    <row r="815" spans="1:9" x14ac:dyDescent="0.15">
      <c r="A815" t="str">
        <f t="shared" ref="A815:B815" si="942">A814</f>
        <v>フランス語</v>
      </c>
      <c r="B815">
        <f t="shared" si="942"/>
        <v>11</v>
      </c>
      <c r="C815">
        <f t="shared" si="856"/>
        <v>54</v>
      </c>
      <c r="D815">
        <v>0</v>
      </c>
      <c r="E815" t="str">
        <f>VLOOKUP(D815,name!A:B,2,1)</f>
        <v>Player</v>
      </c>
      <c r="F815" t="str">
        <f>F780</f>
        <v>puis à Aix-en-Provence.</v>
      </c>
      <c r="G815" t="str">
        <f t="shared" ref="G815:G878" si="943">IF(B815&lt;&gt;B816,"e",IF(D815=0,"q","a"))</f>
        <v>q</v>
      </c>
      <c r="H815" t="str">
        <f>VLOOKUP(D815,name!A:C,3,1)</f>
        <v>assets/icons/image326.png</v>
      </c>
      <c r="I815" t="str">
        <f>IF(A815="","",VLOOKUP(A815,lng!A:B,2,0))</f>
        <v>fr-FR</v>
      </c>
    </row>
    <row r="816" spans="1:9" x14ac:dyDescent="0.15">
      <c r="A816" t="str">
        <f t="shared" ref="A816:B816" si="944">A815</f>
        <v>フランス語</v>
      </c>
      <c r="B816">
        <f t="shared" si="944"/>
        <v>11</v>
      </c>
      <c r="C816">
        <f t="shared" si="856"/>
        <v>55</v>
      </c>
      <c r="D816">
        <f>D781</f>
        <v>7</v>
      </c>
      <c r="E816" t="str">
        <f>VLOOKUP(D816,name!A:B,2,1)</f>
        <v>Luigi</v>
      </c>
      <c r="F816" t="str">
        <f>F781</f>
        <v>きっとアヴィニョンの橋で踊ったのでしょう。</v>
      </c>
      <c r="G816" t="str">
        <f t="shared" ref="G816" si="945">IF(B816&lt;&gt;B1981,"e",IF(D816=0,"q","a"))</f>
        <v>e</v>
      </c>
      <c r="H816" t="str">
        <f>VLOOKUP(D816,name!A:C,3,1)</f>
        <v>assets/icons/image023.png</v>
      </c>
      <c r="I816" t="s">
        <v>463</v>
      </c>
    </row>
    <row r="817" spans="1:9" x14ac:dyDescent="0.15">
      <c r="A817" t="str">
        <f t="shared" ref="A817:B817" si="946">A816</f>
        <v>フランス語</v>
      </c>
      <c r="B817">
        <f t="shared" si="946"/>
        <v>11</v>
      </c>
      <c r="C817">
        <f t="shared" si="856"/>
        <v>56</v>
      </c>
      <c r="D817">
        <f>D782</f>
        <v>7</v>
      </c>
      <c r="E817" t="str">
        <f>VLOOKUP(D817,name!A:B,2,1)</f>
        <v>Luigi</v>
      </c>
      <c r="F817" t="str">
        <f>F782</f>
        <v>Vous avez sans doute dansé sur le pont d'Avignon.</v>
      </c>
      <c r="G817" t="str">
        <f t="shared" ref="G817:G880" si="947">IF(B817&lt;&gt;B818,"e",IF(D817=0,"q","a"))</f>
        <v>a</v>
      </c>
      <c r="H817" t="str">
        <f>VLOOKUP(D817,name!A:C,3,1)</f>
        <v>assets/icons/image023.png</v>
      </c>
      <c r="I817" t="str">
        <f>IF(A817="","",VLOOKUP(A817,lng!A:B,2,0))</f>
        <v>fr-FR</v>
      </c>
    </row>
    <row r="818" spans="1:9" x14ac:dyDescent="0.15">
      <c r="A818" t="str">
        <f t="shared" ref="A818:B818" si="948">A817</f>
        <v>フランス語</v>
      </c>
      <c r="B818">
        <f t="shared" si="948"/>
        <v>11</v>
      </c>
      <c r="C818">
        <f t="shared" si="856"/>
        <v>57</v>
      </c>
      <c r="D818">
        <v>0</v>
      </c>
      <c r="E818" t="str">
        <f>VLOOKUP(D818,name!A:B,2,1)</f>
        <v>Player</v>
      </c>
      <c r="F818" t="str">
        <f>F782</f>
        <v>Vous avez sans doute dansé sur le pont d'Avignon.</v>
      </c>
      <c r="G818" t="str">
        <f t="shared" ref="G818" si="949">IF(B818&lt;&gt;B1983,"e",IF(D818=0,"q","a"))</f>
        <v>e</v>
      </c>
      <c r="H818" t="str">
        <f>VLOOKUP(D818,name!A:C,3,1)</f>
        <v>assets/icons/image326.png</v>
      </c>
      <c r="I818" t="str">
        <f>IF(A818="","",VLOOKUP(A818,lng!A:B,2,0))</f>
        <v>fr-FR</v>
      </c>
    </row>
    <row r="819" spans="1:9" x14ac:dyDescent="0.15">
      <c r="A819" t="str">
        <f t="shared" ref="A819:B819" si="950">A818</f>
        <v>フランス語</v>
      </c>
      <c r="B819">
        <f t="shared" si="950"/>
        <v>11</v>
      </c>
      <c r="C819">
        <f t="shared" si="856"/>
        <v>58</v>
      </c>
      <c r="D819">
        <f>D783</f>
        <v>5</v>
      </c>
      <c r="E819" t="str">
        <f>VLOOKUP(D819,name!A:B,2,1)</f>
        <v>Minako</v>
      </c>
      <c r="F819" t="str">
        <f>F783</f>
        <v>もちろんです。</v>
      </c>
      <c r="G819" t="str">
        <f t="shared" ref="G819:G882" si="951">IF(B819&lt;&gt;B820,"e",IF(D819=0,"q","a"))</f>
        <v>a</v>
      </c>
      <c r="H819" t="str">
        <f>VLOOKUP(D819,name!A:C,3,1)</f>
        <v>assets/icons/image086.png</v>
      </c>
      <c r="I819" t="s">
        <v>463</v>
      </c>
    </row>
    <row r="820" spans="1:9" x14ac:dyDescent="0.15">
      <c r="A820" t="str">
        <f t="shared" ref="A820:B820" si="952">A819</f>
        <v>フランス語</v>
      </c>
      <c r="B820">
        <f t="shared" si="952"/>
        <v>11</v>
      </c>
      <c r="C820">
        <f t="shared" si="856"/>
        <v>59</v>
      </c>
      <c r="D820">
        <f>D784</f>
        <v>5</v>
      </c>
      <c r="E820" t="str">
        <f>VLOOKUP(D820,name!A:B,2,1)</f>
        <v>Minako</v>
      </c>
      <c r="F820" t="str">
        <f>F784</f>
        <v xml:space="preserve">Bien sûr. </v>
      </c>
      <c r="G820" t="str">
        <f t="shared" ref="G820" si="953">IF(B820&lt;&gt;B1985,"e",IF(D820=0,"q","a"))</f>
        <v>e</v>
      </c>
      <c r="H820" t="str">
        <f>VLOOKUP(D820,name!A:C,3,1)</f>
        <v>assets/icons/image086.png</v>
      </c>
      <c r="I820" t="str">
        <f>IF(A820="","",VLOOKUP(A820,lng!A:B,2,0))</f>
        <v>fr-FR</v>
      </c>
    </row>
    <row r="821" spans="1:9" x14ac:dyDescent="0.15">
      <c r="A821" t="str">
        <f t="shared" ref="A821:B821" si="954">A820</f>
        <v>フランス語</v>
      </c>
      <c r="B821">
        <f t="shared" si="954"/>
        <v>11</v>
      </c>
      <c r="C821">
        <f t="shared" si="856"/>
        <v>60</v>
      </c>
      <c r="D821">
        <v>0</v>
      </c>
      <c r="E821" t="str">
        <f>VLOOKUP(D821,name!A:B,2,1)</f>
        <v>Player</v>
      </c>
      <c r="F821" t="str">
        <f>F784</f>
        <v xml:space="preserve">Bien sûr. </v>
      </c>
      <c r="G821" t="str">
        <f t="shared" ref="G821:G884" si="955">IF(B821&lt;&gt;B822,"e",IF(D821=0,"q","a"))</f>
        <v>q</v>
      </c>
      <c r="H821" t="str">
        <f>VLOOKUP(D821,name!A:C,3,1)</f>
        <v>assets/icons/image326.png</v>
      </c>
      <c r="I821" t="str">
        <f>IF(A821="","",VLOOKUP(A821,lng!A:B,2,0))</f>
        <v>fr-FR</v>
      </c>
    </row>
    <row r="822" spans="1:9" x14ac:dyDescent="0.15">
      <c r="A822" t="str">
        <f t="shared" ref="A822:B822" si="956">A821</f>
        <v>フランス語</v>
      </c>
      <c r="B822">
        <f t="shared" si="956"/>
        <v>11</v>
      </c>
      <c r="C822">
        <f t="shared" si="856"/>
        <v>61</v>
      </c>
      <c r="D822">
        <f>D785</f>
        <v>5</v>
      </c>
      <c r="E822" t="str">
        <f>VLOOKUP(D822,name!A:B,2,1)</f>
        <v>Minako</v>
      </c>
      <c r="F822" t="str">
        <f>F785</f>
        <v>それで、あなた方、あなた方はどこに行きましたか?</v>
      </c>
      <c r="G822" t="str">
        <f t="shared" ref="G822" si="957">IF(B822&lt;&gt;B1987,"e",IF(D822=0,"q","a"))</f>
        <v>e</v>
      </c>
      <c r="H822" t="str">
        <f>VLOOKUP(D822,name!A:C,3,1)</f>
        <v>assets/icons/image086.png</v>
      </c>
      <c r="I822" t="s">
        <v>463</v>
      </c>
    </row>
    <row r="823" spans="1:9" x14ac:dyDescent="0.15">
      <c r="A823" t="str">
        <f t="shared" ref="A823:B823" si="958">A822</f>
        <v>フランス語</v>
      </c>
      <c r="B823">
        <f t="shared" si="958"/>
        <v>11</v>
      </c>
      <c r="C823">
        <f t="shared" si="856"/>
        <v>62</v>
      </c>
      <c r="D823">
        <f>D786</f>
        <v>5</v>
      </c>
      <c r="E823" t="str">
        <f>VLOOKUP(D823,name!A:B,2,1)</f>
        <v>Minako</v>
      </c>
      <c r="F823" t="str">
        <f>F786</f>
        <v>Et vous, vous êtes partis où ?</v>
      </c>
      <c r="G823" t="str">
        <f t="shared" ref="G823:G886" si="959">IF(B823&lt;&gt;B824,"e",IF(D823=0,"q","a"))</f>
        <v>a</v>
      </c>
      <c r="H823" t="str">
        <f>VLOOKUP(D823,name!A:C,3,1)</f>
        <v>assets/icons/image086.png</v>
      </c>
      <c r="I823" t="str">
        <f>IF(A823="","",VLOOKUP(A823,lng!A:B,2,0))</f>
        <v>fr-FR</v>
      </c>
    </row>
    <row r="824" spans="1:9" x14ac:dyDescent="0.15">
      <c r="A824" t="str">
        <f t="shared" ref="A824:B824" si="960">A823</f>
        <v>フランス語</v>
      </c>
      <c r="B824">
        <f t="shared" si="960"/>
        <v>11</v>
      </c>
      <c r="C824">
        <f t="shared" si="856"/>
        <v>63</v>
      </c>
      <c r="D824">
        <v>0</v>
      </c>
      <c r="E824" t="str">
        <f>VLOOKUP(D824,name!A:B,2,1)</f>
        <v>Player</v>
      </c>
      <c r="F824" t="str">
        <f>F786</f>
        <v>Et vous, vous êtes partis où ?</v>
      </c>
      <c r="G824" t="str">
        <f t="shared" ref="G824" si="961">IF(B824&lt;&gt;B1989,"e",IF(D824=0,"q","a"))</f>
        <v>e</v>
      </c>
      <c r="H824" t="str">
        <f>VLOOKUP(D824,name!A:C,3,1)</f>
        <v>assets/icons/image326.png</v>
      </c>
      <c r="I824" t="str">
        <f>IF(A824="","",VLOOKUP(A824,lng!A:B,2,0))</f>
        <v>fr-FR</v>
      </c>
    </row>
    <row r="825" spans="1:9" x14ac:dyDescent="0.15">
      <c r="A825" t="str">
        <f t="shared" ref="A825:B825" si="962">A824</f>
        <v>フランス語</v>
      </c>
      <c r="B825">
        <f t="shared" si="962"/>
        <v>11</v>
      </c>
      <c r="C825">
        <f t="shared" si="856"/>
        <v>64</v>
      </c>
      <c r="D825">
        <f>D787</f>
        <v>6</v>
      </c>
      <c r="E825" t="str">
        <f>VLOOKUP(D825,name!A:B,2,1)</f>
        <v>Céline</v>
      </c>
      <c r="F825" t="str">
        <f>F787</f>
        <v>ブザンソンの叔母の家に行きました。</v>
      </c>
      <c r="G825" t="str">
        <f t="shared" ref="G825:G888" si="963">IF(B825&lt;&gt;B826,"e",IF(D825=0,"q","a"))</f>
        <v>a</v>
      </c>
      <c r="H825" t="str">
        <f>VLOOKUP(D825,name!A:C,3,1)</f>
        <v>assets/icons/image078.png</v>
      </c>
      <c r="I825" t="s">
        <v>463</v>
      </c>
    </row>
    <row r="826" spans="1:9" x14ac:dyDescent="0.15">
      <c r="A826" t="str">
        <f t="shared" ref="A826:B826" si="964">A825</f>
        <v>フランス語</v>
      </c>
      <c r="B826">
        <f t="shared" si="964"/>
        <v>11</v>
      </c>
      <c r="C826">
        <f t="shared" si="856"/>
        <v>65</v>
      </c>
      <c r="D826">
        <f>D788</f>
        <v>6</v>
      </c>
      <c r="E826" t="str">
        <f>VLOOKUP(D826,name!A:B,2,1)</f>
        <v>Céline</v>
      </c>
      <c r="F826" t="str">
        <f>F788</f>
        <v>Je suis allée chez ma tante, à Besançon.</v>
      </c>
      <c r="G826" t="str">
        <f t="shared" ref="G826" si="965">IF(B826&lt;&gt;B1991,"e",IF(D826=0,"q","a"))</f>
        <v>e</v>
      </c>
      <c r="H826" t="str">
        <f>VLOOKUP(D826,name!A:C,3,1)</f>
        <v>assets/icons/image078.png</v>
      </c>
      <c r="I826" t="str">
        <f>IF(A826="","",VLOOKUP(A826,lng!A:B,2,0))</f>
        <v>fr-FR</v>
      </c>
    </row>
    <row r="827" spans="1:9" x14ac:dyDescent="0.15">
      <c r="A827" t="str">
        <f t="shared" ref="A827:B827" si="966">A826</f>
        <v>フランス語</v>
      </c>
      <c r="B827">
        <f t="shared" si="966"/>
        <v>11</v>
      </c>
      <c r="C827">
        <f t="shared" si="856"/>
        <v>66</v>
      </c>
      <c r="D827">
        <v>0</v>
      </c>
      <c r="E827" t="str">
        <f>VLOOKUP(D827,name!A:B,2,1)</f>
        <v>Player</v>
      </c>
      <c r="F827" t="str">
        <f>F788</f>
        <v>Je suis allée chez ma tante, à Besançon.</v>
      </c>
      <c r="G827" t="str">
        <f t="shared" ref="G827:G890" si="967">IF(B827&lt;&gt;B828,"e",IF(D827=0,"q","a"))</f>
        <v>q</v>
      </c>
      <c r="H827" t="str">
        <f>VLOOKUP(D827,name!A:C,3,1)</f>
        <v>assets/icons/image326.png</v>
      </c>
      <c r="I827" t="str">
        <f>IF(A827="","",VLOOKUP(A827,lng!A:B,2,0))</f>
        <v>fr-FR</v>
      </c>
    </row>
    <row r="828" spans="1:9" x14ac:dyDescent="0.15">
      <c r="A828" t="str">
        <f t="shared" ref="A828:B828" si="968">A827</f>
        <v>フランス語</v>
      </c>
      <c r="B828">
        <f t="shared" si="968"/>
        <v>11</v>
      </c>
      <c r="C828">
        <f t="shared" ref="C828:C858" si="969">C827+1</f>
        <v>67</v>
      </c>
      <c r="D828">
        <f>D789</f>
        <v>7</v>
      </c>
      <c r="E828" t="str">
        <f>VLOOKUP(D828,name!A:B,2,1)</f>
        <v>Luigi</v>
      </c>
      <c r="F828" t="str">
        <f>F789</f>
        <v>私はちょっとした仕事のためにパリに滞在しました。</v>
      </c>
      <c r="G828" t="str">
        <f t="shared" ref="G828" si="970">IF(B828&lt;&gt;B1993,"e",IF(D828=0,"q","a"))</f>
        <v>e</v>
      </c>
      <c r="H828" t="str">
        <f>VLOOKUP(D828,name!A:C,3,1)</f>
        <v>assets/icons/image023.png</v>
      </c>
      <c r="I828" t="s">
        <v>463</v>
      </c>
    </row>
    <row r="829" spans="1:9" x14ac:dyDescent="0.15">
      <c r="A829" t="str">
        <f t="shared" ref="A829:B829" si="971">A828</f>
        <v>フランス語</v>
      </c>
      <c r="B829">
        <f t="shared" si="971"/>
        <v>11</v>
      </c>
      <c r="C829">
        <f t="shared" si="969"/>
        <v>68</v>
      </c>
      <c r="D829">
        <f>D790</f>
        <v>7</v>
      </c>
      <c r="E829" t="str">
        <f>VLOOKUP(D829,name!A:B,2,1)</f>
        <v>Luigi</v>
      </c>
      <c r="F829" t="str">
        <f>F790</f>
        <v>Moi, je suis resté à Paris pour un petit travail.</v>
      </c>
      <c r="G829" t="str">
        <f t="shared" ref="G829:G892" si="972">IF(B829&lt;&gt;B830,"e",IF(D829=0,"q","a"))</f>
        <v>a</v>
      </c>
      <c r="H829" t="str">
        <f>VLOOKUP(D829,name!A:C,3,1)</f>
        <v>assets/icons/image023.png</v>
      </c>
      <c r="I829" t="str">
        <f>IF(A829="","",VLOOKUP(A829,lng!A:B,2,0))</f>
        <v>fr-FR</v>
      </c>
    </row>
    <row r="830" spans="1:9" x14ac:dyDescent="0.15">
      <c r="A830" t="str">
        <f t="shared" ref="A830:B830" si="973">A829</f>
        <v>フランス語</v>
      </c>
      <c r="B830">
        <f t="shared" si="973"/>
        <v>11</v>
      </c>
      <c r="C830">
        <f t="shared" si="969"/>
        <v>69</v>
      </c>
      <c r="D830">
        <v>0</v>
      </c>
      <c r="E830" t="str">
        <f>VLOOKUP(D830,name!A:B,2,1)</f>
        <v>Player</v>
      </c>
      <c r="F830" t="str">
        <f>F790</f>
        <v>Moi, je suis resté à Paris pour un petit travail.</v>
      </c>
      <c r="G830" t="str">
        <f t="shared" ref="G830" si="974">IF(B830&lt;&gt;B1995,"e",IF(D830=0,"q","a"))</f>
        <v>e</v>
      </c>
      <c r="H830" t="str">
        <f>VLOOKUP(D830,name!A:C,3,1)</f>
        <v>assets/icons/image326.png</v>
      </c>
      <c r="I830" t="str">
        <f>IF(A830="","",VLOOKUP(A830,lng!A:B,2,0))</f>
        <v>fr-FR</v>
      </c>
    </row>
    <row r="831" spans="1:9" x14ac:dyDescent="0.15">
      <c r="A831" t="str">
        <f t="shared" ref="A831:B831" si="975">A830</f>
        <v>フランス語</v>
      </c>
      <c r="B831">
        <f t="shared" si="975"/>
        <v>11</v>
      </c>
      <c r="C831">
        <f t="shared" si="969"/>
        <v>70</v>
      </c>
      <c r="D831">
        <v>1</v>
      </c>
      <c r="E831" t="str">
        <f>VLOOKUP(D831,name!A:B,2,1)</f>
        <v>Navigator</v>
      </c>
      <c r="F831" t="str">
        <f>"次の日本語を"&amp;A831&amp;"に訳して答えてね！"</f>
        <v>次の日本語をフランス語に訳して答えてね！</v>
      </c>
      <c r="G831" t="str">
        <f t="shared" ref="G831:G894" si="976">IF(B831&lt;&gt;B832,"e",IF(D831=0,"q","a"))</f>
        <v>a</v>
      </c>
      <c r="H831" t="str">
        <f>VLOOKUP(D831,name!A:C,3,1)</f>
        <v>assets/icons/image014.png</v>
      </c>
      <c r="I831" t="s">
        <v>463</v>
      </c>
    </row>
    <row r="832" spans="1:9" x14ac:dyDescent="0.15">
      <c r="A832" t="str">
        <f t="shared" ref="A832:B832" si="977">A831</f>
        <v>フランス語</v>
      </c>
      <c r="B832">
        <f t="shared" si="977"/>
        <v>11</v>
      </c>
      <c r="C832">
        <f t="shared" si="969"/>
        <v>71</v>
      </c>
      <c r="D832">
        <f>D765</f>
        <v>7</v>
      </c>
      <c r="E832" t="str">
        <f>VLOOKUP(D832,name!A:B,2,1)</f>
        <v>Luigi</v>
      </c>
      <c r="F832" t="str">
        <f t="shared" ref="F832:F857" si="978">F765</f>
        <v>こんにちは、美奈子さん。</v>
      </c>
      <c r="G832" t="str">
        <f t="shared" ref="G832" si="979">IF(B832&lt;&gt;B1997,"e",IF(D832=0,"q","a"))</f>
        <v>e</v>
      </c>
      <c r="H832" t="str">
        <f>VLOOKUP(D832,name!A:C,3,1)</f>
        <v>assets/icons/image023.png</v>
      </c>
      <c r="I832" t="s">
        <v>463</v>
      </c>
    </row>
    <row r="833" spans="1:9" x14ac:dyDescent="0.15">
      <c r="A833" t="str">
        <f t="shared" ref="A833:B833" si="980">A832</f>
        <v>フランス語</v>
      </c>
      <c r="B833">
        <f t="shared" si="980"/>
        <v>11</v>
      </c>
      <c r="C833">
        <f t="shared" si="969"/>
        <v>72</v>
      </c>
      <c r="D833">
        <v>0</v>
      </c>
      <c r="E833" t="str">
        <f>VLOOKUP(D833,name!A:B,2,1)</f>
        <v>Player</v>
      </c>
      <c r="F833" t="str">
        <f t="shared" si="978"/>
        <v>Salut, Minako.</v>
      </c>
      <c r="G833" t="str">
        <f t="shared" ref="G833:G895" si="981">IF(B833&lt;&gt;B834,"e",IF(D833=0,"q","a"))</f>
        <v>q</v>
      </c>
      <c r="H833" t="str">
        <f>VLOOKUP(D833,name!A:C,3,1)</f>
        <v>assets/icons/image326.png</v>
      </c>
      <c r="I833" t="str">
        <f>IF(A833="","",VLOOKUP(A833,lng!A:B,2,0))</f>
        <v>fr-FR</v>
      </c>
    </row>
    <row r="834" spans="1:9" x14ac:dyDescent="0.15">
      <c r="A834" t="str">
        <f t="shared" ref="A834:B834" si="982">A833</f>
        <v>フランス語</v>
      </c>
      <c r="B834">
        <f t="shared" si="982"/>
        <v>11</v>
      </c>
      <c r="C834">
        <f t="shared" si="969"/>
        <v>73</v>
      </c>
      <c r="D834">
        <f>D767</f>
        <v>7</v>
      </c>
      <c r="E834" t="str">
        <f>VLOOKUP(D834,name!A:B,2,1)</f>
        <v>Luigi</v>
      </c>
      <c r="F834" t="str">
        <f t="shared" si="978"/>
        <v>あなたはすっかり日焼けしています。</v>
      </c>
      <c r="G834" t="str">
        <f t="shared" ref="G834" si="983">IF(B834&lt;&gt;B1999,"e",IF(D834=0,"q","a"))</f>
        <v>e</v>
      </c>
      <c r="H834" t="str">
        <f>VLOOKUP(D834,name!A:C,3,1)</f>
        <v>assets/icons/image023.png</v>
      </c>
      <c r="I834" t="s">
        <v>463</v>
      </c>
    </row>
    <row r="835" spans="1:9" x14ac:dyDescent="0.15">
      <c r="A835" t="str">
        <f t="shared" ref="A835:B835" si="984">A834</f>
        <v>フランス語</v>
      </c>
      <c r="B835">
        <f t="shared" si="984"/>
        <v>11</v>
      </c>
      <c r="C835">
        <f t="shared" si="969"/>
        <v>74</v>
      </c>
      <c r="D835">
        <v>0</v>
      </c>
      <c r="E835" t="str">
        <f>VLOOKUP(D835,name!A:B,2,1)</f>
        <v>Player</v>
      </c>
      <c r="F835" t="str">
        <f t="shared" si="978"/>
        <v>Tu es toute bronzée.</v>
      </c>
      <c r="G835" t="str">
        <f t="shared" ref="G835:G895" si="985">IF(B835&lt;&gt;B836,"e",IF(D835=0,"q","a"))</f>
        <v>q</v>
      </c>
      <c r="H835" t="str">
        <f>VLOOKUP(D835,name!A:C,3,1)</f>
        <v>assets/icons/image326.png</v>
      </c>
      <c r="I835" t="str">
        <f>IF(A835="","",VLOOKUP(A835,lng!A:B,2,0))</f>
        <v>fr-FR</v>
      </c>
    </row>
    <row r="836" spans="1:9" x14ac:dyDescent="0.15">
      <c r="A836" t="str">
        <f t="shared" ref="A836:B836" si="986">A835</f>
        <v>フランス語</v>
      </c>
      <c r="B836">
        <f t="shared" si="986"/>
        <v>11</v>
      </c>
      <c r="C836">
        <f t="shared" si="969"/>
        <v>75</v>
      </c>
      <c r="D836">
        <f>D769</f>
        <v>7</v>
      </c>
      <c r="E836" t="str">
        <f>VLOOKUP(D836,name!A:B,2,1)</f>
        <v>Luigi</v>
      </c>
      <c r="F836" t="str">
        <f t="shared" si="978"/>
        <v>良い休日を過ごしましたか?</v>
      </c>
      <c r="G836" t="str">
        <f t="shared" ref="G836" si="987">IF(B836&lt;&gt;B2001,"e",IF(D836=0,"q","a"))</f>
        <v>e</v>
      </c>
      <c r="H836" t="str">
        <f>VLOOKUP(D836,name!A:C,3,1)</f>
        <v>assets/icons/image023.png</v>
      </c>
      <c r="I836" t="s">
        <v>463</v>
      </c>
    </row>
    <row r="837" spans="1:9" x14ac:dyDescent="0.15">
      <c r="A837" t="str">
        <f t="shared" ref="A837:B837" si="988">A836</f>
        <v>フランス語</v>
      </c>
      <c r="B837">
        <f t="shared" si="988"/>
        <v>11</v>
      </c>
      <c r="C837">
        <f t="shared" si="969"/>
        <v>76</v>
      </c>
      <c r="D837">
        <v>0</v>
      </c>
      <c r="E837" t="str">
        <f>VLOOKUP(D837,name!A:B,2,1)</f>
        <v>Player</v>
      </c>
      <c r="F837" t="str">
        <f t="shared" si="978"/>
        <v>Tu as passé de bonnes vacances ?</v>
      </c>
      <c r="G837" t="str">
        <f t="shared" ref="G837:G895" si="989">IF(B837&lt;&gt;B838,"e",IF(D837=0,"q","a"))</f>
        <v>q</v>
      </c>
      <c r="H837" t="str">
        <f>VLOOKUP(D837,name!A:C,3,1)</f>
        <v>assets/icons/image326.png</v>
      </c>
      <c r="I837" t="str">
        <f>IF(A837="","",VLOOKUP(A837,lng!A:B,2,0))</f>
        <v>fr-FR</v>
      </c>
    </row>
    <row r="838" spans="1:9" x14ac:dyDescent="0.15">
      <c r="A838" t="str">
        <f t="shared" ref="A838:B838" si="990">A837</f>
        <v>フランス語</v>
      </c>
      <c r="B838">
        <f t="shared" si="990"/>
        <v>11</v>
      </c>
      <c r="C838">
        <f t="shared" si="969"/>
        <v>77</v>
      </c>
      <c r="D838">
        <f>D771</f>
        <v>5</v>
      </c>
      <c r="E838" t="str">
        <f>VLOOKUP(D838,name!A:B,2,1)</f>
        <v>Minako</v>
      </c>
      <c r="F838" t="str">
        <f t="shared" si="978"/>
        <v>はい、日本人の友達と南に行きました。</v>
      </c>
      <c r="G838" t="str">
        <f t="shared" ref="G838" si="991">IF(B838&lt;&gt;B2003,"e",IF(D838=0,"q","a"))</f>
        <v>e</v>
      </c>
      <c r="H838" t="str">
        <f>VLOOKUP(D838,name!A:C,3,1)</f>
        <v>assets/icons/image086.png</v>
      </c>
      <c r="I838" t="s">
        <v>463</v>
      </c>
    </row>
    <row r="839" spans="1:9" x14ac:dyDescent="0.15">
      <c r="A839" t="str">
        <f t="shared" ref="A839:B839" si="992">A838</f>
        <v>フランス語</v>
      </c>
      <c r="B839">
        <f t="shared" si="992"/>
        <v>11</v>
      </c>
      <c r="C839">
        <f t="shared" si="969"/>
        <v>78</v>
      </c>
      <c r="D839">
        <v>0</v>
      </c>
      <c r="E839" t="str">
        <f>VLOOKUP(D839,name!A:B,2,1)</f>
        <v>Player</v>
      </c>
      <c r="F839" t="str">
        <f t="shared" si="978"/>
        <v>Oui, je suis allée dans le Midi avec une amie japonaise.</v>
      </c>
      <c r="G839" t="str">
        <f t="shared" ref="G839:G895" si="993">IF(B839&lt;&gt;B840,"e",IF(D839=0,"q","a"))</f>
        <v>q</v>
      </c>
      <c r="H839" t="str">
        <f>VLOOKUP(D839,name!A:C,3,1)</f>
        <v>assets/icons/image326.png</v>
      </c>
      <c r="I839" t="str">
        <f>IF(A839="","",VLOOKUP(A839,lng!A:B,2,0))</f>
        <v>fr-FR</v>
      </c>
    </row>
    <row r="840" spans="1:9" x14ac:dyDescent="0.15">
      <c r="A840" t="str">
        <f t="shared" ref="A840:B840" si="994">A839</f>
        <v>フランス語</v>
      </c>
      <c r="B840">
        <f t="shared" si="994"/>
        <v>11</v>
      </c>
      <c r="C840">
        <f t="shared" si="969"/>
        <v>79</v>
      </c>
      <c r="D840">
        <f>D773</f>
        <v>6</v>
      </c>
      <c r="E840" t="str">
        <f>VLOOKUP(D840,name!A:B,2,1)</f>
        <v>Céline</v>
      </c>
      <c r="F840" t="str">
        <f t="shared" si="978"/>
        <v>いったいどこへ行ったの?</v>
      </c>
      <c r="G840" t="str">
        <f t="shared" ref="G840" si="995">IF(B840&lt;&gt;B2005,"e",IF(D840=0,"q","a"))</f>
        <v>e</v>
      </c>
      <c r="H840" t="str">
        <f>VLOOKUP(D840,name!A:C,3,1)</f>
        <v>assets/icons/image078.png</v>
      </c>
      <c r="I840" t="s">
        <v>463</v>
      </c>
    </row>
    <row r="841" spans="1:9" x14ac:dyDescent="0.15">
      <c r="A841" t="str">
        <f t="shared" ref="A841:B841" si="996">A840</f>
        <v>フランス語</v>
      </c>
      <c r="B841">
        <f t="shared" si="996"/>
        <v>11</v>
      </c>
      <c r="C841">
        <f t="shared" si="969"/>
        <v>80</v>
      </c>
      <c r="D841">
        <v>0</v>
      </c>
      <c r="E841" t="str">
        <f>VLOOKUP(D841,name!A:B,2,1)</f>
        <v>Player</v>
      </c>
      <c r="F841" t="str">
        <f t="shared" si="978"/>
        <v>Où êtes-vous allées exactement ?</v>
      </c>
      <c r="G841" t="str">
        <f t="shared" ref="G841:G895" si="997">IF(B841&lt;&gt;B842,"e",IF(D841=0,"q","a"))</f>
        <v>q</v>
      </c>
      <c r="H841" t="str">
        <f>VLOOKUP(D841,name!A:C,3,1)</f>
        <v>assets/icons/image326.png</v>
      </c>
      <c r="I841" t="str">
        <f>IF(A841="","",VLOOKUP(A841,lng!A:B,2,0))</f>
        <v>fr-FR</v>
      </c>
    </row>
    <row r="842" spans="1:9" x14ac:dyDescent="0.15">
      <c r="A842" t="str">
        <f t="shared" ref="A842:B842" si="998">A841</f>
        <v>フランス語</v>
      </c>
      <c r="B842">
        <f t="shared" si="998"/>
        <v>11</v>
      </c>
      <c r="C842">
        <f t="shared" si="969"/>
        <v>81</v>
      </c>
      <c r="D842">
        <f>D775</f>
        <v>5</v>
      </c>
      <c r="E842" t="str">
        <f>VLOOKUP(D842,name!A:B,2,1)</f>
        <v>Minako</v>
      </c>
      <c r="F842" t="str">
        <f t="shared" si="978"/>
        <v>私たちは8月1日に出発しました。</v>
      </c>
      <c r="G842" t="str">
        <f t="shared" ref="G842" si="999">IF(B842&lt;&gt;B2007,"e",IF(D842=0,"q","a"))</f>
        <v>e</v>
      </c>
      <c r="H842" t="str">
        <f>VLOOKUP(D842,name!A:C,3,1)</f>
        <v>assets/icons/image086.png</v>
      </c>
      <c r="I842" t="s">
        <v>463</v>
      </c>
    </row>
    <row r="843" spans="1:9" x14ac:dyDescent="0.15">
      <c r="A843" t="str">
        <f t="shared" ref="A843:B843" si="1000">A842</f>
        <v>フランス語</v>
      </c>
      <c r="B843">
        <f t="shared" si="1000"/>
        <v>11</v>
      </c>
      <c r="C843">
        <f t="shared" si="969"/>
        <v>82</v>
      </c>
      <c r="D843">
        <v>0</v>
      </c>
      <c r="E843" t="str">
        <f>VLOOKUP(D843,name!A:B,2,1)</f>
        <v>Player</v>
      </c>
      <c r="F843" t="str">
        <f t="shared" si="978"/>
        <v>Nous sommes parties le 1er août.</v>
      </c>
      <c r="G843" t="str">
        <f t="shared" ref="G843:G895" si="1001">IF(B843&lt;&gt;B844,"e",IF(D843=0,"q","a"))</f>
        <v>q</v>
      </c>
      <c r="H843" t="str">
        <f>VLOOKUP(D843,name!A:C,3,1)</f>
        <v>assets/icons/image326.png</v>
      </c>
      <c r="I843" t="str">
        <f>IF(A843="","",VLOOKUP(A843,lng!A:B,2,0))</f>
        <v>fr-FR</v>
      </c>
    </row>
    <row r="844" spans="1:9" x14ac:dyDescent="0.15">
      <c r="A844" t="str">
        <f t="shared" ref="A844:B844" si="1002">A843</f>
        <v>フランス語</v>
      </c>
      <c r="B844">
        <f t="shared" si="1002"/>
        <v>11</v>
      </c>
      <c r="C844">
        <f t="shared" si="969"/>
        <v>83</v>
      </c>
      <c r="D844">
        <f>D777</f>
        <v>5</v>
      </c>
      <c r="E844" t="str">
        <f>VLOOKUP(D844,name!A:B,2,1)</f>
        <v>Minako</v>
      </c>
      <c r="F844" t="str">
        <f t="shared" si="978"/>
        <v>私たちは最初にアヴィニョンに行きました、</v>
      </c>
      <c r="G844" t="str">
        <f t="shared" ref="G844" si="1003">IF(B844&lt;&gt;B2009,"e",IF(D844=0,"q","a"))</f>
        <v>e</v>
      </c>
      <c r="H844" t="str">
        <f>VLOOKUP(D844,name!A:C,3,1)</f>
        <v>assets/icons/image086.png</v>
      </c>
      <c r="I844" t="s">
        <v>463</v>
      </c>
    </row>
    <row r="845" spans="1:9" x14ac:dyDescent="0.15">
      <c r="A845" t="str">
        <f t="shared" ref="A845:B845" si="1004">A844</f>
        <v>フランス語</v>
      </c>
      <c r="B845">
        <f t="shared" si="1004"/>
        <v>11</v>
      </c>
      <c r="C845">
        <f t="shared" si="969"/>
        <v>84</v>
      </c>
      <c r="D845">
        <v>0</v>
      </c>
      <c r="E845" t="str">
        <f>VLOOKUP(D845,name!A:B,2,1)</f>
        <v>Player</v>
      </c>
      <c r="F845" t="str">
        <f t="shared" si="978"/>
        <v>Nous sommes allées d'abord à Avignon,</v>
      </c>
      <c r="G845" t="str">
        <f t="shared" ref="G845:G895" si="1005">IF(B845&lt;&gt;B846,"e",IF(D845=0,"q","a"))</f>
        <v>q</v>
      </c>
      <c r="H845" t="str">
        <f>VLOOKUP(D845,name!A:C,3,1)</f>
        <v>assets/icons/image326.png</v>
      </c>
      <c r="I845" t="str">
        <f>IF(A845="","",VLOOKUP(A845,lng!A:B,2,0))</f>
        <v>fr-FR</v>
      </c>
    </row>
    <row r="846" spans="1:9" x14ac:dyDescent="0.15">
      <c r="A846" t="str">
        <f t="shared" ref="A846:B846" si="1006">A845</f>
        <v>フランス語</v>
      </c>
      <c r="B846">
        <f t="shared" si="1006"/>
        <v>11</v>
      </c>
      <c r="C846">
        <f t="shared" si="969"/>
        <v>85</v>
      </c>
      <c r="D846">
        <f>D779</f>
        <v>5</v>
      </c>
      <c r="E846" t="str">
        <f>VLOOKUP(D846,name!A:B,2,1)</f>
        <v>Minako</v>
      </c>
      <c r="F846" t="str">
        <f t="shared" si="978"/>
        <v>その後、エクス-アン-プロヴァンスへ。</v>
      </c>
      <c r="G846" t="str">
        <f t="shared" ref="G846" si="1007">IF(B846&lt;&gt;B2011,"e",IF(D846=0,"q","a"))</f>
        <v>e</v>
      </c>
      <c r="H846" t="str">
        <f>VLOOKUP(D846,name!A:C,3,1)</f>
        <v>assets/icons/image086.png</v>
      </c>
      <c r="I846" t="s">
        <v>463</v>
      </c>
    </row>
    <row r="847" spans="1:9" x14ac:dyDescent="0.15">
      <c r="A847" t="str">
        <f t="shared" ref="A847:B847" si="1008">A846</f>
        <v>フランス語</v>
      </c>
      <c r="B847">
        <f t="shared" si="1008"/>
        <v>11</v>
      </c>
      <c r="C847">
        <f t="shared" si="969"/>
        <v>86</v>
      </c>
      <c r="D847">
        <v>0</v>
      </c>
      <c r="E847" t="str">
        <f>VLOOKUP(D847,name!A:B,2,1)</f>
        <v>Player</v>
      </c>
      <c r="F847" t="str">
        <f t="shared" si="978"/>
        <v>puis à Aix-en-Provence.</v>
      </c>
      <c r="G847" t="str">
        <f t="shared" ref="G847:G895" si="1009">IF(B847&lt;&gt;B848,"e",IF(D847=0,"q","a"))</f>
        <v>q</v>
      </c>
      <c r="H847" t="str">
        <f>VLOOKUP(D847,name!A:C,3,1)</f>
        <v>assets/icons/image326.png</v>
      </c>
      <c r="I847" t="str">
        <f>IF(A847="","",VLOOKUP(A847,lng!A:B,2,0))</f>
        <v>fr-FR</v>
      </c>
    </row>
    <row r="848" spans="1:9" x14ac:dyDescent="0.15">
      <c r="A848" t="str">
        <f t="shared" ref="A848:B848" si="1010">A847</f>
        <v>フランス語</v>
      </c>
      <c r="B848">
        <f t="shared" si="1010"/>
        <v>11</v>
      </c>
      <c r="C848">
        <f t="shared" si="969"/>
        <v>87</v>
      </c>
      <c r="D848">
        <f>D781</f>
        <v>7</v>
      </c>
      <c r="E848" t="str">
        <f>VLOOKUP(D848,name!A:B,2,1)</f>
        <v>Luigi</v>
      </c>
      <c r="F848" t="str">
        <f t="shared" si="978"/>
        <v>きっとアヴィニョンの橋で踊ったのでしょう。</v>
      </c>
      <c r="G848" t="str">
        <f t="shared" ref="G848" si="1011">IF(B848&lt;&gt;B2013,"e",IF(D848=0,"q","a"))</f>
        <v>e</v>
      </c>
      <c r="H848" t="str">
        <f>VLOOKUP(D848,name!A:C,3,1)</f>
        <v>assets/icons/image023.png</v>
      </c>
      <c r="I848" t="s">
        <v>463</v>
      </c>
    </row>
    <row r="849" spans="1:12" x14ac:dyDescent="0.15">
      <c r="A849" t="str">
        <f t="shared" ref="A849:B849" si="1012">A848</f>
        <v>フランス語</v>
      </c>
      <c r="B849">
        <f t="shared" si="1012"/>
        <v>11</v>
      </c>
      <c r="C849">
        <f t="shared" si="969"/>
        <v>88</v>
      </c>
      <c r="D849">
        <v>0</v>
      </c>
      <c r="E849" t="str">
        <f>VLOOKUP(D849,name!A:B,2,1)</f>
        <v>Player</v>
      </c>
      <c r="F849" t="str">
        <f t="shared" si="978"/>
        <v>Vous avez sans doute dansé sur le pont d'Avignon.</v>
      </c>
      <c r="G849" t="str">
        <f t="shared" ref="G849:G895" si="1013">IF(B849&lt;&gt;B850,"e",IF(D849=0,"q","a"))</f>
        <v>q</v>
      </c>
      <c r="H849" t="str">
        <f>VLOOKUP(D849,name!A:C,3,1)</f>
        <v>assets/icons/image326.png</v>
      </c>
      <c r="I849" t="str">
        <f>IF(A849="","",VLOOKUP(A849,lng!A:B,2,0))</f>
        <v>fr-FR</v>
      </c>
    </row>
    <row r="850" spans="1:12" x14ac:dyDescent="0.15">
      <c r="A850" t="str">
        <f t="shared" ref="A850:B850" si="1014">A849</f>
        <v>フランス語</v>
      </c>
      <c r="B850">
        <f t="shared" si="1014"/>
        <v>11</v>
      </c>
      <c r="C850">
        <f t="shared" si="969"/>
        <v>89</v>
      </c>
      <c r="D850">
        <f>D783</f>
        <v>5</v>
      </c>
      <c r="E850" t="str">
        <f>VLOOKUP(D850,name!A:B,2,1)</f>
        <v>Minako</v>
      </c>
      <c r="F850" t="str">
        <f t="shared" si="978"/>
        <v>もちろんです。</v>
      </c>
      <c r="G850" t="str">
        <f t="shared" ref="G850" si="1015">IF(B850&lt;&gt;B2015,"e",IF(D850=0,"q","a"))</f>
        <v>e</v>
      </c>
      <c r="H850" t="str">
        <f>VLOOKUP(D850,name!A:C,3,1)</f>
        <v>assets/icons/image086.png</v>
      </c>
      <c r="I850" t="s">
        <v>463</v>
      </c>
    </row>
    <row r="851" spans="1:12" x14ac:dyDescent="0.15">
      <c r="A851" t="str">
        <f t="shared" ref="A851:B851" si="1016">A850</f>
        <v>フランス語</v>
      </c>
      <c r="B851">
        <f t="shared" si="1016"/>
        <v>11</v>
      </c>
      <c r="C851">
        <f t="shared" si="969"/>
        <v>90</v>
      </c>
      <c r="D851">
        <v>0</v>
      </c>
      <c r="E851" t="str">
        <f>VLOOKUP(D851,name!A:B,2,1)</f>
        <v>Player</v>
      </c>
      <c r="F851" t="str">
        <f t="shared" si="978"/>
        <v xml:space="preserve">Bien sûr. </v>
      </c>
      <c r="G851" t="str">
        <f t="shared" ref="G851:G895" si="1017">IF(B851&lt;&gt;B852,"e",IF(D851=0,"q","a"))</f>
        <v>q</v>
      </c>
      <c r="H851" t="str">
        <f>VLOOKUP(D851,name!A:C,3,1)</f>
        <v>assets/icons/image326.png</v>
      </c>
      <c r="I851" t="str">
        <f>IF(A851="","",VLOOKUP(A851,lng!A:B,2,0))</f>
        <v>fr-FR</v>
      </c>
    </row>
    <row r="852" spans="1:12" x14ac:dyDescent="0.15">
      <c r="A852" t="str">
        <f t="shared" ref="A852:B852" si="1018">A851</f>
        <v>フランス語</v>
      </c>
      <c r="B852">
        <f t="shared" si="1018"/>
        <v>11</v>
      </c>
      <c r="C852">
        <f t="shared" si="969"/>
        <v>91</v>
      </c>
      <c r="D852">
        <f>D785</f>
        <v>5</v>
      </c>
      <c r="E852" t="str">
        <f>VLOOKUP(D852,name!A:B,2,1)</f>
        <v>Minako</v>
      </c>
      <c r="F852" t="str">
        <f t="shared" si="978"/>
        <v>それで、あなた方、あなた方はどこに行きましたか?</v>
      </c>
      <c r="G852" t="str">
        <f t="shared" ref="G852" si="1019">IF(B852&lt;&gt;B2017,"e",IF(D852=0,"q","a"))</f>
        <v>e</v>
      </c>
      <c r="H852" t="str">
        <f>VLOOKUP(D852,name!A:C,3,1)</f>
        <v>assets/icons/image086.png</v>
      </c>
      <c r="I852" t="s">
        <v>463</v>
      </c>
    </row>
    <row r="853" spans="1:12" x14ac:dyDescent="0.15">
      <c r="A853" t="str">
        <f t="shared" ref="A853:B853" si="1020">A852</f>
        <v>フランス語</v>
      </c>
      <c r="B853">
        <f t="shared" si="1020"/>
        <v>11</v>
      </c>
      <c r="C853">
        <f t="shared" si="969"/>
        <v>92</v>
      </c>
      <c r="D853">
        <v>0</v>
      </c>
      <c r="E853" t="str">
        <f>VLOOKUP(D853,name!A:B,2,1)</f>
        <v>Player</v>
      </c>
      <c r="F853" t="str">
        <f t="shared" si="978"/>
        <v>Et vous, vous êtes partis où ?</v>
      </c>
      <c r="G853" t="str">
        <f t="shared" ref="G853:G895" si="1021">IF(B853&lt;&gt;B854,"e",IF(D853=0,"q","a"))</f>
        <v>q</v>
      </c>
      <c r="H853" t="str">
        <f>VLOOKUP(D853,name!A:C,3,1)</f>
        <v>assets/icons/image326.png</v>
      </c>
      <c r="I853" t="str">
        <f>IF(A853="","",VLOOKUP(A853,lng!A:B,2,0))</f>
        <v>fr-FR</v>
      </c>
    </row>
    <row r="854" spans="1:12" x14ac:dyDescent="0.15">
      <c r="A854" t="str">
        <f t="shared" ref="A854:B854" si="1022">A853</f>
        <v>フランス語</v>
      </c>
      <c r="B854">
        <f t="shared" si="1022"/>
        <v>11</v>
      </c>
      <c r="C854">
        <f t="shared" si="969"/>
        <v>93</v>
      </c>
      <c r="D854">
        <f>D787</f>
        <v>6</v>
      </c>
      <c r="E854" t="str">
        <f>VLOOKUP(D854,name!A:B,2,1)</f>
        <v>Céline</v>
      </c>
      <c r="F854" t="str">
        <f t="shared" si="978"/>
        <v>ブザンソンの叔母の家に行きました。</v>
      </c>
      <c r="G854" t="str">
        <f t="shared" ref="G854" si="1023">IF(B854&lt;&gt;B2019,"e",IF(D854=0,"q","a"))</f>
        <v>e</v>
      </c>
      <c r="H854" t="str">
        <f>VLOOKUP(D854,name!A:C,3,1)</f>
        <v>assets/icons/image078.png</v>
      </c>
      <c r="I854" t="s">
        <v>463</v>
      </c>
    </row>
    <row r="855" spans="1:12" x14ac:dyDescent="0.15">
      <c r="A855" t="str">
        <f t="shared" ref="A855:B855" si="1024">A854</f>
        <v>フランス語</v>
      </c>
      <c r="B855">
        <f t="shared" si="1024"/>
        <v>11</v>
      </c>
      <c r="C855">
        <f t="shared" si="969"/>
        <v>94</v>
      </c>
      <c r="D855">
        <v>0</v>
      </c>
      <c r="E855" t="str">
        <f>VLOOKUP(D855,name!A:B,2,1)</f>
        <v>Player</v>
      </c>
      <c r="F855" t="str">
        <f t="shared" si="978"/>
        <v>Je suis allée chez ma tante, à Besançon.</v>
      </c>
      <c r="G855" t="str">
        <f t="shared" ref="G855:G895" si="1025">IF(B855&lt;&gt;B856,"e",IF(D855=0,"q","a"))</f>
        <v>q</v>
      </c>
      <c r="H855" t="str">
        <f>VLOOKUP(D855,name!A:C,3,1)</f>
        <v>assets/icons/image326.png</v>
      </c>
      <c r="I855" t="str">
        <f>IF(A855="","",VLOOKUP(A855,lng!A:B,2,0))</f>
        <v>fr-FR</v>
      </c>
    </row>
    <row r="856" spans="1:12" x14ac:dyDescent="0.15">
      <c r="A856" t="str">
        <f t="shared" ref="A856:B856" si="1026">A855</f>
        <v>フランス語</v>
      </c>
      <c r="B856">
        <f t="shared" si="1026"/>
        <v>11</v>
      </c>
      <c r="C856">
        <f t="shared" si="969"/>
        <v>95</v>
      </c>
      <c r="D856">
        <f>D789</f>
        <v>7</v>
      </c>
      <c r="E856" t="str">
        <f>VLOOKUP(D856,name!A:B,2,1)</f>
        <v>Luigi</v>
      </c>
      <c r="F856" t="str">
        <f t="shared" si="978"/>
        <v>私はちょっとした仕事のためにパリに滞在しました。</v>
      </c>
      <c r="G856" t="str">
        <f t="shared" ref="G856" si="1027">IF(B856&lt;&gt;B2021,"e",IF(D856=0,"q","a"))</f>
        <v>e</v>
      </c>
      <c r="H856" t="str">
        <f>VLOOKUP(D856,name!A:C,3,1)</f>
        <v>assets/icons/image023.png</v>
      </c>
      <c r="I856" t="s">
        <v>463</v>
      </c>
    </row>
    <row r="857" spans="1:12" x14ac:dyDescent="0.15">
      <c r="A857" t="str">
        <f t="shared" ref="A857:B857" si="1028">A856</f>
        <v>フランス語</v>
      </c>
      <c r="B857">
        <f t="shared" si="1028"/>
        <v>11</v>
      </c>
      <c r="C857">
        <f t="shared" si="969"/>
        <v>96</v>
      </c>
      <c r="D857">
        <v>0</v>
      </c>
      <c r="E857" t="str">
        <f>VLOOKUP(D857,name!A:B,2,1)</f>
        <v>Player</v>
      </c>
      <c r="F857" t="str">
        <f t="shared" si="978"/>
        <v>Moi, je suis resté à Paris pour un petit travail.</v>
      </c>
      <c r="G857" t="str">
        <f t="shared" ref="G857:G895" si="1029">IF(B857&lt;&gt;B858,"e",IF(D857=0,"q","a"))</f>
        <v>q</v>
      </c>
      <c r="H857" t="str">
        <f>VLOOKUP(D857,name!A:C,3,1)</f>
        <v>assets/icons/image326.png</v>
      </c>
      <c r="I857" t="str">
        <f>IF(A857="","",VLOOKUP(A857,lng!A:B,2,0))</f>
        <v>fr-FR</v>
      </c>
    </row>
    <row r="858" spans="1:12" x14ac:dyDescent="0.15">
      <c r="A858" t="str">
        <f t="shared" ref="A858:B858" si="1030">A857</f>
        <v>フランス語</v>
      </c>
      <c r="B858">
        <f t="shared" si="1030"/>
        <v>11</v>
      </c>
      <c r="C858">
        <f t="shared" si="969"/>
        <v>97</v>
      </c>
      <c r="D858">
        <v>1</v>
      </c>
      <c r="E858" t="str">
        <f>VLOOKUP(D858,name!A:B,2,1)</f>
        <v>Navigator</v>
      </c>
      <c r="F858" t="str">
        <f>"とても良くできました。レッスン"&amp;B858&amp;"はこれで終了です。"</f>
        <v>とても良くできました。レッスン11はこれで終了です。</v>
      </c>
      <c r="G858" t="str">
        <f t="shared" ref="G858" si="1031">IF(B858&lt;&gt;B2023,"e",IF(D858=0,"q","a"))</f>
        <v>e</v>
      </c>
      <c r="H858" t="str">
        <f>VLOOKUP(D858,name!A:C,3,1)</f>
        <v>assets/icons/image014.png</v>
      </c>
      <c r="I858" t="s">
        <v>463</v>
      </c>
    </row>
    <row r="859" spans="1:12" x14ac:dyDescent="0.15">
      <c r="A859" t="str">
        <f>A858</f>
        <v>フランス語</v>
      </c>
      <c r="B859">
        <f>B858+1</f>
        <v>12</v>
      </c>
      <c r="C859">
        <v>1</v>
      </c>
      <c r="D859">
        <v>1</v>
      </c>
      <c r="E859" t="str">
        <f>VLOOKUP(D859,name!A:B,2,1)</f>
        <v>Navigator</v>
      </c>
      <c r="F859" t="s">
        <v>656</v>
      </c>
      <c r="G859" t="str">
        <f t="shared" ref="G859:G895" si="1032">IF(B859&lt;&gt;B860,"e",IF(D859=0,"q","a"))</f>
        <v>a</v>
      </c>
      <c r="H859" t="str">
        <f>VLOOKUP(D859,name!A:C,3,1)</f>
        <v>assets/icons/image014.png</v>
      </c>
      <c r="I859" t="str">
        <f>IF(A859="","",VLOOKUP(A859,lng!A:B,2,0))</f>
        <v>fr-FR</v>
      </c>
    </row>
    <row r="860" spans="1:12" x14ac:dyDescent="0.15">
      <c r="A860" t="str">
        <f t="shared" ref="A860:B872" si="1033">A859</f>
        <v>フランス語</v>
      </c>
      <c r="B860">
        <f>B859</f>
        <v>12</v>
      </c>
      <c r="C860">
        <f>C859+1</f>
        <v>2</v>
      </c>
      <c r="D860">
        <v>1</v>
      </c>
      <c r="E860" t="str">
        <f>VLOOKUP(D860,name!A:B,2,1)</f>
        <v>Navigator</v>
      </c>
      <c r="F860" t="str">
        <f>"レッスン"&amp;B860</f>
        <v>レッスン12</v>
      </c>
      <c r="G860" t="str">
        <f t="shared" ref="G860" si="1034">IF(B860&lt;&gt;B2025,"e",IF(D860=0,"q","a"))</f>
        <v>e</v>
      </c>
      <c r="H860" t="str">
        <f>VLOOKUP(D860,name!A:C,3,1)</f>
        <v>assets/icons/image014.png</v>
      </c>
      <c r="I860" t="s">
        <v>463</v>
      </c>
    </row>
    <row r="861" spans="1:12" ht="40.5" x14ac:dyDescent="0.15">
      <c r="A861" t="str">
        <f t="shared" si="1033"/>
        <v>フランス語</v>
      </c>
      <c r="B861">
        <f t="shared" si="1033"/>
        <v>12</v>
      </c>
      <c r="C861">
        <f t="shared" ref="C861:C924" si="1035">C860+1</f>
        <v>3</v>
      </c>
      <c r="D861">
        <v>1</v>
      </c>
      <c r="E861" t="str">
        <f>VLOOKUP(D861,name!A:B,2,1)</f>
        <v>Navigator</v>
      </c>
      <c r="F861" s="1" t="str">
        <f>"まずは対話文を流します。その後に、日本語と"&amp;A861&amp;"を一文ずつ流すので"&amp;A861&amp;"を真似して下さい。最後に日本語のみを流すので、"&amp;A861&amp;"で答えてください。"</f>
        <v>まずは対話文を流します。その後に、日本語とフランス語を一文ずつ流すのでフランス語を真似して下さい。最後に日本語のみを流すので、フランス語で答えてください。</v>
      </c>
      <c r="G861" t="str">
        <f t="shared" ref="G861:G895" si="1036">IF(B861&lt;&gt;B862,"e",IF(D861=0,"q","a"))</f>
        <v>a</v>
      </c>
      <c r="H861" t="str">
        <f>VLOOKUP(D861,name!A:C,3,1)</f>
        <v>assets/icons/image014.png</v>
      </c>
      <c r="I861" t="s">
        <v>463</v>
      </c>
      <c r="L861" s="1"/>
    </row>
    <row r="862" spans="1:12" x14ac:dyDescent="0.15">
      <c r="A862" t="str">
        <f t="shared" si="1033"/>
        <v>フランス語</v>
      </c>
      <c r="B862">
        <f t="shared" si="1033"/>
        <v>12</v>
      </c>
      <c r="C862">
        <f t="shared" si="1035"/>
        <v>4</v>
      </c>
      <c r="D862">
        <f>D863</f>
        <v>5</v>
      </c>
      <c r="E862" t="str">
        <f>VLOOKUP(D862,name!A:B,2,1)</f>
        <v>Minako</v>
      </c>
      <c r="F862" t="s">
        <v>669</v>
      </c>
      <c r="G862" t="str">
        <f t="shared" ref="G862" si="1037">IF(B862&lt;&gt;B2027,"e",IF(D862=0,"q","a"))</f>
        <v>e</v>
      </c>
      <c r="H862" t="str">
        <f>VLOOKUP(D862,name!A:C,3,1)</f>
        <v>assets/icons/image086.png</v>
      </c>
      <c r="I862" t="s">
        <v>463</v>
      </c>
    </row>
    <row r="863" spans="1:12" x14ac:dyDescent="0.15">
      <c r="A863" t="str">
        <f t="shared" si="1033"/>
        <v>フランス語</v>
      </c>
      <c r="B863">
        <f t="shared" si="1033"/>
        <v>12</v>
      </c>
      <c r="C863">
        <f t="shared" si="1035"/>
        <v>5</v>
      </c>
      <c r="D863">
        <v>5</v>
      </c>
      <c r="E863" t="str">
        <f>VLOOKUP(D863,name!A:B,2,1)</f>
        <v>Minako</v>
      </c>
      <c r="F863" t="s">
        <v>673</v>
      </c>
      <c r="G863" t="str">
        <f t="shared" ref="G863:G895" si="1038">IF(B863&lt;&gt;B864,"e",IF(D863=0,"q","a"))</f>
        <v>a</v>
      </c>
      <c r="H863" t="str">
        <f>VLOOKUP(D863,name!A:C,3,1)</f>
        <v>assets/icons/image086.png</v>
      </c>
      <c r="I863" t="str">
        <f>IF(A863="","",VLOOKUP(A863,lng!A:B,2,0))</f>
        <v>fr-FR</v>
      </c>
    </row>
    <row r="864" spans="1:12" x14ac:dyDescent="0.15">
      <c r="A864" t="str">
        <f t="shared" si="1033"/>
        <v>フランス語</v>
      </c>
      <c r="B864">
        <f t="shared" si="1033"/>
        <v>12</v>
      </c>
      <c r="C864">
        <f t="shared" si="1035"/>
        <v>6</v>
      </c>
      <c r="D864">
        <f t="shared" ref="D864:D884" si="1039">D865</f>
        <v>5</v>
      </c>
      <c r="E864" t="str">
        <f>VLOOKUP(D864,name!A:B,2,1)</f>
        <v>Minako</v>
      </c>
      <c r="F864" t="s">
        <v>668</v>
      </c>
      <c r="G864" t="str">
        <f t="shared" ref="G864" si="1040">IF(B864&lt;&gt;B2029,"e",IF(D864=0,"q","a"))</f>
        <v>e</v>
      </c>
      <c r="H864" t="str">
        <f>VLOOKUP(D864,name!A:C,3,1)</f>
        <v>assets/icons/image086.png</v>
      </c>
      <c r="I864" t="s">
        <v>463</v>
      </c>
    </row>
    <row r="865" spans="1:9" x14ac:dyDescent="0.15">
      <c r="A865" t="str">
        <f t="shared" si="1033"/>
        <v>フランス語</v>
      </c>
      <c r="B865">
        <f t="shared" si="1033"/>
        <v>12</v>
      </c>
      <c r="C865">
        <f t="shared" si="1035"/>
        <v>7</v>
      </c>
      <c r="D865">
        <v>5</v>
      </c>
      <c r="E865" t="str">
        <f>VLOOKUP(D865,name!A:B,2,1)</f>
        <v>Minako</v>
      </c>
      <c r="F865" t="s">
        <v>657</v>
      </c>
      <c r="G865" t="str">
        <f t="shared" ref="G865:G895" si="1041">IF(B865&lt;&gt;B866,"e",IF(D865=0,"q","a"))</f>
        <v>a</v>
      </c>
      <c r="H865" t="str">
        <f>VLOOKUP(D865,name!A:C,3,1)</f>
        <v>assets/icons/image086.png</v>
      </c>
      <c r="I865" t="str">
        <f>IF(A865="","",VLOOKUP(A865,lng!A:B,2,0))</f>
        <v>fr-FR</v>
      </c>
    </row>
    <row r="866" spans="1:9" x14ac:dyDescent="0.15">
      <c r="A866" t="str">
        <f t="shared" si="1033"/>
        <v>フランス語</v>
      </c>
      <c r="B866">
        <f t="shared" si="1033"/>
        <v>12</v>
      </c>
      <c r="C866">
        <f t="shared" si="1035"/>
        <v>8</v>
      </c>
      <c r="D866">
        <f t="shared" si="1039"/>
        <v>21</v>
      </c>
      <c r="E866" t="str">
        <f>VLOOKUP(D866,name!A:B,2,1)</f>
        <v>Employé</v>
      </c>
      <c r="F866" t="s">
        <v>671</v>
      </c>
      <c r="G866" t="str">
        <f t="shared" ref="G866" si="1042">IF(B866&lt;&gt;B2031,"e",IF(D866=0,"q","a"))</f>
        <v>e</v>
      </c>
      <c r="H866" t="str">
        <f>VLOOKUP(D866,name!A:C,3,1)</f>
        <v>assets/icons/image008.png</v>
      </c>
      <c r="I866" t="s">
        <v>463</v>
      </c>
    </row>
    <row r="867" spans="1:9" x14ac:dyDescent="0.15">
      <c r="A867" t="str">
        <f t="shared" si="1033"/>
        <v>フランス語</v>
      </c>
      <c r="B867">
        <f t="shared" si="1033"/>
        <v>12</v>
      </c>
      <c r="C867">
        <f t="shared" si="1035"/>
        <v>9</v>
      </c>
      <c r="D867">
        <v>21</v>
      </c>
      <c r="E867" t="str">
        <f>VLOOKUP(D867,name!A:B,2,1)</f>
        <v>Employé</v>
      </c>
      <c r="F867" t="s">
        <v>658</v>
      </c>
      <c r="G867" t="str">
        <f t="shared" ref="G867:G895" si="1043">IF(B867&lt;&gt;B868,"e",IF(D867=0,"q","a"))</f>
        <v>a</v>
      </c>
      <c r="H867" t="str">
        <f>VLOOKUP(D867,name!A:C,3,1)</f>
        <v>assets/icons/image008.png</v>
      </c>
      <c r="I867" t="str">
        <f>IF(A867="","",VLOOKUP(A867,lng!A:B,2,0))</f>
        <v>fr-FR</v>
      </c>
    </row>
    <row r="868" spans="1:9" x14ac:dyDescent="0.15">
      <c r="A868" t="str">
        <f t="shared" si="1033"/>
        <v>フランス語</v>
      </c>
      <c r="B868">
        <f t="shared" si="1033"/>
        <v>12</v>
      </c>
      <c r="C868">
        <f t="shared" si="1035"/>
        <v>10</v>
      </c>
      <c r="D868">
        <f t="shared" si="1039"/>
        <v>5</v>
      </c>
      <c r="E868" t="str">
        <f>VLOOKUP(D868,name!A:B,2,1)</f>
        <v>Minako</v>
      </c>
      <c r="F868" t="s">
        <v>670</v>
      </c>
      <c r="G868" t="str">
        <f t="shared" ref="G868" si="1044">IF(B868&lt;&gt;B2033,"e",IF(D868=0,"q","a"))</f>
        <v>e</v>
      </c>
      <c r="H868" t="str">
        <f>VLOOKUP(D868,name!A:C,3,1)</f>
        <v>assets/icons/image086.png</v>
      </c>
      <c r="I868" t="s">
        <v>463</v>
      </c>
    </row>
    <row r="869" spans="1:9" x14ac:dyDescent="0.15">
      <c r="A869" t="str">
        <f t="shared" si="1033"/>
        <v>フランス語</v>
      </c>
      <c r="B869">
        <f t="shared" si="1033"/>
        <v>12</v>
      </c>
      <c r="C869">
        <f t="shared" si="1035"/>
        <v>11</v>
      </c>
      <c r="D869">
        <v>5</v>
      </c>
      <c r="E869" t="str">
        <f>VLOOKUP(D869,name!A:B,2,1)</f>
        <v>Minako</v>
      </c>
      <c r="F869" t="s">
        <v>661</v>
      </c>
      <c r="G869" t="str">
        <f t="shared" ref="G869:G895" si="1045">IF(B869&lt;&gt;B870,"e",IF(D869=0,"q","a"))</f>
        <v>a</v>
      </c>
      <c r="H869" t="str">
        <f>VLOOKUP(D869,name!A:C,3,1)</f>
        <v>assets/icons/image086.png</v>
      </c>
      <c r="I869" t="str">
        <f>IF(A869="","",VLOOKUP(A869,lng!A:B,2,0))</f>
        <v>fr-FR</v>
      </c>
    </row>
    <row r="870" spans="1:9" x14ac:dyDescent="0.15">
      <c r="A870" t="str">
        <f t="shared" si="1033"/>
        <v>フランス語</v>
      </c>
      <c r="B870">
        <f t="shared" si="1033"/>
        <v>12</v>
      </c>
      <c r="C870">
        <f t="shared" si="1035"/>
        <v>12</v>
      </c>
      <c r="D870">
        <f t="shared" si="1039"/>
        <v>21</v>
      </c>
      <c r="E870" t="str">
        <f>VLOOKUP(D870,name!A:B,2,1)</f>
        <v>Employé</v>
      </c>
      <c r="F870" t="s">
        <v>672</v>
      </c>
      <c r="G870" t="str">
        <f t="shared" ref="G870" si="1046">IF(B870&lt;&gt;B2035,"e",IF(D870=0,"q","a"))</f>
        <v>e</v>
      </c>
      <c r="H870" t="str">
        <f>VLOOKUP(D870,name!A:C,3,1)</f>
        <v>assets/icons/image008.png</v>
      </c>
      <c r="I870" t="s">
        <v>463</v>
      </c>
    </row>
    <row r="871" spans="1:9" x14ac:dyDescent="0.15">
      <c r="A871" t="str">
        <f t="shared" si="1033"/>
        <v>フランス語</v>
      </c>
      <c r="B871">
        <f t="shared" si="1033"/>
        <v>12</v>
      </c>
      <c r="C871">
        <f t="shared" si="1035"/>
        <v>13</v>
      </c>
      <c r="D871">
        <v>21</v>
      </c>
      <c r="E871" t="str">
        <f>VLOOKUP(D871,name!A:B,2,1)</f>
        <v>Employé</v>
      </c>
      <c r="F871" t="s">
        <v>674</v>
      </c>
      <c r="G871" t="str">
        <f t="shared" ref="G871:G895" si="1047">IF(B871&lt;&gt;B872,"e",IF(D871=0,"q","a"))</f>
        <v>a</v>
      </c>
      <c r="H871" t="str">
        <f>VLOOKUP(D871,name!A:C,3,1)</f>
        <v>assets/icons/image008.png</v>
      </c>
      <c r="I871" t="str">
        <f>IF(A871="","",VLOOKUP(A871,lng!A:B,2,0))</f>
        <v>fr-FR</v>
      </c>
    </row>
    <row r="872" spans="1:9" x14ac:dyDescent="0.15">
      <c r="A872" t="str">
        <f t="shared" si="1033"/>
        <v>フランス語</v>
      </c>
      <c r="B872">
        <f t="shared" si="1033"/>
        <v>12</v>
      </c>
      <c r="C872">
        <f t="shared" si="1035"/>
        <v>14</v>
      </c>
      <c r="D872">
        <f t="shared" si="1039"/>
        <v>5</v>
      </c>
      <c r="E872" t="str">
        <f>VLOOKUP(D872,name!A:B,2,1)</f>
        <v>Minako</v>
      </c>
      <c r="F872" t="s">
        <v>675</v>
      </c>
      <c r="G872" t="str">
        <f t="shared" ref="G872" si="1048">IF(B872&lt;&gt;B2037,"e",IF(D872=0,"q","a"))</f>
        <v>e</v>
      </c>
      <c r="H872" t="str">
        <f>VLOOKUP(D872,name!A:C,3,1)</f>
        <v>assets/icons/image086.png</v>
      </c>
      <c r="I872" t="s">
        <v>463</v>
      </c>
    </row>
    <row r="873" spans="1:9" x14ac:dyDescent="0.15">
      <c r="A873" t="str">
        <f t="shared" ref="A873:B873" si="1049">A872</f>
        <v>フランス語</v>
      </c>
      <c r="B873">
        <f t="shared" si="1049"/>
        <v>12</v>
      </c>
      <c r="C873">
        <f t="shared" si="1035"/>
        <v>15</v>
      </c>
      <c r="D873">
        <v>5</v>
      </c>
      <c r="E873" t="str">
        <f>VLOOKUP(D873,name!A:B,2,1)</f>
        <v>Minako</v>
      </c>
      <c r="F873" t="s">
        <v>662</v>
      </c>
      <c r="G873" t="str">
        <f t="shared" ref="G873:G895" si="1050">IF(B873&lt;&gt;B874,"e",IF(D873=0,"q","a"))</f>
        <v>a</v>
      </c>
      <c r="H873" t="str">
        <f>VLOOKUP(D873,name!A:C,3,1)</f>
        <v>assets/icons/image086.png</v>
      </c>
      <c r="I873" t="str">
        <f>IF(A873="","",VLOOKUP(A873,lng!A:B,2,0))</f>
        <v>fr-FR</v>
      </c>
    </row>
    <row r="874" spans="1:9" x14ac:dyDescent="0.15">
      <c r="A874" t="str">
        <f t="shared" ref="A874:B874" si="1051">A873</f>
        <v>フランス語</v>
      </c>
      <c r="B874">
        <f t="shared" si="1051"/>
        <v>12</v>
      </c>
      <c r="C874">
        <f t="shared" si="1035"/>
        <v>16</v>
      </c>
      <c r="D874">
        <f t="shared" si="1039"/>
        <v>21</v>
      </c>
      <c r="E874" t="str">
        <f>VLOOKUP(D874,name!A:B,2,1)</f>
        <v>Employé</v>
      </c>
      <c r="F874" t="s">
        <v>676</v>
      </c>
      <c r="G874" t="str">
        <f t="shared" ref="G874" si="1052">IF(B874&lt;&gt;B2039,"e",IF(D874=0,"q","a"))</f>
        <v>e</v>
      </c>
      <c r="H874" t="str">
        <f>VLOOKUP(D874,name!A:C,3,1)</f>
        <v>assets/icons/image008.png</v>
      </c>
      <c r="I874" t="s">
        <v>463</v>
      </c>
    </row>
    <row r="875" spans="1:9" x14ac:dyDescent="0.15">
      <c r="A875" t="str">
        <f t="shared" ref="A875:B875" si="1053">A874</f>
        <v>フランス語</v>
      </c>
      <c r="B875">
        <f t="shared" si="1053"/>
        <v>12</v>
      </c>
      <c r="C875">
        <f t="shared" si="1035"/>
        <v>17</v>
      </c>
      <c r="D875">
        <f t="shared" si="1039"/>
        <v>21</v>
      </c>
      <c r="E875" t="str">
        <f>VLOOKUP(D875,name!A:B,2,1)</f>
        <v>Employé</v>
      </c>
      <c r="F875" t="s">
        <v>663</v>
      </c>
      <c r="G875" t="str">
        <f t="shared" ref="G875:G895" si="1054">IF(B875&lt;&gt;B876,"e",IF(D875=0,"q","a"))</f>
        <v>a</v>
      </c>
      <c r="H875" t="str">
        <f>VLOOKUP(D875,name!A:C,3,1)</f>
        <v>assets/icons/image008.png</v>
      </c>
      <c r="I875" t="str">
        <f>IF(A875="","",VLOOKUP(A875,lng!A:B,2,0))</f>
        <v>fr-FR</v>
      </c>
    </row>
    <row r="876" spans="1:9" x14ac:dyDescent="0.15">
      <c r="A876" t="str">
        <f t="shared" ref="A876:B876" si="1055">A875</f>
        <v>フランス語</v>
      </c>
      <c r="B876">
        <f t="shared" si="1055"/>
        <v>12</v>
      </c>
      <c r="C876">
        <f t="shared" si="1035"/>
        <v>18</v>
      </c>
      <c r="D876">
        <f t="shared" si="1039"/>
        <v>21</v>
      </c>
      <c r="E876" t="str">
        <f>VLOOKUP(D876,name!A:B,2,1)</f>
        <v>Employé</v>
      </c>
      <c r="F876" t="s">
        <v>677</v>
      </c>
      <c r="G876" t="str">
        <f t="shared" ref="G876" si="1056">IF(B876&lt;&gt;B2041,"e",IF(D876=0,"q","a"))</f>
        <v>e</v>
      </c>
      <c r="H876" t="str">
        <f>VLOOKUP(D876,name!A:C,3,1)</f>
        <v>assets/icons/image008.png</v>
      </c>
      <c r="I876" t="s">
        <v>463</v>
      </c>
    </row>
    <row r="877" spans="1:9" x14ac:dyDescent="0.15">
      <c r="A877" t="str">
        <f t="shared" ref="A877:B877" si="1057">A876</f>
        <v>フランス語</v>
      </c>
      <c r="B877">
        <f t="shared" si="1057"/>
        <v>12</v>
      </c>
      <c r="C877">
        <f t="shared" si="1035"/>
        <v>19</v>
      </c>
      <c r="D877">
        <v>21</v>
      </c>
      <c r="E877" t="str">
        <f>VLOOKUP(D877,name!A:B,2,1)</f>
        <v>Employé</v>
      </c>
      <c r="F877" t="s">
        <v>678</v>
      </c>
      <c r="G877" t="str">
        <f t="shared" ref="G877:G895" si="1058">IF(B877&lt;&gt;B878,"e",IF(D877=0,"q","a"))</f>
        <v>a</v>
      </c>
      <c r="H877" t="str">
        <f>VLOOKUP(D877,name!A:C,3,1)</f>
        <v>assets/icons/image008.png</v>
      </c>
      <c r="I877" t="str">
        <f>IF(A877="","",VLOOKUP(A877,lng!A:B,2,0))</f>
        <v>fr-FR</v>
      </c>
    </row>
    <row r="878" spans="1:9" x14ac:dyDescent="0.15">
      <c r="A878" t="str">
        <f t="shared" ref="A878:B878" si="1059">A877</f>
        <v>フランス語</v>
      </c>
      <c r="B878">
        <f t="shared" si="1059"/>
        <v>12</v>
      </c>
      <c r="C878">
        <f t="shared" si="1035"/>
        <v>20</v>
      </c>
      <c r="D878">
        <f t="shared" si="1039"/>
        <v>5</v>
      </c>
      <c r="E878" t="str">
        <f>VLOOKUP(D878,name!A:B,2,1)</f>
        <v>Minako</v>
      </c>
      <c r="F878" t="s">
        <v>679</v>
      </c>
      <c r="G878" t="str">
        <f t="shared" ref="G878" si="1060">IF(B878&lt;&gt;B2043,"e",IF(D878=0,"q","a"))</f>
        <v>e</v>
      </c>
      <c r="H878" t="str">
        <f>VLOOKUP(D878,name!A:C,3,1)</f>
        <v>assets/icons/image086.png</v>
      </c>
      <c r="I878" t="s">
        <v>463</v>
      </c>
    </row>
    <row r="879" spans="1:9" x14ac:dyDescent="0.15">
      <c r="A879" t="str">
        <f t="shared" ref="A879:B879" si="1061">A878</f>
        <v>フランス語</v>
      </c>
      <c r="B879">
        <f t="shared" si="1061"/>
        <v>12</v>
      </c>
      <c r="C879">
        <f t="shared" si="1035"/>
        <v>21</v>
      </c>
      <c r="D879">
        <f t="shared" si="1039"/>
        <v>5</v>
      </c>
      <c r="E879" t="str">
        <f>VLOOKUP(D879,name!A:B,2,1)</f>
        <v>Minako</v>
      </c>
      <c r="F879" s="1" t="s">
        <v>664</v>
      </c>
      <c r="G879" t="str">
        <f t="shared" ref="G879:G895" si="1062">IF(B879&lt;&gt;B880,"e",IF(D879=0,"q","a"))</f>
        <v>a</v>
      </c>
      <c r="H879" t="str">
        <f>VLOOKUP(D879,name!A:C,3,1)</f>
        <v>assets/icons/image086.png</v>
      </c>
      <c r="I879" t="str">
        <f>IF(A879="","",VLOOKUP(A879,lng!A:B,2,0))</f>
        <v>fr-FR</v>
      </c>
    </row>
    <row r="880" spans="1:9" x14ac:dyDescent="0.15">
      <c r="A880" t="str">
        <f t="shared" ref="A880:B880" si="1063">A879</f>
        <v>フランス語</v>
      </c>
      <c r="B880">
        <f t="shared" si="1063"/>
        <v>12</v>
      </c>
      <c r="C880">
        <f t="shared" si="1035"/>
        <v>22</v>
      </c>
      <c r="D880">
        <f t="shared" si="1039"/>
        <v>5</v>
      </c>
      <c r="E880" t="str">
        <f>VLOOKUP(D880,name!A:B,2,1)</f>
        <v>Minako</v>
      </c>
      <c r="F880" t="s">
        <v>680</v>
      </c>
      <c r="G880" t="str">
        <f t="shared" ref="G880" si="1064">IF(B880&lt;&gt;B2045,"e",IF(D880=0,"q","a"))</f>
        <v>e</v>
      </c>
      <c r="H880" t="str">
        <f>VLOOKUP(D880,name!A:C,3,1)</f>
        <v>assets/icons/image086.png</v>
      </c>
      <c r="I880" t="s">
        <v>463</v>
      </c>
    </row>
    <row r="881" spans="1:9" x14ac:dyDescent="0.15">
      <c r="A881" t="str">
        <f t="shared" ref="A881:B881" si="1065">A880</f>
        <v>フランス語</v>
      </c>
      <c r="B881">
        <f t="shared" si="1065"/>
        <v>12</v>
      </c>
      <c r="C881">
        <f t="shared" si="1035"/>
        <v>23</v>
      </c>
      <c r="D881">
        <v>5</v>
      </c>
      <c r="E881" t="str">
        <f>VLOOKUP(D881,name!A:B,2,1)</f>
        <v>Minako</v>
      </c>
      <c r="F881" t="s">
        <v>665</v>
      </c>
      <c r="G881" t="str">
        <f t="shared" ref="G881:G895" si="1066">IF(B881&lt;&gt;B882,"e",IF(D881=0,"q","a"))</f>
        <v>a</v>
      </c>
      <c r="H881" t="str">
        <f>VLOOKUP(D881,name!A:C,3,1)</f>
        <v>assets/icons/image086.png</v>
      </c>
      <c r="I881" t="str">
        <f>IF(A881="","",VLOOKUP(A881,lng!A:B,2,0))</f>
        <v>fr-FR</v>
      </c>
    </row>
    <row r="882" spans="1:9" x14ac:dyDescent="0.15">
      <c r="A882" t="str">
        <f t="shared" ref="A882:B882" si="1067">A881</f>
        <v>フランス語</v>
      </c>
      <c r="B882">
        <f t="shared" si="1067"/>
        <v>12</v>
      </c>
      <c r="C882">
        <f t="shared" si="1035"/>
        <v>24</v>
      </c>
      <c r="D882">
        <f t="shared" si="1039"/>
        <v>21</v>
      </c>
      <c r="E882" t="str">
        <f>VLOOKUP(D882,name!A:B,2,1)</f>
        <v>Employé</v>
      </c>
      <c r="F882" t="s">
        <v>681</v>
      </c>
      <c r="G882" t="str">
        <f t="shared" ref="G882" si="1068">IF(B882&lt;&gt;B2047,"e",IF(D882=0,"q","a"))</f>
        <v>e</v>
      </c>
      <c r="H882" t="str">
        <f>VLOOKUP(D882,name!A:C,3,1)</f>
        <v>assets/icons/image008.png</v>
      </c>
      <c r="I882" t="s">
        <v>463</v>
      </c>
    </row>
    <row r="883" spans="1:9" x14ac:dyDescent="0.15">
      <c r="A883" t="str">
        <f t="shared" ref="A883:B883" si="1069">A882</f>
        <v>フランス語</v>
      </c>
      <c r="B883">
        <f t="shared" si="1069"/>
        <v>12</v>
      </c>
      <c r="C883">
        <f t="shared" si="1035"/>
        <v>25</v>
      </c>
      <c r="D883">
        <v>21</v>
      </c>
      <c r="E883" t="str">
        <f>VLOOKUP(D883,name!A:B,2,1)</f>
        <v>Employé</v>
      </c>
      <c r="F883" t="s">
        <v>666</v>
      </c>
      <c r="G883" t="str">
        <f t="shared" ref="G883:G895" si="1070">IF(B883&lt;&gt;B884,"e",IF(D883=0,"q","a"))</f>
        <v>a</v>
      </c>
      <c r="H883" t="str">
        <f>VLOOKUP(D883,name!A:C,3,1)</f>
        <v>assets/icons/image008.png</v>
      </c>
      <c r="I883" t="str">
        <f>IF(A883="","",VLOOKUP(A883,lng!A:B,2,0))</f>
        <v>fr-FR</v>
      </c>
    </row>
    <row r="884" spans="1:9" x14ac:dyDescent="0.15">
      <c r="A884" t="str">
        <f t="shared" ref="A884:B884" si="1071">A883</f>
        <v>フランス語</v>
      </c>
      <c r="B884">
        <f t="shared" si="1071"/>
        <v>12</v>
      </c>
      <c r="C884">
        <f t="shared" si="1035"/>
        <v>26</v>
      </c>
      <c r="D884">
        <f t="shared" si="1039"/>
        <v>5</v>
      </c>
      <c r="E884" t="str">
        <f>VLOOKUP(D884,name!A:B,2,1)</f>
        <v>Minako</v>
      </c>
      <c r="F884" t="s">
        <v>682</v>
      </c>
      <c r="G884" t="str">
        <f t="shared" ref="G884" si="1072">IF(B884&lt;&gt;B2049,"e",IF(D884=0,"q","a"))</f>
        <v>e</v>
      </c>
      <c r="H884" t="str">
        <f>VLOOKUP(D884,name!A:C,3,1)</f>
        <v>assets/icons/image086.png</v>
      </c>
      <c r="I884" t="s">
        <v>463</v>
      </c>
    </row>
    <row r="885" spans="1:9" x14ac:dyDescent="0.15">
      <c r="A885" t="str">
        <f t="shared" ref="A885:B885" si="1073">A884</f>
        <v>フランス語</v>
      </c>
      <c r="B885">
        <f t="shared" si="1073"/>
        <v>12</v>
      </c>
      <c r="C885">
        <f t="shared" si="1035"/>
        <v>27</v>
      </c>
      <c r="D885">
        <v>5</v>
      </c>
      <c r="E885" t="str">
        <f>VLOOKUP(D885,name!A:B,2,1)</f>
        <v>Minako</v>
      </c>
      <c r="F885" t="s">
        <v>667</v>
      </c>
      <c r="G885" t="str">
        <f t="shared" ref="G885:G895" si="1074">IF(B885&lt;&gt;B886,"e",IF(D885=0,"q","a"))</f>
        <v>a</v>
      </c>
      <c r="H885" t="str">
        <f>VLOOKUP(D885,name!A:C,3,1)</f>
        <v>assets/icons/image086.png</v>
      </c>
      <c r="I885" t="str">
        <f>IF(A885="","",VLOOKUP(A885,lng!A:B,2,0))</f>
        <v>fr-FR</v>
      </c>
    </row>
    <row r="886" spans="1:9" x14ac:dyDescent="0.15">
      <c r="A886" t="str">
        <f t="shared" ref="A886:B886" si="1075">A885</f>
        <v>フランス語</v>
      </c>
      <c r="B886">
        <f t="shared" si="1075"/>
        <v>12</v>
      </c>
      <c r="C886">
        <f t="shared" si="1035"/>
        <v>28</v>
      </c>
      <c r="D886">
        <v>1</v>
      </c>
      <c r="E886" t="str">
        <f>VLOOKUP(D886,name!A:B,2,1)</f>
        <v>Navigator</v>
      </c>
      <c r="F886" t="str">
        <f>"次の"&amp;A886&amp;"を真似してね！"</f>
        <v>次のフランス語を真似してね！</v>
      </c>
      <c r="G886" t="str">
        <f t="shared" ref="G886" si="1076">IF(B886&lt;&gt;B2051,"e",IF(D886=0,"q","a"))</f>
        <v>e</v>
      </c>
      <c r="H886" t="str">
        <f>VLOOKUP(D886,name!A:C,3,1)</f>
        <v>assets/icons/image014.png</v>
      </c>
      <c r="I886" t="s">
        <v>463</v>
      </c>
    </row>
    <row r="887" spans="1:9" x14ac:dyDescent="0.15">
      <c r="A887" t="str">
        <f t="shared" ref="A887:B887" si="1077">A886</f>
        <v>フランス語</v>
      </c>
      <c r="B887">
        <f t="shared" si="1077"/>
        <v>12</v>
      </c>
      <c r="C887">
        <f t="shared" si="1035"/>
        <v>29</v>
      </c>
      <c r="D887">
        <f>D862</f>
        <v>5</v>
      </c>
      <c r="E887" t="str">
        <f>VLOOKUP(D887,name!A:B,2,1)</f>
        <v>Minako</v>
      </c>
      <c r="F887" t="str">
        <f>F862</f>
        <v>すみません、90セントの切手をください。</v>
      </c>
      <c r="G887" t="str">
        <f t="shared" ref="G887:G895" si="1078">IF(B887&lt;&gt;B888,"e",IF(D887=0,"q","a"))</f>
        <v>a</v>
      </c>
      <c r="H887" t="str">
        <f>VLOOKUP(D887,name!A:C,3,1)</f>
        <v>assets/icons/image086.png</v>
      </c>
      <c r="I887" t="s">
        <v>463</v>
      </c>
    </row>
    <row r="888" spans="1:9" x14ac:dyDescent="0.15">
      <c r="A888" t="str">
        <f t="shared" ref="A888:B888" si="1079">A887</f>
        <v>フランス語</v>
      </c>
      <c r="B888">
        <f t="shared" si="1079"/>
        <v>12</v>
      </c>
      <c r="C888">
        <f t="shared" si="1035"/>
        <v>30</v>
      </c>
      <c r="D888">
        <f>D863</f>
        <v>5</v>
      </c>
      <c r="E888" t="str">
        <f>VLOOKUP(D888,name!A:B,2,1)</f>
        <v>Minako</v>
      </c>
      <c r="F888" t="str">
        <f>F863</f>
        <v>Monsieur, donnez-moi un timbre à quatre-vingt-dix centimes.</v>
      </c>
      <c r="G888" t="str">
        <f t="shared" ref="G888" si="1080">IF(B888&lt;&gt;B2053,"e",IF(D888=0,"q","a"))</f>
        <v>e</v>
      </c>
      <c r="H888" t="str">
        <f>VLOOKUP(D888,name!A:C,3,1)</f>
        <v>assets/icons/image086.png</v>
      </c>
      <c r="I888" t="str">
        <f>IF(A888="","",VLOOKUP(A888,lng!A:B,2,0))</f>
        <v>fr-FR</v>
      </c>
    </row>
    <row r="889" spans="1:9" x14ac:dyDescent="0.15">
      <c r="A889" t="str">
        <f t="shared" ref="A889:B889" si="1081">A888</f>
        <v>フランス語</v>
      </c>
      <c r="B889">
        <f t="shared" si="1081"/>
        <v>12</v>
      </c>
      <c r="C889">
        <f t="shared" si="1035"/>
        <v>31</v>
      </c>
      <c r="D889">
        <v>0</v>
      </c>
      <c r="E889" t="str">
        <f>VLOOKUP(D889,name!A:B,2,1)</f>
        <v>Player</v>
      </c>
      <c r="F889" t="str">
        <f>F863</f>
        <v>Monsieur, donnez-moi un timbre à quatre-vingt-dix centimes.</v>
      </c>
      <c r="G889" t="str">
        <f t="shared" ref="G889:G895" si="1082">IF(B889&lt;&gt;B890,"e",IF(D889=0,"q","a"))</f>
        <v>q</v>
      </c>
      <c r="H889" t="str">
        <f>VLOOKUP(D889,name!A:C,3,1)</f>
        <v>assets/icons/image326.png</v>
      </c>
      <c r="I889" t="str">
        <f>IF(A889="","",VLOOKUP(A889,lng!A:B,2,0))</f>
        <v>fr-FR</v>
      </c>
    </row>
    <row r="890" spans="1:9" x14ac:dyDescent="0.15">
      <c r="A890" t="str">
        <f t="shared" ref="A890:B890" si="1083">A889</f>
        <v>フランス語</v>
      </c>
      <c r="B890">
        <f t="shared" si="1083"/>
        <v>12</v>
      </c>
      <c r="C890">
        <f t="shared" si="1035"/>
        <v>32</v>
      </c>
      <c r="D890">
        <f>D864</f>
        <v>5</v>
      </c>
      <c r="E890" t="str">
        <f>VLOOKUP(D890,name!A:B,2,1)</f>
        <v>Minako</v>
      </c>
      <c r="F890" t="str">
        <f>F864</f>
        <v>それで、このパッケージを日本に送りたいです。</v>
      </c>
      <c r="G890" t="str">
        <f t="shared" ref="G890" si="1084">IF(B890&lt;&gt;B2055,"e",IF(D890=0,"q","a"))</f>
        <v>e</v>
      </c>
      <c r="H890" t="str">
        <f>VLOOKUP(D890,name!A:C,3,1)</f>
        <v>assets/icons/image086.png</v>
      </c>
      <c r="I890" t="s">
        <v>463</v>
      </c>
    </row>
    <row r="891" spans="1:9" x14ac:dyDescent="0.15">
      <c r="A891" t="str">
        <f t="shared" ref="A891:B891" si="1085">A890</f>
        <v>フランス語</v>
      </c>
      <c r="B891">
        <f t="shared" si="1085"/>
        <v>12</v>
      </c>
      <c r="C891">
        <f t="shared" si="1035"/>
        <v>33</v>
      </c>
      <c r="D891">
        <f>D865</f>
        <v>5</v>
      </c>
      <c r="E891" t="str">
        <f>VLOOKUP(D891,name!A:B,2,1)</f>
        <v>Minako</v>
      </c>
      <c r="F891" t="str">
        <f>F865</f>
        <v>Et je voudrais envoyer ce colis au Japon.</v>
      </c>
      <c r="G891" t="str">
        <f t="shared" ref="G891:G895" si="1086">IF(B891&lt;&gt;B892,"e",IF(D891=0,"q","a"))</f>
        <v>a</v>
      </c>
      <c r="H891" t="str">
        <f>VLOOKUP(D891,name!A:C,3,1)</f>
        <v>assets/icons/image086.png</v>
      </c>
      <c r="I891" t="str">
        <f>IF(A891="","",VLOOKUP(A891,lng!A:B,2,0))</f>
        <v>fr-FR</v>
      </c>
    </row>
    <row r="892" spans="1:9" x14ac:dyDescent="0.15">
      <c r="A892" t="str">
        <f t="shared" ref="A892:B892" si="1087">A891</f>
        <v>フランス語</v>
      </c>
      <c r="B892">
        <f t="shared" si="1087"/>
        <v>12</v>
      </c>
      <c r="C892">
        <f t="shared" si="1035"/>
        <v>34</v>
      </c>
      <c r="D892">
        <v>0</v>
      </c>
      <c r="E892" t="str">
        <f>VLOOKUP(D892,name!A:B,2,1)</f>
        <v>Player</v>
      </c>
      <c r="F892" t="str">
        <f>F865</f>
        <v>Et je voudrais envoyer ce colis au Japon.</v>
      </c>
      <c r="G892" t="str">
        <f t="shared" ref="G892" si="1088">IF(B892&lt;&gt;B2057,"e",IF(D892=0,"q","a"))</f>
        <v>e</v>
      </c>
      <c r="H892" t="str">
        <f>VLOOKUP(D892,name!A:C,3,1)</f>
        <v>assets/icons/image326.png</v>
      </c>
      <c r="I892" t="str">
        <f>IF(A892="","",VLOOKUP(A892,lng!A:B,2,0))</f>
        <v>fr-FR</v>
      </c>
    </row>
    <row r="893" spans="1:9" x14ac:dyDescent="0.15">
      <c r="A893" t="str">
        <f t="shared" ref="A893:B893" si="1089">A892</f>
        <v>フランス語</v>
      </c>
      <c r="B893">
        <f t="shared" si="1089"/>
        <v>12</v>
      </c>
      <c r="C893">
        <f t="shared" si="1035"/>
        <v>35</v>
      </c>
      <c r="D893">
        <f>D866</f>
        <v>21</v>
      </c>
      <c r="E893" t="str">
        <f>VLOOKUP(D893,name!A:B,2,1)</f>
        <v>Employé</v>
      </c>
      <c r="F893" t="str">
        <f>F866</f>
        <v>ボートですか、飛行機ですか?</v>
      </c>
      <c r="G893" t="str">
        <f t="shared" ref="G893:G895" si="1090">IF(B893&lt;&gt;B894,"e",IF(D893=0,"q","a"))</f>
        <v>a</v>
      </c>
      <c r="H893" t="str">
        <f>VLOOKUP(D893,name!A:C,3,1)</f>
        <v>assets/icons/image008.png</v>
      </c>
      <c r="I893" t="s">
        <v>463</v>
      </c>
    </row>
    <row r="894" spans="1:9" x14ac:dyDescent="0.15">
      <c r="A894" t="str">
        <f t="shared" ref="A894:B894" si="1091">A893</f>
        <v>フランス語</v>
      </c>
      <c r="B894">
        <f t="shared" si="1091"/>
        <v>12</v>
      </c>
      <c r="C894">
        <f t="shared" si="1035"/>
        <v>36</v>
      </c>
      <c r="D894">
        <f>D867</f>
        <v>21</v>
      </c>
      <c r="E894" t="str">
        <f>VLOOKUP(D894,name!A:B,2,1)</f>
        <v>Employé</v>
      </c>
      <c r="F894" t="str">
        <f>F867</f>
        <v>Par bateau ou par avion ?</v>
      </c>
      <c r="G894" t="str">
        <f t="shared" ref="G894" si="1092">IF(B894&lt;&gt;B2059,"e",IF(D894=0,"q","a"))</f>
        <v>e</v>
      </c>
      <c r="H894" t="str">
        <f>VLOOKUP(D894,name!A:C,3,1)</f>
        <v>assets/icons/image008.png</v>
      </c>
      <c r="I894" t="str">
        <f>IF(A894="","",VLOOKUP(A894,lng!A:B,2,0))</f>
        <v>fr-FR</v>
      </c>
    </row>
    <row r="895" spans="1:9" x14ac:dyDescent="0.15">
      <c r="A895" t="str">
        <f t="shared" ref="A895:B895" si="1093">A894</f>
        <v>フランス語</v>
      </c>
      <c r="B895">
        <f t="shared" si="1093"/>
        <v>12</v>
      </c>
      <c r="C895">
        <f t="shared" si="1035"/>
        <v>37</v>
      </c>
      <c r="D895">
        <v>0</v>
      </c>
      <c r="E895" t="str">
        <f>VLOOKUP(D895,name!A:B,2,1)</f>
        <v>Player</v>
      </c>
      <c r="F895" t="str">
        <f>F867</f>
        <v>Par bateau ou par avion ?</v>
      </c>
      <c r="G895" t="str">
        <f t="shared" ref="G895" si="1094">IF(B895&lt;&gt;B896,"e",IF(D895=0,"q","a"))</f>
        <v>q</v>
      </c>
      <c r="H895" t="str">
        <f>VLOOKUP(D895,name!A:C,3,1)</f>
        <v>assets/icons/image326.png</v>
      </c>
      <c r="I895" t="str">
        <f>IF(A895="","",VLOOKUP(A895,lng!A:B,2,0))</f>
        <v>fr-FR</v>
      </c>
    </row>
    <row r="896" spans="1:9" x14ac:dyDescent="0.15">
      <c r="A896" t="str">
        <f t="shared" ref="A896:B896" si="1095">A895</f>
        <v>フランス語</v>
      </c>
      <c r="B896">
        <f t="shared" si="1095"/>
        <v>12</v>
      </c>
      <c r="C896">
        <f t="shared" si="1035"/>
        <v>38</v>
      </c>
      <c r="D896">
        <f>D868</f>
        <v>5</v>
      </c>
      <c r="E896" t="str">
        <f>VLOOKUP(D896,name!A:B,2,1)</f>
        <v>Minako</v>
      </c>
      <c r="F896" t="str">
        <f>F868</f>
        <v>飛行機で、いくらですか?</v>
      </c>
      <c r="G896" t="str">
        <f t="shared" ref="G895:G897" si="1096">IF(B896&lt;&gt;B897,"e",IF(D896=0,"q","a"))</f>
        <v>a</v>
      </c>
      <c r="H896" t="str">
        <f>VLOOKUP(D896,name!A:C,3,1)</f>
        <v>assets/icons/image086.png</v>
      </c>
      <c r="I896" t="s">
        <v>463</v>
      </c>
    </row>
    <row r="897" spans="1:9" x14ac:dyDescent="0.15">
      <c r="A897" t="str">
        <f t="shared" ref="A897:B897" si="1097">A896</f>
        <v>フランス語</v>
      </c>
      <c r="B897">
        <f t="shared" si="1097"/>
        <v>12</v>
      </c>
      <c r="C897">
        <f t="shared" si="1035"/>
        <v>39</v>
      </c>
      <c r="D897">
        <f>D869</f>
        <v>5</v>
      </c>
      <c r="E897" t="str">
        <f>VLOOKUP(D897,name!A:B,2,1)</f>
        <v>Minako</v>
      </c>
      <c r="F897" t="str">
        <f>F869</f>
        <v>Par avion, c'est combien ?</v>
      </c>
      <c r="G897" t="str">
        <f t="shared" si="1096"/>
        <v>a</v>
      </c>
      <c r="H897" t="str">
        <f>VLOOKUP(D897,name!A:C,3,1)</f>
        <v>assets/icons/image086.png</v>
      </c>
      <c r="I897" t="str">
        <f>IF(A897="","",VLOOKUP(A897,lng!A:B,2,0))</f>
        <v>fr-FR</v>
      </c>
    </row>
    <row r="898" spans="1:9" x14ac:dyDescent="0.15">
      <c r="A898" t="str">
        <f t="shared" ref="A898:B898" si="1098">A897</f>
        <v>フランス語</v>
      </c>
      <c r="B898">
        <f t="shared" si="1098"/>
        <v>12</v>
      </c>
      <c r="C898">
        <f t="shared" si="1035"/>
        <v>40</v>
      </c>
      <c r="D898">
        <v>0</v>
      </c>
      <c r="E898" t="str">
        <f>VLOOKUP(D898,name!A:B,2,1)</f>
        <v>Player</v>
      </c>
      <c r="F898" t="str">
        <f>F869</f>
        <v>Par avion, c'est combien ?</v>
      </c>
      <c r="G898" t="str">
        <f>IF(B898&lt;&gt;B1839,"e",IF(D898=0,"q","a"))</f>
        <v>e</v>
      </c>
      <c r="H898" t="str">
        <f>VLOOKUP(D898,name!A:C,3,1)</f>
        <v>assets/icons/image326.png</v>
      </c>
      <c r="I898" t="str">
        <f>IF(A898="","",VLOOKUP(A898,lng!A:B,2,0))</f>
        <v>fr-FR</v>
      </c>
    </row>
    <row r="899" spans="1:9" x14ac:dyDescent="0.15">
      <c r="A899" t="str">
        <f t="shared" ref="A899:B899" si="1099">A898</f>
        <v>フランス語</v>
      </c>
      <c r="B899">
        <f t="shared" si="1099"/>
        <v>12</v>
      </c>
      <c r="C899">
        <f t="shared" si="1035"/>
        <v>41</v>
      </c>
      <c r="D899">
        <f>D870</f>
        <v>21</v>
      </c>
      <c r="E899" t="str">
        <f>VLOOKUP(D899,name!A:B,2,1)</f>
        <v>Employé</v>
      </c>
      <c r="F899" t="str">
        <f>F870</f>
        <v>8ユーロ 40セントです。</v>
      </c>
      <c r="G899" t="str">
        <f t="shared" ref="G899:G901" si="1100">IF(B899&lt;&gt;B900,"e",IF(D899=0,"q","a"))</f>
        <v>a</v>
      </c>
      <c r="H899" t="str">
        <f>VLOOKUP(D899,name!A:C,3,1)</f>
        <v>assets/icons/image008.png</v>
      </c>
      <c r="I899" t="s">
        <v>463</v>
      </c>
    </row>
    <row r="900" spans="1:9" x14ac:dyDescent="0.15">
      <c r="A900" t="str">
        <f t="shared" ref="A900:B900" si="1101">A899</f>
        <v>フランス語</v>
      </c>
      <c r="B900">
        <f t="shared" si="1101"/>
        <v>12</v>
      </c>
      <c r="C900">
        <f t="shared" si="1035"/>
        <v>42</v>
      </c>
      <c r="D900">
        <f>D871</f>
        <v>21</v>
      </c>
      <c r="E900" t="str">
        <f>VLOOKUP(D900,name!A:B,2,1)</f>
        <v>Employé</v>
      </c>
      <c r="F900" t="str">
        <f>F871</f>
        <v>huit euros quarante.</v>
      </c>
      <c r="G900" t="str">
        <f t="shared" si="1100"/>
        <v>a</v>
      </c>
      <c r="H900" t="str">
        <f>VLOOKUP(D900,name!A:C,3,1)</f>
        <v>assets/icons/image008.png</v>
      </c>
      <c r="I900" t="str">
        <f>IF(A900="","",VLOOKUP(A900,lng!A:B,2,0))</f>
        <v>fr-FR</v>
      </c>
    </row>
    <row r="901" spans="1:9" x14ac:dyDescent="0.15">
      <c r="A901" t="str">
        <f t="shared" ref="A901:B901" si="1102">A900</f>
        <v>フランス語</v>
      </c>
      <c r="B901">
        <f t="shared" si="1102"/>
        <v>12</v>
      </c>
      <c r="C901">
        <f t="shared" si="1035"/>
        <v>43</v>
      </c>
      <c r="D901">
        <v>0</v>
      </c>
      <c r="E901" t="str">
        <f>VLOOKUP(D901,name!A:B,2,1)</f>
        <v>Player</v>
      </c>
      <c r="F901" t="str">
        <f>F871</f>
        <v>huit euros quarante.</v>
      </c>
      <c r="G901" t="str">
        <f t="shared" si="1100"/>
        <v>q</v>
      </c>
      <c r="H901" t="str">
        <f>VLOOKUP(D901,name!A:C,3,1)</f>
        <v>assets/icons/image326.png</v>
      </c>
      <c r="I901" t="str">
        <f>IF(A901="","",VLOOKUP(A901,lng!A:B,2,0))</f>
        <v>fr-FR</v>
      </c>
    </row>
    <row r="902" spans="1:9" x14ac:dyDescent="0.15">
      <c r="A902" t="str">
        <f t="shared" ref="A902:B902" si="1103">A901</f>
        <v>フランス語</v>
      </c>
      <c r="B902">
        <f t="shared" si="1103"/>
        <v>12</v>
      </c>
      <c r="C902">
        <f t="shared" si="1035"/>
        <v>44</v>
      </c>
      <c r="D902">
        <f>D872</f>
        <v>5</v>
      </c>
      <c r="E902" t="str">
        <f>VLOOKUP(D902,name!A:B,2,1)</f>
        <v>Minako</v>
      </c>
      <c r="F902" t="str">
        <f>F872</f>
        <v>それでボートでは?</v>
      </c>
      <c r="G902" t="str">
        <f>IF(B902&lt;&gt;B1843,"e",IF(D902=0,"q","a"))</f>
        <v>e</v>
      </c>
      <c r="H902" t="str">
        <f>VLOOKUP(D902,name!A:C,3,1)</f>
        <v>assets/icons/image086.png</v>
      </c>
      <c r="I902" t="s">
        <v>463</v>
      </c>
    </row>
    <row r="903" spans="1:9" x14ac:dyDescent="0.15">
      <c r="A903" t="str">
        <f t="shared" ref="A903:B903" si="1104">A902</f>
        <v>フランス語</v>
      </c>
      <c r="B903">
        <f t="shared" si="1104"/>
        <v>12</v>
      </c>
      <c r="C903">
        <f t="shared" si="1035"/>
        <v>45</v>
      </c>
      <c r="D903">
        <f>D873</f>
        <v>5</v>
      </c>
      <c r="E903" t="str">
        <f>VLOOKUP(D903,name!A:B,2,1)</f>
        <v>Minako</v>
      </c>
      <c r="F903" t="str">
        <f>F873</f>
        <v>Et par bateau ?</v>
      </c>
      <c r="G903" t="str">
        <f t="shared" ref="G903:G905" si="1105">IF(B903&lt;&gt;B904,"e",IF(D903=0,"q","a"))</f>
        <v>a</v>
      </c>
      <c r="H903" t="str">
        <f>VLOOKUP(D903,name!A:C,3,1)</f>
        <v>assets/icons/image086.png</v>
      </c>
      <c r="I903" t="str">
        <f>IF(A903="","",VLOOKUP(A903,lng!A:B,2,0))</f>
        <v>fr-FR</v>
      </c>
    </row>
    <row r="904" spans="1:9" x14ac:dyDescent="0.15">
      <c r="A904" t="str">
        <f t="shared" ref="A904:B904" si="1106">A903</f>
        <v>フランス語</v>
      </c>
      <c r="B904">
        <f t="shared" si="1106"/>
        <v>12</v>
      </c>
      <c r="C904">
        <f t="shared" si="1035"/>
        <v>46</v>
      </c>
      <c r="D904">
        <v>0</v>
      </c>
      <c r="E904" t="str">
        <f>VLOOKUP(D904,name!A:B,2,1)</f>
        <v>Player</v>
      </c>
      <c r="F904" t="str">
        <f>F873</f>
        <v>Et par bateau ?</v>
      </c>
      <c r="G904" t="str">
        <f t="shared" si="1105"/>
        <v>q</v>
      </c>
      <c r="H904" t="str">
        <f>VLOOKUP(D904,name!A:C,3,1)</f>
        <v>assets/icons/image326.png</v>
      </c>
      <c r="I904" t="str">
        <f>IF(A904="","",VLOOKUP(A904,lng!A:B,2,0))</f>
        <v>fr-FR</v>
      </c>
    </row>
    <row r="905" spans="1:9" x14ac:dyDescent="0.15">
      <c r="A905" t="str">
        <f t="shared" ref="A905:B905" si="1107">A904</f>
        <v>フランス語</v>
      </c>
      <c r="B905">
        <f t="shared" si="1107"/>
        <v>12</v>
      </c>
      <c r="C905">
        <f t="shared" si="1035"/>
        <v>47</v>
      </c>
      <c r="D905">
        <f>D874</f>
        <v>21</v>
      </c>
      <c r="E905" t="str">
        <f>VLOOKUP(D905,name!A:B,2,1)</f>
        <v>Employé</v>
      </c>
      <c r="F905" t="str">
        <f>F874</f>
        <v>飛行機よりも安いです。</v>
      </c>
      <c r="G905" t="str">
        <f t="shared" si="1105"/>
        <v>a</v>
      </c>
      <c r="H905" t="str">
        <f>VLOOKUP(D905,name!A:C,3,1)</f>
        <v>assets/icons/image008.png</v>
      </c>
      <c r="I905" t="s">
        <v>463</v>
      </c>
    </row>
    <row r="906" spans="1:9" x14ac:dyDescent="0.15">
      <c r="A906" t="str">
        <f t="shared" ref="A906:B906" si="1108">A905</f>
        <v>フランス語</v>
      </c>
      <c r="B906">
        <f t="shared" si="1108"/>
        <v>12</v>
      </c>
      <c r="C906">
        <f t="shared" si="1035"/>
        <v>48</v>
      </c>
      <c r="D906">
        <f>D875</f>
        <v>21</v>
      </c>
      <c r="E906" t="str">
        <f>VLOOKUP(D906,name!A:B,2,1)</f>
        <v>Employé</v>
      </c>
      <c r="F906" t="str">
        <f>F875</f>
        <v>C'est moins cher que par avion.</v>
      </c>
      <c r="G906" t="str">
        <f>IF(B906&lt;&gt;B1847,"e",IF(D906=0,"q","a"))</f>
        <v>e</v>
      </c>
      <c r="H906" t="str">
        <f>VLOOKUP(D906,name!A:C,3,1)</f>
        <v>assets/icons/image008.png</v>
      </c>
      <c r="I906" t="str">
        <f>IF(A906="","",VLOOKUP(A906,lng!A:B,2,0))</f>
        <v>fr-FR</v>
      </c>
    </row>
    <row r="907" spans="1:9" x14ac:dyDescent="0.15">
      <c r="A907" t="str">
        <f t="shared" ref="A907:B907" si="1109">A906</f>
        <v>フランス語</v>
      </c>
      <c r="B907">
        <f t="shared" si="1109"/>
        <v>12</v>
      </c>
      <c r="C907">
        <f t="shared" si="1035"/>
        <v>49</v>
      </c>
      <c r="D907">
        <v>0</v>
      </c>
      <c r="E907" t="str">
        <f>VLOOKUP(D907,name!A:B,2,1)</f>
        <v>Player</v>
      </c>
      <c r="F907" t="str">
        <f>F875</f>
        <v>C'est moins cher que par avion.</v>
      </c>
      <c r="G907" t="str">
        <f t="shared" ref="G907:G909" si="1110">IF(B907&lt;&gt;B908,"e",IF(D907=0,"q","a"))</f>
        <v>q</v>
      </c>
      <c r="H907" t="str">
        <f>VLOOKUP(D907,name!A:C,3,1)</f>
        <v>assets/icons/image326.png</v>
      </c>
      <c r="I907" t="str">
        <f>IF(A907="","",VLOOKUP(A907,lng!A:B,2,0))</f>
        <v>fr-FR</v>
      </c>
    </row>
    <row r="908" spans="1:9" x14ac:dyDescent="0.15">
      <c r="A908" t="str">
        <f t="shared" ref="A908:B908" si="1111">A907</f>
        <v>フランス語</v>
      </c>
      <c r="B908">
        <f t="shared" si="1111"/>
        <v>12</v>
      </c>
      <c r="C908">
        <f t="shared" si="1035"/>
        <v>50</v>
      </c>
      <c r="D908">
        <f>D876</f>
        <v>21</v>
      </c>
      <c r="E908" t="str">
        <f>VLOOKUP(D908,name!A:B,2,1)</f>
        <v>Employé</v>
      </c>
      <c r="F908" t="str">
        <f>F876</f>
        <v>5ユーロ80です。</v>
      </c>
      <c r="G908" t="str">
        <f t="shared" si="1110"/>
        <v>a</v>
      </c>
      <c r="H908" t="str">
        <f>VLOOKUP(D908,name!A:C,3,1)</f>
        <v>assets/icons/image008.png</v>
      </c>
      <c r="I908" t="s">
        <v>463</v>
      </c>
    </row>
    <row r="909" spans="1:9" x14ac:dyDescent="0.15">
      <c r="A909" t="str">
        <f t="shared" ref="A909:B909" si="1112">A908</f>
        <v>フランス語</v>
      </c>
      <c r="B909">
        <f t="shared" si="1112"/>
        <v>12</v>
      </c>
      <c r="C909">
        <f t="shared" si="1035"/>
        <v>51</v>
      </c>
      <c r="D909">
        <f>D877</f>
        <v>21</v>
      </c>
      <c r="E909" t="str">
        <f>VLOOKUP(D909,name!A:B,2,1)</f>
        <v>Employé</v>
      </c>
      <c r="F909" t="str">
        <f>F877</f>
        <v>Ça vous fait cinq euros quatre-vingts.</v>
      </c>
      <c r="G909" t="str">
        <f t="shared" si="1110"/>
        <v>a</v>
      </c>
      <c r="H909" t="str">
        <f>VLOOKUP(D909,name!A:C,3,1)</f>
        <v>assets/icons/image008.png</v>
      </c>
      <c r="I909" t="str">
        <f>IF(A909="","",VLOOKUP(A909,lng!A:B,2,0))</f>
        <v>fr-FR</v>
      </c>
    </row>
    <row r="910" spans="1:9" x14ac:dyDescent="0.15">
      <c r="A910" t="str">
        <f t="shared" ref="A910:B910" si="1113">A909</f>
        <v>フランス語</v>
      </c>
      <c r="B910">
        <f t="shared" si="1113"/>
        <v>12</v>
      </c>
      <c r="C910">
        <f t="shared" si="1035"/>
        <v>52</v>
      </c>
      <c r="D910">
        <v>0</v>
      </c>
      <c r="E910" t="str">
        <f>VLOOKUP(D910,name!A:B,2,1)</f>
        <v>Player</v>
      </c>
      <c r="F910" t="str">
        <f>F877</f>
        <v>Ça vous fait cinq euros quatre-vingts.</v>
      </c>
      <c r="G910" t="str">
        <f>IF(B910&lt;&gt;B1851,"e",IF(D910=0,"q","a"))</f>
        <v>e</v>
      </c>
      <c r="H910" t="str">
        <f>VLOOKUP(D910,name!A:C,3,1)</f>
        <v>assets/icons/image326.png</v>
      </c>
      <c r="I910" t="str">
        <f>IF(A910="","",VLOOKUP(A910,lng!A:B,2,0))</f>
        <v>fr-FR</v>
      </c>
    </row>
    <row r="911" spans="1:9" x14ac:dyDescent="0.15">
      <c r="A911" t="str">
        <f t="shared" ref="A911:B911" si="1114">A910</f>
        <v>フランス語</v>
      </c>
      <c r="B911">
        <f t="shared" si="1114"/>
        <v>12</v>
      </c>
      <c r="C911">
        <f t="shared" si="1035"/>
        <v>53</v>
      </c>
      <c r="D911">
        <f>D878</f>
        <v>5</v>
      </c>
      <c r="E911" t="str">
        <f>VLOOKUP(D911,name!A:B,2,1)</f>
        <v>Minako</v>
      </c>
      <c r="F911" t="str">
        <f>F878</f>
        <v>ボートでは安いですが、時間がかかります。</v>
      </c>
      <c r="G911" t="str">
        <f t="shared" ref="G911:G913" si="1115">IF(B911&lt;&gt;B912,"e",IF(D911=0,"q","a"))</f>
        <v>a</v>
      </c>
      <c r="H911" t="str">
        <f>VLOOKUP(D911,name!A:C,3,1)</f>
        <v>assets/icons/image086.png</v>
      </c>
      <c r="I911" t="s">
        <v>463</v>
      </c>
    </row>
    <row r="912" spans="1:9" x14ac:dyDescent="0.15">
      <c r="A912" t="str">
        <f t="shared" ref="A912:B912" si="1116">A911</f>
        <v>フランス語</v>
      </c>
      <c r="B912">
        <f t="shared" si="1116"/>
        <v>12</v>
      </c>
      <c r="C912">
        <f t="shared" si="1035"/>
        <v>54</v>
      </c>
      <c r="D912">
        <f>D879</f>
        <v>5</v>
      </c>
      <c r="E912" t="str">
        <f>VLOOKUP(D912,name!A:B,2,1)</f>
        <v>Minako</v>
      </c>
      <c r="F912" t="str">
        <f>F879</f>
        <v>Par bateau, c'est moins cher, mais ça met plus de temps.</v>
      </c>
      <c r="G912" t="str">
        <f t="shared" si="1115"/>
        <v>a</v>
      </c>
      <c r="H912" t="str">
        <f>VLOOKUP(D912,name!A:C,3,1)</f>
        <v>assets/icons/image086.png</v>
      </c>
      <c r="I912" t="str">
        <f>IF(A912="","",VLOOKUP(A912,lng!A:B,2,0))</f>
        <v>fr-FR</v>
      </c>
    </row>
    <row r="913" spans="1:9" x14ac:dyDescent="0.15">
      <c r="A913" t="str">
        <f t="shared" ref="A913:B913" si="1117">A912</f>
        <v>フランス語</v>
      </c>
      <c r="B913">
        <f t="shared" si="1117"/>
        <v>12</v>
      </c>
      <c r="C913">
        <f t="shared" si="1035"/>
        <v>55</v>
      </c>
      <c r="D913">
        <v>0</v>
      </c>
      <c r="E913" t="str">
        <f>VLOOKUP(D913,name!A:B,2,1)</f>
        <v>Player</v>
      </c>
      <c r="F913" t="str">
        <f>F879</f>
        <v>Par bateau, c'est moins cher, mais ça met plus de temps.</v>
      </c>
      <c r="G913" t="str">
        <f t="shared" si="1115"/>
        <v>q</v>
      </c>
      <c r="H913" t="str">
        <f>VLOOKUP(D913,name!A:C,3,1)</f>
        <v>assets/icons/image326.png</v>
      </c>
      <c r="I913" t="str">
        <f>IF(A913="","",VLOOKUP(A913,lng!A:B,2,0))</f>
        <v>fr-FR</v>
      </c>
    </row>
    <row r="914" spans="1:9" x14ac:dyDescent="0.15">
      <c r="A914" t="str">
        <f t="shared" ref="A914:B914" si="1118">A913</f>
        <v>フランス語</v>
      </c>
      <c r="B914">
        <f t="shared" si="1118"/>
        <v>12</v>
      </c>
      <c r="C914">
        <f t="shared" si="1035"/>
        <v>56</v>
      </c>
      <c r="D914">
        <f>D880</f>
        <v>5</v>
      </c>
      <c r="E914" t="str">
        <f>VLOOKUP(D914,name!A:B,2,1)</f>
        <v>Minako</v>
      </c>
      <c r="F914" t="str">
        <f>F880</f>
        <v>では、飛行機でお願いします。</v>
      </c>
      <c r="G914" t="str">
        <f>IF(B914&lt;&gt;B1855,"e",IF(D914=0,"q","a"))</f>
        <v>e</v>
      </c>
      <c r="H914" t="str">
        <f>VLOOKUP(D914,name!A:C,3,1)</f>
        <v>assets/icons/image086.png</v>
      </c>
      <c r="I914" t="s">
        <v>463</v>
      </c>
    </row>
    <row r="915" spans="1:9" x14ac:dyDescent="0.15">
      <c r="A915" t="str">
        <f t="shared" ref="A915:B915" si="1119">A914</f>
        <v>フランス語</v>
      </c>
      <c r="B915">
        <f t="shared" si="1119"/>
        <v>12</v>
      </c>
      <c r="C915">
        <f t="shared" si="1035"/>
        <v>57</v>
      </c>
      <c r="D915">
        <f>D881</f>
        <v>5</v>
      </c>
      <c r="E915" t="str">
        <f>VLOOKUP(D915,name!A:B,2,1)</f>
        <v>Minako</v>
      </c>
      <c r="F915" t="str">
        <f>F881</f>
        <v>Alors, par avion, s'il vous plaît.</v>
      </c>
      <c r="G915" t="str">
        <f t="shared" ref="G915:G917" si="1120">IF(B915&lt;&gt;B916,"e",IF(D915=0,"q","a"))</f>
        <v>a</v>
      </c>
      <c r="H915" t="str">
        <f>VLOOKUP(D915,name!A:C,3,1)</f>
        <v>assets/icons/image086.png</v>
      </c>
      <c r="I915" t="str">
        <f>IF(A915="","",VLOOKUP(A915,lng!A:B,2,0))</f>
        <v>fr-FR</v>
      </c>
    </row>
    <row r="916" spans="1:9" x14ac:dyDescent="0.15">
      <c r="A916" t="str">
        <f t="shared" ref="A916:B916" si="1121">A915</f>
        <v>フランス語</v>
      </c>
      <c r="B916">
        <f t="shared" si="1121"/>
        <v>12</v>
      </c>
      <c r="C916">
        <f t="shared" si="1035"/>
        <v>58</v>
      </c>
      <c r="D916">
        <v>0</v>
      </c>
      <c r="E916" t="str">
        <f>VLOOKUP(D916,name!A:B,2,1)</f>
        <v>Player</v>
      </c>
      <c r="F916" t="str">
        <f>F881</f>
        <v>Alors, par avion, s'il vous plaît.</v>
      </c>
      <c r="G916" t="str">
        <f t="shared" si="1120"/>
        <v>q</v>
      </c>
      <c r="H916" t="str">
        <f>VLOOKUP(D916,name!A:C,3,1)</f>
        <v>assets/icons/image326.png</v>
      </c>
      <c r="I916" t="str">
        <f>IF(A916="","",VLOOKUP(A916,lng!A:B,2,0))</f>
        <v>fr-FR</v>
      </c>
    </row>
    <row r="917" spans="1:9" x14ac:dyDescent="0.15">
      <c r="A917" t="str">
        <f t="shared" ref="A917:B917" si="1122">A916</f>
        <v>フランス語</v>
      </c>
      <c r="B917">
        <f t="shared" si="1122"/>
        <v>12</v>
      </c>
      <c r="C917">
        <f t="shared" si="1035"/>
        <v>59</v>
      </c>
      <c r="D917">
        <f>D882</f>
        <v>21</v>
      </c>
      <c r="E917" t="str">
        <f>VLOOKUP(D917,name!A:B,2,1)</f>
        <v>Employé</v>
      </c>
      <c r="F917" t="str">
        <f>F882</f>
        <v>あなたは日本から来ましたか?</v>
      </c>
      <c r="G917" t="str">
        <f t="shared" si="1120"/>
        <v>a</v>
      </c>
      <c r="H917" t="str">
        <f>VLOOKUP(D917,name!A:C,3,1)</f>
        <v>assets/icons/image008.png</v>
      </c>
      <c r="I917" t="s">
        <v>463</v>
      </c>
    </row>
    <row r="918" spans="1:9" x14ac:dyDescent="0.15">
      <c r="A918" t="str">
        <f t="shared" ref="A918:B918" si="1123">A917</f>
        <v>フランス語</v>
      </c>
      <c r="B918">
        <f t="shared" si="1123"/>
        <v>12</v>
      </c>
      <c r="C918">
        <f t="shared" si="1035"/>
        <v>60</v>
      </c>
      <c r="D918">
        <f>D883</f>
        <v>21</v>
      </c>
      <c r="E918" t="str">
        <f>VLOOKUP(D918,name!A:B,2,1)</f>
        <v>Employé</v>
      </c>
      <c r="F918" t="str">
        <f>F883</f>
        <v>Vous venez du Japon ?</v>
      </c>
      <c r="G918" t="str">
        <f>IF(B918&lt;&gt;B1859,"e",IF(D918=0,"q","a"))</f>
        <v>e</v>
      </c>
      <c r="H918" t="str">
        <f>VLOOKUP(D918,name!A:C,3,1)</f>
        <v>assets/icons/image008.png</v>
      </c>
      <c r="I918" t="str">
        <f>IF(A918="","",VLOOKUP(A918,lng!A:B,2,0))</f>
        <v>fr-FR</v>
      </c>
    </row>
    <row r="919" spans="1:9" x14ac:dyDescent="0.15">
      <c r="A919" t="str">
        <f t="shared" ref="A919:B919" si="1124">A918</f>
        <v>フランス語</v>
      </c>
      <c r="B919">
        <f t="shared" si="1124"/>
        <v>12</v>
      </c>
      <c r="C919">
        <f t="shared" si="1035"/>
        <v>61</v>
      </c>
      <c r="D919">
        <v>0</v>
      </c>
      <c r="E919" t="str">
        <f>VLOOKUP(D919,name!A:B,2,1)</f>
        <v>Player</v>
      </c>
      <c r="F919" t="str">
        <f>F883</f>
        <v>Vous venez du Japon ?</v>
      </c>
      <c r="G919" t="str">
        <f t="shared" ref="G919:G921" si="1125">IF(B919&lt;&gt;B920,"e",IF(D919=0,"q","a"))</f>
        <v>q</v>
      </c>
      <c r="H919" t="str">
        <f>VLOOKUP(D919,name!A:C,3,1)</f>
        <v>assets/icons/image326.png</v>
      </c>
      <c r="I919" t="str">
        <f>IF(A919="","",VLOOKUP(A919,lng!A:B,2,0))</f>
        <v>fr-FR</v>
      </c>
    </row>
    <row r="920" spans="1:9" x14ac:dyDescent="0.15">
      <c r="A920" t="str">
        <f t="shared" ref="A920:B920" si="1126">A919</f>
        <v>フランス語</v>
      </c>
      <c r="B920">
        <f t="shared" si="1126"/>
        <v>12</v>
      </c>
      <c r="C920">
        <f t="shared" si="1035"/>
        <v>62</v>
      </c>
      <c r="D920">
        <f>D884</f>
        <v>5</v>
      </c>
      <c r="E920" t="str">
        <f>VLOOKUP(D920,name!A:B,2,1)</f>
        <v>Minako</v>
      </c>
      <c r="F920" t="str">
        <f>F884</f>
        <v>はい、そして私は数ヶ月後に戻ります。</v>
      </c>
      <c r="G920" t="str">
        <f t="shared" si="1125"/>
        <v>a</v>
      </c>
      <c r="H920" t="str">
        <f>VLOOKUP(D920,name!A:C,3,1)</f>
        <v>assets/icons/image086.png</v>
      </c>
      <c r="I920" t="s">
        <v>463</v>
      </c>
    </row>
    <row r="921" spans="1:9" x14ac:dyDescent="0.15">
      <c r="A921" t="str">
        <f t="shared" ref="A921:B921" si="1127">A920</f>
        <v>フランス語</v>
      </c>
      <c r="B921">
        <f t="shared" si="1127"/>
        <v>12</v>
      </c>
      <c r="C921">
        <f t="shared" si="1035"/>
        <v>63</v>
      </c>
      <c r="D921">
        <f>D885</f>
        <v>5</v>
      </c>
      <c r="E921" t="str">
        <f>VLOOKUP(D921,name!A:B,2,1)</f>
        <v>Minako</v>
      </c>
      <c r="F921" t="str">
        <f>F885</f>
        <v>Oui, et j'y retourne dans quelques mois.</v>
      </c>
      <c r="G921" t="str">
        <f t="shared" si="1125"/>
        <v>a</v>
      </c>
      <c r="H921" t="str">
        <f>VLOOKUP(D921,name!A:C,3,1)</f>
        <v>assets/icons/image086.png</v>
      </c>
      <c r="I921" t="str">
        <f>IF(A921="","",VLOOKUP(A921,lng!A:B,2,0))</f>
        <v>fr-FR</v>
      </c>
    </row>
    <row r="922" spans="1:9" x14ac:dyDescent="0.15">
      <c r="A922" t="str">
        <f t="shared" ref="A922:B922" si="1128">A921</f>
        <v>フランス語</v>
      </c>
      <c r="B922">
        <f t="shared" si="1128"/>
        <v>12</v>
      </c>
      <c r="C922">
        <f t="shared" si="1035"/>
        <v>64</v>
      </c>
      <c r="D922">
        <v>0</v>
      </c>
      <c r="E922" t="str">
        <f>VLOOKUP(D922,name!A:B,2,1)</f>
        <v>Player</v>
      </c>
      <c r="F922" t="str">
        <f>F885</f>
        <v>Oui, et j'y retourne dans quelques mois.</v>
      </c>
      <c r="G922" t="str">
        <f>IF(B922&lt;&gt;B1863,"e",IF(D922=0,"q","a"))</f>
        <v>e</v>
      </c>
      <c r="H922" t="str">
        <f>VLOOKUP(D922,name!A:C,3,1)</f>
        <v>assets/icons/image326.png</v>
      </c>
      <c r="I922" t="str">
        <f>IF(A922="","",VLOOKUP(A922,lng!A:B,2,0))</f>
        <v>fr-FR</v>
      </c>
    </row>
    <row r="923" spans="1:9" x14ac:dyDescent="0.15">
      <c r="A923" t="str">
        <f t="shared" ref="A923:B923" si="1129">A922</f>
        <v>フランス語</v>
      </c>
      <c r="B923">
        <f t="shared" si="1129"/>
        <v>12</v>
      </c>
      <c r="C923">
        <f t="shared" si="1035"/>
        <v>65</v>
      </c>
      <c r="D923">
        <v>1</v>
      </c>
      <c r="E923" t="str">
        <f>VLOOKUP(D923,name!A:B,2,1)</f>
        <v>Navigator</v>
      </c>
      <c r="F923" t="str">
        <f>"次の日本語を"&amp;A923&amp;"に訳して答えてね！"</f>
        <v>次の日本語をフランス語に訳して答えてね！</v>
      </c>
      <c r="G923" t="str">
        <f t="shared" ref="G923:G925" si="1130">IF(B923&lt;&gt;B924,"e",IF(D923=0,"q","a"))</f>
        <v>a</v>
      </c>
      <c r="H923" t="str">
        <f>VLOOKUP(D923,name!A:C,3,1)</f>
        <v>assets/icons/image014.png</v>
      </c>
      <c r="I923" t="s">
        <v>463</v>
      </c>
    </row>
    <row r="924" spans="1:9" x14ac:dyDescent="0.15">
      <c r="A924" t="str">
        <f t="shared" ref="A924:B924" si="1131">A923</f>
        <v>フランス語</v>
      </c>
      <c r="B924">
        <f t="shared" si="1131"/>
        <v>12</v>
      </c>
      <c r="C924">
        <f t="shared" si="1035"/>
        <v>66</v>
      </c>
      <c r="D924">
        <f>D862</f>
        <v>5</v>
      </c>
      <c r="E924" t="str">
        <f>VLOOKUP(D924,name!A:B,2,1)</f>
        <v>Minako</v>
      </c>
      <c r="F924" t="str">
        <f t="shared" ref="F924:F947" si="1132">F862</f>
        <v>すみません、90セントの切手をください。</v>
      </c>
      <c r="G924" t="str">
        <f t="shared" si="1130"/>
        <v>a</v>
      </c>
      <c r="H924" t="str">
        <f>VLOOKUP(D924,name!A:C,3,1)</f>
        <v>assets/icons/image086.png</v>
      </c>
      <c r="I924" t="s">
        <v>463</v>
      </c>
    </row>
    <row r="925" spans="1:9" x14ac:dyDescent="0.15">
      <c r="A925" t="str">
        <f t="shared" ref="A925:B925" si="1133">A924</f>
        <v>フランス語</v>
      </c>
      <c r="B925">
        <f t="shared" si="1133"/>
        <v>12</v>
      </c>
      <c r="C925">
        <f t="shared" ref="C925:C948" si="1134">C924+1</f>
        <v>67</v>
      </c>
      <c r="D925">
        <v>0</v>
      </c>
      <c r="E925" t="str">
        <f>VLOOKUP(D925,name!A:B,2,1)</f>
        <v>Player</v>
      </c>
      <c r="F925" t="str">
        <f t="shared" si="1132"/>
        <v>Monsieur, donnez-moi un timbre à quatre-vingt-dix centimes.</v>
      </c>
      <c r="G925" t="str">
        <f t="shared" si="1130"/>
        <v>q</v>
      </c>
      <c r="H925" t="str">
        <f>VLOOKUP(D925,name!A:C,3,1)</f>
        <v>assets/icons/image326.png</v>
      </c>
      <c r="I925" t="str">
        <f>IF(A925="","",VLOOKUP(A925,lng!A:B,2,0))</f>
        <v>fr-FR</v>
      </c>
    </row>
    <row r="926" spans="1:9" x14ac:dyDescent="0.15">
      <c r="A926" t="str">
        <f t="shared" ref="A926:B926" si="1135">A925</f>
        <v>フランス語</v>
      </c>
      <c r="B926">
        <f t="shared" si="1135"/>
        <v>12</v>
      </c>
      <c r="C926">
        <f t="shared" si="1134"/>
        <v>68</v>
      </c>
      <c r="D926">
        <f>D864</f>
        <v>5</v>
      </c>
      <c r="E926" t="str">
        <f>VLOOKUP(D926,name!A:B,2,1)</f>
        <v>Minako</v>
      </c>
      <c r="F926" t="str">
        <f t="shared" si="1132"/>
        <v>それで、このパッケージを日本に送りたいです。</v>
      </c>
      <c r="G926" t="str">
        <f>IF(B926&lt;&gt;B1867,"e",IF(D926=0,"q","a"))</f>
        <v>e</v>
      </c>
      <c r="H926" t="str">
        <f>VLOOKUP(D926,name!A:C,3,1)</f>
        <v>assets/icons/image086.png</v>
      </c>
      <c r="I926" t="s">
        <v>463</v>
      </c>
    </row>
    <row r="927" spans="1:9" x14ac:dyDescent="0.15">
      <c r="A927" t="str">
        <f t="shared" ref="A927:B927" si="1136">A926</f>
        <v>フランス語</v>
      </c>
      <c r="B927">
        <f t="shared" si="1136"/>
        <v>12</v>
      </c>
      <c r="C927">
        <f t="shared" si="1134"/>
        <v>69</v>
      </c>
      <c r="D927">
        <v>0</v>
      </c>
      <c r="E927" t="str">
        <f>VLOOKUP(D927,name!A:B,2,1)</f>
        <v>Player</v>
      </c>
      <c r="F927" t="str">
        <f t="shared" si="1132"/>
        <v>Et je voudrais envoyer ce colis au Japon.</v>
      </c>
      <c r="G927" t="str">
        <f t="shared" ref="G927:G929" si="1137">IF(B927&lt;&gt;B928,"e",IF(D927=0,"q","a"))</f>
        <v>q</v>
      </c>
      <c r="H927" t="str">
        <f>VLOOKUP(D927,name!A:C,3,1)</f>
        <v>assets/icons/image326.png</v>
      </c>
      <c r="I927" t="str">
        <f>IF(A927="","",VLOOKUP(A927,lng!A:B,2,0))</f>
        <v>fr-FR</v>
      </c>
    </row>
    <row r="928" spans="1:9" x14ac:dyDescent="0.15">
      <c r="A928" t="str">
        <f t="shared" ref="A928:B928" si="1138">A927</f>
        <v>フランス語</v>
      </c>
      <c r="B928">
        <f t="shared" si="1138"/>
        <v>12</v>
      </c>
      <c r="C928">
        <f t="shared" si="1134"/>
        <v>70</v>
      </c>
      <c r="D928">
        <f>D866</f>
        <v>21</v>
      </c>
      <c r="E928" t="str">
        <f>VLOOKUP(D928,name!A:B,2,1)</f>
        <v>Employé</v>
      </c>
      <c r="F928" t="str">
        <f t="shared" si="1132"/>
        <v>ボートですか、飛行機ですか?</v>
      </c>
      <c r="G928" t="str">
        <f t="shared" si="1137"/>
        <v>a</v>
      </c>
      <c r="H928" t="str">
        <f>VLOOKUP(D928,name!A:C,3,1)</f>
        <v>assets/icons/image008.png</v>
      </c>
      <c r="I928" t="s">
        <v>463</v>
      </c>
    </row>
    <row r="929" spans="1:9" x14ac:dyDescent="0.15">
      <c r="A929" t="str">
        <f t="shared" ref="A929:B929" si="1139">A928</f>
        <v>フランス語</v>
      </c>
      <c r="B929">
        <f t="shared" si="1139"/>
        <v>12</v>
      </c>
      <c r="C929">
        <f t="shared" si="1134"/>
        <v>71</v>
      </c>
      <c r="D929">
        <v>0</v>
      </c>
      <c r="E929" t="str">
        <f>VLOOKUP(D929,name!A:B,2,1)</f>
        <v>Player</v>
      </c>
      <c r="F929" t="str">
        <f t="shared" si="1132"/>
        <v>Par bateau ou par avion ?</v>
      </c>
      <c r="G929" t="str">
        <f t="shared" si="1137"/>
        <v>q</v>
      </c>
      <c r="H929" t="str">
        <f>VLOOKUP(D929,name!A:C,3,1)</f>
        <v>assets/icons/image326.png</v>
      </c>
      <c r="I929" t="str">
        <f>IF(A929="","",VLOOKUP(A929,lng!A:B,2,0))</f>
        <v>fr-FR</v>
      </c>
    </row>
    <row r="930" spans="1:9" x14ac:dyDescent="0.15">
      <c r="A930" t="str">
        <f t="shared" ref="A930:B930" si="1140">A929</f>
        <v>フランス語</v>
      </c>
      <c r="B930">
        <f t="shared" si="1140"/>
        <v>12</v>
      </c>
      <c r="C930">
        <f t="shared" si="1134"/>
        <v>72</v>
      </c>
      <c r="D930">
        <f>D868</f>
        <v>5</v>
      </c>
      <c r="E930" t="str">
        <f>VLOOKUP(D930,name!A:B,2,1)</f>
        <v>Minako</v>
      </c>
      <c r="F930" t="str">
        <f t="shared" si="1132"/>
        <v>飛行機で、いくらですか?</v>
      </c>
      <c r="G930" t="str">
        <f>IF(B930&lt;&gt;B1871,"e",IF(D930=0,"q","a"))</f>
        <v>e</v>
      </c>
      <c r="H930" t="str">
        <f>VLOOKUP(D930,name!A:C,3,1)</f>
        <v>assets/icons/image086.png</v>
      </c>
      <c r="I930" t="s">
        <v>463</v>
      </c>
    </row>
    <row r="931" spans="1:9" x14ac:dyDescent="0.15">
      <c r="A931" t="str">
        <f t="shared" ref="A931:B931" si="1141">A930</f>
        <v>フランス語</v>
      </c>
      <c r="B931">
        <f t="shared" si="1141"/>
        <v>12</v>
      </c>
      <c r="C931">
        <f t="shared" si="1134"/>
        <v>73</v>
      </c>
      <c r="D931">
        <v>0</v>
      </c>
      <c r="E931" t="str">
        <f>VLOOKUP(D931,name!A:B,2,1)</f>
        <v>Player</v>
      </c>
      <c r="F931" t="str">
        <f t="shared" si="1132"/>
        <v>Par avion, c'est combien ?</v>
      </c>
      <c r="G931" t="str">
        <f t="shared" ref="G931:G933" si="1142">IF(B931&lt;&gt;B932,"e",IF(D931=0,"q","a"))</f>
        <v>q</v>
      </c>
      <c r="H931" t="str">
        <f>VLOOKUP(D931,name!A:C,3,1)</f>
        <v>assets/icons/image326.png</v>
      </c>
      <c r="I931" t="str">
        <f>IF(A931="","",VLOOKUP(A931,lng!A:B,2,0))</f>
        <v>fr-FR</v>
      </c>
    </row>
    <row r="932" spans="1:9" x14ac:dyDescent="0.15">
      <c r="A932" t="str">
        <f t="shared" ref="A932:B932" si="1143">A931</f>
        <v>フランス語</v>
      </c>
      <c r="B932">
        <f t="shared" si="1143"/>
        <v>12</v>
      </c>
      <c r="C932">
        <f t="shared" si="1134"/>
        <v>74</v>
      </c>
      <c r="D932">
        <f>D870</f>
        <v>21</v>
      </c>
      <c r="E932" t="str">
        <f>VLOOKUP(D932,name!A:B,2,1)</f>
        <v>Employé</v>
      </c>
      <c r="F932" t="str">
        <f t="shared" si="1132"/>
        <v>8ユーロ 40セントです。</v>
      </c>
      <c r="G932" t="str">
        <f t="shared" si="1142"/>
        <v>a</v>
      </c>
      <c r="H932" t="str">
        <f>VLOOKUP(D932,name!A:C,3,1)</f>
        <v>assets/icons/image008.png</v>
      </c>
      <c r="I932" t="s">
        <v>463</v>
      </c>
    </row>
    <row r="933" spans="1:9" x14ac:dyDescent="0.15">
      <c r="A933" t="str">
        <f t="shared" ref="A933:B933" si="1144">A932</f>
        <v>フランス語</v>
      </c>
      <c r="B933">
        <f t="shared" si="1144"/>
        <v>12</v>
      </c>
      <c r="C933">
        <f t="shared" si="1134"/>
        <v>75</v>
      </c>
      <c r="D933">
        <v>0</v>
      </c>
      <c r="E933" t="str">
        <f>VLOOKUP(D933,name!A:B,2,1)</f>
        <v>Player</v>
      </c>
      <c r="F933" t="str">
        <f t="shared" si="1132"/>
        <v>huit euros quarante.</v>
      </c>
      <c r="G933" t="str">
        <f t="shared" si="1142"/>
        <v>q</v>
      </c>
      <c r="H933" t="str">
        <f>VLOOKUP(D933,name!A:C,3,1)</f>
        <v>assets/icons/image326.png</v>
      </c>
      <c r="I933" t="str">
        <f>IF(A933="","",VLOOKUP(A933,lng!A:B,2,0))</f>
        <v>fr-FR</v>
      </c>
    </row>
    <row r="934" spans="1:9" x14ac:dyDescent="0.15">
      <c r="A934" t="str">
        <f t="shared" ref="A934:B934" si="1145">A933</f>
        <v>フランス語</v>
      </c>
      <c r="B934">
        <f t="shared" si="1145"/>
        <v>12</v>
      </c>
      <c r="C934">
        <f t="shared" si="1134"/>
        <v>76</v>
      </c>
      <c r="D934">
        <f>D872</f>
        <v>5</v>
      </c>
      <c r="E934" t="str">
        <f>VLOOKUP(D934,name!A:B,2,1)</f>
        <v>Minako</v>
      </c>
      <c r="F934" t="str">
        <f t="shared" si="1132"/>
        <v>それでボートでは?</v>
      </c>
      <c r="G934" t="str">
        <f>IF(B934&lt;&gt;B1875,"e",IF(D934=0,"q","a"))</f>
        <v>e</v>
      </c>
      <c r="H934" t="str">
        <f>VLOOKUP(D934,name!A:C,3,1)</f>
        <v>assets/icons/image086.png</v>
      </c>
      <c r="I934" t="s">
        <v>463</v>
      </c>
    </row>
    <row r="935" spans="1:9" x14ac:dyDescent="0.15">
      <c r="A935" t="str">
        <f t="shared" ref="A935:B935" si="1146">A934</f>
        <v>フランス語</v>
      </c>
      <c r="B935">
        <f t="shared" si="1146"/>
        <v>12</v>
      </c>
      <c r="C935">
        <f t="shared" si="1134"/>
        <v>77</v>
      </c>
      <c r="D935">
        <v>0</v>
      </c>
      <c r="E935" t="str">
        <f>VLOOKUP(D935,name!A:B,2,1)</f>
        <v>Player</v>
      </c>
      <c r="F935" t="str">
        <f t="shared" si="1132"/>
        <v>Et par bateau ?</v>
      </c>
      <c r="G935" t="str">
        <f t="shared" ref="G935:G937" si="1147">IF(B935&lt;&gt;B936,"e",IF(D935=0,"q","a"))</f>
        <v>q</v>
      </c>
      <c r="H935" t="str">
        <f>VLOOKUP(D935,name!A:C,3,1)</f>
        <v>assets/icons/image326.png</v>
      </c>
      <c r="I935" t="str">
        <f>IF(A935="","",VLOOKUP(A935,lng!A:B,2,0))</f>
        <v>fr-FR</v>
      </c>
    </row>
    <row r="936" spans="1:9" x14ac:dyDescent="0.15">
      <c r="A936" t="str">
        <f t="shared" ref="A936:B936" si="1148">A935</f>
        <v>フランス語</v>
      </c>
      <c r="B936">
        <f t="shared" si="1148"/>
        <v>12</v>
      </c>
      <c r="C936">
        <f t="shared" si="1134"/>
        <v>78</v>
      </c>
      <c r="D936">
        <f>D874</f>
        <v>21</v>
      </c>
      <c r="E936" t="str">
        <f>VLOOKUP(D936,name!A:B,2,1)</f>
        <v>Employé</v>
      </c>
      <c r="F936" t="str">
        <f t="shared" si="1132"/>
        <v>飛行機よりも安いです。</v>
      </c>
      <c r="G936" t="str">
        <f t="shared" si="1147"/>
        <v>a</v>
      </c>
      <c r="H936" t="str">
        <f>VLOOKUP(D936,name!A:C,3,1)</f>
        <v>assets/icons/image008.png</v>
      </c>
      <c r="I936" t="s">
        <v>463</v>
      </c>
    </row>
    <row r="937" spans="1:9" x14ac:dyDescent="0.15">
      <c r="A937" t="str">
        <f t="shared" ref="A937:B937" si="1149">A936</f>
        <v>フランス語</v>
      </c>
      <c r="B937">
        <f t="shared" si="1149"/>
        <v>12</v>
      </c>
      <c r="C937">
        <f t="shared" si="1134"/>
        <v>79</v>
      </c>
      <c r="D937">
        <v>0</v>
      </c>
      <c r="E937" t="str">
        <f>VLOOKUP(D937,name!A:B,2,1)</f>
        <v>Player</v>
      </c>
      <c r="F937" t="str">
        <f t="shared" si="1132"/>
        <v>C'est moins cher que par avion.</v>
      </c>
      <c r="G937" t="str">
        <f t="shared" si="1147"/>
        <v>q</v>
      </c>
      <c r="H937" t="str">
        <f>VLOOKUP(D937,name!A:C,3,1)</f>
        <v>assets/icons/image326.png</v>
      </c>
      <c r="I937" t="str">
        <f>IF(A937="","",VLOOKUP(A937,lng!A:B,2,0))</f>
        <v>fr-FR</v>
      </c>
    </row>
    <row r="938" spans="1:9" x14ac:dyDescent="0.15">
      <c r="A938" t="str">
        <f t="shared" ref="A938:B938" si="1150">A937</f>
        <v>フランス語</v>
      </c>
      <c r="B938">
        <f t="shared" si="1150"/>
        <v>12</v>
      </c>
      <c r="C938">
        <f t="shared" si="1134"/>
        <v>80</v>
      </c>
      <c r="D938">
        <f>D876</f>
        <v>21</v>
      </c>
      <c r="E938" t="str">
        <f>VLOOKUP(D938,name!A:B,2,1)</f>
        <v>Employé</v>
      </c>
      <c r="F938" t="str">
        <f t="shared" si="1132"/>
        <v>5ユーロ80です。</v>
      </c>
      <c r="G938" t="str">
        <f>IF(B938&lt;&gt;B1879,"e",IF(D938=0,"q","a"))</f>
        <v>e</v>
      </c>
      <c r="H938" t="str">
        <f>VLOOKUP(D938,name!A:C,3,1)</f>
        <v>assets/icons/image008.png</v>
      </c>
      <c r="I938" t="s">
        <v>463</v>
      </c>
    </row>
    <row r="939" spans="1:9" x14ac:dyDescent="0.15">
      <c r="A939" t="str">
        <f t="shared" ref="A939:B939" si="1151">A938</f>
        <v>フランス語</v>
      </c>
      <c r="B939">
        <f t="shared" si="1151"/>
        <v>12</v>
      </c>
      <c r="C939">
        <f t="shared" si="1134"/>
        <v>81</v>
      </c>
      <c r="D939">
        <v>0</v>
      </c>
      <c r="E939" t="str">
        <f>VLOOKUP(D939,name!A:B,2,1)</f>
        <v>Player</v>
      </c>
      <c r="F939" t="str">
        <f t="shared" si="1132"/>
        <v>Ça vous fait cinq euros quatre-vingts.</v>
      </c>
      <c r="G939" t="str">
        <f t="shared" ref="G939:G941" si="1152">IF(B939&lt;&gt;B940,"e",IF(D939=0,"q","a"))</f>
        <v>q</v>
      </c>
      <c r="H939" t="str">
        <f>VLOOKUP(D939,name!A:C,3,1)</f>
        <v>assets/icons/image326.png</v>
      </c>
      <c r="I939" t="str">
        <f>IF(A939="","",VLOOKUP(A939,lng!A:B,2,0))</f>
        <v>fr-FR</v>
      </c>
    </row>
    <row r="940" spans="1:9" x14ac:dyDescent="0.15">
      <c r="A940" t="str">
        <f t="shared" ref="A940:B940" si="1153">A939</f>
        <v>フランス語</v>
      </c>
      <c r="B940">
        <f t="shared" si="1153"/>
        <v>12</v>
      </c>
      <c r="C940">
        <f t="shared" si="1134"/>
        <v>82</v>
      </c>
      <c r="D940">
        <f>D878</f>
        <v>5</v>
      </c>
      <c r="E940" t="str">
        <f>VLOOKUP(D940,name!A:B,2,1)</f>
        <v>Minako</v>
      </c>
      <c r="F940" t="str">
        <f t="shared" si="1132"/>
        <v>ボートでは安いですが、時間がかかります。</v>
      </c>
      <c r="G940" t="str">
        <f t="shared" si="1152"/>
        <v>a</v>
      </c>
      <c r="H940" t="str">
        <f>VLOOKUP(D940,name!A:C,3,1)</f>
        <v>assets/icons/image086.png</v>
      </c>
      <c r="I940" t="s">
        <v>463</v>
      </c>
    </row>
    <row r="941" spans="1:9" x14ac:dyDescent="0.15">
      <c r="A941" t="str">
        <f t="shared" ref="A941:B941" si="1154">A940</f>
        <v>フランス語</v>
      </c>
      <c r="B941">
        <f t="shared" si="1154"/>
        <v>12</v>
      </c>
      <c r="C941">
        <f t="shared" si="1134"/>
        <v>83</v>
      </c>
      <c r="D941">
        <v>0</v>
      </c>
      <c r="E941" t="str">
        <f>VLOOKUP(D941,name!A:B,2,1)</f>
        <v>Player</v>
      </c>
      <c r="F941" t="str">
        <f t="shared" si="1132"/>
        <v>Par bateau, c'est moins cher, mais ça met plus de temps.</v>
      </c>
      <c r="G941" t="str">
        <f t="shared" si="1152"/>
        <v>q</v>
      </c>
      <c r="H941" t="str">
        <f>VLOOKUP(D941,name!A:C,3,1)</f>
        <v>assets/icons/image326.png</v>
      </c>
      <c r="I941" t="str">
        <f>IF(A941="","",VLOOKUP(A941,lng!A:B,2,0))</f>
        <v>fr-FR</v>
      </c>
    </row>
    <row r="942" spans="1:9" x14ac:dyDescent="0.15">
      <c r="A942" t="str">
        <f t="shared" ref="A942:B942" si="1155">A941</f>
        <v>フランス語</v>
      </c>
      <c r="B942">
        <f t="shared" si="1155"/>
        <v>12</v>
      </c>
      <c r="C942">
        <f t="shared" si="1134"/>
        <v>84</v>
      </c>
      <c r="D942">
        <f>D880</f>
        <v>5</v>
      </c>
      <c r="E942" t="str">
        <f>VLOOKUP(D942,name!A:B,2,1)</f>
        <v>Minako</v>
      </c>
      <c r="F942" t="str">
        <f t="shared" si="1132"/>
        <v>では、飛行機でお願いします。</v>
      </c>
      <c r="G942" t="str">
        <f>IF(B942&lt;&gt;B1883,"e",IF(D942=0,"q","a"))</f>
        <v>e</v>
      </c>
      <c r="H942" t="str">
        <f>VLOOKUP(D942,name!A:C,3,1)</f>
        <v>assets/icons/image086.png</v>
      </c>
      <c r="I942" t="s">
        <v>463</v>
      </c>
    </row>
    <row r="943" spans="1:9" x14ac:dyDescent="0.15">
      <c r="A943" t="str">
        <f t="shared" ref="A943:B943" si="1156">A942</f>
        <v>フランス語</v>
      </c>
      <c r="B943">
        <f t="shared" si="1156"/>
        <v>12</v>
      </c>
      <c r="C943">
        <f t="shared" si="1134"/>
        <v>85</v>
      </c>
      <c r="D943">
        <v>0</v>
      </c>
      <c r="E943" t="str">
        <f>VLOOKUP(D943,name!A:B,2,1)</f>
        <v>Player</v>
      </c>
      <c r="F943" t="str">
        <f t="shared" si="1132"/>
        <v>Alors, par avion, s'il vous plaît.</v>
      </c>
      <c r="G943" t="str">
        <f t="shared" ref="G943:G945" si="1157">IF(B943&lt;&gt;B944,"e",IF(D943=0,"q","a"))</f>
        <v>q</v>
      </c>
      <c r="H943" t="str">
        <f>VLOOKUP(D943,name!A:C,3,1)</f>
        <v>assets/icons/image326.png</v>
      </c>
      <c r="I943" t="str">
        <f>IF(A943="","",VLOOKUP(A943,lng!A:B,2,0))</f>
        <v>fr-FR</v>
      </c>
    </row>
    <row r="944" spans="1:9" x14ac:dyDescent="0.15">
      <c r="A944" t="str">
        <f t="shared" ref="A944:B944" si="1158">A943</f>
        <v>フランス語</v>
      </c>
      <c r="B944">
        <f t="shared" si="1158"/>
        <v>12</v>
      </c>
      <c r="C944">
        <f t="shared" si="1134"/>
        <v>86</v>
      </c>
      <c r="D944">
        <f>D882</f>
        <v>21</v>
      </c>
      <c r="E944" t="str">
        <f>VLOOKUP(D944,name!A:B,2,1)</f>
        <v>Employé</v>
      </c>
      <c r="F944" t="str">
        <f t="shared" si="1132"/>
        <v>あなたは日本から来ましたか?</v>
      </c>
      <c r="G944" t="str">
        <f t="shared" si="1157"/>
        <v>a</v>
      </c>
      <c r="H944" t="str">
        <f>VLOOKUP(D944,name!A:C,3,1)</f>
        <v>assets/icons/image008.png</v>
      </c>
      <c r="I944" t="s">
        <v>463</v>
      </c>
    </row>
    <row r="945" spans="1:12" x14ac:dyDescent="0.15">
      <c r="A945" t="str">
        <f t="shared" ref="A945:B945" si="1159">A944</f>
        <v>フランス語</v>
      </c>
      <c r="B945">
        <f t="shared" si="1159"/>
        <v>12</v>
      </c>
      <c r="C945">
        <f t="shared" si="1134"/>
        <v>87</v>
      </c>
      <c r="D945">
        <v>0</v>
      </c>
      <c r="E945" t="str">
        <f>VLOOKUP(D945,name!A:B,2,1)</f>
        <v>Player</v>
      </c>
      <c r="F945" t="str">
        <f t="shared" si="1132"/>
        <v>Vous venez du Japon ?</v>
      </c>
      <c r="G945" t="str">
        <f t="shared" si="1157"/>
        <v>q</v>
      </c>
      <c r="H945" t="str">
        <f>VLOOKUP(D945,name!A:C,3,1)</f>
        <v>assets/icons/image326.png</v>
      </c>
      <c r="I945" t="str">
        <f>IF(A945="","",VLOOKUP(A945,lng!A:B,2,0))</f>
        <v>fr-FR</v>
      </c>
    </row>
    <row r="946" spans="1:12" x14ac:dyDescent="0.15">
      <c r="A946" t="str">
        <f t="shared" ref="A946:B946" si="1160">A945</f>
        <v>フランス語</v>
      </c>
      <c r="B946">
        <f t="shared" si="1160"/>
        <v>12</v>
      </c>
      <c r="C946">
        <f t="shared" si="1134"/>
        <v>88</v>
      </c>
      <c r="D946">
        <f>D884</f>
        <v>5</v>
      </c>
      <c r="E946" t="str">
        <f>VLOOKUP(D946,name!A:B,2,1)</f>
        <v>Minako</v>
      </c>
      <c r="F946" t="str">
        <f t="shared" si="1132"/>
        <v>はい、そして私は数ヶ月後に戻ります。</v>
      </c>
      <c r="G946" t="str">
        <f>IF(B946&lt;&gt;B1887,"e",IF(D946=0,"q","a"))</f>
        <v>e</v>
      </c>
      <c r="H946" t="str">
        <f>VLOOKUP(D946,name!A:C,3,1)</f>
        <v>assets/icons/image086.png</v>
      </c>
      <c r="I946" t="s">
        <v>463</v>
      </c>
    </row>
    <row r="947" spans="1:12" x14ac:dyDescent="0.15">
      <c r="A947" t="str">
        <f t="shared" ref="A947:B947" si="1161">A946</f>
        <v>フランス語</v>
      </c>
      <c r="B947">
        <f t="shared" si="1161"/>
        <v>12</v>
      </c>
      <c r="C947">
        <f t="shared" si="1134"/>
        <v>89</v>
      </c>
      <c r="D947">
        <v>0</v>
      </c>
      <c r="E947" t="str">
        <f>VLOOKUP(D947,name!A:B,2,1)</f>
        <v>Player</v>
      </c>
      <c r="F947" t="str">
        <f t="shared" si="1132"/>
        <v>Oui, et j'y retourne dans quelques mois.</v>
      </c>
      <c r="G947" t="str">
        <f t="shared" ref="G947:G948" si="1162">IF(B947&lt;&gt;B948,"e",IF(D947=0,"q","a"))</f>
        <v>q</v>
      </c>
      <c r="H947" t="str">
        <f>VLOOKUP(D947,name!A:C,3,1)</f>
        <v>assets/icons/image326.png</v>
      </c>
      <c r="I947" t="str">
        <f>IF(A947="","",VLOOKUP(A947,lng!A:B,2,0))</f>
        <v>fr-FR</v>
      </c>
    </row>
    <row r="948" spans="1:12" x14ac:dyDescent="0.15">
      <c r="A948" t="str">
        <f t="shared" ref="A948:B948" si="1163">A947</f>
        <v>フランス語</v>
      </c>
      <c r="B948">
        <f t="shared" si="1163"/>
        <v>12</v>
      </c>
      <c r="C948">
        <f t="shared" si="1134"/>
        <v>90</v>
      </c>
      <c r="D948">
        <v>1</v>
      </c>
      <c r="E948" t="str">
        <f>VLOOKUP(D948,name!A:B,2,1)</f>
        <v>Navigator</v>
      </c>
      <c r="F948" t="str">
        <f>"とても良くできました。レッスン"&amp;B948&amp;"はこれで終了です。"</f>
        <v>とても良くできました。レッスン12はこれで終了です。</v>
      </c>
      <c r="G948" t="str">
        <f t="shared" si="1162"/>
        <v>e</v>
      </c>
      <c r="H948" t="str">
        <f>VLOOKUP(D948,name!A:C,3,1)</f>
        <v>assets/icons/image014.png</v>
      </c>
      <c r="I948" t="s">
        <v>463</v>
      </c>
    </row>
    <row r="949" spans="1:12" x14ac:dyDescent="0.15">
      <c r="A949" t="str">
        <f>A948</f>
        <v>フランス語</v>
      </c>
      <c r="B949">
        <f>B948+1</f>
        <v>13</v>
      </c>
      <c r="C949">
        <v>1</v>
      </c>
      <c r="D949">
        <v>1</v>
      </c>
      <c r="E949" t="str">
        <f>VLOOKUP(D949,name!A:B,2,1)</f>
        <v>Navigator</v>
      </c>
      <c r="F949" t="s">
        <v>683</v>
      </c>
      <c r="G949" t="str">
        <f>IF(B949&lt;&gt;B1890,"e",IF(D949=0,"q","a"))</f>
        <v>e</v>
      </c>
      <c r="H949" t="str">
        <f>VLOOKUP(D949,name!A:C,3,1)</f>
        <v>assets/icons/image014.png</v>
      </c>
      <c r="I949" t="str">
        <f>IF(A949="","",VLOOKUP(A949,lng!A:B,2,0))</f>
        <v>fr-FR</v>
      </c>
    </row>
    <row r="950" spans="1:12" x14ac:dyDescent="0.15">
      <c r="A950" t="str">
        <f t="shared" ref="A950:B965" si="1164">A949</f>
        <v>フランス語</v>
      </c>
      <c r="B950">
        <f>B949</f>
        <v>13</v>
      </c>
      <c r="C950">
        <f>C949+1</f>
        <v>2</v>
      </c>
      <c r="D950">
        <v>1</v>
      </c>
      <c r="E950" t="str">
        <f>VLOOKUP(D950,name!A:B,2,1)</f>
        <v>Navigator</v>
      </c>
      <c r="F950" t="str">
        <f>"レッスン"&amp;B950</f>
        <v>レッスン13</v>
      </c>
      <c r="G950" t="str">
        <f t="shared" ref="G950:G951" si="1165">IF(B950&lt;&gt;B951,"e",IF(D950=0,"q","a"))</f>
        <v>a</v>
      </c>
      <c r="H950" t="str">
        <f>VLOOKUP(D950,name!A:C,3,1)</f>
        <v>assets/icons/image014.png</v>
      </c>
      <c r="I950" t="s">
        <v>463</v>
      </c>
    </row>
    <row r="951" spans="1:12" ht="40.5" x14ac:dyDescent="0.15">
      <c r="A951" t="str">
        <f t="shared" si="1164"/>
        <v>フランス語</v>
      </c>
      <c r="B951">
        <f t="shared" si="1164"/>
        <v>13</v>
      </c>
      <c r="C951">
        <f t="shared" ref="C951:C1014" si="1166">C950+1</f>
        <v>3</v>
      </c>
      <c r="D951">
        <v>1</v>
      </c>
      <c r="E951" t="str">
        <f>VLOOKUP(D951,name!A:B,2,1)</f>
        <v>Navigator</v>
      </c>
      <c r="F951" s="1" t="str">
        <f>"まずは対話文を流します。その後に、日本語と"&amp;A951&amp;"を一文ずつ流すので"&amp;A951&amp;"を真似して下さい。最後に日本語のみを流すので、"&amp;A951&amp;"で答えてください。"</f>
        <v>まずは対話文を流します。その後に、日本語とフランス語を一文ずつ流すのでフランス語を真似して下さい。最後に日本語のみを流すので、フランス語で答えてください。</v>
      </c>
      <c r="G951" t="str">
        <f t="shared" si="1165"/>
        <v>a</v>
      </c>
      <c r="H951" t="str">
        <f>VLOOKUP(D951,name!A:C,3,1)</f>
        <v>assets/icons/image014.png</v>
      </c>
      <c r="I951" t="s">
        <v>463</v>
      </c>
      <c r="L951" s="1"/>
    </row>
    <row r="952" spans="1:12" x14ac:dyDescent="0.15">
      <c r="A952" t="str">
        <f t="shared" si="1164"/>
        <v>フランス語</v>
      </c>
      <c r="B952">
        <f t="shared" si="1164"/>
        <v>13</v>
      </c>
      <c r="C952">
        <f t="shared" si="1166"/>
        <v>4</v>
      </c>
      <c r="D952">
        <f>D953</f>
        <v>6</v>
      </c>
      <c r="E952" t="str">
        <f>VLOOKUP(D952,name!A:B,2,1)</f>
        <v>Céline</v>
      </c>
      <c r="F952" t="s">
        <v>697</v>
      </c>
      <c r="G952" t="str">
        <f>IF(B952&lt;&gt;B1893,"e",IF(D952=0,"q","a"))</f>
        <v>e</v>
      </c>
      <c r="H952" t="str">
        <f>VLOOKUP(D952,name!A:C,3,1)</f>
        <v>assets/icons/image078.png</v>
      </c>
      <c r="I952" t="s">
        <v>463</v>
      </c>
    </row>
    <row r="953" spans="1:12" x14ac:dyDescent="0.15">
      <c r="A953" t="str">
        <f t="shared" si="1164"/>
        <v>フランス語</v>
      </c>
      <c r="B953">
        <f t="shared" si="1164"/>
        <v>13</v>
      </c>
      <c r="C953">
        <f t="shared" si="1166"/>
        <v>5</v>
      </c>
      <c r="D953">
        <v>6</v>
      </c>
      <c r="E953" t="str">
        <f>VLOOKUP(D953,name!A:B,2,1)</f>
        <v>Céline</v>
      </c>
      <c r="F953" t="s">
        <v>684</v>
      </c>
      <c r="G953" t="str">
        <f t="shared" ref="G953:G954" si="1167">IF(B953&lt;&gt;B954,"e",IF(D953=0,"q","a"))</f>
        <v>a</v>
      </c>
      <c r="H953" t="str">
        <f>VLOOKUP(D953,name!A:C,3,1)</f>
        <v>assets/icons/image078.png</v>
      </c>
      <c r="I953" t="str">
        <f>IF(A953="","",VLOOKUP(A953,lng!A:B,2,0))</f>
        <v>fr-FR</v>
      </c>
    </row>
    <row r="954" spans="1:12" x14ac:dyDescent="0.15">
      <c r="A954" t="str">
        <f t="shared" si="1164"/>
        <v>フランス語</v>
      </c>
      <c r="B954">
        <f t="shared" si="1164"/>
        <v>13</v>
      </c>
      <c r="C954">
        <f t="shared" si="1166"/>
        <v>6</v>
      </c>
      <c r="D954">
        <f t="shared" ref="D954:D980" si="1168">D955</f>
        <v>5</v>
      </c>
      <c r="E954" t="str">
        <f>VLOOKUP(D954,name!A:B,2,1)</f>
        <v>Minako</v>
      </c>
      <c r="F954" t="s">
        <v>698</v>
      </c>
      <c r="G954" t="str">
        <f t="shared" si="1167"/>
        <v>a</v>
      </c>
      <c r="H954" t="str">
        <f>VLOOKUP(D954,name!A:C,3,1)</f>
        <v>assets/icons/image086.png</v>
      </c>
      <c r="I954" t="s">
        <v>463</v>
      </c>
    </row>
    <row r="955" spans="1:12" x14ac:dyDescent="0.15">
      <c r="A955" t="str">
        <f t="shared" si="1164"/>
        <v>フランス語</v>
      </c>
      <c r="B955">
        <f t="shared" si="1164"/>
        <v>13</v>
      </c>
      <c r="C955">
        <f t="shared" si="1166"/>
        <v>7</v>
      </c>
      <c r="D955">
        <v>5</v>
      </c>
      <c r="E955" t="str">
        <f>VLOOKUP(D955,name!A:B,2,1)</f>
        <v>Minako</v>
      </c>
      <c r="F955" t="s">
        <v>685</v>
      </c>
      <c r="G955" t="str">
        <f>IF(B955&lt;&gt;B1896,"e",IF(D955=0,"q","a"))</f>
        <v>e</v>
      </c>
      <c r="H955" t="str">
        <f>VLOOKUP(D955,name!A:C,3,1)</f>
        <v>assets/icons/image086.png</v>
      </c>
      <c r="I955" t="str">
        <f>IF(A955="","",VLOOKUP(A955,lng!A:B,2,0))</f>
        <v>fr-FR</v>
      </c>
    </row>
    <row r="956" spans="1:12" x14ac:dyDescent="0.15">
      <c r="A956" t="str">
        <f t="shared" si="1164"/>
        <v>フランス語</v>
      </c>
      <c r="B956">
        <f t="shared" si="1164"/>
        <v>13</v>
      </c>
      <c r="C956">
        <f t="shared" si="1166"/>
        <v>8</v>
      </c>
      <c r="D956">
        <f t="shared" si="1168"/>
        <v>6</v>
      </c>
      <c r="E956" t="str">
        <f>VLOOKUP(D956,name!A:B,2,1)</f>
        <v>Céline</v>
      </c>
      <c r="F956" t="s">
        <v>700</v>
      </c>
      <c r="G956" t="str">
        <f t="shared" ref="G956:G957" si="1169">IF(B956&lt;&gt;B957,"e",IF(D956=0,"q","a"))</f>
        <v>a</v>
      </c>
      <c r="H956" t="str">
        <f>VLOOKUP(D956,name!A:C,3,1)</f>
        <v>assets/icons/image078.png</v>
      </c>
      <c r="I956" t="s">
        <v>463</v>
      </c>
    </row>
    <row r="957" spans="1:12" x14ac:dyDescent="0.15">
      <c r="A957" t="str">
        <f t="shared" si="1164"/>
        <v>フランス語</v>
      </c>
      <c r="B957">
        <f t="shared" si="1164"/>
        <v>13</v>
      </c>
      <c r="C957">
        <f t="shared" si="1166"/>
        <v>9</v>
      </c>
      <c r="D957">
        <v>6</v>
      </c>
      <c r="E957" t="str">
        <f>VLOOKUP(D957,name!A:B,2,1)</f>
        <v>Céline</v>
      </c>
      <c r="F957" t="s">
        <v>699</v>
      </c>
      <c r="G957" t="str">
        <f t="shared" si="1169"/>
        <v>a</v>
      </c>
      <c r="H957" t="str">
        <f>VLOOKUP(D957,name!A:C,3,1)</f>
        <v>assets/icons/image078.png</v>
      </c>
      <c r="I957" t="str">
        <f>IF(A957="","",VLOOKUP(A957,lng!A:B,2,0))</f>
        <v>fr-FR</v>
      </c>
    </row>
    <row r="958" spans="1:12" x14ac:dyDescent="0.15">
      <c r="A958" t="str">
        <f t="shared" si="1164"/>
        <v>フランス語</v>
      </c>
      <c r="B958">
        <f t="shared" si="1164"/>
        <v>13</v>
      </c>
      <c r="C958">
        <f t="shared" si="1166"/>
        <v>10</v>
      </c>
      <c r="D958">
        <f t="shared" si="1168"/>
        <v>5</v>
      </c>
      <c r="E958" t="str">
        <f>VLOOKUP(D958,name!A:B,2,1)</f>
        <v>Minako</v>
      </c>
      <c r="F958" t="s">
        <v>701</v>
      </c>
      <c r="G958" t="str">
        <f>IF(B958&lt;&gt;B1899,"e",IF(D958=0,"q","a"))</f>
        <v>e</v>
      </c>
      <c r="H958" t="str">
        <f>VLOOKUP(D958,name!A:C,3,1)</f>
        <v>assets/icons/image086.png</v>
      </c>
      <c r="I958" t="s">
        <v>463</v>
      </c>
    </row>
    <row r="959" spans="1:12" x14ac:dyDescent="0.15">
      <c r="A959" t="str">
        <f t="shared" si="1164"/>
        <v>フランス語</v>
      </c>
      <c r="B959">
        <f t="shared" si="1164"/>
        <v>13</v>
      </c>
      <c r="C959">
        <f t="shared" si="1166"/>
        <v>11</v>
      </c>
      <c r="D959">
        <f t="shared" si="1168"/>
        <v>5</v>
      </c>
      <c r="E959" t="str">
        <f>VLOOKUP(D959,name!A:B,2,1)</f>
        <v>Minako</v>
      </c>
      <c r="F959" t="s">
        <v>686</v>
      </c>
      <c r="G959" t="str">
        <f t="shared" ref="G959:G960" si="1170">IF(B959&lt;&gt;B960,"e",IF(D959=0,"q","a"))</f>
        <v>a</v>
      </c>
      <c r="H959" t="str">
        <f>VLOOKUP(D959,name!A:C,3,1)</f>
        <v>assets/icons/image086.png</v>
      </c>
      <c r="I959" t="str">
        <f>IF(A959="","",VLOOKUP(A959,lng!A:B,2,0))</f>
        <v>fr-FR</v>
      </c>
    </row>
    <row r="960" spans="1:12" x14ac:dyDescent="0.15">
      <c r="A960" t="str">
        <f t="shared" si="1164"/>
        <v>フランス語</v>
      </c>
      <c r="B960">
        <f t="shared" si="1164"/>
        <v>13</v>
      </c>
      <c r="C960">
        <f t="shared" si="1166"/>
        <v>12</v>
      </c>
      <c r="D960">
        <f t="shared" si="1168"/>
        <v>5</v>
      </c>
      <c r="E960" t="str">
        <f>VLOOKUP(D960,name!A:B,2,1)</f>
        <v>Minako</v>
      </c>
      <c r="F960" t="s">
        <v>702</v>
      </c>
      <c r="G960" t="str">
        <f t="shared" si="1170"/>
        <v>a</v>
      </c>
      <c r="H960" t="str">
        <f>VLOOKUP(D960,name!A:C,3,1)</f>
        <v>assets/icons/image086.png</v>
      </c>
      <c r="I960" t="s">
        <v>463</v>
      </c>
    </row>
    <row r="961" spans="1:9" x14ac:dyDescent="0.15">
      <c r="A961" t="str">
        <f t="shared" si="1164"/>
        <v>フランス語</v>
      </c>
      <c r="B961">
        <f t="shared" si="1164"/>
        <v>13</v>
      </c>
      <c r="C961">
        <f t="shared" si="1166"/>
        <v>13</v>
      </c>
      <c r="D961">
        <f t="shared" si="1168"/>
        <v>5</v>
      </c>
      <c r="E961" t="str">
        <f>VLOOKUP(D961,name!A:B,2,1)</f>
        <v>Minako</v>
      </c>
      <c r="F961" t="s">
        <v>687</v>
      </c>
      <c r="G961" t="str">
        <f>IF(B961&lt;&gt;B1902,"e",IF(D961=0,"q","a"))</f>
        <v>e</v>
      </c>
      <c r="H961" t="str">
        <f>VLOOKUP(D961,name!A:C,3,1)</f>
        <v>assets/icons/image086.png</v>
      </c>
      <c r="I961" t="str">
        <f>IF(A961="","",VLOOKUP(A961,lng!A:B,2,0))</f>
        <v>fr-FR</v>
      </c>
    </row>
    <row r="962" spans="1:9" x14ac:dyDescent="0.15">
      <c r="A962" t="str">
        <f t="shared" si="1164"/>
        <v>フランス語</v>
      </c>
      <c r="B962">
        <f t="shared" si="1164"/>
        <v>13</v>
      </c>
      <c r="C962">
        <f t="shared" si="1166"/>
        <v>14</v>
      </c>
      <c r="D962">
        <f t="shared" si="1168"/>
        <v>5</v>
      </c>
      <c r="E962" t="str">
        <f>VLOOKUP(D962,name!A:B,2,1)</f>
        <v>Minako</v>
      </c>
      <c r="F962" t="s">
        <v>703</v>
      </c>
      <c r="G962" t="str">
        <f t="shared" ref="G962:G963" si="1171">IF(B962&lt;&gt;B963,"e",IF(D962=0,"q","a"))</f>
        <v>a</v>
      </c>
      <c r="H962" t="str">
        <f>VLOOKUP(D962,name!A:C,3,1)</f>
        <v>assets/icons/image086.png</v>
      </c>
      <c r="I962" t="s">
        <v>463</v>
      </c>
    </row>
    <row r="963" spans="1:9" x14ac:dyDescent="0.15">
      <c r="A963" t="str">
        <f t="shared" si="1164"/>
        <v>フランス語</v>
      </c>
      <c r="B963">
        <f t="shared" si="1164"/>
        <v>13</v>
      </c>
      <c r="C963">
        <f t="shared" si="1166"/>
        <v>15</v>
      </c>
      <c r="D963">
        <v>5</v>
      </c>
      <c r="E963" t="str">
        <f>VLOOKUP(D963,name!A:B,2,1)</f>
        <v>Minako</v>
      </c>
      <c r="F963" t="s">
        <v>688</v>
      </c>
      <c r="G963" t="str">
        <f t="shared" si="1171"/>
        <v>a</v>
      </c>
      <c r="H963" t="str">
        <f>VLOOKUP(D963,name!A:C,3,1)</f>
        <v>assets/icons/image086.png</v>
      </c>
      <c r="I963" t="str">
        <f>IF(A963="","",VLOOKUP(A963,lng!A:B,2,0))</f>
        <v>fr-FR</v>
      </c>
    </row>
    <row r="964" spans="1:9" x14ac:dyDescent="0.15">
      <c r="A964" t="str">
        <f t="shared" si="1164"/>
        <v>フランス語</v>
      </c>
      <c r="B964">
        <f t="shared" si="1164"/>
        <v>13</v>
      </c>
      <c r="C964">
        <f t="shared" si="1166"/>
        <v>16</v>
      </c>
      <c r="D964">
        <f t="shared" si="1168"/>
        <v>6</v>
      </c>
      <c r="E964" t="str">
        <f>VLOOKUP(D964,name!A:B,2,1)</f>
        <v>Céline</v>
      </c>
      <c r="F964" t="s">
        <v>704</v>
      </c>
      <c r="G964" t="str">
        <f>IF(B964&lt;&gt;B1905,"e",IF(D964=0,"q","a"))</f>
        <v>e</v>
      </c>
      <c r="H964" t="str">
        <f>VLOOKUP(D964,name!A:C,3,1)</f>
        <v>assets/icons/image078.png</v>
      </c>
      <c r="I964" t="s">
        <v>463</v>
      </c>
    </row>
    <row r="965" spans="1:9" x14ac:dyDescent="0.15">
      <c r="A965" t="str">
        <f t="shared" si="1164"/>
        <v>フランス語</v>
      </c>
      <c r="B965">
        <f t="shared" si="1164"/>
        <v>13</v>
      </c>
      <c r="C965">
        <f t="shared" si="1166"/>
        <v>17</v>
      </c>
      <c r="D965">
        <v>6</v>
      </c>
      <c r="E965" t="str">
        <f>VLOOKUP(D965,name!A:B,2,1)</f>
        <v>Céline</v>
      </c>
      <c r="F965" t="s">
        <v>706</v>
      </c>
      <c r="G965" t="str">
        <f t="shared" ref="G965:G966" si="1172">IF(B965&lt;&gt;B966,"e",IF(D965=0,"q","a"))</f>
        <v>a</v>
      </c>
      <c r="H965" t="str">
        <f>VLOOKUP(D965,name!A:C,3,1)</f>
        <v>assets/icons/image078.png</v>
      </c>
      <c r="I965" t="str">
        <f>IF(A965="","",VLOOKUP(A965,lng!A:B,2,0))</f>
        <v>fr-FR</v>
      </c>
    </row>
    <row r="966" spans="1:9" x14ac:dyDescent="0.15">
      <c r="A966" t="str">
        <f t="shared" ref="A966:B981" si="1173">A965</f>
        <v>フランス語</v>
      </c>
      <c r="B966">
        <f t="shared" si="1173"/>
        <v>13</v>
      </c>
      <c r="C966">
        <f t="shared" si="1166"/>
        <v>18</v>
      </c>
      <c r="D966">
        <f t="shared" si="1168"/>
        <v>5</v>
      </c>
      <c r="E966" t="str">
        <f>VLOOKUP(D966,name!A:B,2,1)</f>
        <v>Minako</v>
      </c>
      <c r="F966" t="s">
        <v>705</v>
      </c>
      <c r="G966" t="str">
        <f t="shared" si="1172"/>
        <v>a</v>
      </c>
      <c r="H966" t="str">
        <f>VLOOKUP(D966,name!A:C,3,1)</f>
        <v>assets/icons/image086.png</v>
      </c>
      <c r="I966" t="s">
        <v>463</v>
      </c>
    </row>
    <row r="967" spans="1:9" x14ac:dyDescent="0.15">
      <c r="A967" t="str">
        <f t="shared" si="1173"/>
        <v>フランス語</v>
      </c>
      <c r="B967">
        <f t="shared" si="1173"/>
        <v>13</v>
      </c>
      <c r="C967">
        <f t="shared" si="1166"/>
        <v>19</v>
      </c>
      <c r="D967">
        <f t="shared" si="1168"/>
        <v>5</v>
      </c>
      <c r="E967" t="str">
        <f>VLOOKUP(D967,name!A:B,2,1)</f>
        <v>Minako</v>
      </c>
      <c r="F967" t="s">
        <v>689</v>
      </c>
      <c r="G967" t="str">
        <f>IF(B967&lt;&gt;B1908,"e",IF(D967=0,"q","a"))</f>
        <v>e</v>
      </c>
      <c r="H967" t="str">
        <f>VLOOKUP(D967,name!A:C,3,1)</f>
        <v>assets/icons/image086.png</v>
      </c>
      <c r="I967" t="str">
        <f>IF(A967="","",VLOOKUP(A967,lng!A:B,2,0))</f>
        <v>fr-FR</v>
      </c>
    </row>
    <row r="968" spans="1:9" x14ac:dyDescent="0.15">
      <c r="A968" t="str">
        <f t="shared" si="1173"/>
        <v>フランス語</v>
      </c>
      <c r="B968">
        <f t="shared" si="1173"/>
        <v>13</v>
      </c>
      <c r="C968">
        <f t="shared" si="1166"/>
        <v>20</v>
      </c>
      <c r="D968">
        <f t="shared" si="1168"/>
        <v>5</v>
      </c>
      <c r="E968" t="str">
        <f>VLOOKUP(D968,name!A:B,2,1)</f>
        <v>Minako</v>
      </c>
      <c r="F968" t="s">
        <v>707</v>
      </c>
      <c r="G968" t="str">
        <f t="shared" ref="G968:G969" si="1174">IF(B968&lt;&gt;B969,"e",IF(D968=0,"q","a"))</f>
        <v>a</v>
      </c>
      <c r="H968" t="str">
        <f>VLOOKUP(D968,name!A:C,3,1)</f>
        <v>assets/icons/image086.png</v>
      </c>
      <c r="I968" t="s">
        <v>463</v>
      </c>
    </row>
    <row r="969" spans="1:9" x14ac:dyDescent="0.15">
      <c r="A969" t="str">
        <f t="shared" si="1173"/>
        <v>フランス語</v>
      </c>
      <c r="B969">
        <f t="shared" si="1173"/>
        <v>13</v>
      </c>
      <c r="C969">
        <f t="shared" si="1166"/>
        <v>21</v>
      </c>
      <c r="D969">
        <v>5</v>
      </c>
      <c r="E969" t="str">
        <f>VLOOKUP(D969,name!A:B,2,1)</f>
        <v>Minako</v>
      </c>
      <c r="F969" t="s">
        <v>690</v>
      </c>
      <c r="G969" t="str">
        <f t="shared" si="1174"/>
        <v>a</v>
      </c>
      <c r="H969" t="str">
        <f>VLOOKUP(D969,name!A:C,3,1)</f>
        <v>assets/icons/image086.png</v>
      </c>
      <c r="I969" t="str">
        <f>IF(A969="","",VLOOKUP(A969,lng!A:B,2,0))</f>
        <v>fr-FR</v>
      </c>
    </row>
    <row r="970" spans="1:9" x14ac:dyDescent="0.15">
      <c r="A970" t="str">
        <f t="shared" si="1173"/>
        <v>フランス語</v>
      </c>
      <c r="B970">
        <f t="shared" si="1173"/>
        <v>13</v>
      </c>
      <c r="C970">
        <f t="shared" si="1166"/>
        <v>22</v>
      </c>
      <c r="D970">
        <f t="shared" si="1168"/>
        <v>6</v>
      </c>
      <c r="E970" t="str">
        <f>VLOOKUP(D970,name!A:B,2,1)</f>
        <v>Céline</v>
      </c>
      <c r="F970" t="s">
        <v>708</v>
      </c>
      <c r="G970" t="str">
        <f>IF(B970&lt;&gt;B1911,"e",IF(D970=0,"q","a"))</f>
        <v>e</v>
      </c>
      <c r="H970" t="str">
        <f>VLOOKUP(D970,name!A:C,3,1)</f>
        <v>assets/icons/image078.png</v>
      </c>
      <c r="I970" t="s">
        <v>463</v>
      </c>
    </row>
    <row r="971" spans="1:9" x14ac:dyDescent="0.15">
      <c r="A971" t="str">
        <f t="shared" si="1173"/>
        <v>フランス語</v>
      </c>
      <c r="B971">
        <f t="shared" si="1173"/>
        <v>13</v>
      </c>
      <c r="C971">
        <f t="shared" si="1166"/>
        <v>23</v>
      </c>
      <c r="D971">
        <v>6</v>
      </c>
      <c r="E971" t="str">
        <f>VLOOKUP(D971,name!A:B,2,1)</f>
        <v>Céline</v>
      </c>
      <c r="F971" t="s">
        <v>691</v>
      </c>
      <c r="G971" t="str">
        <f t="shared" ref="G971:G972" si="1175">IF(B971&lt;&gt;B972,"e",IF(D971=0,"q","a"))</f>
        <v>a</v>
      </c>
      <c r="H971" t="str">
        <f>VLOOKUP(D971,name!A:C,3,1)</f>
        <v>assets/icons/image078.png</v>
      </c>
      <c r="I971" t="str">
        <f>IF(A971="","",VLOOKUP(A971,lng!A:B,2,0))</f>
        <v>fr-FR</v>
      </c>
    </row>
    <row r="972" spans="1:9" x14ac:dyDescent="0.15">
      <c r="A972" t="str">
        <f t="shared" si="1173"/>
        <v>フランス語</v>
      </c>
      <c r="B972">
        <f t="shared" si="1173"/>
        <v>13</v>
      </c>
      <c r="C972">
        <f t="shared" si="1166"/>
        <v>24</v>
      </c>
      <c r="D972">
        <f t="shared" si="1168"/>
        <v>5</v>
      </c>
      <c r="E972" t="str">
        <f>VLOOKUP(D972,name!A:B,2,1)</f>
        <v>Minako</v>
      </c>
      <c r="F972" t="s">
        <v>709</v>
      </c>
      <c r="G972" t="str">
        <f t="shared" si="1175"/>
        <v>a</v>
      </c>
      <c r="H972" t="str">
        <f>VLOOKUP(D972,name!A:C,3,1)</f>
        <v>assets/icons/image086.png</v>
      </c>
      <c r="I972" t="s">
        <v>463</v>
      </c>
    </row>
    <row r="973" spans="1:9" x14ac:dyDescent="0.15">
      <c r="A973" t="str">
        <f t="shared" si="1173"/>
        <v>フランス語</v>
      </c>
      <c r="B973">
        <f t="shared" si="1173"/>
        <v>13</v>
      </c>
      <c r="C973">
        <f t="shared" si="1166"/>
        <v>25</v>
      </c>
      <c r="D973">
        <v>5</v>
      </c>
      <c r="E973" t="str">
        <f>VLOOKUP(D973,name!A:B,2,1)</f>
        <v>Minako</v>
      </c>
      <c r="F973" t="s">
        <v>692</v>
      </c>
      <c r="G973" t="str">
        <f>IF(B973&lt;&gt;B1914,"e",IF(D973=0,"q","a"))</f>
        <v>e</v>
      </c>
      <c r="H973" t="str">
        <f>VLOOKUP(D973,name!A:C,3,1)</f>
        <v>assets/icons/image086.png</v>
      </c>
      <c r="I973" t="str">
        <f>IF(A973="","",VLOOKUP(A973,lng!A:B,2,0))</f>
        <v>fr-FR</v>
      </c>
    </row>
    <row r="974" spans="1:9" x14ac:dyDescent="0.15">
      <c r="A974" t="str">
        <f t="shared" si="1173"/>
        <v>フランス語</v>
      </c>
      <c r="B974">
        <f t="shared" si="1173"/>
        <v>13</v>
      </c>
      <c r="C974">
        <f t="shared" si="1166"/>
        <v>26</v>
      </c>
      <c r="D974">
        <f t="shared" si="1168"/>
        <v>6</v>
      </c>
      <c r="E974" t="str">
        <f>VLOOKUP(D974,name!A:B,2,1)</f>
        <v>Céline</v>
      </c>
      <c r="F974" t="s">
        <v>710</v>
      </c>
      <c r="G974" t="str">
        <f t="shared" ref="G974:G975" si="1176">IF(B974&lt;&gt;B975,"e",IF(D974=0,"q","a"))</f>
        <v>a</v>
      </c>
      <c r="H974" t="str">
        <f>VLOOKUP(D974,name!A:C,3,1)</f>
        <v>assets/icons/image078.png</v>
      </c>
      <c r="I974" t="s">
        <v>463</v>
      </c>
    </row>
    <row r="975" spans="1:9" x14ac:dyDescent="0.15">
      <c r="A975" t="str">
        <f t="shared" si="1173"/>
        <v>フランス語</v>
      </c>
      <c r="B975">
        <f t="shared" si="1173"/>
        <v>13</v>
      </c>
      <c r="C975">
        <f t="shared" si="1166"/>
        <v>27</v>
      </c>
      <c r="D975">
        <f t="shared" si="1168"/>
        <v>6</v>
      </c>
      <c r="E975" t="str">
        <f>VLOOKUP(D975,name!A:B,2,1)</f>
        <v>Céline</v>
      </c>
      <c r="F975" t="s">
        <v>693</v>
      </c>
      <c r="G975" t="str">
        <f t="shared" si="1176"/>
        <v>a</v>
      </c>
      <c r="H975" t="str">
        <f>VLOOKUP(D975,name!A:C,3,1)</f>
        <v>assets/icons/image078.png</v>
      </c>
      <c r="I975" t="str">
        <f>IF(A975="","",VLOOKUP(A975,lng!A:B,2,0))</f>
        <v>fr-FR</v>
      </c>
    </row>
    <row r="976" spans="1:9" x14ac:dyDescent="0.15">
      <c r="A976" t="str">
        <f t="shared" si="1173"/>
        <v>フランス語</v>
      </c>
      <c r="B976">
        <f t="shared" si="1173"/>
        <v>13</v>
      </c>
      <c r="C976">
        <f t="shared" si="1166"/>
        <v>28</v>
      </c>
      <c r="D976">
        <f t="shared" si="1168"/>
        <v>6</v>
      </c>
      <c r="E976" t="str">
        <f>VLOOKUP(D976,name!A:B,2,1)</f>
        <v>Céline</v>
      </c>
      <c r="F976" t="s">
        <v>711</v>
      </c>
      <c r="G976" t="str">
        <f>IF(B976&lt;&gt;B1917,"e",IF(D976=0,"q","a"))</f>
        <v>e</v>
      </c>
      <c r="H976" t="str">
        <f>VLOOKUP(D976,name!A:C,3,1)</f>
        <v>assets/icons/image078.png</v>
      </c>
      <c r="I976" t="s">
        <v>463</v>
      </c>
    </row>
    <row r="977" spans="1:9" x14ac:dyDescent="0.15">
      <c r="A977" t="str">
        <f t="shared" si="1173"/>
        <v>フランス語</v>
      </c>
      <c r="B977">
        <f t="shared" si="1173"/>
        <v>13</v>
      </c>
      <c r="C977">
        <f t="shared" si="1166"/>
        <v>29</v>
      </c>
      <c r="D977">
        <f t="shared" si="1168"/>
        <v>6</v>
      </c>
      <c r="E977" t="str">
        <f>VLOOKUP(D977,name!A:B,2,1)</f>
        <v>Céline</v>
      </c>
      <c r="F977" t="s">
        <v>694</v>
      </c>
      <c r="G977" t="str">
        <f t="shared" ref="G977:G978" si="1177">IF(B977&lt;&gt;B978,"e",IF(D977=0,"q","a"))</f>
        <v>a</v>
      </c>
      <c r="H977" t="str">
        <f>VLOOKUP(D977,name!A:C,3,1)</f>
        <v>assets/icons/image078.png</v>
      </c>
      <c r="I977" t="str">
        <f>IF(A977="","",VLOOKUP(A977,lng!A:B,2,0))</f>
        <v>fr-FR</v>
      </c>
    </row>
    <row r="978" spans="1:9" x14ac:dyDescent="0.15">
      <c r="A978" t="str">
        <f t="shared" si="1173"/>
        <v>フランス語</v>
      </c>
      <c r="B978">
        <f t="shared" si="1173"/>
        <v>13</v>
      </c>
      <c r="C978">
        <f t="shared" si="1166"/>
        <v>30</v>
      </c>
      <c r="D978">
        <f t="shared" si="1168"/>
        <v>6</v>
      </c>
      <c r="E978" t="str">
        <f>VLOOKUP(D978,name!A:B,2,1)</f>
        <v>Céline</v>
      </c>
      <c r="F978" t="s">
        <v>712</v>
      </c>
      <c r="G978" t="str">
        <f t="shared" si="1177"/>
        <v>a</v>
      </c>
      <c r="H978" t="str">
        <f>VLOOKUP(D978,name!A:C,3,1)</f>
        <v>assets/icons/image078.png</v>
      </c>
      <c r="I978" t="s">
        <v>463</v>
      </c>
    </row>
    <row r="979" spans="1:9" x14ac:dyDescent="0.15">
      <c r="A979" t="str">
        <f t="shared" si="1173"/>
        <v>フランス語</v>
      </c>
      <c r="B979">
        <f t="shared" si="1173"/>
        <v>13</v>
      </c>
      <c r="C979">
        <f t="shared" si="1166"/>
        <v>31</v>
      </c>
      <c r="D979">
        <v>6</v>
      </c>
      <c r="E979" t="str">
        <f>VLOOKUP(D979,name!A:B,2,1)</f>
        <v>Céline</v>
      </c>
      <c r="F979" t="s">
        <v>695</v>
      </c>
      <c r="G979" t="str">
        <f>IF(B979&lt;&gt;B1920,"e",IF(D979=0,"q","a"))</f>
        <v>e</v>
      </c>
      <c r="H979" t="str">
        <f>VLOOKUP(D979,name!A:C,3,1)</f>
        <v>assets/icons/image078.png</v>
      </c>
      <c r="I979" t="str">
        <f>IF(A979="","",VLOOKUP(A979,lng!A:B,2,0))</f>
        <v>fr-FR</v>
      </c>
    </row>
    <row r="980" spans="1:9" x14ac:dyDescent="0.15">
      <c r="A980" t="str">
        <f t="shared" si="1173"/>
        <v>フランス語</v>
      </c>
      <c r="B980">
        <f t="shared" si="1173"/>
        <v>13</v>
      </c>
      <c r="C980">
        <f t="shared" si="1166"/>
        <v>32</v>
      </c>
      <c r="D980">
        <f t="shared" si="1168"/>
        <v>5</v>
      </c>
      <c r="E980" t="str">
        <f>VLOOKUP(D980,name!A:B,2,1)</f>
        <v>Minako</v>
      </c>
      <c r="F980" t="s">
        <v>713</v>
      </c>
      <c r="G980" t="str">
        <f t="shared" ref="G980:G981" si="1178">IF(B980&lt;&gt;B981,"e",IF(D980=0,"q","a"))</f>
        <v>a</v>
      </c>
      <c r="H980" t="str">
        <f>VLOOKUP(D980,name!A:C,3,1)</f>
        <v>assets/icons/image086.png</v>
      </c>
      <c r="I980" t="s">
        <v>463</v>
      </c>
    </row>
    <row r="981" spans="1:9" x14ac:dyDescent="0.15">
      <c r="A981" t="str">
        <f t="shared" si="1173"/>
        <v>フランス語</v>
      </c>
      <c r="B981">
        <f t="shared" si="1173"/>
        <v>13</v>
      </c>
      <c r="C981">
        <f t="shared" si="1166"/>
        <v>33</v>
      </c>
      <c r="D981">
        <v>5</v>
      </c>
      <c r="E981" t="str">
        <f>VLOOKUP(D981,name!A:B,2,1)</f>
        <v>Minako</v>
      </c>
      <c r="F981" t="s">
        <v>696</v>
      </c>
      <c r="G981" t="str">
        <f t="shared" si="1178"/>
        <v>a</v>
      </c>
      <c r="H981" t="str">
        <f>VLOOKUP(D981,name!A:C,3,1)</f>
        <v>assets/icons/image086.png</v>
      </c>
      <c r="I981" t="str">
        <f>IF(A981="","",VLOOKUP(A981,lng!A:B,2,0))</f>
        <v>fr-FR</v>
      </c>
    </row>
    <row r="982" spans="1:9" x14ac:dyDescent="0.15">
      <c r="A982" t="str">
        <f t="shared" ref="A982:B982" si="1179">A981</f>
        <v>フランス語</v>
      </c>
      <c r="B982">
        <f t="shared" si="1179"/>
        <v>13</v>
      </c>
      <c r="C982">
        <f t="shared" si="1166"/>
        <v>34</v>
      </c>
      <c r="D982">
        <v>1</v>
      </c>
      <c r="E982" t="str">
        <f>VLOOKUP(D982,name!A:B,2,1)</f>
        <v>Navigator</v>
      </c>
      <c r="F982" t="str">
        <f>"次の"&amp;A982&amp;"を真似してね！"</f>
        <v>次のフランス語を真似してね！</v>
      </c>
      <c r="G982" t="str">
        <f>IF(B982&lt;&gt;B1923,"e",IF(D982=0,"q","a"))</f>
        <v>e</v>
      </c>
      <c r="H982" t="str">
        <f>VLOOKUP(D982,name!A:C,3,1)</f>
        <v>assets/icons/image014.png</v>
      </c>
      <c r="I982" t="s">
        <v>463</v>
      </c>
    </row>
    <row r="983" spans="1:9" x14ac:dyDescent="0.15">
      <c r="A983" t="str">
        <f t="shared" ref="A983:B983" si="1180">A982</f>
        <v>フランス語</v>
      </c>
      <c r="B983">
        <f t="shared" si="1180"/>
        <v>13</v>
      </c>
      <c r="C983">
        <f t="shared" si="1166"/>
        <v>35</v>
      </c>
      <c r="D983">
        <f>D952</f>
        <v>6</v>
      </c>
      <c r="E983" t="str">
        <f>VLOOKUP(D983,name!A:B,2,1)</f>
        <v>Céline</v>
      </c>
      <c r="F983" t="str">
        <f>F952</f>
        <v>授業の後に映画を見に行きませんか?</v>
      </c>
      <c r="G983" t="str">
        <f t="shared" ref="G983:G984" si="1181">IF(B983&lt;&gt;B984,"e",IF(D983=0,"q","a"))</f>
        <v>a</v>
      </c>
      <c r="H983" t="str">
        <f>VLOOKUP(D983,name!A:C,3,1)</f>
        <v>assets/icons/image078.png</v>
      </c>
      <c r="I983" t="s">
        <v>463</v>
      </c>
    </row>
    <row r="984" spans="1:9" x14ac:dyDescent="0.15">
      <c r="A984" t="str">
        <f t="shared" ref="A984:B984" si="1182">A983</f>
        <v>フランス語</v>
      </c>
      <c r="B984">
        <f t="shared" si="1182"/>
        <v>13</v>
      </c>
      <c r="C984">
        <f t="shared" si="1166"/>
        <v>36</v>
      </c>
      <c r="D984">
        <f>D953</f>
        <v>6</v>
      </c>
      <c r="E984" t="str">
        <f>VLOOKUP(D984,name!A:B,2,1)</f>
        <v>Céline</v>
      </c>
      <c r="F984" t="str">
        <f>F953</f>
        <v>Ça te dit d'aller au cinéma après le cours ?</v>
      </c>
      <c r="G984" t="str">
        <f t="shared" si="1181"/>
        <v>a</v>
      </c>
      <c r="H984" t="str">
        <f>VLOOKUP(D984,name!A:C,3,1)</f>
        <v>assets/icons/image078.png</v>
      </c>
      <c r="I984" t="str">
        <f>IF(A984="","",VLOOKUP(A984,lng!A:B,2,0))</f>
        <v>fr-FR</v>
      </c>
    </row>
    <row r="985" spans="1:9" x14ac:dyDescent="0.15">
      <c r="A985" t="str">
        <f t="shared" ref="A985:B985" si="1183">A984</f>
        <v>フランス語</v>
      </c>
      <c r="B985">
        <f t="shared" si="1183"/>
        <v>13</v>
      </c>
      <c r="C985">
        <f t="shared" si="1166"/>
        <v>37</v>
      </c>
      <c r="D985">
        <v>0</v>
      </c>
      <c r="E985" t="str">
        <f>VLOOKUP(D985,name!A:B,2,1)</f>
        <v>Player</v>
      </c>
      <c r="F985" t="str">
        <f>F953</f>
        <v>Ça te dit d'aller au cinéma après le cours ?</v>
      </c>
      <c r="G985" t="str">
        <f>IF(B985&lt;&gt;B1926,"e",IF(D985=0,"q","a"))</f>
        <v>e</v>
      </c>
      <c r="H985" t="str">
        <f>VLOOKUP(D985,name!A:C,3,1)</f>
        <v>assets/icons/image326.png</v>
      </c>
      <c r="I985" t="str">
        <f>IF(A985="","",VLOOKUP(A985,lng!A:B,2,0))</f>
        <v>fr-FR</v>
      </c>
    </row>
    <row r="986" spans="1:9" x14ac:dyDescent="0.15">
      <c r="A986" t="str">
        <f t="shared" ref="A986:B986" si="1184">A985</f>
        <v>フランス語</v>
      </c>
      <c r="B986">
        <f t="shared" si="1184"/>
        <v>13</v>
      </c>
      <c r="C986">
        <f t="shared" si="1166"/>
        <v>38</v>
      </c>
      <c r="D986">
        <f>D954</f>
        <v>5</v>
      </c>
      <c r="E986" t="str">
        <f>VLOOKUP(D986,name!A:B,2,1)</f>
        <v>Minako</v>
      </c>
      <c r="F986" t="str">
        <f>F954</f>
        <v>はい、喜んで。</v>
      </c>
      <c r="G986" t="str">
        <f t="shared" ref="G986:G987" si="1185">IF(B986&lt;&gt;B987,"e",IF(D986=0,"q","a"))</f>
        <v>a</v>
      </c>
      <c r="H986" t="str">
        <f>VLOOKUP(D986,name!A:C,3,1)</f>
        <v>assets/icons/image086.png</v>
      </c>
      <c r="I986" t="s">
        <v>463</v>
      </c>
    </row>
    <row r="987" spans="1:9" x14ac:dyDescent="0.15">
      <c r="A987" t="str">
        <f t="shared" ref="A987:B987" si="1186">A986</f>
        <v>フランス語</v>
      </c>
      <c r="B987">
        <f t="shared" si="1186"/>
        <v>13</v>
      </c>
      <c r="C987">
        <f t="shared" si="1166"/>
        <v>39</v>
      </c>
      <c r="D987">
        <f>D955</f>
        <v>5</v>
      </c>
      <c r="E987" t="str">
        <f>VLOOKUP(D987,name!A:B,2,1)</f>
        <v>Minako</v>
      </c>
      <c r="F987" t="str">
        <f>F955</f>
        <v>Oui, volontiers.</v>
      </c>
      <c r="G987" t="str">
        <f t="shared" si="1185"/>
        <v>a</v>
      </c>
      <c r="H987" t="str">
        <f>VLOOKUP(D987,name!A:C,3,1)</f>
        <v>assets/icons/image086.png</v>
      </c>
      <c r="I987" t="str">
        <f>IF(A987="","",VLOOKUP(A987,lng!A:B,2,0))</f>
        <v>fr-FR</v>
      </c>
    </row>
    <row r="988" spans="1:9" x14ac:dyDescent="0.15">
      <c r="A988" t="str">
        <f t="shared" ref="A988:B988" si="1187">A987</f>
        <v>フランス語</v>
      </c>
      <c r="B988">
        <f t="shared" si="1187"/>
        <v>13</v>
      </c>
      <c r="C988">
        <f t="shared" si="1166"/>
        <v>40</v>
      </c>
      <c r="D988">
        <v>0</v>
      </c>
      <c r="E988" t="str">
        <f>VLOOKUP(D988,name!A:B,2,1)</f>
        <v>Player</v>
      </c>
      <c r="F988" t="str">
        <f>F955</f>
        <v>Oui, volontiers.</v>
      </c>
      <c r="G988" t="str">
        <f>IF(B988&lt;&gt;B1929,"e",IF(D988=0,"q","a"))</f>
        <v>e</v>
      </c>
      <c r="H988" t="str">
        <f>VLOOKUP(D988,name!A:C,3,1)</f>
        <v>assets/icons/image326.png</v>
      </c>
      <c r="I988" t="str">
        <f>IF(A988="","",VLOOKUP(A988,lng!A:B,2,0))</f>
        <v>fr-FR</v>
      </c>
    </row>
    <row r="989" spans="1:9" x14ac:dyDescent="0.15">
      <c r="A989" t="str">
        <f t="shared" ref="A989:B989" si="1188">A988</f>
        <v>フランス語</v>
      </c>
      <c r="B989">
        <f t="shared" si="1188"/>
        <v>13</v>
      </c>
      <c r="C989">
        <f t="shared" si="1166"/>
        <v>41</v>
      </c>
      <c r="D989">
        <f>D956</f>
        <v>6</v>
      </c>
      <c r="E989" t="str">
        <f>VLOOKUP(D989,name!A:B,2,1)</f>
        <v>Céline</v>
      </c>
      <c r="F989" t="str">
        <f>F956</f>
        <v>それでは、4時にカフェテリアで会いましょう。</v>
      </c>
      <c r="G989" t="str">
        <f t="shared" ref="G989:G990" si="1189">IF(B989&lt;&gt;B990,"e",IF(D989=0,"q","a"))</f>
        <v>a</v>
      </c>
      <c r="H989" t="str">
        <f>VLOOKUP(D989,name!A:C,3,1)</f>
        <v>assets/icons/image078.png</v>
      </c>
      <c r="I989" t="s">
        <v>463</v>
      </c>
    </row>
    <row r="990" spans="1:9" x14ac:dyDescent="0.15">
      <c r="A990" t="str">
        <f t="shared" ref="A990:B990" si="1190">A989</f>
        <v>フランス語</v>
      </c>
      <c r="B990">
        <f t="shared" si="1190"/>
        <v>13</v>
      </c>
      <c r="C990">
        <f t="shared" si="1166"/>
        <v>42</v>
      </c>
      <c r="D990">
        <f>D957</f>
        <v>6</v>
      </c>
      <c r="E990" t="str">
        <f>VLOOKUP(D990,name!A:B,2,1)</f>
        <v>Céline</v>
      </c>
      <c r="F990" t="str">
        <f>F957</f>
        <v>Alors, on se donne rendez-vous à la cafétéria à quatre heures.</v>
      </c>
      <c r="G990" t="str">
        <f t="shared" si="1189"/>
        <v>a</v>
      </c>
      <c r="H990" t="str">
        <f>VLOOKUP(D990,name!A:C,3,1)</f>
        <v>assets/icons/image078.png</v>
      </c>
      <c r="I990" t="str">
        <f>IF(A990="","",VLOOKUP(A990,lng!A:B,2,0))</f>
        <v>fr-FR</v>
      </c>
    </row>
    <row r="991" spans="1:9" x14ac:dyDescent="0.15">
      <c r="A991" t="str">
        <f t="shared" ref="A991:B991" si="1191">A990</f>
        <v>フランス語</v>
      </c>
      <c r="B991">
        <f t="shared" si="1191"/>
        <v>13</v>
      </c>
      <c r="C991">
        <f t="shared" si="1166"/>
        <v>43</v>
      </c>
      <c r="D991">
        <v>0</v>
      </c>
      <c r="E991" t="str">
        <f>VLOOKUP(D991,name!A:B,2,1)</f>
        <v>Player</v>
      </c>
      <c r="F991" t="str">
        <f>F957</f>
        <v>Alors, on se donne rendez-vous à la cafétéria à quatre heures.</v>
      </c>
      <c r="G991" t="str">
        <f>IF(B991&lt;&gt;B1932,"e",IF(D991=0,"q","a"))</f>
        <v>e</v>
      </c>
      <c r="H991" t="str">
        <f>VLOOKUP(D991,name!A:C,3,1)</f>
        <v>assets/icons/image326.png</v>
      </c>
      <c r="I991" t="str">
        <f>IF(A991="","",VLOOKUP(A991,lng!A:B,2,0))</f>
        <v>fr-FR</v>
      </c>
    </row>
    <row r="992" spans="1:9" x14ac:dyDescent="0.15">
      <c r="A992" t="str">
        <f t="shared" ref="A992:B992" si="1192">A991</f>
        <v>フランス語</v>
      </c>
      <c r="B992">
        <f t="shared" si="1192"/>
        <v>13</v>
      </c>
      <c r="C992">
        <f t="shared" si="1166"/>
        <v>44</v>
      </c>
      <c r="D992">
        <f>D958</f>
        <v>5</v>
      </c>
      <c r="E992" t="str">
        <f>VLOOKUP(D992,name!A:B,2,1)</f>
        <v>Minako</v>
      </c>
      <c r="F992" t="str">
        <f>F958</f>
        <v>良いですね。</v>
      </c>
      <c r="G992" t="str">
        <f t="shared" ref="G992:G993" si="1193">IF(B992&lt;&gt;B993,"e",IF(D992=0,"q","a"))</f>
        <v>a</v>
      </c>
      <c r="H992" t="str">
        <f>VLOOKUP(D992,name!A:C,3,1)</f>
        <v>assets/icons/image086.png</v>
      </c>
      <c r="I992" t="s">
        <v>463</v>
      </c>
    </row>
    <row r="993" spans="1:9" x14ac:dyDescent="0.15">
      <c r="A993" t="str">
        <f t="shared" ref="A993:B993" si="1194">A992</f>
        <v>フランス語</v>
      </c>
      <c r="B993">
        <f t="shared" si="1194"/>
        <v>13</v>
      </c>
      <c r="C993">
        <f t="shared" si="1166"/>
        <v>45</v>
      </c>
      <c r="D993">
        <f>D959</f>
        <v>5</v>
      </c>
      <c r="E993" t="str">
        <f>VLOOKUP(D993,name!A:B,2,1)</f>
        <v>Minako</v>
      </c>
      <c r="F993" t="str">
        <f>F959</f>
        <v>Très bien.</v>
      </c>
      <c r="G993" t="str">
        <f t="shared" si="1193"/>
        <v>a</v>
      </c>
      <c r="H993" t="str">
        <f>VLOOKUP(D993,name!A:C,3,1)</f>
        <v>assets/icons/image086.png</v>
      </c>
      <c r="I993" t="str">
        <f>IF(A993="","",VLOOKUP(A993,lng!A:B,2,0))</f>
        <v>fr-FR</v>
      </c>
    </row>
    <row r="994" spans="1:9" x14ac:dyDescent="0.15">
      <c r="A994" t="str">
        <f t="shared" ref="A994:B994" si="1195">A993</f>
        <v>フランス語</v>
      </c>
      <c r="B994">
        <f t="shared" si="1195"/>
        <v>13</v>
      </c>
      <c r="C994">
        <f t="shared" si="1166"/>
        <v>46</v>
      </c>
      <c r="D994">
        <v>0</v>
      </c>
      <c r="E994" t="str">
        <f>VLOOKUP(D994,name!A:B,2,1)</f>
        <v>Player</v>
      </c>
      <c r="F994" t="str">
        <f>F959</f>
        <v>Très bien.</v>
      </c>
      <c r="G994" t="str">
        <f>IF(B994&lt;&gt;B1935,"e",IF(D994=0,"q","a"))</f>
        <v>e</v>
      </c>
      <c r="H994" t="str">
        <f>VLOOKUP(D994,name!A:C,3,1)</f>
        <v>assets/icons/image326.png</v>
      </c>
      <c r="I994" t="str">
        <f>IF(A994="","",VLOOKUP(A994,lng!A:B,2,0))</f>
        <v>fr-FR</v>
      </c>
    </row>
    <row r="995" spans="1:9" x14ac:dyDescent="0.15">
      <c r="A995" t="str">
        <f t="shared" ref="A995:B995" si="1196">A994</f>
        <v>フランス語</v>
      </c>
      <c r="B995">
        <f t="shared" si="1196"/>
        <v>13</v>
      </c>
      <c r="C995">
        <f t="shared" si="1166"/>
        <v>47</v>
      </c>
      <c r="D995">
        <f>D960</f>
        <v>5</v>
      </c>
      <c r="E995" t="str">
        <f>VLOOKUP(D995,name!A:B,2,1)</f>
        <v>Minako</v>
      </c>
      <c r="F995" t="str">
        <f>F960</f>
        <v>それでは、また後でお会いしましょう。</v>
      </c>
      <c r="G995" t="str">
        <f t="shared" ref="G995:G996" si="1197">IF(B995&lt;&gt;B996,"e",IF(D995=0,"q","a"))</f>
        <v>a</v>
      </c>
      <c r="H995" t="str">
        <f>VLOOKUP(D995,name!A:C,3,1)</f>
        <v>assets/icons/image086.png</v>
      </c>
      <c r="I995" t="s">
        <v>463</v>
      </c>
    </row>
    <row r="996" spans="1:9" x14ac:dyDescent="0.15">
      <c r="A996" t="str">
        <f t="shared" ref="A996:B996" si="1198">A995</f>
        <v>フランス語</v>
      </c>
      <c r="B996">
        <f t="shared" si="1198"/>
        <v>13</v>
      </c>
      <c r="C996">
        <f t="shared" si="1166"/>
        <v>48</v>
      </c>
      <c r="D996">
        <f>D961</f>
        <v>5</v>
      </c>
      <c r="E996" t="str">
        <f>VLOOKUP(D996,name!A:B,2,1)</f>
        <v>Minako</v>
      </c>
      <c r="F996" t="str">
        <f>F961</f>
        <v>Alors, à tout à l'heure.</v>
      </c>
      <c r="G996" t="str">
        <f t="shared" si="1197"/>
        <v>a</v>
      </c>
      <c r="H996" t="str">
        <f>VLOOKUP(D996,name!A:C,3,1)</f>
        <v>assets/icons/image086.png</v>
      </c>
      <c r="I996" t="str">
        <f>IF(A996="","",VLOOKUP(A996,lng!A:B,2,0))</f>
        <v>fr-FR</v>
      </c>
    </row>
    <row r="997" spans="1:9" x14ac:dyDescent="0.15">
      <c r="A997" t="str">
        <f t="shared" ref="A997:B997" si="1199">A996</f>
        <v>フランス語</v>
      </c>
      <c r="B997">
        <f t="shared" si="1199"/>
        <v>13</v>
      </c>
      <c r="C997">
        <f t="shared" si="1166"/>
        <v>49</v>
      </c>
      <c r="D997">
        <v>0</v>
      </c>
      <c r="E997" t="str">
        <f>VLOOKUP(D997,name!A:B,2,1)</f>
        <v>Player</v>
      </c>
      <c r="F997" t="str">
        <f>F961</f>
        <v>Alors, à tout à l'heure.</v>
      </c>
      <c r="G997" t="str">
        <f>IF(B997&lt;&gt;B1938,"e",IF(D997=0,"q","a"))</f>
        <v>e</v>
      </c>
      <c r="H997" t="str">
        <f>VLOOKUP(D997,name!A:C,3,1)</f>
        <v>assets/icons/image326.png</v>
      </c>
      <c r="I997" t="str">
        <f>IF(A997="","",VLOOKUP(A997,lng!A:B,2,0))</f>
        <v>fr-FR</v>
      </c>
    </row>
    <row r="998" spans="1:9" x14ac:dyDescent="0.15">
      <c r="A998" t="str">
        <f t="shared" ref="A998:B998" si="1200">A997</f>
        <v>フランス語</v>
      </c>
      <c r="B998">
        <f t="shared" si="1200"/>
        <v>13</v>
      </c>
      <c r="C998">
        <f t="shared" si="1166"/>
        <v>50</v>
      </c>
      <c r="D998">
        <f>D962</f>
        <v>5</v>
      </c>
      <c r="E998" t="str">
        <f>VLOOKUP(D998,name!A:B,2,1)</f>
        <v>Minako</v>
      </c>
      <c r="F998" t="str">
        <f>F962</f>
        <v>(映画館の出口で)</v>
      </c>
      <c r="G998" t="str">
        <f t="shared" ref="G998:G999" si="1201">IF(B998&lt;&gt;B999,"e",IF(D998=0,"q","a"))</f>
        <v>a</v>
      </c>
      <c r="H998" t="str">
        <f>VLOOKUP(D998,name!A:C,3,1)</f>
        <v>assets/icons/image086.png</v>
      </c>
      <c r="I998" t="s">
        <v>463</v>
      </c>
    </row>
    <row r="999" spans="1:9" x14ac:dyDescent="0.15">
      <c r="A999" t="str">
        <f t="shared" ref="A999:B999" si="1202">A998</f>
        <v>フランス語</v>
      </c>
      <c r="B999">
        <f t="shared" si="1202"/>
        <v>13</v>
      </c>
      <c r="C999">
        <f t="shared" si="1166"/>
        <v>51</v>
      </c>
      <c r="D999">
        <f>D963</f>
        <v>5</v>
      </c>
      <c r="E999" t="str">
        <f>VLOOKUP(D999,name!A:B,2,1)</f>
        <v>Minako</v>
      </c>
      <c r="F999" t="str">
        <f>F963</f>
        <v>(A la sortie du cinéma)</v>
      </c>
      <c r="G999" t="str">
        <f t="shared" si="1201"/>
        <v>a</v>
      </c>
      <c r="H999" t="str">
        <f>VLOOKUP(D999,name!A:C,3,1)</f>
        <v>assets/icons/image086.png</v>
      </c>
      <c r="I999" t="str">
        <f>IF(A999="","",VLOOKUP(A999,lng!A:B,2,0))</f>
        <v>fr-FR</v>
      </c>
    </row>
    <row r="1000" spans="1:9" x14ac:dyDescent="0.15">
      <c r="A1000" t="str">
        <f t="shared" ref="A1000:B1000" si="1203">A999</f>
        <v>フランス語</v>
      </c>
      <c r="B1000">
        <f t="shared" si="1203"/>
        <v>13</v>
      </c>
      <c r="C1000">
        <f t="shared" si="1166"/>
        <v>52</v>
      </c>
      <c r="D1000">
        <v>0</v>
      </c>
      <c r="E1000" t="str">
        <f>VLOOKUP(D1000,name!A:B,2,1)</f>
        <v>Player</v>
      </c>
      <c r="F1000" t="str">
        <f>F963</f>
        <v>(A la sortie du cinéma)</v>
      </c>
      <c r="G1000" t="str">
        <f>IF(B1000&lt;&gt;B1941,"e",IF(D1000=0,"q","a"))</f>
        <v>e</v>
      </c>
      <c r="H1000" t="str">
        <f>VLOOKUP(D1000,name!A:C,3,1)</f>
        <v>assets/icons/image326.png</v>
      </c>
      <c r="I1000" t="str">
        <f>IF(A1000="","",VLOOKUP(A1000,lng!A:B,2,0))</f>
        <v>fr-FR</v>
      </c>
    </row>
    <row r="1001" spans="1:9" x14ac:dyDescent="0.15">
      <c r="A1001" t="str">
        <f t="shared" ref="A1001:B1001" si="1204">A1000</f>
        <v>フランス語</v>
      </c>
      <c r="B1001">
        <f t="shared" si="1204"/>
        <v>13</v>
      </c>
      <c r="C1001">
        <f t="shared" si="1166"/>
        <v>53</v>
      </c>
      <c r="D1001">
        <f>D964</f>
        <v>6</v>
      </c>
      <c r="E1001" t="str">
        <f>VLOOKUP(D1001,name!A:B,2,1)</f>
        <v>Céline</v>
      </c>
      <c r="F1001" t="str">
        <f>F964</f>
        <v>この映画をどうでしたか?</v>
      </c>
      <c r="G1001" t="str">
        <f t="shared" ref="G1001:G1002" si="1205">IF(B1001&lt;&gt;B1002,"e",IF(D1001=0,"q","a"))</f>
        <v>a</v>
      </c>
      <c r="H1001" t="str">
        <f>VLOOKUP(D1001,name!A:C,3,1)</f>
        <v>assets/icons/image078.png</v>
      </c>
      <c r="I1001" t="s">
        <v>463</v>
      </c>
    </row>
    <row r="1002" spans="1:9" x14ac:dyDescent="0.15">
      <c r="A1002" t="str">
        <f t="shared" ref="A1002:B1002" si="1206">A1001</f>
        <v>フランス語</v>
      </c>
      <c r="B1002">
        <f t="shared" si="1206"/>
        <v>13</v>
      </c>
      <c r="C1002">
        <f t="shared" si="1166"/>
        <v>54</v>
      </c>
      <c r="D1002">
        <f>D965</f>
        <v>6</v>
      </c>
      <c r="E1002" t="str">
        <f>VLOOKUP(D1002,name!A:B,2,1)</f>
        <v>Céline</v>
      </c>
      <c r="F1002" t="str">
        <f>F965</f>
        <v>Comment as-tu trouvé le film ?</v>
      </c>
      <c r="G1002" t="str">
        <f t="shared" si="1205"/>
        <v>a</v>
      </c>
      <c r="H1002" t="str">
        <f>VLOOKUP(D1002,name!A:C,3,1)</f>
        <v>assets/icons/image078.png</v>
      </c>
      <c r="I1002" t="str">
        <f>IF(A1002="","",VLOOKUP(A1002,lng!A:B,2,0))</f>
        <v>fr-FR</v>
      </c>
    </row>
    <row r="1003" spans="1:9" x14ac:dyDescent="0.15">
      <c r="A1003" t="str">
        <f t="shared" ref="A1003:B1003" si="1207">A1002</f>
        <v>フランス語</v>
      </c>
      <c r="B1003">
        <f t="shared" si="1207"/>
        <v>13</v>
      </c>
      <c r="C1003">
        <f t="shared" si="1166"/>
        <v>55</v>
      </c>
      <c r="D1003">
        <v>0</v>
      </c>
      <c r="E1003" t="str">
        <f>VLOOKUP(D1003,name!A:B,2,1)</f>
        <v>Player</v>
      </c>
      <c r="F1003" t="str">
        <f>F965</f>
        <v>Comment as-tu trouvé le film ?</v>
      </c>
      <c r="G1003" t="str">
        <f>IF(B1003&lt;&gt;B1944,"e",IF(D1003=0,"q","a"))</f>
        <v>e</v>
      </c>
      <c r="H1003" t="str">
        <f>VLOOKUP(D1003,name!A:C,3,1)</f>
        <v>assets/icons/image326.png</v>
      </c>
      <c r="I1003" t="str">
        <f>IF(A1003="","",VLOOKUP(A1003,lng!A:B,2,0))</f>
        <v>fr-FR</v>
      </c>
    </row>
    <row r="1004" spans="1:9" x14ac:dyDescent="0.15">
      <c r="A1004" t="str">
        <f t="shared" ref="A1004:B1004" si="1208">A1003</f>
        <v>フランス語</v>
      </c>
      <c r="B1004">
        <f t="shared" si="1208"/>
        <v>13</v>
      </c>
      <c r="C1004">
        <f t="shared" si="1166"/>
        <v>56</v>
      </c>
      <c r="D1004">
        <f>D966</f>
        <v>5</v>
      </c>
      <c r="E1004" t="str">
        <f>VLOOKUP(D1004,name!A:B,2,1)</f>
        <v>Minako</v>
      </c>
      <c r="F1004" t="str">
        <f>F966</f>
        <v>気に入りました。</v>
      </c>
      <c r="G1004" t="str">
        <f t="shared" ref="G1004:G1005" si="1209">IF(B1004&lt;&gt;B1005,"e",IF(D1004=0,"q","a"))</f>
        <v>a</v>
      </c>
      <c r="H1004" t="str">
        <f>VLOOKUP(D1004,name!A:C,3,1)</f>
        <v>assets/icons/image086.png</v>
      </c>
      <c r="I1004" t="s">
        <v>463</v>
      </c>
    </row>
    <row r="1005" spans="1:9" x14ac:dyDescent="0.15">
      <c r="A1005" t="str">
        <f t="shared" ref="A1005:B1005" si="1210">A1004</f>
        <v>フランス語</v>
      </c>
      <c r="B1005">
        <f t="shared" si="1210"/>
        <v>13</v>
      </c>
      <c r="C1005">
        <f t="shared" si="1166"/>
        <v>57</v>
      </c>
      <c r="D1005">
        <f>D967</f>
        <v>5</v>
      </c>
      <c r="E1005" t="str">
        <f>VLOOKUP(D1005,name!A:B,2,1)</f>
        <v>Minako</v>
      </c>
      <c r="F1005" t="str">
        <f>F967</f>
        <v>Je l'ai bien aimé.</v>
      </c>
      <c r="G1005" t="str">
        <f t="shared" si="1209"/>
        <v>a</v>
      </c>
      <c r="H1005" t="str">
        <f>VLOOKUP(D1005,name!A:C,3,1)</f>
        <v>assets/icons/image086.png</v>
      </c>
      <c r="I1005" t="str">
        <f>IF(A1005="","",VLOOKUP(A1005,lng!A:B,2,0))</f>
        <v>fr-FR</v>
      </c>
    </row>
    <row r="1006" spans="1:9" x14ac:dyDescent="0.15">
      <c r="A1006" t="str">
        <f t="shared" ref="A1006:B1006" si="1211">A1005</f>
        <v>フランス語</v>
      </c>
      <c r="B1006">
        <f t="shared" si="1211"/>
        <v>13</v>
      </c>
      <c r="C1006">
        <f t="shared" si="1166"/>
        <v>58</v>
      </c>
      <c r="D1006">
        <v>0</v>
      </c>
      <c r="E1006" t="str">
        <f>VLOOKUP(D1006,name!A:B,2,1)</f>
        <v>Player</v>
      </c>
      <c r="F1006" t="str">
        <f>F967</f>
        <v>Je l'ai bien aimé.</v>
      </c>
      <c r="G1006" t="str">
        <f>IF(B1006&lt;&gt;B1947,"e",IF(D1006=0,"q","a"))</f>
        <v>e</v>
      </c>
      <c r="H1006" t="str">
        <f>VLOOKUP(D1006,name!A:C,3,1)</f>
        <v>assets/icons/image326.png</v>
      </c>
      <c r="I1006" t="str">
        <f>IF(A1006="","",VLOOKUP(A1006,lng!A:B,2,0))</f>
        <v>fr-FR</v>
      </c>
    </row>
    <row r="1007" spans="1:9" x14ac:dyDescent="0.15">
      <c r="A1007" t="str">
        <f t="shared" ref="A1007:B1007" si="1212">A1006</f>
        <v>フランス語</v>
      </c>
      <c r="B1007">
        <f t="shared" si="1212"/>
        <v>13</v>
      </c>
      <c r="C1007">
        <f t="shared" si="1166"/>
        <v>59</v>
      </c>
      <c r="D1007">
        <f>D968</f>
        <v>5</v>
      </c>
      <c r="E1007" t="str">
        <f>VLOOKUP(D1007,name!A:B,2,1)</f>
        <v>Minako</v>
      </c>
      <c r="F1007" t="str">
        <f>F968</f>
        <v>主人公は感じの良い若者ですね。</v>
      </c>
      <c r="G1007" t="str">
        <f t="shared" ref="G1007:G1008" si="1213">IF(B1007&lt;&gt;B1008,"e",IF(D1007=0,"q","a"))</f>
        <v>a</v>
      </c>
      <c r="H1007" t="str">
        <f>VLOOKUP(D1007,name!A:C,3,1)</f>
        <v>assets/icons/image086.png</v>
      </c>
      <c r="I1007" t="s">
        <v>463</v>
      </c>
    </row>
    <row r="1008" spans="1:9" x14ac:dyDescent="0.15">
      <c r="A1008" t="str">
        <f t="shared" ref="A1008:B1008" si="1214">A1007</f>
        <v>フランス語</v>
      </c>
      <c r="B1008">
        <f t="shared" si="1214"/>
        <v>13</v>
      </c>
      <c r="C1008">
        <f t="shared" si="1166"/>
        <v>60</v>
      </c>
      <c r="D1008">
        <f>D969</f>
        <v>5</v>
      </c>
      <c r="E1008" t="str">
        <f>VLOOKUP(D1008,name!A:B,2,1)</f>
        <v>Minako</v>
      </c>
      <c r="F1008" t="str">
        <f>F969</f>
        <v>Le héros est un jeune homme sympathique.</v>
      </c>
      <c r="G1008" t="str">
        <f t="shared" si="1213"/>
        <v>a</v>
      </c>
      <c r="H1008" t="str">
        <f>VLOOKUP(D1008,name!A:C,3,1)</f>
        <v>assets/icons/image086.png</v>
      </c>
      <c r="I1008" t="str">
        <f>IF(A1008="","",VLOOKUP(A1008,lng!A:B,2,0))</f>
        <v>fr-FR</v>
      </c>
    </row>
    <row r="1009" spans="1:9" x14ac:dyDescent="0.15">
      <c r="A1009" t="str">
        <f t="shared" ref="A1009:B1009" si="1215">A1008</f>
        <v>フランス語</v>
      </c>
      <c r="B1009">
        <f t="shared" si="1215"/>
        <v>13</v>
      </c>
      <c r="C1009">
        <f t="shared" si="1166"/>
        <v>61</v>
      </c>
      <c r="D1009">
        <v>0</v>
      </c>
      <c r="E1009" t="str">
        <f>VLOOKUP(D1009,name!A:B,2,1)</f>
        <v>Player</v>
      </c>
      <c r="F1009" t="str">
        <f>F969</f>
        <v>Le héros est un jeune homme sympathique.</v>
      </c>
      <c r="G1009" t="str">
        <f>IF(B1009&lt;&gt;B1950,"e",IF(D1009=0,"q","a"))</f>
        <v>e</v>
      </c>
      <c r="H1009" t="str">
        <f>VLOOKUP(D1009,name!A:C,3,1)</f>
        <v>assets/icons/image326.png</v>
      </c>
      <c r="I1009" t="str">
        <f>IF(A1009="","",VLOOKUP(A1009,lng!A:B,2,0))</f>
        <v>fr-FR</v>
      </c>
    </row>
    <row r="1010" spans="1:9" x14ac:dyDescent="0.15">
      <c r="A1010" t="str">
        <f t="shared" ref="A1010:B1010" si="1216">A1009</f>
        <v>フランス語</v>
      </c>
      <c r="B1010">
        <f t="shared" si="1216"/>
        <v>13</v>
      </c>
      <c r="C1010">
        <f t="shared" si="1166"/>
        <v>62</v>
      </c>
      <c r="D1010">
        <f>D970</f>
        <v>6</v>
      </c>
      <c r="E1010" t="str">
        <f>VLOOKUP(D1010,name!A:B,2,1)</f>
        <v>Céline</v>
      </c>
      <c r="F1010" t="str">
        <f>F970</f>
        <v>しかし、彼がガールフレンドのベッドの下に隠れたのには、笑いました。</v>
      </c>
      <c r="G1010" t="str">
        <f t="shared" ref="G1010:G1011" si="1217">IF(B1010&lt;&gt;B1011,"e",IF(D1010=0,"q","a"))</f>
        <v>a</v>
      </c>
      <c r="H1010" t="str">
        <f>VLOOKUP(D1010,name!A:C,3,1)</f>
        <v>assets/icons/image078.png</v>
      </c>
      <c r="I1010" t="s">
        <v>463</v>
      </c>
    </row>
    <row r="1011" spans="1:9" x14ac:dyDescent="0.15">
      <c r="A1011" t="str">
        <f t="shared" ref="A1011:B1011" si="1218">A1010</f>
        <v>フランス語</v>
      </c>
      <c r="B1011">
        <f t="shared" si="1218"/>
        <v>13</v>
      </c>
      <c r="C1011">
        <f t="shared" si="1166"/>
        <v>63</v>
      </c>
      <c r="D1011">
        <f>D971</f>
        <v>6</v>
      </c>
      <c r="E1011" t="str">
        <f>VLOOKUP(D1011,name!A:B,2,1)</f>
        <v>Céline</v>
      </c>
      <c r="F1011" t="str">
        <f>F971</f>
        <v>Mais j'ai ri quand il s'est caché sous le lit de sa petite amie.</v>
      </c>
      <c r="G1011" t="str">
        <f t="shared" si="1217"/>
        <v>a</v>
      </c>
      <c r="H1011" t="str">
        <f>VLOOKUP(D1011,name!A:C,3,1)</f>
        <v>assets/icons/image078.png</v>
      </c>
      <c r="I1011" t="str">
        <f>IF(A1011="","",VLOOKUP(A1011,lng!A:B,2,0))</f>
        <v>fr-FR</v>
      </c>
    </row>
    <row r="1012" spans="1:9" x14ac:dyDescent="0.15">
      <c r="A1012" t="str">
        <f t="shared" ref="A1012:B1012" si="1219">A1011</f>
        <v>フランス語</v>
      </c>
      <c r="B1012">
        <f t="shared" si="1219"/>
        <v>13</v>
      </c>
      <c r="C1012">
        <f t="shared" si="1166"/>
        <v>64</v>
      </c>
      <c r="D1012">
        <v>0</v>
      </c>
      <c r="E1012" t="str">
        <f>VLOOKUP(D1012,name!A:B,2,1)</f>
        <v>Player</v>
      </c>
      <c r="F1012" t="str">
        <f>F971</f>
        <v>Mais j'ai ri quand il s'est caché sous le lit de sa petite amie.</v>
      </c>
      <c r="G1012" t="str">
        <f>IF(B1012&lt;&gt;B1953,"e",IF(D1012=0,"q","a"))</f>
        <v>e</v>
      </c>
      <c r="H1012" t="str">
        <f>VLOOKUP(D1012,name!A:C,3,1)</f>
        <v>assets/icons/image326.png</v>
      </c>
      <c r="I1012" t="str">
        <f>IF(A1012="","",VLOOKUP(A1012,lng!A:B,2,0))</f>
        <v>fr-FR</v>
      </c>
    </row>
    <row r="1013" spans="1:9" x14ac:dyDescent="0.15">
      <c r="A1013" t="str">
        <f t="shared" ref="A1013:B1013" si="1220">A1012</f>
        <v>フランス語</v>
      </c>
      <c r="B1013">
        <f t="shared" si="1220"/>
        <v>13</v>
      </c>
      <c r="C1013">
        <f t="shared" si="1166"/>
        <v>65</v>
      </c>
      <c r="D1013">
        <f>D972</f>
        <v>5</v>
      </c>
      <c r="E1013" t="str">
        <f>VLOOKUP(D1013,name!A:B,2,1)</f>
        <v>Minako</v>
      </c>
      <c r="F1013" t="str">
        <f>F972</f>
        <v>そうそう、少しばかげてますね。</v>
      </c>
      <c r="G1013" t="str">
        <f t="shared" ref="G1013:G1014" si="1221">IF(B1013&lt;&gt;B1014,"e",IF(D1013=0,"q","a"))</f>
        <v>a</v>
      </c>
      <c r="H1013" t="str">
        <f>VLOOKUP(D1013,name!A:C,3,1)</f>
        <v>assets/icons/image086.png</v>
      </c>
      <c r="I1013" t="s">
        <v>463</v>
      </c>
    </row>
    <row r="1014" spans="1:9" x14ac:dyDescent="0.15">
      <c r="A1014" t="str">
        <f t="shared" ref="A1014:B1014" si="1222">A1013</f>
        <v>フランス語</v>
      </c>
      <c r="B1014">
        <f t="shared" si="1222"/>
        <v>13</v>
      </c>
      <c r="C1014">
        <f t="shared" si="1166"/>
        <v>66</v>
      </c>
      <c r="D1014">
        <f>D973</f>
        <v>5</v>
      </c>
      <c r="E1014" t="str">
        <f>VLOOKUP(D1014,name!A:B,2,1)</f>
        <v>Minako</v>
      </c>
      <c r="F1014" t="str">
        <f>F973</f>
        <v>Ah oui, un peu ridicule.</v>
      </c>
      <c r="G1014" t="str">
        <f t="shared" si="1221"/>
        <v>a</v>
      </c>
      <c r="H1014" t="str">
        <f>VLOOKUP(D1014,name!A:C,3,1)</f>
        <v>assets/icons/image086.png</v>
      </c>
      <c r="I1014" t="str">
        <f>IF(A1014="","",VLOOKUP(A1014,lng!A:B,2,0))</f>
        <v>fr-FR</v>
      </c>
    </row>
    <row r="1015" spans="1:9" x14ac:dyDescent="0.15">
      <c r="A1015" t="str">
        <f t="shared" ref="A1015:B1015" si="1223">A1014</f>
        <v>フランス語</v>
      </c>
      <c r="B1015">
        <f t="shared" si="1223"/>
        <v>13</v>
      </c>
      <c r="C1015">
        <f t="shared" ref="C1015:C1059" si="1224">C1014+1</f>
        <v>67</v>
      </c>
      <c r="D1015">
        <v>0</v>
      </c>
      <c r="E1015" t="str">
        <f>VLOOKUP(D1015,name!A:B,2,1)</f>
        <v>Player</v>
      </c>
      <c r="F1015" t="str">
        <f>F973</f>
        <v>Ah oui, un peu ridicule.</v>
      </c>
      <c r="G1015" t="str">
        <f>IF(B1015&lt;&gt;B1956,"e",IF(D1015=0,"q","a"))</f>
        <v>e</v>
      </c>
      <c r="H1015" t="str">
        <f>VLOOKUP(D1015,name!A:C,3,1)</f>
        <v>assets/icons/image326.png</v>
      </c>
      <c r="I1015" t="str">
        <f>IF(A1015="","",VLOOKUP(A1015,lng!A:B,2,0))</f>
        <v>fr-FR</v>
      </c>
    </row>
    <row r="1016" spans="1:9" x14ac:dyDescent="0.15">
      <c r="A1016" t="str">
        <f t="shared" ref="A1016:B1016" si="1225">A1015</f>
        <v>フランス語</v>
      </c>
      <c r="B1016">
        <f t="shared" si="1225"/>
        <v>13</v>
      </c>
      <c r="C1016">
        <f t="shared" si="1224"/>
        <v>68</v>
      </c>
      <c r="D1016">
        <f>D974</f>
        <v>6</v>
      </c>
      <c r="E1016" t="str">
        <f>VLOOKUP(D1016,name!A:B,2,1)</f>
        <v>Céline</v>
      </c>
      <c r="F1016" t="str">
        <f>F974</f>
        <v>そして結末、私は気に入りません。</v>
      </c>
      <c r="G1016" t="str">
        <f t="shared" ref="G1016:G1017" si="1226">IF(B1016&lt;&gt;B1017,"e",IF(D1016=0,"q","a"))</f>
        <v>a</v>
      </c>
      <c r="H1016" t="str">
        <f>VLOOKUP(D1016,name!A:C,3,1)</f>
        <v>assets/icons/image078.png</v>
      </c>
      <c r="I1016" t="s">
        <v>463</v>
      </c>
    </row>
    <row r="1017" spans="1:9" x14ac:dyDescent="0.15">
      <c r="A1017" t="str">
        <f t="shared" ref="A1017:B1017" si="1227">A1016</f>
        <v>フランス語</v>
      </c>
      <c r="B1017">
        <f t="shared" si="1227"/>
        <v>13</v>
      </c>
      <c r="C1017">
        <f t="shared" si="1224"/>
        <v>69</v>
      </c>
      <c r="D1017">
        <f>D975</f>
        <v>6</v>
      </c>
      <c r="E1017" t="str">
        <f>VLOOKUP(D1017,name!A:B,2,1)</f>
        <v>Céline</v>
      </c>
      <c r="F1017" t="str">
        <f>F975</f>
        <v>Et le dénouement, je ne l'aime pas.</v>
      </c>
      <c r="G1017" t="str">
        <f t="shared" si="1226"/>
        <v>a</v>
      </c>
      <c r="H1017" t="str">
        <f>VLOOKUP(D1017,name!A:C,3,1)</f>
        <v>assets/icons/image078.png</v>
      </c>
      <c r="I1017" t="str">
        <f>IF(A1017="","",VLOOKUP(A1017,lng!A:B,2,0))</f>
        <v>fr-FR</v>
      </c>
    </row>
    <row r="1018" spans="1:9" x14ac:dyDescent="0.15">
      <c r="A1018" t="str">
        <f t="shared" ref="A1018:B1018" si="1228">A1017</f>
        <v>フランス語</v>
      </c>
      <c r="B1018">
        <f t="shared" si="1228"/>
        <v>13</v>
      </c>
      <c r="C1018">
        <f t="shared" si="1224"/>
        <v>70</v>
      </c>
      <c r="D1018">
        <v>0</v>
      </c>
      <c r="E1018" t="str">
        <f>VLOOKUP(D1018,name!A:B,2,1)</f>
        <v>Player</v>
      </c>
      <c r="F1018" t="str">
        <f>F975</f>
        <v>Et le dénouement, je ne l'aime pas.</v>
      </c>
      <c r="G1018" t="str">
        <f>IF(B1018&lt;&gt;B1959,"e",IF(D1018=0,"q","a"))</f>
        <v>e</v>
      </c>
      <c r="H1018" t="str">
        <f>VLOOKUP(D1018,name!A:C,3,1)</f>
        <v>assets/icons/image326.png</v>
      </c>
      <c r="I1018" t="str">
        <f>IF(A1018="","",VLOOKUP(A1018,lng!A:B,2,0))</f>
        <v>fr-FR</v>
      </c>
    </row>
    <row r="1019" spans="1:9" x14ac:dyDescent="0.15">
      <c r="A1019" t="str">
        <f t="shared" ref="A1019:B1019" si="1229">A1018</f>
        <v>フランス語</v>
      </c>
      <c r="B1019">
        <f t="shared" si="1229"/>
        <v>13</v>
      </c>
      <c r="C1019">
        <f t="shared" si="1224"/>
        <v>71</v>
      </c>
      <c r="D1019">
        <f>D976</f>
        <v>6</v>
      </c>
      <c r="E1019" t="str">
        <f>VLOOKUP(D1019,name!A:B,2,1)</f>
        <v>Céline</v>
      </c>
      <c r="F1019" t="str">
        <f>F976</f>
        <v>主人公とヒロインはお互いを愛しています。</v>
      </c>
      <c r="G1019" t="str">
        <f t="shared" ref="G1019:G1020" si="1230">IF(B1019&lt;&gt;B1020,"e",IF(D1019=0,"q","a"))</f>
        <v>a</v>
      </c>
      <c r="H1019" t="str">
        <f>VLOOKUP(D1019,name!A:C,3,1)</f>
        <v>assets/icons/image078.png</v>
      </c>
      <c r="I1019" t="s">
        <v>463</v>
      </c>
    </row>
    <row r="1020" spans="1:9" x14ac:dyDescent="0.15">
      <c r="A1020" t="str">
        <f t="shared" ref="A1020:B1020" si="1231">A1019</f>
        <v>フランス語</v>
      </c>
      <c r="B1020">
        <f t="shared" si="1231"/>
        <v>13</v>
      </c>
      <c r="C1020">
        <f t="shared" si="1224"/>
        <v>72</v>
      </c>
      <c r="D1020">
        <f>D977</f>
        <v>6</v>
      </c>
      <c r="E1020" t="str">
        <f>VLOOKUP(D1020,name!A:B,2,1)</f>
        <v>Céline</v>
      </c>
      <c r="F1020" t="str">
        <f>F977</f>
        <v>Le héros et l'héroïne s'aiment.</v>
      </c>
      <c r="G1020" t="str">
        <f t="shared" si="1230"/>
        <v>a</v>
      </c>
      <c r="H1020" t="str">
        <f>VLOOKUP(D1020,name!A:C,3,1)</f>
        <v>assets/icons/image078.png</v>
      </c>
      <c r="I1020" t="str">
        <f>IF(A1020="","",VLOOKUP(A1020,lng!A:B,2,0))</f>
        <v>fr-FR</v>
      </c>
    </row>
    <row r="1021" spans="1:9" x14ac:dyDescent="0.15">
      <c r="A1021" t="str">
        <f t="shared" ref="A1021:B1021" si="1232">A1020</f>
        <v>フランス語</v>
      </c>
      <c r="B1021">
        <f t="shared" si="1232"/>
        <v>13</v>
      </c>
      <c r="C1021">
        <f t="shared" si="1224"/>
        <v>73</v>
      </c>
      <c r="D1021">
        <v>0</v>
      </c>
      <c r="E1021" t="str">
        <f>VLOOKUP(D1021,name!A:B,2,1)</f>
        <v>Player</v>
      </c>
      <c r="F1021" t="str">
        <f>F977</f>
        <v>Le héros et l'héroïne s'aiment.</v>
      </c>
      <c r="G1021" t="str">
        <f>IF(B1021&lt;&gt;B1962,"e",IF(D1021=0,"q","a"))</f>
        <v>e</v>
      </c>
      <c r="H1021" t="str">
        <f>VLOOKUP(D1021,name!A:C,3,1)</f>
        <v>assets/icons/image326.png</v>
      </c>
      <c r="I1021" t="str">
        <f>IF(A1021="","",VLOOKUP(A1021,lng!A:B,2,0))</f>
        <v>fr-FR</v>
      </c>
    </row>
    <row r="1022" spans="1:9" x14ac:dyDescent="0.15">
      <c r="A1022" t="str">
        <f t="shared" ref="A1022:B1022" si="1233">A1021</f>
        <v>フランス語</v>
      </c>
      <c r="B1022">
        <f t="shared" si="1233"/>
        <v>13</v>
      </c>
      <c r="C1022">
        <f t="shared" si="1224"/>
        <v>74</v>
      </c>
      <c r="D1022">
        <f>D978</f>
        <v>6</v>
      </c>
      <c r="E1022" t="str">
        <f>VLOOKUP(D1022,name!A:B,2,1)</f>
        <v>Céline</v>
      </c>
      <c r="F1022" t="str">
        <f>F978</f>
        <v>なぜ彼らはお互いを離れなければならないのですか?</v>
      </c>
      <c r="G1022" t="str">
        <f t="shared" ref="G1022:G1023" si="1234">IF(B1022&lt;&gt;B1023,"e",IF(D1022=0,"q","a"))</f>
        <v>a</v>
      </c>
      <c r="H1022" t="str">
        <f>VLOOKUP(D1022,name!A:C,3,1)</f>
        <v>assets/icons/image078.png</v>
      </c>
      <c r="I1022" t="s">
        <v>463</v>
      </c>
    </row>
    <row r="1023" spans="1:9" x14ac:dyDescent="0.15">
      <c r="A1023" t="str">
        <f t="shared" ref="A1023:B1023" si="1235">A1022</f>
        <v>フランス語</v>
      </c>
      <c r="B1023">
        <f t="shared" si="1235"/>
        <v>13</v>
      </c>
      <c r="C1023">
        <f t="shared" si="1224"/>
        <v>75</v>
      </c>
      <c r="D1023">
        <f>D979</f>
        <v>6</v>
      </c>
      <c r="E1023" t="str">
        <f>VLOOKUP(D1023,name!A:B,2,1)</f>
        <v>Céline</v>
      </c>
      <c r="F1023" t="str">
        <f>F979</f>
        <v>Pourquoi ils doivent se quitter ?</v>
      </c>
      <c r="G1023" t="str">
        <f t="shared" si="1234"/>
        <v>a</v>
      </c>
      <c r="H1023" t="str">
        <f>VLOOKUP(D1023,name!A:C,3,1)</f>
        <v>assets/icons/image078.png</v>
      </c>
      <c r="I1023" t="str">
        <f>IF(A1023="","",VLOOKUP(A1023,lng!A:B,2,0))</f>
        <v>fr-FR</v>
      </c>
    </row>
    <row r="1024" spans="1:9" x14ac:dyDescent="0.15">
      <c r="A1024" t="str">
        <f t="shared" ref="A1024:B1024" si="1236">A1023</f>
        <v>フランス語</v>
      </c>
      <c r="B1024">
        <f t="shared" si="1236"/>
        <v>13</v>
      </c>
      <c r="C1024">
        <f t="shared" si="1224"/>
        <v>76</v>
      </c>
      <c r="D1024">
        <v>0</v>
      </c>
      <c r="E1024" t="str">
        <f>VLOOKUP(D1024,name!A:B,2,1)</f>
        <v>Player</v>
      </c>
      <c r="F1024" t="str">
        <f>F979</f>
        <v>Pourquoi ils doivent se quitter ?</v>
      </c>
      <c r="G1024" t="str">
        <f>IF(B1024&lt;&gt;B1965,"e",IF(D1024=0,"q","a"))</f>
        <v>e</v>
      </c>
      <c r="H1024" t="str">
        <f>VLOOKUP(D1024,name!A:C,3,1)</f>
        <v>assets/icons/image326.png</v>
      </c>
      <c r="I1024" t="str">
        <f>IF(A1024="","",VLOOKUP(A1024,lng!A:B,2,0))</f>
        <v>fr-FR</v>
      </c>
    </row>
    <row r="1025" spans="1:9" x14ac:dyDescent="0.15">
      <c r="A1025" t="str">
        <f t="shared" ref="A1025:B1025" si="1237">A1024</f>
        <v>フランス語</v>
      </c>
      <c r="B1025">
        <f t="shared" si="1237"/>
        <v>13</v>
      </c>
      <c r="C1025">
        <f t="shared" si="1224"/>
        <v>77</v>
      </c>
      <c r="D1025">
        <f>D980</f>
        <v>5</v>
      </c>
      <c r="E1025" t="str">
        <f>VLOOKUP(D1025,name!A:B,2,1)</f>
        <v>Minako</v>
      </c>
      <c r="F1025" t="str">
        <f>F980</f>
        <v>人生はしばしばそのようなものです。</v>
      </c>
      <c r="G1025" t="str">
        <f t="shared" ref="G1025:G1026" si="1238">IF(B1025&lt;&gt;B1026,"e",IF(D1025=0,"q","a"))</f>
        <v>a</v>
      </c>
      <c r="H1025" t="str">
        <f>VLOOKUP(D1025,name!A:C,3,1)</f>
        <v>assets/icons/image086.png</v>
      </c>
      <c r="I1025" t="s">
        <v>463</v>
      </c>
    </row>
    <row r="1026" spans="1:9" x14ac:dyDescent="0.15">
      <c r="A1026" t="str">
        <f t="shared" ref="A1026:B1026" si="1239">A1025</f>
        <v>フランス語</v>
      </c>
      <c r="B1026">
        <f t="shared" si="1239"/>
        <v>13</v>
      </c>
      <c r="C1026">
        <f t="shared" si="1224"/>
        <v>78</v>
      </c>
      <c r="D1026">
        <f>D981</f>
        <v>5</v>
      </c>
      <c r="E1026" t="str">
        <f>VLOOKUP(D1026,name!A:B,2,1)</f>
        <v>Minako</v>
      </c>
      <c r="F1026" t="str">
        <f>F981</f>
        <v>La vie est souvent comme ça.</v>
      </c>
      <c r="G1026" t="str">
        <f t="shared" si="1238"/>
        <v>a</v>
      </c>
      <c r="H1026" t="str">
        <f>VLOOKUP(D1026,name!A:C,3,1)</f>
        <v>assets/icons/image086.png</v>
      </c>
      <c r="I1026" t="str">
        <f>IF(A1026="","",VLOOKUP(A1026,lng!A:B,2,0))</f>
        <v>fr-FR</v>
      </c>
    </row>
    <row r="1027" spans="1:9" x14ac:dyDescent="0.15">
      <c r="A1027" t="str">
        <f t="shared" ref="A1027:B1027" si="1240">A1026</f>
        <v>フランス語</v>
      </c>
      <c r="B1027">
        <f t="shared" si="1240"/>
        <v>13</v>
      </c>
      <c r="C1027">
        <f t="shared" si="1224"/>
        <v>79</v>
      </c>
      <c r="D1027">
        <v>0</v>
      </c>
      <c r="E1027" t="str">
        <f>VLOOKUP(D1027,name!A:B,2,1)</f>
        <v>Player</v>
      </c>
      <c r="F1027" t="str">
        <f>F981</f>
        <v>La vie est souvent comme ça.</v>
      </c>
      <c r="G1027" t="str">
        <f>IF(B1027&lt;&gt;B1968,"e",IF(D1027=0,"q","a"))</f>
        <v>e</v>
      </c>
      <c r="H1027" t="str">
        <f>VLOOKUP(D1027,name!A:C,3,1)</f>
        <v>assets/icons/image326.png</v>
      </c>
      <c r="I1027" t="str">
        <f>IF(A1027="","",VLOOKUP(A1027,lng!A:B,2,0))</f>
        <v>fr-FR</v>
      </c>
    </row>
    <row r="1028" spans="1:9" x14ac:dyDescent="0.15">
      <c r="A1028" t="str">
        <f t="shared" ref="A1028:B1028" si="1241">A1027</f>
        <v>フランス語</v>
      </c>
      <c r="B1028">
        <f t="shared" si="1241"/>
        <v>13</v>
      </c>
      <c r="C1028">
        <f t="shared" si="1224"/>
        <v>80</v>
      </c>
      <c r="D1028">
        <v>1</v>
      </c>
      <c r="E1028" t="str">
        <f>VLOOKUP(D1028,name!A:B,2,1)</f>
        <v>Navigator</v>
      </c>
      <c r="F1028" t="str">
        <f>"次の日本語を"&amp;A1028&amp;"に訳して答えてね！"</f>
        <v>次の日本語をフランス語に訳して答えてね！</v>
      </c>
      <c r="G1028" t="str">
        <f t="shared" ref="G1028:G1029" si="1242">IF(B1028&lt;&gt;B1029,"e",IF(D1028=0,"q","a"))</f>
        <v>a</v>
      </c>
      <c r="H1028" t="str">
        <f>VLOOKUP(D1028,name!A:C,3,1)</f>
        <v>assets/icons/image014.png</v>
      </c>
      <c r="I1028" t="s">
        <v>463</v>
      </c>
    </row>
    <row r="1029" spans="1:9" x14ac:dyDescent="0.15">
      <c r="A1029" t="str">
        <f t="shared" ref="A1029:B1029" si="1243">A1028</f>
        <v>フランス語</v>
      </c>
      <c r="B1029">
        <f t="shared" si="1243"/>
        <v>13</v>
      </c>
      <c r="C1029">
        <f t="shared" si="1224"/>
        <v>81</v>
      </c>
      <c r="D1029">
        <f>D952</f>
        <v>6</v>
      </c>
      <c r="E1029" t="str">
        <f>VLOOKUP(D1029,name!A:B,2,1)</f>
        <v>Céline</v>
      </c>
      <c r="F1029" t="str">
        <f t="shared" ref="F1029:F1058" si="1244">F952</f>
        <v>授業の後に映画を見に行きませんか?</v>
      </c>
      <c r="G1029" t="str">
        <f t="shared" si="1242"/>
        <v>a</v>
      </c>
      <c r="H1029" t="str">
        <f>VLOOKUP(D1029,name!A:C,3,1)</f>
        <v>assets/icons/image078.png</v>
      </c>
      <c r="I1029" t="s">
        <v>463</v>
      </c>
    </row>
    <row r="1030" spans="1:9" x14ac:dyDescent="0.15">
      <c r="A1030" t="str">
        <f t="shared" ref="A1030:B1030" si="1245">A1029</f>
        <v>フランス語</v>
      </c>
      <c r="B1030">
        <f t="shared" si="1245"/>
        <v>13</v>
      </c>
      <c r="C1030">
        <f t="shared" si="1224"/>
        <v>82</v>
      </c>
      <c r="D1030">
        <v>0</v>
      </c>
      <c r="E1030" t="str">
        <f>VLOOKUP(D1030,name!A:B,2,1)</f>
        <v>Player</v>
      </c>
      <c r="F1030" t="str">
        <f t="shared" si="1244"/>
        <v>Ça te dit d'aller au cinéma après le cours ?</v>
      </c>
      <c r="G1030" t="str">
        <f>IF(B1030&lt;&gt;B1971,"e",IF(D1030=0,"q","a"))</f>
        <v>e</v>
      </c>
      <c r="H1030" t="str">
        <f>VLOOKUP(D1030,name!A:C,3,1)</f>
        <v>assets/icons/image326.png</v>
      </c>
      <c r="I1030" t="str">
        <f>IF(A1030="","",VLOOKUP(A1030,lng!A:B,2,0))</f>
        <v>fr-FR</v>
      </c>
    </row>
    <row r="1031" spans="1:9" x14ac:dyDescent="0.15">
      <c r="A1031" t="str">
        <f t="shared" ref="A1031:B1031" si="1246">A1030</f>
        <v>フランス語</v>
      </c>
      <c r="B1031">
        <f t="shared" si="1246"/>
        <v>13</v>
      </c>
      <c r="C1031">
        <f t="shared" si="1224"/>
        <v>83</v>
      </c>
      <c r="D1031">
        <f>D954</f>
        <v>5</v>
      </c>
      <c r="E1031" t="str">
        <f>VLOOKUP(D1031,name!A:B,2,1)</f>
        <v>Minako</v>
      </c>
      <c r="F1031" t="str">
        <f t="shared" si="1244"/>
        <v>はい、喜んで。</v>
      </c>
      <c r="G1031" t="str">
        <f t="shared" ref="G1031:G1032" si="1247">IF(B1031&lt;&gt;B1032,"e",IF(D1031=0,"q","a"))</f>
        <v>a</v>
      </c>
      <c r="H1031" t="str">
        <f>VLOOKUP(D1031,name!A:C,3,1)</f>
        <v>assets/icons/image086.png</v>
      </c>
      <c r="I1031" t="s">
        <v>463</v>
      </c>
    </row>
    <row r="1032" spans="1:9" x14ac:dyDescent="0.15">
      <c r="A1032" t="str">
        <f t="shared" ref="A1032:B1032" si="1248">A1031</f>
        <v>フランス語</v>
      </c>
      <c r="B1032">
        <f t="shared" si="1248"/>
        <v>13</v>
      </c>
      <c r="C1032">
        <f t="shared" si="1224"/>
        <v>84</v>
      </c>
      <c r="D1032">
        <v>0</v>
      </c>
      <c r="E1032" t="str">
        <f>VLOOKUP(D1032,name!A:B,2,1)</f>
        <v>Player</v>
      </c>
      <c r="F1032" t="str">
        <f t="shared" si="1244"/>
        <v>Oui, volontiers.</v>
      </c>
      <c r="G1032" t="str">
        <f t="shared" si="1247"/>
        <v>q</v>
      </c>
      <c r="H1032" t="str">
        <f>VLOOKUP(D1032,name!A:C,3,1)</f>
        <v>assets/icons/image326.png</v>
      </c>
      <c r="I1032" t="str">
        <f>IF(A1032="","",VLOOKUP(A1032,lng!A:B,2,0))</f>
        <v>fr-FR</v>
      </c>
    </row>
    <row r="1033" spans="1:9" x14ac:dyDescent="0.15">
      <c r="A1033" t="str">
        <f t="shared" ref="A1033:B1033" si="1249">A1032</f>
        <v>フランス語</v>
      </c>
      <c r="B1033">
        <f t="shared" si="1249"/>
        <v>13</v>
      </c>
      <c r="C1033">
        <f t="shared" si="1224"/>
        <v>85</v>
      </c>
      <c r="D1033">
        <f>D956</f>
        <v>6</v>
      </c>
      <c r="E1033" t="str">
        <f>VLOOKUP(D1033,name!A:B,2,1)</f>
        <v>Céline</v>
      </c>
      <c r="F1033" t="str">
        <f t="shared" si="1244"/>
        <v>それでは、4時にカフェテリアで会いましょう。</v>
      </c>
      <c r="G1033" t="str">
        <f>IF(B1033&lt;&gt;B1974,"e",IF(D1033=0,"q","a"))</f>
        <v>e</v>
      </c>
      <c r="H1033" t="str">
        <f>VLOOKUP(D1033,name!A:C,3,1)</f>
        <v>assets/icons/image078.png</v>
      </c>
      <c r="I1033" t="s">
        <v>463</v>
      </c>
    </row>
    <row r="1034" spans="1:9" x14ac:dyDescent="0.15">
      <c r="A1034" t="str">
        <f t="shared" ref="A1034:B1034" si="1250">A1033</f>
        <v>フランス語</v>
      </c>
      <c r="B1034">
        <f t="shared" si="1250"/>
        <v>13</v>
      </c>
      <c r="C1034">
        <f t="shared" si="1224"/>
        <v>86</v>
      </c>
      <c r="D1034">
        <v>0</v>
      </c>
      <c r="E1034" t="str">
        <f>VLOOKUP(D1034,name!A:B,2,1)</f>
        <v>Player</v>
      </c>
      <c r="F1034" t="str">
        <f t="shared" si="1244"/>
        <v>Alors, on se donne rendez-vous à la cafétéria à quatre heures.</v>
      </c>
      <c r="G1034" t="str">
        <f t="shared" ref="G1034:G1035" si="1251">IF(B1034&lt;&gt;B1035,"e",IF(D1034=0,"q","a"))</f>
        <v>q</v>
      </c>
      <c r="H1034" t="str">
        <f>VLOOKUP(D1034,name!A:C,3,1)</f>
        <v>assets/icons/image326.png</v>
      </c>
      <c r="I1034" t="str">
        <f>IF(A1034="","",VLOOKUP(A1034,lng!A:B,2,0))</f>
        <v>fr-FR</v>
      </c>
    </row>
    <row r="1035" spans="1:9" x14ac:dyDescent="0.15">
      <c r="A1035" t="str">
        <f t="shared" ref="A1035:B1035" si="1252">A1034</f>
        <v>フランス語</v>
      </c>
      <c r="B1035">
        <f t="shared" si="1252"/>
        <v>13</v>
      </c>
      <c r="C1035">
        <f t="shared" si="1224"/>
        <v>87</v>
      </c>
      <c r="D1035">
        <f>D958</f>
        <v>5</v>
      </c>
      <c r="E1035" t="str">
        <f>VLOOKUP(D1035,name!A:B,2,1)</f>
        <v>Minako</v>
      </c>
      <c r="F1035" t="str">
        <f t="shared" si="1244"/>
        <v>良いですね。</v>
      </c>
      <c r="G1035" t="str">
        <f t="shared" si="1251"/>
        <v>a</v>
      </c>
      <c r="H1035" t="str">
        <f>VLOOKUP(D1035,name!A:C,3,1)</f>
        <v>assets/icons/image086.png</v>
      </c>
      <c r="I1035" t="s">
        <v>463</v>
      </c>
    </row>
    <row r="1036" spans="1:9" x14ac:dyDescent="0.15">
      <c r="A1036" t="str">
        <f t="shared" ref="A1036:B1036" si="1253">A1035</f>
        <v>フランス語</v>
      </c>
      <c r="B1036">
        <f t="shared" si="1253"/>
        <v>13</v>
      </c>
      <c r="C1036">
        <f t="shared" si="1224"/>
        <v>88</v>
      </c>
      <c r="D1036">
        <v>0</v>
      </c>
      <c r="E1036" t="str">
        <f>VLOOKUP(D1036,name!A:B,2,1)</f>
        <v>Player</v>
      </c>
      <c r="F1036" t="str">
        <f t="shared" si="1244"/>
        <v>Très bien.</v>
      </c>
      <c r="G1036" t="str">
        <f>IF(B1036&lt;&gt;B1977,"e",IF(D1036=0,"q","a"))</f>
        <v>e</v>
      </c>
      <c r="H1036" t="str">
        <f>VLOOKUP(D1036,name!A:C,3,1)</f>
        <v>assets/icons/image326.png</v>
      </c>
      <c r="I1036" t="str">
        <f>IF(A1036="","",VLOOKUP(A1036,lng!A:B,2,0))</f>
        <v>fr-FR</v>
      </c>
    </row>
    <row r="1037" spans="1:9" x14ac:dyDescent="0.15">
      <c r="A1037" t="str">
        <f t="shared" ref="A1037:B1037" si="1254">A1036</f>
        <v>フランス語</v>
      </c>
      <c r="B1037">
        <f t="shared" si="1254"/>
        <v>13</v>
      </c>
      <c r="C1037">
        <f t="shared" si="1224"/>
        <v>89</v>
      </c>
      <c r="D1037">
        <f>D960</f>
        <v>5</v>
      </c>
      <c r="E1037" t="str">
        <f>VLOOKUP(D1037,name!A:B,2,1)</f>
        <v>Minako</v>
      </c>
      <c r="F1037" t="str">
        <f t="shared" si="1244"/>
        <v>それでは、また後でお会いしましょう。</v>
      </c>
      <c r="G1037" t="str">
        <f t="shared" ref="G1037:G1038" si="1255">IF(B1037&lt;&gt;B1038,"e",IF(D1037=0,"q","a"))</f>
        <v>a</v>
      </c>
      <c r="H1037" t="str">
        <f>VLOOKUP(D1037,name!A:C,3,1)</f>
        <v>assets/icons/image086.png</v>
      </c>
      <c r="I1037" t="s">
        <v>463</v>
      </c>
    </row>
    <row r="1038" spans="1:9" x14ac:dyDescent="0.15">
      <c r="A1038" t="str">
        <f t="shared" ref="A1038:B1038" si="1256">A1037</f>
        <v>フランス語</v>
      </c>
      <c r="B1038">
        <f t="shared" si="1256"/>
        <v>13</v>
      </c>
      <c r="C1038">
        <f t="shared" si="1224"/>
        <v>90</v>
      </c>
      <c r="D1038">
        <v>0</v>
      </c>
      <c r="E1038" t="str">
        <f>VLOOKUP(D1038,name!A:B,2,1)</f>
        <v>Player</v>
      </c>
      <c r="F1038" t="str">
        <f t="shared" si="1244"/>
        <v>Alors, à tout à l'heure.</v>
      </c>
      <c r="G1038" t="str">
        <f t="shared" si="1255"/>
        <v>q</v>
      </c>
      <c r="H1038" t="str">
        <f>VLOOKUP(D1038,name!A:C,3,1)</f>
        <v>assets/icons/image326.png</v>
      </c>
      <c r="I1038" t="str">
        <f>IF(A1038="","",VLOOKUP(A1038,lng!A:B,2,0))</f>
        <v>fr-FR</v>
      </c>
    </row>
    <row r="1039" spans="1:9" x14ac:dyDescent="0.15">
      <c r="A1039" t="str">
        <f t="shared" ref="A1039:B1039" si="1257">A1038</f>
        <v>フランス語</v>
      </c>
      <c r="B1039">
        <f t="shared" si="1257"/>
        <v>13</v>
      </c>
      <c r="C1039">
        <f t="shared" si="1224"/>
        <v>91</v>
      </c>
      <c r="D1039">
        <f>D962</f>
        <v>5</v>
      </c>
      <c r="E1039" t="str">
        <f>VLOOKUP(D1039,name!A:B,2,1)</f>
        <v>Minako</v>
      </c>
      <c r="F1039" t="str">
        <f t="shared" si="1244"/>
        <v>(映画館の出口で)</v>
      </c>
      <c r="G1039" t="str">
        <f>IF(B1039&lt;&gt;B1980,"e",IF(D1039=0,"q","a"))</f>
        <v>e</v>
      </c>
      <c r="H1039" t="str">
        <f>VLOOKUP(D1039,name!A:C,3,1)</f>
        <v>assets/icons/image086.png</v>
      </c>
      <c r="I1039" t="s">
        <v>463</v>
      </c>
    </row>
    <row r="1040" spans="1:9" x14ac:dyDescent="0.15">
      <c r="A1040" t="str">
        <f t="shared" ref="A1040:B1040" si="1258">A1039</f>
        <v>フランス語</v>
      </c>
      <c r="B1040">
        <f t="shared" si="1258"/>
        <v>13</v>
      </c>
      <c r="C1040">
        <f t="shared" si="1224"/>
        <v>92</v>
      </c>
      <c r="D1040">
        <v>0</v>
      </c>
      <c r="E1040" t="str">
        <f>VLOOKUP(D1040,name!A:B,2,1)</f>
        <v>Player</v>
      </c>
      <c r="F1040" t="str">
        <f t="shared" si="1244"/>
        <v>(A la sortie du cinéma)</v>
      </c>
      <c r="G1040" t="str">
        <f t="shared" ref="G1040:G1041" si="1259">IF(B1040&lt;&gt;B1041,"e",IF(D1040=0,"q","a"))</f>
        <v>q</v>
      </c>
      <c r="H1040" t="str">
        <f>VLOOKUP(D1040,name!A:C,3,1)</f>
        <v>assets/icons/image326.png</v>
      </c>
      <c r="I1040" t="str">
        <f>IF(A1040="","",VLOOKUP(A1040,lng!A:B,2,0))</f>
        <v>fr-FR</v>
      </c>
    </row>
    <row r="1041" spans="1:9" x14ac:dyDescent="0.15">
      <c r="A1041" t="str">
        <f t="shared" ref="A1041:B1041" si="1260">A1040</f>
        <v>フランス語</v>
      </c>
      <c r="B1041">
        <f t="shared" si="1260"/>
        <v>13</v>
      </c>
      <c r="C1041">
        <f t="shared" si="1224"/>
        <v>93</v>
      </c>
      <c r="D1041">
        <f>D964</f>
        <v>6</v>
      </c>
      <c r="E1041" t="str">
        <f>VLOOKUP(D1041,name!A:B,2,1)</f>
        <v>Céline</v>
      </c>
      <c r="F1041" t="str">
        <f t="shared" si="1244"/>
        <v>この映画をどうでしたか?</v>
      </c>
      <c r="G1041" t="str">
        <f t="shared" si="1259"/>
        <v>a</v>
      </c>
      <c r="H1041" t="str">
        <f>VLOOKUP(D1041,name!A:C,3,1)</f>
        <v>assets/icons/image078.png</v>
      </c>
      <c r="I1041" t="s">
        <v>463</v>
      </c>
    </row>
    <row r="1042" spans="1:9" x14ac:dyDescent="0.15">
      <c r="A1042" t="str">
        <f t="shared" ref="A1042:B1042" si="1261">A1041</f>
        <v>フランス語</v>
      </c>
      <c r="B1042">
        <f t="shared" si="1261"/>
        <v>13</v>
      </c>
      <c r="C1042">
        <f t="shared" si="1224"/>
        <v>94</v>
      </c>
      <c r="D1042">
        <v>0</v>
      </c>
      <c r="E1042" t="str">
        <f>VLOOKUP(D1042,name!A:B,2,1)</f>
        <v>Player</v>
      </c>
      <c r="F1042" t="str">
        <f t="shared" si="1244"/>
        <v>Comment as-tu trouvé le film ?</v>
      </c>
      <c r="G1042" t="str">
        <f>IF(B1042&lt;&gt;B1983,"e",IF(D1042=0,"q","a"))</f>
        <v>e</v>
      </c>
      <c r="H1042" t="str">
        <f>VLOOKUP(D1042,name!A:C,3,1)</f>
        <v>assets/icons/image326.png</v>
      </c>
      <c r="I1042" t="str">
        <f>IF(A1042="","",VLOOKUP(A1042,lng!A:B,2,0))</f>
        <v>fr-FR</v>
      </c>
    </row>
    <row r="1043" spans="1:9" x14ac:dyDescent="0.15">
      <c r="A1043" t="str">
        <f t="shared" ref="A1043:B1043" si="1262">A1042</f>
        <v>フランス語</v>
      </c>
      <c r="B1043">
        <f t="shared" si="1262"/>
        <v>13</v>
      </c>
      <c r="C1043">
        <f t="shared" si="1224"/>
        <v>95</v>
      </c>
      <c r="D1043">
        <f>D966</f>
        <v>5</v>
      </c>
      <c r="E1043" t="str">
        <f>VLOOKUP(D1043,name!A:B,2,1)</f>
        <v>Minako</v>
      </c>
      <c r="F1043" t="str">
        <f t="shared" si="1244"/>
        <v>気に入りました。</v>
      </c>
      <c r="G1043" t="str">
        <f t="shared" ref="G1043:G1044" si="1263">IF(B1043&lt;&gt;B1044,"e",IF(D1043=0,"q","a"))</f>
        <v>a</v>
      </c>
      <c r="H1043" t="str">
        <f>VLOOKUP(D1043,name!A:C,3,1)</f>
        <v>assets/icons/image086.png</v>
      </c>
      <c r="I1043" t="s">
        <v>463</v>
      </c>
    </row>
    <row r="1044" spans="1:9" x14ac:dyDescent="0.15">
      <c r="A1044" t="str">
        <f t="shared" ref="A1044:B1044" si="1264">A1043</f>
        <v>フランス語</v>
      </c>
      <c r="B1044">
        <f t="shared" si="1264"/>
        <v>13</v>
      </c>
      <c r="C1044">
        <f t="shared" si="1224"/>
        <v>96</v>
      </c>
      <c r="D1044">
        <v>0</v>
      </c>
      <c r="E1044" t="str">
        <f>VLOOKUP(D1044,name!A:B,2,1)</f>
        <v>Player</v>
      </c>
      <c r="F1044" t="str">
        <f t="shared" si="1244"/>
        <v>Je l'ai bien aimé.</v>
      </c>
      <c r="G1044" t="str">
        <f t="shared" si="1263"/>
        <v>q</v>
      </c>
      <c r="H1044" t="str">
        <f>VLOOKUP(D1044,name!A:C,3,1)</f>
        <v>assets/icons/image326.png</v>
      </c>
      <c r="I1044" t="str">
        <f>IF(A1044="","",VLOOKUP(A1044,lng!A:B,2,0))</f>
        <v>fr-FR</v>
      </c>
    </row>
    <row r="1045" spans="1:9" x14ac:dyDescent="0.15">
      <c r="A1045" t="str">
        <f t="shared" ref="A1045:B1045" si="1265">A1044</f>
        <v>フランス語</v>
      </c>
      <c r="B1045">
        <f t="shared" si="1265"/>
        <v>13</v>
      </c>
      <c r="C1045">
        <f t="shared" si="1224"/>
        <v>97</v>
      </c>
      <c r="D1045">
        <f>D968</f>
        <v>5</v>
      </c>
      <c r="E1045" t="str">
        <f>VLOOKUP(D1045,name!A:B,2,1)</f>
        <v>Minako</v>
      </c>
      <c r="F1045" t="str">
        <f t="shared" si="1244"/>
        <v>主人公は感じの良い若者ですね。</v>
      </c>
      <c r="G1045" t="str">
        <f>IF(B1045&lt;&gt;B1986,"e",IF(D1045=0,"q","a"))</f>
        <v>e</v>
      </c>
      <c r="H1045" t="str">
        <f>VLOOKUP(D1045,name!A:C,3,1)</f>
        <v>assets/icons/image086.png</v>
      </c>
      <c r="I1045" t="s">
        <v>463</v>
      </c>
    </row>
    <row r="1046" spans="1:9" x14ac:dyDescent="0.15">
      <c r="A1046" t="str">
        <f t="shared" ref="A1046:B1046" si="1266">A1045</f>
        <v>フランス語</v>
      </c>
      <c r="B1046">
        <f t="shared" si="1266"/>
        <v>13</v>
      </c>
      <c r="C1046">
        <f t="shared" si="1224"/>
        <v>98</v>
      </c>
      <c r="D1046">
        <v>0</v>
      </c>
      <c r="E1046" t="str">
        <f>VLOOKUP(D1046,name!A:B,2,1)</f>
        <v>Player</v>
      </c>
      <c r="F1046" t="str">
        <f t="shared" si="1244"/>
        <v>Le héros est un jeune homme sympathique.</v>
      </c>
      <c r="G1046" t="str">
        <f t="shared" ref="G1046:G1047" si="1267">IF(B1046&lt;&gt;B1047,"e",IF(D1046=0,"q","a"))</f>
        <v>q</v>
      </c>
      <c r="H1046" t="str">
        <f>VLOOKUP(D1046,name!A:C,3,1)</f>
        <v>assets/icons/image326.png</v>
      </c>
      <c r="I1046" t="str">
        <f>IF(A1046="","",VLOOKUP(A1046,lng!A:B,2,0))</f>
        <v>fr-FR</v>
      </c>
    </row>
    <row r="1047" spans="1:9" x14ac:dyDescent="0.15">
      <c r="A1047" t="str">
        <f t="shared" ref="A1047:B1047" si="1268">A1046</f>
        <v>フランス語</v>
      </c>
      <c r="B1047">
        <f t="shared" si="1268"/>
        <v>13</v>
      </c>
      <c r="C1047">
        <f t="shared" si="1224"/>
        <v>99</v>
      </c>
      <c r="D1047">
        <f>D970</f>
        <v>6</v>
      </c>
      <c r="E1047" t="str">
        <f>VLOOKUP(D1047,name!A:B,2,1)</f>
        <v>Céline</v>
      </c>
      <c r="F1047" t="str">
        <f t="shared" si="1244"/>
        <v>しかし、彼がガールフレンドのベッドの下に隠れたのには、笑いました。</v>
      </c>
      <c r="G1047" t="str">
        <f t="shared" si="1267"/>
        <v>a</v>
      </c>
      <c r="H1047" t="str">
        <f>VLOOKUP(D1047,name!A:C,3,1)</f>
        <v>assets/icons/image078.png</v>
      </c>
      <c r="I1047" t="s">
        <v>463</v>
      </c>
    </row>
    <row r="1048" spans="1:9" x14ac:dyDescent="0.15">
      <c r="A1048" t="str">
        <f t="shared" ref="A1048:B1048" si="1269">A1047</f>
        <v>フランス語</v>
      </c>
      <c r="B1048">
        <f t="shared" si="1269"/>
        <v>13</v>
      </c>
      <c r="C1048">
        <f t="shared" si="1224"/>
        <v>100</v>
      </c>
      <c r="D1048">
        <v>0</v>
      </c>
      <c r="E1048" t="str">
        <f>VLOOKUP(D1048,name!A:B,2,1)</f>
        <v>Player</v>
      </c>
      <c r="F1048" t="str">
        <f t="shared" si="1244"/>
        <v>Mais j'ai ri quand il s'est caché sous le lit de sa petite amie.</v>
      </c>
      <c r="G1048" t="str">
        <f>IF(B1048&lt;&gt;B1989,"e",IF(D1048=0,"q","a"))</f>
        <v>e</v>
      </c>
      <c r="H1048" t="str">
        <f>VLOOKUP(D1048,name!A:C,3,1)</f>
        <v>assets/icons/image326.png</v>
      </c>
      <c r="I1048" t="str">
        <f>IF(A1048="","",VLOOKUP(A1048,lng!A:B,2,0))</f>
        <v>fr-FR</v>
      </c>
    </row>
    <row r="1049" spans="1:9" x14ac:dyDescent="0.15">
      <c r="A1049" t="str">
        <f t="shared" ref="A1049:B1049" si="1270">A1048</f>
        <v>フランス語</v>
      </c>
      <c r="B1049">
        <f t="shared" si="1270"/>
        <v>13</v>
      </c>
      <c r="C1049">
        <f t="shared" si="1224"/>
        <v>101</v>
      </c>
      <c r="D1049">
        <f>D972</f>
        <v>5</v>
      </c>
      <c r="E1049" t="str">
        <f>VLOOKUP(D1049,name!A:B,2,1)</f>
        <v>Minako</v>
      </c>
      <c r="F1049" t="str">
        <f t="shared" si="1244"/>
        <v>そうそう、少しばかげてますね。</v>
      </c>
      <c r="G1049" t="str">
        <f t="shared" ref="G1049:G1050" si="1271">IF(B1049&lt;&gt;B1050,"e",IF(D1049=0,"q","a"))</f>
        <v>a</v>
      </c>
      <c r="H1049" t="str">
        <f>VLOOKUP(D1049,name!A:C,3,1)</f>
        <v>assets/icons/image086.png</v>
      </c>
      <c r="I1049" t="s">
        <v>463</v>
      </c>
    </row>
    <row r="1050" spans="1:9" x14ac:dyDescent="0.15">
      <c r="A1050" t="str">
        <f t="shared" ref="A1050:B1050" si="1272">A1049</f>
        <v>フランス語</v>
      </c>
      <c r="B1050">
        <f t="shared" si="1272"/>
        <v>13</v>
      </c>
      <c r="C1050">
        <f t="shared" si="1224"/>
        <v>102</v>
      </c>
      <c r="D1050">
        <v>0</v>
      </c>
      <c r="E1050" t="str">
        <f>VLOOKUP(D1050,name!A:B,2,1)</f>
        <v>Player</v>
      </c>
      <c r="F1050" t="str">
        <f t="shared" si="1244"/>
        <v>Ah oui, un peu ridicule.</v>
      </c>
      <c r="G1050" t="str">
        <f t="shared" si="1271"/>
        <v>q</v>
      </c>
      <c r="H1050" t="str">
        <f>VLOOKUP(D1050,name!A:C,3,1)</f>
        <v>assets/icons/image326.png</v>
      </c>
      <c r="I1050" t="str">
        <f>IF(A1050="","",VLOOKUP(A1050,lng!A:B,2,0))</f>
        <v>fr-FR</v>
      </c>
    </row>
    <row r="1051" spans="1:9" x14ac:dyDescent="0.15">
      <c r="A1051" t="str">
        <f t="shared" ref="A1051:B1051" si="1273">A1050</f>
        <v>フランス語</v>
      </c>
      <c r="B1051">
        <f t="shared" si="1273"/>
        <v>13</v>
      </c>
      <c r="C1051">
        <f t="shared" si="1224"/>
        <v>103</v>
      </c>
      <c r="D1051">
        <f>D974</f>
        <v>6</v>
      </c>
      <c r="E1051" t="str">
        <f>VLOOKUP(D1051,name!A:B,2,1)</f>
        <v>Céline</v>
      </c>
      <c r="F1051" t="str">
        <f t="shared" si="1244"/>
        <v>そして結末、私は気に入りません。</v>
      </c>
      <c r="G1051" t="str">
        <f>IF(B1051&lt;&gt;B1992,"e",IF(D1051=0,"q","a"))</f>
        <v>e</v>
      </c>
      <c r="H1051" t="str">
        <f>VLOOKUP(D1051,name!A:C,3,1)</f>
        <v>assets/icons/image078.png</v>
      </c>
      <c r="I1051" t="s">
        <v>463</v>
      </c>
    </row>
    <row r="1052" spans="1:9" x14ac:dyDescent="0.15">
      <c r="A1052" t="str">
        <f t="shared" ref="A1052:B1052" si="1274">A1051</f>
        <v>フランス語</v>
      </c>
      <c r="B1052">
        <f t="shared" si="1274"/>
        <v>13</v>
      </c>
      <c r="C1052">
        <f t="shared" si="1224"/>
        <v>104</v>
      </c>
      <c r="D1052">
        <v>0</v>
      </c>
      <c r="E1052" t="str">
        <f>VLOOKUP(D1052,name!A:B,2,1)</f>
        <v>Player</v>
      </c>
      <c r="F1052" t="str">
        <f t="shared" si="1244"/>
        <v>Et le dénouement, je ne l'aime pas.</v>
      </c>
      <c r="G1052" t="str">
        <f t="shared" ref="G1052:G1053" si="1275">IF(B1052&lt;&gt;B1053,"e",IF(D1052=0,"q","a"))</f>
        <v>q</v>
      </c>
      <c r="H1052" t="str">
        <f>VLOOKUP(D1052,name!A:C,3,1)</f>
        <v>assets/icons/image326.png</v>
      </c>
      <c r="I1052" t="str">
        <f>IF(A1052="","",VLOOKUP(A1052,lng!A:B,2,0))</f>
        <v>fr-FR</v>
      </c>
    </row>
    <row r="1053" spans="1:9" x14ac:dyDescent="0.15">
      <c r="A1053" t="str">
        <f t="shared" ref="A1053:B1053" si="1276">A1052</f>
        <v>フランス語</v>
      </c>
      <c r="B1053">
        <f t="shared" si="1276"/>
        <v>13</v>
      </c>
      <c r="C1053">
        <f t="shared" si="1224"/>
        <v>105</v>
      </c>
      <c r="D1053">
        <f>D976</f>
        <v>6</v>
      </c>
      <c r="E1053" t="str">
        <f>VLOOKUP(D1053,name!A:B,2,1)</f>
        <v>Céline</v>
      </c>
      <c r="F1053" t="str">
        <f t="shared" si="1244"/>
        <v>主人公とヒロインはお互いを愛しています。</v>
      </c>
      <c r="G1053" t="str">
        <f t="shared" si="1275"/>
        <v>a</v>
      </c>
      <c r="H1053" t="str">
        <f>VLOOKUP(D1053,name!A:C,3,1)</f>
        <v>assets/icons/image078.png</v>
      </c>
      <c r="I1053" t="s">
        <v>463</v>
      </c>
    </row>
    <row r="1054" spans="1:9" x14ac:dyDescent="0.15">
      <c r="A1054" t="str">
        <f t="shared" ref="A1054:B1054" si="1277">A1053</f>
        <v>フランス語</v>
      </c>
      <c r="B1054">
        <f t="shared" si="1277"/>
        <v>13</v>
      </c>
      <c r="C1054">
        <f t="shared" si="1224"/>
        <v>106</v>
      </c>
      <c r="D1054">
        <v>0</v>
      </c>
      <c r="E1054" t="str">
        <f>VLOOKUP(D1054,name!A:B,2,1)</f>
        <v>Player</v>
      </c>
      <c r="F1054" t="str">
        <f t="shared" si="1244"/>
        <v>Le héros et l'héroïne s'aiment.</v>
      </c>
      <c r="G1054" t="str">
        <f>IF(B1054&lt;&gt;B1995,"e",IF(D1054=0,"q","a"))</f>
        <v>e</v>
      </c>
      <c r="H1054" t="str">
        <f>VLOOKUP(D1054,name!A:C,3,1)</f>
        <v>assets/icons/image326.png</v>
      </c>
      <c r="I1054" t="str">
        <f>IF(A1054="","",VLOOKUP(A1054,lng!A:B,2,0))</f>
        <v>fr-FR</v>
      </c>
    </row>
    <row r="1055" spans="1:9" x14ac:dyDescent="0.15">
      <c r="A1055" t="str">
        <f t="shared" ref="A1055:B1055" si="1278">A1054</f>
        <v>フランス語</v>
      </c>
      <c r="B1055">
        <f t="shared" si="1278"/>
        <v>13</v>
      </c>
      <c r="C1055">
        <f t="shared" si="1224"/>
        <v>107</v>
      </c>
      <c r="D1055">
        <f>D978</f>
        <v>6</v>
      </c>
      <c r="E1055" t="str">
        <f>VLOOKUP(D1055,name!A:B,2,1)</f>
        <v>Céline</v>
      </c>
      <c r="F1055" t="str">
        <f t="shared" si="1244"/>
        <v>なぜ彼らはお互いを離れなければならないのですか?</v>
      </c>
      <c r="G1055" t="str">
        <f t="shared" ref="G1055" si="1279">IF(B1055&lt;&gt;B1056,"e",IF(D1055=0,"q","a"))</f>
        <v>a</v>
      </c>
      <c r="H1055" t="str">
        <f>VLOOKUP(D1055,name!A:C,3,1)</f>
        <v>assets/icons/image078.png</v>
      </c>
      <c r="I1055" t="s">
        <v>463</v>
      </c>
    </row>
    <row r="1056" spans="1:9" x14ac:dyDescent="0.15">
      <c r="A1056" t="str">
        <f t="shared" ref="A1056:B1056" si="1280">A1055</f>
        <v>フランス語</v>
      </c>
      <c r="B1056">
        <f t="shared" si="1280"/>
        <v>13</v>
      </c>
      <c r="C1056">
        <f t="shared" si="1224"/>
        <v>108</v>
      </c>
      <c r="D1056">
        <v>0</v>
      </c>
      <c r="E1056" t="str">
        <f>VLOOKUP(D1056,name!A:B,2,1)</f>
        <v>Player</v>
      </c>
      <c r="F1056" t="str">
        <f t="shared" si="1244"/>
        <v>Pourquoi ils doivent se quitter ?</v>
      </c>
      <c r="G1056" t="str">
        <f>IF(B1056&lt;&gt;B1997,"e",IF(D1056=0,"q","a"))</f>
        <v>e</v>
      </c>
      <c r="H1056" t="str">
        <f>VLOOKUP(D1056,name!A:C,3,1)</f>
        <v>assets/icons/image326.png</v>
      </c>
      <c r="I1056" t="str">
        <f>IF(A1056="","",VLOOKUP(A1056,lng!A:B,2,0))</f>
        <v>fr-FR</v>
      </c>
    </row>
    <row r="1057" spans="1:12" x14ac:dyDescent="0.15">
      <c r="A1057" t="str">
        <f t="shared" ref="A1057:B1057" si="1281">A1056</f>
        <v>フランス語</v>
      </c>
      <c r="B1057">
        <f t="shared" si="1281"/>
        <v>13</v>
      </c>
      <c r="C1057">
        <f t="shared" si="1224"/>
        <v>109</v>
      </c>
      <c r="D1057">
        <f>D980</f>
        <v>5</v>
      </c>
      <c r="E1057" t="str">
        <f>VLOOKUP(D1057,name!A:B,2,1)</f>
        <v>Minako</v>
      </c>
      <c r="F1057" t="str">
        <f t="shared" si="1244"/>
        <v>人生はしばしばそのようなものです。</v>
      </c>
      <c r="G1057" t="str">
        <f t="shared" ref="G1057" si="1282">IF(B1057&lt;&gt;B1058,"e",IF(D1057=0,"q","a"))</f>
        <v>a</v>
      </c>
      <c r="H1057" t="str">
        <f>VLOOKUP(D1057,name!A:C,3,1)</f>
        <v>assets/icons/image086.png</v>
      </c>
      <c r="I1057" t="s">
        <v>463</v>
      </c>
    </row>
    <row r="1058" spans="1:12" x14ac:dyDescent="0.15">
      <c r="A1058" t="str">
        <f t="shared" ref="A1058:B1058" si="1283">A1057</f>
        <v>フランス語</v>
      </c>
      <c r="B1058">
        <f t="shared" si="1283"/>
        <v>13</v>
      </c>
      <c r="C1058">
        <f t="shared" si="1224"/>
        <v>110</v>
      </c>
      <c r="D1058">
        <v>0</v>
      </c>
      <c r="E1058" t="str">
        <f>VLOOKUP(D1058,name!A:B,2,1)</f>
        <v>Player</v>
      </c>
      <c r="F1058" t="str">
        <f t="shared" si="1244"/>
        <v>La vie est souvent comme ça.</v>
      </c>
      <c r="G1058" t="str">
        <f>IF(B1058&lt;&gt;B1999,"e",IF(D1058=0,"q","a"))</f>
        <v>e</v>
      </c>
      <c r="H1058" t="str">
        <f>VLOOKUP(D1058,name!A:C,3,1)</f>
        <v>assets/icons/image326.png</v>
      </c>
      <c r="I1058" t="str">
        <f>IF(A1058="","",VLOOKUP(A1058,lng!A:B,2,0))</f>
        <v>fr-FR</v>
      </c>
    </row>
    <row r="1059" spans="1:12" x14ac:dyDescent="0.15">
      <c r="A1059" t="str">
        <f t="shared" ref="A1059:B1059" si="1284">A1058</f>
        <v>フランス語</v>
      </c>
      <c r="B1059">
        <f t="shared" si="1284"/>
        <v>13</v>
      </c>
      <c r="C1059">
        <f t="shared" si="1224"/>
        <v>111</v>
      </c>
      <c r="D1059">
        <v>1</v>
      </c>
      <c r="E1059" t="str">
        <f>VLOOKUP(D1059,name!A:B,2,1)</f>
        <v>Navigator</v>
      </c>
      <c r="F1059" t="str">
        <f>"とても良くできました。レッスン"&amp;B1059&amp;"はこれで終了です。"</f>
        <v>とても良くできました。レッスン13はこれで終了です。</v>
      </c>
      <c r="G1059" t="str">
        <f t="shared" ref="G1059" si="1285">IF(B1059&lt;&gt;B1060,"e",IF(D1059=0,"q","a"))</f>
        <v>e</v>
      </c>
      <c r="H1059" t="str">
        <f>VLOOKUP(D1059,name!A:C,3,1)</f>
        <v>assets/icons/image014.png</v>
      </c>
      <c r="I1059" t="s">
        <v>463</v>
      </c>
    </row>
    <row r="1060" spans="1:12" x14ac:dyDescent="0.15">
      <c r="A1060" t="str">
        <f>A1059</f>
        <v>フランス語</v>
      </c>
      <c r="B1060">
        <f>B1059+1</f>
        <v>14</v>
      </c>
      <c r="C1060">
        <v>1</v>
      </c>
      <c r="D1060">
        <v>1</v>
      </c>
      <c r="E1060" t="str">
        <f>VLOOKUP(D1060,name!A:B,2,1)</f>
        <v>Navigator</v>
      </c>
      <c r="F1060" t="s">
        <v>714</v>
      </c>
      <c r="G1060" t="str">
        <f>IF(B1060&lt;&gt;B2001,"e",IF(D1060=0,"q","a"))</f>
        <v>e</v>
      </c>
      <c r="H1060" t="str">
        <f>VLOOKUP(D1060,name!A:C,3,1)</f>
        <v>assets/icons/image014.png</v>
      </c>
      <c r="I1060" t="str">
        <f>IF(A1060="","",VLOOKUP(A1060,lng!A:B,2,0))</f>
        <v>fr-FR</v>
      </c>
    </row>
    <row r="1061" spans="1:12" x14ac:dyDescent="0.15">
      <c r="A1061" t="str">
        <f t="shared" ref="A1061:B1076" si="1286">A1060</f>
        <v>フランス語</v>
      </c>
      <c r="B1061">
        <f>B1060</f>
        <v>14</v>
      </c>
      <c r="C1061">
        <f>C1060+1</f>
        <v>2</v>
      </c>
      <c r="D1061">
        <v>1</v>
      </c>
      <c r="E1061" t="str">
        <f>VLOOKUP(D1061,name!A:B,2,1)</f>
        <v>Navigator</v>
      </c>
      <c r="F1061" t="str">
        <f>"レッスン"&amp;B1061</f>
        <v>レッスン14</v>
      </c>
      <c r="G1061" t="str">
        <f t="shared" ref="G1061" si="1287">IF(B1061&lt;&gt;B1062,"e",IF(D1061=0,"q","a"))</f>
        <v>a</v>
      </c>
      <c r="H1061" t="str">
        <f>VLOOKUP(D1061,name!A:C,3,1)</f>
        <v>assets/icons/image014.png</v>
      </c>
      <c r="I1061" t="s">
        <v>463</v>
      </c>
    </row>
    <row r="1062" spans="1:12" ht="40.5" x14ac:dyDescent="0.15">
      <c r="A1062" t="str">
        <f t="shared" si="1286"/>
        <v>フランス語</v>
      </c>
      <c r="B1062">
        <f t="shared" si="1286"/>
        <v>14</v>
      </c>
      <c r="C1062">
        <f t="shared" ref="C1062:C1125" si="1288">C1061+1</f>
        <v>3</v>
      </c>
      <c r="D1062">
        <v>1</v>
      </c>
      <c r="E1062" t="str">
        <f>VLOOKUP(D1062,name!A:B,2,1)</f>
        <v>Navigator</v>
      </c>
      <c r="F1062" s="1" t="str">
        <f>"まずは対話文を流します。その後に、日本語と"&amp;A1062&amp;"を一文ずつ流すので"&amp;A1062&amp;"を真似して下さい。最後に日本語のみを流すので、"&amp;A1062&amp;"で答えてください。"</f>
        <v>まずは対話文を流します。その後に、日本語とフランス語を一文ずつ流すのでフランス語を真似して下さい。最後に日本語のみを流すので、フランス語で答えてください。</v>
      </c>
      <c r="G1062" t="str">
        <f>IF(B1062&lt;&gt;B2003,"e",IF(D1062=0,"q","a"))</f>
        <v>e</v>
      </c>
      <c r="H1062" t="str">
        <f>VLOOKUP(D1062,name!A:C,3,1)</f>
        <v>assets/icons/image014.png</v>
      </c>
      <c r="I1062" t="s">
        <v>463</v>
      </c>
      <c r="L1062" s="1"/>
    </row>
    <row r="1063" spans="1:12" x14ac:dyDescent="0.15">
      <c r="A1063" t="str">
        <f t="shared" si="1286"/>
        <v>フランス語</v>
      </c>
      <c r="B1063">
        <f t="shared" si="1286"/>
        <v>14</v>
      </c>
      <c r="C1063">
        <f t="shared" si="1288"/>
        <v>4</v>
      </c>
      <c r="D1063">
        <f>D1064</f>
        <v>7</v>
      </c>
      <c r="E1063" t="str">
        <f>VLOOKUP(D1063,name!A:B,2,1)</f>
        <v>Luigi</v>
      </c>
      <c r="F1063" t="s">
        <v>727</v>
      </c>
      <c r="G1063" t="str">
        <f t="shared" ref="G1063" si="1289">IF(B1063&lt;&gt;B1064,"e",IF(D1063=0,"q","a"))</f>
        <v>a</v>
      </c>
      <c r="H1063" t="str">
        <f>VLOOKUP(D1063,name!A:C,3,1)</f>
        <v>assets/icons/image023.png</v>
      </c>
      <c r="I1063" t="s">
        <v>463</v>
      </c>
    </row>
    <row r="1064" spans="1:12" x14ac:dyDescent="0.15">
      <c r="A1064" t="str">
        <f t="shared" si="1286"/>
        <v>フランス語</v>
      </c>
      <c r="B1064">
        <f t="shared" si="1286"/>
        <v>14</v>
      </c>
      <c r="C1064">
        <f t="shared" si="1288"/>
        <v>5</v>
      </c>
      <c r="D1064">
        <v>7</v>
      </c>
      <c r="E1064" t="str">
        <f>VLOOKUP(D1064,name!A:B,2,1)</f>
        <v>Luigi</v>
      </c>
      <c r="F1064" t="s">
        <v>715</v>
      </c>
      <c r="G1064" t="str">
        <f>IF(B1064&lt;&gt;B2005,"e",IF(D1064=0,"q","a"))</f>
        <v>e</v>
      </c>
      <c r="H1064" t="str">
        <f>VLOOKUP(D1064,name!A:C,3,1)</f>
        <v>assets/icons/image023.png</v>
      </c>
      <c r="I1064" t="str">
        <f>IF(A1064="","",VLOOKUP(A1064,lng!A:B,2,0))</f>
        <v>fr-FR</v>
      </c>
    </row>
    <row r="1065" spans="1:12" x14ac:dyDescent="0.15">
      <c r="A1065" t="str">
        <f t="shared" si="1286"/>
        <v>フランス語</v>
      </c>
      <c r="B1065">
        <f t="shared" si="1286"/>
        <v>14</v>
      </c>
      <c r="C1065">
        <f t="shared" si="1288"/>
        <v>6</v>
      </c>
      <c r="D1065">
        <f t="shared" ref="D1065:D1085" si="1290">D1066</f>
        <v>5</v>
      </c>
      <c r="E1065" t="str">
        <f>VLOOKUP(D1065,name!A:B,2,1)</f>
        <v>Minako</v>
      </c>
      <c r="F1065" t="s">
        <v>728</v>
      </c>
      <c r="G1065" t="str">
        <f t="shared" ref="G1065" si="1291">IF(B1065&lt;&gt;B1066,"e",IF(D1065=0,"q","a"))</f>
        <v>a</v>
      </c>
      <c r="H1065" t="str">
        <f>VLOOKUP(D1065,name!A:C,3,1)</f>
        <v>assets/icons/image086.png</v>
      </c>
      <c r="I1065" t="s">
        <v>463</v>
      </c>
    </row>
    <row r="1066" spans="1:12" x14ac:dyDescent="0.15">
      <c r="A1066" t="str">
        <f t="shared" si="1286"/>
        <v>フランス語</v>
      </c>
      <c r="B1066">
        <f t="shared" si="1286"/>
        <v>14</v>
      </c>
      <c r="C1066">
        <f t="shared" si="1288"/>
        <v>7</v>
      </c>
      <c r="D1066">
        <v>5</v>
      </c>
      <c r="E1066" t="str">
        <f>VLOOKUP(D1066,name!A:B,2,1)</f>
        <v>Minako</v>
      </c>
      <c r="F1066" t="s">
        <v>716</v>
      </c>
      <c r="G1066" t="str">
        <f>IF(B1066&lt;&gt;B2007,"e",IF(D1066=0,"q","a"))</f>
        <v>e</v>
      </c>
      <c r="H1066" t="str">
        <f>VLOOKUP(D1066,name!A:C,3,1)</f>
        <v>assets/icons/image086.png</v>
      </c>
      <c r="I1066" t="str">
        <f>IF(A1066="","",VLOOKUP(A1066,lng!A:B,2,0))</f>
        <v>fr-FR</v>
      </c>
    </row>
    <row r="1067" spans="1:12" x14ac:dyDescent="0.15">
      <c r="A1067" t="str">
        <f t="shared" si="1286"/>
        <v>フランス語</v>
      </c>
      <c r="B1067">
        <f t="shared" si="1286"/>
        <v>14</v>
      </c>
      <c r="C1067">
        <f t="shared" si="1288"/>
        <v>8</v>
      </c>
      <c r="D1067">
        <f t="shared" si="1290"/>
        <v>7</v>
      </c>
      <c r="E1067" t="str">
        <f>VLOOKUP(D1067,name!A:B,2,1)</f>
        <v>Luigi</v>
      </c>
      <c r="F1067" t="s">
        <v>729</v>
      </c>
      <c r="G1067" t="str">
        <f t="shared" ref="G1067" si="1292">IF(B1067&lt;&gt;B1068,"e",IF(D1067=0,"q","a"))</f>
        <v>a</v>
      </c>
      <c r="H1067" t="str">
        <f>VLOOKUP(D1067,name!A:C,3,1)</f>
        <v>assets/icons/image023.png</v>
      </c>
      <c r="I1067" t="s">
        <v>463</v>
      </c>
    </row>
    <row r="1068" spans="1:12" x14ac:dyDescent="0.15">
      <c r="A1068" t="str">
        <f t="shared" si="1286"/>
        <v>フランス語</v>
      </c>
      <c r="B1068">
        <f t="shared" si="1286"/>
        <v>14</v>
      </c>
      <c r="C1068">
        <f t="shared" si="1288"/>
        <v>9</v>
      </c>
      <c r="D1068">
        <v>7</v>
      </c>
      <c r="E1068" t="str">
        <f>VLOOKUP(D1068,name!A:B,2,1)</f>
        <v>Luigi</v>
      </c>
      <c r="F1068" t="s">
        <v>717</v>
      </c>
      <c r="G1068" t="str">
        <f>IF(B1068&lt;&gt;B2009,"e",IF(D1068=0,"q","a"))</f>
        <v>e</v>
      </c>
      <c r="H1068" t="str">
        <f>VLOOKUP(D1068,name!A:C,3,1)</f>
        <v>assets/icons/image023.png</v>
      </c>
      <c r="I1068" t="str">
        <f>IF(A1068="","",VLOOKUP(A1068,lng!A:B,2,0))</f>
        <v>fr-FR</v>
      </c>
    </row>
    <row r="1069" spans="1:12" x14ac:dyDescent="0.15">
      <c r="A1069" t="str">
        <f t="shared" si="1286"/>
        <v>フランス語</v>
      </c>
      <c r="B1069">
        <f t="shared" si="1286"/>
        <v>14</v>
      </c>
      <c r="C1069">
        <f t="shared" si="1288"/>
        <v>10</v>
      </c>
      <c r="D1069">
        <f t="shared" si="1290"/>
        <v>5</v>
      </c>
      <c r="E1069" t="str">
        <f>VLOOKUP(D1069,name!A:B,2,1)</f>
        <v>Minako</v>
      </c>
      <c r="F1069" t="s">
        <v>730</v>
      </c>
      <c r="G1069" t="str">
        <f t="shared" ref="G1069" si="1293">IF(B1069&lt;&gt;B1070,"e",IF(D1069=0,"q","a"))</f>
        <v>a</v>
      </c>
      <c r="H1069" t="str">
        <f>VLOOKUP(D1069,name!A:C,3,1)</f>
        <v>assets/icons/image086.png</v>
      </c>
      <c r="I1069" t="s">
        <v>463</v>
      </c>
    </row>
    <row r="1070" spans="1:12" x14ac:dyDescent="0.15">
      <c r="A1070" t="str">
        <f t="shared" si="1286"/>
        <v>フランス語</v>
      </c>
      <c r="B1070">
        <f t="shared" si="1286"/>
        <v>14</v>
      </c>
      <c r="C1070">
        <f t="shared" si="1288"/>
        <v>11</v>
      </c>
      <c r="D1070">
        <v>5</v>
      </c>
      <c r="E1070" t="str">
        <f>VLOOKUP(D1070,name!A:B,2,1)</f>
        <v>Minako</v>
      </c>
      <c r="F1070" t="s">
        <v>718</v>
      </c>
      <c r="G1070" t="str">
        <f>IF(B1070&lt;&gt;B2011,"e",IF(D1070=0,"q","a"))</f>
        <v>e</v>
      </c>
      <c r="H1070" t="str">
        <f>VLOOKUP(D1070,name!A:C,3,1)</f>
        <v>assets/icons/image086.png</v>
      </c>
      <c r="I1070" t="str">
        <f>IF(A1070="","",VLOOKUP(A1070,lng!A:B,2,0))</f>
        <v>fr-FR</v>
      </c>
    </row>
    <row r="1071" spans="1:12" x14ac:dyDescent="0.15">
      <c r="A1071" t="str">
        <f t="shared" si="1286"/>
        <v>フランス語</v>
      </c>
      <c r="B1071">
        <f t="shared" si="1286"/>
        <v>14</v>
      </c>
      <c r="C1071">
        <f t="shared" si="1288"/>
        <v>12</v>
      </c>
      <c r="D1071">
        <f t="shared" si="1290"/>
        <v>7</v>
      </c>
      <c r="E1071" t="str">
        <f>VLOOKUP(D1071,name!A:B,2,1)</f>
        <v>Luigi</v>
      </c>
      <c r="F1071" t="s">
        <v>731</v>
      </c>
      <c r="G1071" t="str">
        <f t="shared" ref="G1071" si="1294">IF(B1071&lt;&gt;B1072,"e",IF(D1071=0,"q","a"))</f>
        <v>a</v>
      </c>
      <c r="H1071" t="str">
        <f>VLOOKUP(D1071,name!A:C,3,1)</f>
        <v>assets/icons/image023.png</v>
      </c>
      <c r="I1071" t="s">
        <v>463</v>
      </c>
    </row>
    <row r="1072" spans="1:12" x14ac:dyDescent="0.15">
      <c r="A1072" t="str">
        <f t="shared" si="1286"/>
        <v>フランス語</v>
      </c>
      <c r="B1072">
        <f t="shared" si="1286"/>
        <v>14</v>
      </c>
      <c r="C1072">
        <f t="shared" si="1288"/>
        <v>13</v>
      </c>
      <c r="D1072">
        <v>7</v>
      </c>
      <c r="E1072" t="str">
        <f>VLOOKUP(D1072,name!A:B,2,1)</f>
        <v>Luigi</v>
      </c>
      <c r="F1072" t="s">
        <v>719</v>
      </c>
      <c r="G1072" t="str">
        <f>IF(B1072&lt;&gt;B2013,"e",IF(D1072=0,"q","a"))</f>
        <v>e</v>
      </c>
      <c r="H1072" t="str">
        <f>VLOOKUP(D1072,name!A:C,3,1)</f>
        <v>assets/icons/image023.png</v>
      </c>
      <c r="I1072" t="str">
        <f>IF(A1072="","",VLOOKUP(A1072,lng!A:B,2,0))</f>
        <v>fr-FR</v>
      </c>
    </row>
    <row r="1073" spans="1:9" x14ac:dyDescent="0.15">
      <c r="A1073" t="str">
        <f t="shared" si="1286"/>
        <v>フランス語</v>
      </c>
      <c r="B1073">
        <f t="shared" si="1286"/>
        <v>14</v>
      </c>
      <c r="C1073">
        <f t="shared" si="1288"/>
        <v>14</v>
      </c>
      <c r="D1073">
        <f t="shared" si="1290"/>
        <v>6</v>
      </c>
      <c r="E1073" t="str">
        <f>VLOOKUP(D1073,name!A:B,2,1)</f>
        <v>Céline</v>
      </c>
      <c r="F1073" t="s">
        <v>732</v>
      </c>
      <c r="G1073" t="str">
        <f t="shared" ref="G1073" si="1295">IF(B1073&lt;&gt;B1074,"e",IF(D1073=0,"q","a"))</f>
        <v>a</v>
      </c>
      <c r="H1073" t="str">
        <f>VLOOKUP(D1073,name!A:C,3,1)</f>
        <v>assets/icons/image078.png</v>
      </c>
      <c r="I1073" t="s">
        <v>463</v>
      </c>
    </row>
    <row r="1074" spans="1:9" x14ac:dyDescent="0.15">
      <c r="A1074" t="str">
        <f t="shared" si="1286"/>
        <v>フランス語</v>
      </c>
      <c r="B1074">
        <f t="shared" si="1286"/>
        <v>14</v>
      </c>
      <c r="C1074">
        <f t="shared" si="1288"/>
        <v>15</v>
      </c>
      <c r="D1074">
        <v>6</v>
      </c>
      <c r="E1074" t="str">
        <f>VLOOKUP(D1074,name!A:B,2,1)</f>
        <v>Céline</v>
      </c>
      <c r="F1074" t="s">
        <v>720</v>
      </c>
      <c r="G1074" t="str">
        <f>IF(B1074&lt;&gt;B2015,"e",IF(D1074=0,"q","a"))</f>
        <v>e</v>
      </c>
      <c r="H1074" t="str">
        <f>VLOOKUP(D1074,name!A:C,3,1)</f>
        <v>assets/icons/image078.png</v>
      </c>
      <c r="I1074" t="str">
        <f>IF(A1074="","",VLOOKUP(A1074,lng!A:B,2,0))</f>
        <v>fr-FR</v>
      </c>
    </row>
    <row r="1075" spans="1:9" x14ac:dyDescent="0.15">
      <c r="A1075" t="str">
        <f t="shared" si="1286"/>
        <v>フランス語</v>
      </c>
      <c r="B1075">
        <f t="shared" si="1286"/>
        <v>14</v>
      </c>
      <c r="C1075">
        <f t="shared" si="1288"/>
        <v>16</v>
      </c>
      <c r="D1075">
        <f t="shared" si="1290"/>
        <v>6</v>
      </c>
      <c r="E1075" t="str">
        <f>VLOOKUP(D1075,name!A:B,2,1)</f>
        <v>Céline</v>
      </c>
      <c r="F1075" t="s">
        <v>733</v>
      </c>
      <c r="G1075" t="str">
        <f t="shared" ref="G1075" si="1296">IF(B1075&lt;&gt;B1076,"e",IF(D1075=0,"q","a"))</f>
        <v>a</v>
      </c>
      <c r="H1075" t="str">
        <f>VLOOKUP(D1075,name!A:C,3,1)</f>
        <v>assets/icons/image078.png</v>
      </c>
      <c r="I1075" t="s">
        <v>463</v>
      </c>
    </row>
    <row r="1076" spans="1:9" x14ac:dyDescent="0.15">
      <c r="A1076" t="str">
        <f t="shared" si="1286"/>
        <v>フランス語</v>
      </c>
      <c r="B1076">
        <f t="shared" si="1286"/>
        <v>14</v>
      </c>
      <c r="C1076">
        <f t="shared" si="1288"/>
        <v>17</v>
      </c>
      <c r="D1076">
        <v>6</v>
      </c>
      <c r="E1076" t="str">
        <f>VLOOKUP(D1076,name!A:B,2,1)</f>
        <v>Céline</v>
      </c>
      <c r="F1076" t="s">
        <v>721</v>
      </c>
      <c r="G1076" t="str">
        <f>IF(B1076&lt;&gt;B2017,"e",IF(D1076=0,"q","a"))</f>
        <v>e</v>
      </c>
      <c r="H1076" t="str">
        <f>VLOOKUP(D1076,name!A:C,3,1)</f>
        <v>assets/icons/image078.png</v>
      </c>
      <c r="I1076" t="str">
        <f>IF(A1076="","",VLOOKUP(A1076,lng!A:B,2,0))</f>
        <v>fr-FR</v>
      </c>
    </row>
    <row r="1077" spans="1:9" x14ac:dyDescent="0.15">
      <c r="A1077" t="str">
        <f t="shared" ref="A1077:B1082" si="1297">A1076</f>
        <v>フランス語</v>
      </c>
      <c r="B1077">
        <f t="shared" si="1297"/>
        <v>14</v>
      </c>
      <c r="C1077">
        <f t="shared" si="1288"/>
        <v>18</v>
      </c>
      <c r="D1077">
        <f t="shared" si="1290"/>
        <v>5</v>
      </c>
      <c r="E1077" t="str">
        <f>VLOOKUP(D1077,name!A:B,2,1)</f>
        <v>Minako</v>
      </c>
      <c r="F1077" t="s">
        <v>734</v>
      </c>
      <c r="G1077" t="str">
        <f t="shared" ref="G1077" si="1298">IF(B1077&lt;&gt;B1078,"e",IF(D1077=0,"q","a"))</f>
        <v>a</v>
      </c>
      <c r="H1077" t="str">
        <f>VLOOKUP(D1077,name!A:C,3,1)</f>
        <v>assets/icons/image086.png</v>
      </c>
      <c r="I1077" t="s">
        <v>463</v>
      </c>
    </row>
    <row r="1078" spans="1:9" x14ac:dyDescent="0.15">
      <c r="A1078" t="str">
        <f t="shared" si="1297"/>
        <v>フランス語</v>
      </c>
      <c r="B1078">
        <f t="shared" si="1297"/>
        <v>14</v>
      </c>
      <c r="C1078">
        <f t="shared" si="1288"/>
        <v>19</v>
      </c>
      <c r="D1078">
        <v>5</v>
      </c>
      <c r="E1078" t="str">
        <f>VLOOKUP(D1078,name!A:B,2,1)</f>
        <v>Minako</v>
      </c>
      <c r="F1078" t="s">
        <v>722</v>
      </c>
      <c r="G1078" t="str">
        <f>IF(B1078&lt;&gt;B2019,"e",IF(D1078=0,"q","a"))</f>
        <v>e</v>
      </c>
      <c r="H1078" t="str">
        <f>VLOOKUP(D1078,name!A:C,3,1)</f>
        <v>assets/icons/image086.png</v>
      </c>
      <c r="I1078" t="str">
        <f>IF(A1078="","",VLOOKUP(A1078,lng!A:B,2,0))</f>
        <v>fr-FR</v>
      </c>
    </row>
    <row r="1079" spans="1:9" x14ac:dyDescent="0.15">
      <c r="A1079" t="str">
        <f t="shared" si="1297"/>
        <v>フランス語</v>
      </c>
      <c r="B1079">
        <f t="shared" si="1297"/>
        <v>14</v>
      </c>
      <c r="C1079">
        <f t="shared" si="1288"/>
        <v>20</v>
      </c>
      <c r="D1079">
        <f t="shared" si="1290"/>
        <v>5</v>
      </c>
      <c r="E1079" t="str">
        <f>VLOOKUP(D1079,name!A:B,2,1)</f>
        <v>Minako</v>
      </c>
      <c r="F1079" t="s">
        <v>735</v>
      </c>
      <c r="G1079" t="str">
        <f t="shared" ref="G1079" si="1299">IF(B1079&lt;&gt;B1080,"e",IF(D1079=0,"q","a"))</f>
        <v>a</v>
      </c>
      <c r="H1079" t="str">
        <f>VLOOKUP(D1079,name!A:C,3,1)</f>
        <v>assets/icons/image086.png</v>
      </c>
      <c r="I1079" t="s">
        <v>463</v>
      </c>
    </row>
    <row r="1080" spans="1:9" x14ac:dyDescent="0.15">
      <c r="A1080" t="str">
        <f t="shared" si="1297"/>
        <v>フランス語</v>
      </c>
      <c r="B1080">
        <f t="shared" si="1297"/>
        <v>14</v>
      </c>
      <c r="C1080">
        <f t="shared" si="1288"/>
        <v>21</v>
      </c>
      <c r="D1080">
        <v>5</v>
      </c>
      <c r="E1080" t="str">
        <f>VLOOKUP(D1080,name!A:B,2,1)</f>
        <v>Minako</v>
      </c>
      <c r="F1080" t="s">
        <v>723</v>
      </c>
      <c r="G1080" t="str">
        <f>IF(B1080&lt;&gt;B2021,"e",IF(D1080=0,"q","a"))</f>
        <v>e</v>
      </c>
      <c r="H1080" t="str">
        <f>VLOOKUP(D1080,name!A:C,3,1)</f>
        <v>assets/icons/image086.png</v>
      </c>
      <c r="I1080" t="str">
        <f>IF(A1080="","",VLOOKUP(A1080,lng!A:B,2,0))</f>
        <v>fr-FR</v>
      </c>
    </row>
    <row r="1081" spans="1:9" x14ac:dyDescent="0.15">
      <c r="A1081" t="str">
        <f t="shared" si="1297"/>
        <v>フランス語</v>
      </c>
      <c r="B1081">
        <f t="shared" si="1297"/>
        <v>14</v>
      </c>
      <c r="C1081">
        <f t="shared" si="1288"/>
        <v>22</v>
      </c>
      <c r="D1081">
        <f t="shared" si="1290"/>
        <v>7</v>
      </c>
      <c r="E1081" t="str">
        <f>VLOOKUP(D1081,name!A:B,2,1)</f>
        <v>Luigi</v>
      </c>
      <c r="F1081" t="s">
        <v>736</v>
      </c>
      <c r="G1081" t="str">
        <f t="shared" ref="G1081" si="1300">IF(B1081&lt;&gt;B1082,"e",IF(D1081=0,"q","a"))</f>
        <v>a</v>
      </c>
      <c r="H1081" t="str">
        <f>VLOOKUP(D1081,name!A:C,3,1)</f>
        <v>assets/icons/image023.png</v>
      </c>
      <c r="I1081" t="s">
        <v>463</v>
      </c>
    </row>
    <row r="1082" spans="1:9" x14ac:dyDescent="0.15">
      <c r="A1082" t="str">
        <f t="shared" si="1297"/>
        <v>フランス語</v>
      </c>
      <c r="B1082">
        <f t="shared" si="1297"/>
        <v>14</v>
      </c>
      <c r="C1082">
        <f t="shared" si="1288"/>
        <v>23</v>
      </c>
      <c r="D1082">
        <f t="shared" si="1290"/>
        <v>7</v>
      </c>
      <c r="E1082" t="str">
        <f>VLOOKUP(D1082,name!A:B,2,1)</f>
        <v>Luigi</v>
      </c>
      <c r="F1082" t="s">
        <v>724</v>
      </c>
      <c r="G1082" t="str">
        <f>IF(B1082&lt;&gt;B2023,"e",IF(D1082=0,"q","a"))</f>
        <v>e</v>
      </c>
      <c r="H1082" t="str">
        <f>VLOOKUP(D1082,name!A:C,3,1)</f>
        <v>assets/icons/image023.png</v>
      </c>
      <c r="I1082" t="str">
        <f>IF(A1082="","",VLOOKUP(A1082,lng!A:B,2,0))</f>
        <v>fr-FR</v>
      </c>
    </row>
    <row r="1083" spans="1:9" x14ac:dyDescent="0.15">
      <c r="A1083" t="str">
        <f t="shared" ref="A1083:B1083" si="1301">A1082</f>
        <v>フランス語</v>
      </c>
      <c r="B1083">
        <f t="shared" si="1301"/>
        <v>14</v>
      </c>
      <c r="C1083">
        <f t="shared" si="1288"/>
        <v>24</v>
      </c>
      <c r="D1083">
        <f t="shared" si="1290"/>
        <v>7</v>
      </c>
      <c r="E1083" t="str">
        <f>VLOOKUP(D1083,name!A:B,2,1)</f>
        <v>Luigi</v>
      </c>
      <c r="F1083" t="s">
        <v>737</v>
      </c>
      <c r="G1083" t="str">
        <f t="shared" ref="G1083" si="1302">IF(B1083&lt;&gt;B1084,"e",IF(D1083=0,"q","a"))</f>
        <v>a</v>
      </c>
      <c r="H1083" t="str">
        <f>VLOOKUP(D1083,name!A:C,3,1)</f>
        <v>assets/icons/image023.png</v>
      </c>
      <c r="I1083" t="s">
        <v>463</v>
      </c>
    </row>
    <row r="1084" spans="1:9" x14ac:dyDescent="0.15">
      <c r="A1084" t="str">
        <f t="shared" ref="A1084:B1084" si="1303">A1083</f>
        <v>フランス語</v>
      </c>
      <c r="B1084">
        <f t="shared" si="1303"/>
        <v>14</v>
      </c>
      <c r="C1084">
        <f t="shared" si="1288"/>
        <v>25</v>
      </c>
      <c r="D1084">
        <v>7</v>
      </c>
      <c r="E1084" t="str">
        <f>VLOOKUP(D1084,name!A:B,2,1)</f>
        <v>Luigi</v>
      </c>
      <c r="F1084" t="s">
        <v>725</v>
      </c>
      <c r="G1084" t="str">
        <f>IF(B1084&lt;&gt;B2025,"e",IF(D1084=0,"q","a"))</f>
        <v>e</v>
      </c>
      <c r="H1084" t="str">
        <f>VLOOKUP(D1084,name!A:C,3,1)</f>
        <v>assets/icons/image023.png</v>
      </c>
      <c r="I1084" t="str">
        <f>IF(A1084="","",VLOOKUP(A1084,lng!A:B,2,0))</f>
        <v>fr-FR</v>
      </c>
    </row>
    <row r="1085" spans="1:9" x14ac:dyDescent="0.15">
      <c r="A1085" t="str">
        <f t="shared" ref="A1085:B1085" si="1304">A1084</f>
        <v>フランス語</v>
      </c>
      <c r="B1085">
        <f t="shared" si="1304"/>
        <v>14</v>
      </c>
      <c r="C1085">
        <f t="shared" si="1288"/>
        <v>26</v>
      </c>
      <c r="D1085">
        <f t="shared" si="1290"/>
        <v>6</v>
      </c>
      <c r="E1085" t="str">
        <f>VLOOKUP(D1085,name!A:B,2,1)</f>
        <v>Céline</v>
      </c>
      <c r="F1085" t="s">
        <v>738</v>
      </c>
      <c r="G1085" t="str">
        <f t="shared" ref="G1085" si="1305">IF(B1085&lt;&gt;B1086,"e",IF(D1085=0,"q","a"))</f>
        <v>a</v>
      </c>
      <c r="H1085" t="str">
        <f>VLOOKUP(D1085,name!A:C,3,1)</f>
        <v>assets/icons/image078.png</v>
      </c>
      <c r="I1085" t="s">
        <v>463</v>
      </c>
    </row>
    <row r="1086" spans="1:9" x14ac:dyDescent="0.15">
      <c r="A1086" t="str">
        <f t="shared" ref="A1086:B1086" si="1306">A1085</f>
        <v>フランス語</v>
      </c>
      <c r="B1086">
        <f t="shared" si="1306"/>
        <v>14</v>
      </c>
      <c r="C1086">
        <f t="shared" si="1288"/>
        <v>27</v>
      </c>
      <c r="D1086">
        <v>6</v>
      </c>
      <c r="E1086" t="str">
        <f>VLOOKUP(D1086,name!A:B,2,1)</f>
        <v>Céline</v>
      </c>
      <c r="F1086" t="s">
        <v>726</v>
      </c>
      <c r="G1086" t="str">
        <f>IF(B1086&lt;&gt;B2027,"e",IF(D1086=0,"q","a"))</f>
        <v>e</v>
      </c>
      <c r="H1086" t="str">
        <f>VLOOKUP(D1086,name!A:C,3,1)</f>
        <v>assets/icons/image078.png</v>
      </c>
      <c r="I1086" t="str">
        <f>IF(A1086="","",VLOOKUP(A1086,lng!A:B,2,0))</f>
        <v>fr-FR</v>
      </c>
    </row>
    <row r="1087" spans="1:9" x14ac:dyDescent="0.15">
      <c r="A1087" t="str">
        <f t="shared" ref="A1087:B1087" si="1307">A1086</f>
        <v>フランス語</v>
      </c>
      <c r="B1087">
        <f t="shared" si="1307"/>
        <v>14</v>
      </c>
      <c r="C1087">
        <f t="shared" si="1288"/>
        <v>28</v>
      </c>
      <c r="D1087">
        <v>1</v>
      </c>
      <c r="E1087" t="str">
        <f>VLOOKUP(D1087,name!A:B,2,1)</f>
        <v>Navigator</v>
      </c>
      <c r="F1087" t="str">
        <f>"次の"&amp;A1087&amp;"を真似してね！"</f>
        <v>次のフランス語を真似してね！</v>
      </c>
      <c r="G1087" t="str">
        <f t="shared" ref="G1087" si="1308">IF(B1087&lt;&gt;B1088,"e",IF(D1087=0,"q","a"))</f>
        <v>a</v>
      </c>
      <c r="H1087" t="str">
        <f>VLOOKUP(D1087,name!A:C,3,1)</f>
        <v>assets/icons/image014.png</v>
      </c>
      <c r="I1087" t="s">
        <v>463</v>
      </c>
    </row>
    <row r="1088" spans="1:9" x14ac:dyDescent="0.15">
      <c r="A1088" t="str">
        <f t="shared" ref="A1088:B1088" si="1309">A1087</f>
        <v>フランス語</v>
      </c>
      <c r="B1088">
        <f t="shared" si="1309"/>
        <v>14</v>
      </c>
      <c r="C1088">
        <f t="shared" si="1288"/>
        <v>29</v>
      </c>
      <c r="D1088">
        <f>D1063</f>
        <v>7</v>
      </c>
      <c r="E1088" t="str">
        <f>VLOOKUP(D1088,name!A:B,2,1)</f>
        <v>Luigi</v>
      </c>
      <c r="F1088" t="str">
        <f>F1063</f>
        <v>高校生の頃はどんな感じでしたか?</v>
      </c>
      <c r="G1088" t="str">
        <f>IF(B1088&lt;&gt;B2029,"e",IF(D1088=0,"q","a"))</f>
        <v>e</v>
      </c>
      <c r="H1088" t="str">
        <f>VLOOKUP(D1088,name!A:C,3,1)</f>
        <v>assets/icons/image023.png</v>
      </c>
      <c r="I1088" t="s">
        <v>463</v>
      </c>
    </row>
    <row r="1089" spans="1:9" x14ac:dyDescent="0.15">
      <c r="A1089" t="str">
        <f t="shared" ref="A1089:B1089" si="1310">A1088</f>
        <v>フランス語</v>
      </c>
      <c r="B1089">
        <f t="shared" si="1310"/>
        <v>14</v>
      </c>
      <c r="C1089">
        <f t="shared" si="1288"/>
        <v>30</v>
      </c>
      <c r="D1089">
        <f>D1064</f>
        <v>7</v>
      </c>
      <c r="E1089" t="str">
        <f>VLOOKUP(D1089,name!A:B,2,1)</f>
        <v>Luigi</v>
      </c>
      <c r="F1089" t="str">
        <f>F1064</f>
        <v xml:space="preserve"> Tu étais comment quand tu étais au lycée ?</v>
      </c>
      <c r="G1089" t="str">
        <f t="shared" ref="G1089" si="1311">IF(B1089&lt;&gt;B1090,"e",IF(D1089=0,"q","a"))</f>
        <v>a</v>
      </c>
      <c r="H1089" t="str">
        <f>VLOOKUP(D1089,name!A:C,3,1)</f>
        <v>assets/icons/image023.png</v>
      </c>
      <c r="I1089" t="str">
        <f>IF(A1089="","",VLOOKUP(A1089,lng!A:B,2,0))</f>
        <v>fr-FR</v>
      </c>
    </row>
    <row r="1090" spans="1:9" x14ac:dyDescent="0.15">
      <c r="A1090" t="str">
        <f t="shared" ref="A1090:B1090" si="1312">A1089</f>
        <v>フランス語</v>
      </c>
      <c r="B1090">
        <f t="shared" si="1312"/>
        <v>14</v>
      </c>
      <c r="C1090">
        <f t="shared" si="1288"/>
        <v>31</v>
      </c>
      <c r="D1090">
        <v>0</v>
      </c>
      <c r="E1090" t="str">
        <f>VLOOKUP(D1090,name!A:B,2,1)</f>
        <v>Player</v>
      </c>
      <c r="F1090" t="str">
        <f>F1064</f>
        <v xml:space="preserve"> Tu étais comment quand tu étais au lycée ?</v>
      </c>
      <c r="G1090" t="str">
        <f>IF(B1090&lt;&gt;B2031,"e",IF(D1090=0,"q","a"))</f>
        <v>e</v>
      </c>
      <c r="H1090" t="str">
        <f>VLOOKUP(D1090,name!A:C,3,1)</f>
        <v>assets/icons/image326.png</v>
      </c>
      <c r="I1090" t="str">
        <f>IF(A1090="","",VLOOKUP(A1090,lng!A:B,2,0))</f>
        <v>fr-FR</v>
      </c>
    </row>
    <row r="1091" spans="1:9" x14ac:dyDescent="0.15">
      <c r="A1091" t="str">
        <f t="shared" ref="A1091:B1091" si="1313">A1090</f>
        <v>フランス語</v>
      </c>
      <c r="B1091">
        <f t="shared" si="1313"/>
        <v>14</v>
      </c>
      <c r="C1091">
        <f t="shared" si="1288"/>
        <v>32</v>
      </c>
      <c r="D1091">
        <f>D1065</f>
        <v>5</v>
      </c>
      <c r="E1091" t="str">
        <f>VLOOKUP(D1091,name!A:B,2,1)</f>
        <v>Minako</v>
      </c>
      <c r="F1091" t="str">
        <f>F1065</f>
        <v>ああ、私は少し夢見がちな高校生でした...</v>
      </c>
      <c r="G1091" t="str">
        <f t="shared" ref="G1091" si="1314">IF(B1091&lt;&gt;B1092,"e",IF(D1091=0,"q","a"))</f>
        <v>a</v>
      </c>
      <c r="H1091" t="str">
        <f>VLOOKUP(D1091,name!A:C,3,1)</f>
        <v>assets/icons/image086.png</v>
      </c>
      <c r="I1091" t="s">
        <v>463</v>
      </c>
    </row>
    <row r="1092" spans="1:9" x14ac:dyDescent="0.15">
      <c r="A1092" t="str">
        <f t="shared" ref="A1092:B1092" si="1315">A1091</f>
        <v>フランス語</v>
      </c>
      <c r="B1092">
        <f t="shared" si="1315"/>
        <v>14</v>
      </c>
      <c r="C1092">
        <f t="shared" si="1288"/>
        <v>33</v>
      </c>
      <c r="D1092">
        <f>D1066</f>
        <v>5</v>
      </c>
      <c r="E1092" t="str">
        <f>VLOOKUP(D1092,name!A:B,2,1)</f>
        <v>Minako</v>
      </c>
      <c r="F1092" t="str">
        <f>F1066</f>
        <v>Oh, j'étais une petite lycéenne plutôt rêveuse...</v>
      </c>
      <c r="G1092" t="str">
        <f>IF(B1092&lt;&gt;B2033,"e",IF(D1092=0,"q","a"))</f>
        <v>e</v>
      </c>
      <c r="H1092" t="str">
        <f>VLOOKUP(D1092,name!A:C,3,1)</f>
        <v>assets/icons/image086.png</v>
      </c>
      <c r="I1092" t="str">
        <f>IF(A1092="","",VLOOKUP(A1092,lng!A:B,2,0))</f>
        <v>fr-FR</v>
      </c>
    </row>
    <row r="1093" spans="1:9" x14ac:dyDescent="0.15">
      <c r="A1093" t="str">
        <f t="shared" ref="A1093:B1093" si="1316">A1092</f>
        <v>フランス語</v>
      </c>
      <c r="B1093">
        <f t="shared" si="1316"/>
        <v>14</v>
      </c>
      <c r="C1093">
        <f t="shared" si="1288"/>
        <v>34</v>
      </c>
      <c r="D1093">
        <v>0</v>
      </c>
      <c r="E1093" t="str">
        <f>VLOOKUP(D1093,name!A:B,2,1)</f>
        <v>Player</v>
      </c>
      <c r="F1093" t="str">
        <f>F1066</f>
        <v>Oh, j'étais une petite lycéenne plutôt rêveuse...</v>
      </c>
      <c r="G1093" t="str">
        <f t="shared" ref="G1093" si="1317">IF(B1093&lt;&gt;B1094,"e",IF(D1093=0,"q","a"))</f>
        <v>q</v>
      </c>
      <c r="H1093" t="str">
        <f>VLOOKUP(D1093,name!A:C,3,1)</f>
        <v>assets/icons/image326.png</v>
      </c>
      <c r="I1093" t="str">
        <f>IF(A1093="","",VLOOKUP(A1093,lng!A:B,2,0))</f>
        <v>fr-FR</v>
      </c>
    </row>
    <row r="1094" spans="1:9" x14ac:dyDescent="0.15">
      <c r="A1094" t="str">
        <f t="shared" ref="A1094:B1094" si="1318">A1093</f>
        <v>フランス語</v>
      </c>
      <c r="B1094">
        <f t="shared" si="1318"/>
        <v>14</v>
      </c>
      <c r="C1094">
        <f t="shared" si="1288"/>
        <v>35</v>
      </c>
      <c r="D1094">
        <f>D1067</f>
        <v>7</v>
      </c>
      <c r="E1094" t="str">
        <f>VLOOKUP(D1094,name!A:B,2,1)</f>
        <v>Luigi</v>
      </c>
      <c r="F1094" t="str">
        <f>F1067</f>
        <v>何を夢見ていましたか?</v>
      </c>
      <c r="G1094" t="str">
        <f>IF(B1094&lt;&gt;B2035,"e",IF(D1094=0,"q","a"))</f>
        <v>e</v>
      </c>
      <c r="H1094" t="str">
        <f>VLOOKUP(D1094,name!A:C,3,1)</f>
        <v>assets/icons/image023.png</v>
      </c>
      <c r="I1094" t="s">
        <v>463</v>
      </c>
    </row>
    <row r="1095" spans="1:9" x14ac:dyDescent="0.15">
      <c r="A1095" t="str">
        <f t="shared" ref="A1095:B1095" si="1319">A1094</f>
        <v>フランス語</v>
      </c>
      <c r="B1095">
        <f t="shared" si="1319"/>
        <v>14</v>
      </c>
      <c r="C1095">
        <f t="shared" si="1288"/>
        <v>36</v>
      </c>
      <c r="D1095">
        <f>D1068</f>
        <v>7</v>
      </c>
      <c r="E1095" t="str">
        <f>VLOOKUP(D1095,name!A:B,2,1)</f>
        <v>Luigi</v>
      </c>
      <c r="F1095" t="str">
        <f>F1068</f>
        <v>De quoi est-ce que tu rêvais ?</v>
      </c>
      <c r="G1095" t="str">
        <f t="shared" ref="G1095" si="1320">IF(B1095&lt;&gt;B1096,"e",IF(D1095=0,"q","a"))</f>
        <v>a</v>
      </c>
      <c r="H1095" t="str">
        <f>VLOOKUP(D1095,name!A:C,3,1)</f>
        <v>assets/icons/image023.png</v>
      </c>
      <c r="I1095" t="str">
        <f>IF(A1095="","",VLOOKUP(A1095,lng!A:B,2,0))</f>
        <v>fr-FR</v>
      </c>
    </row>
    <row r="1096" spans="1:9" x14ac:dyDescent="0.15">
      <c r="A1096" t="str">
        <f t="shared" ref="A1096:B1096" si="1321">A1095</f>
        <v>フランス語</v>
      </c>
      <c r="B1096">
        <f t="shared" si="1321"/>
        <v>14</v>
      </c>
      <c r="C1096">
        <f t="shared" si="1288"/>
        <v>37</v>
      </c>
      <c r="D1096">
        <v>0</v>
      </c>
      <c r="E1096" t="str">
        <f>VLOOKUP(D1096,name!A:B,2,1)</f>
        <v>Player</v>
      </c>
      <c r="F1096" t="str">
        <f>F1068</f>
        <v>De quoi est-ce que tu rêvais ?</v>
      </c>
      <c r="G1096" t="str">
        <f>IF(B1096&lt;&gt;B2037,"e",IF(D1096=0,"q","a"))</f>
        <v>e</v>
      </c>
      <c r="H1096" t="str">
        <f>VLOOKUP(D1096,name!A:C,3,1)</f>
        <v>assets/icons/image326.png</v>
      </c>
      <c r="I1096" t="str">
        <f>IF(A1096="","",VLOOKUP(A1096,lng!A:B,2,0))</f>
        <v>fr-FR</v>
      </c>
    </row>
    <row r="1097" spans="1:9" x14ac:dyDescent="0.15">
      <c r="A1097" t="str">
        <f t="shared" ref="A1097:B1097" si="1322">A1096</f>
        <v>フランス語</v>
      </c>
      <c r="B1097">
        <f t="shared" si="1322"/>
        <v>14</v>
      </c>
      <c r="C1097">
        <f t="shared" si="1288"/>
        <v>38</v>
      </c>
      <c r="D1097">
        <f>D1069</f>
        <v>5</v>
      </c>
      <c r="E1097" t="str">
        <f>VLOOKUP(D1097,name!A:B,2,1)</f>
        <v>Minako</v>
      </c>
      <c r="F1097" t="str">
        <f>F1069</f>
        <v>私は歌手になることを夢見ていました。</v>
      </c>
      <c r="G1097" t="str">
        <f t="shared" ref="G1097" si="1323">IF(B1097&lt;&gt;B1098,"e",IF(D1097=0,"q","a"))</f>
        <v>a</v>
      </c>
      <c r="H1097" t="str">
        <f>VLOOKUP(D1097,name!A:C,3,1)</f>
        <v>assets/icons/image086.png</v>
      </c>
      <c r="I1097" t="s">
        <v>463</v>
      </c>
    </row>
    <row r="1098" spans="1:9" x14ac:dyDescent="0.15">
      <c r="A1098" t="str">
        <f t="shared" ref="A1098:B1098" si="1324">A1097</f>
        <v>フランス語</v>
      </c>
      <c r="B1098">
        <f t="shared" si="1324"/>
        <v>14</v>
      </c>
      <c r="C1098">
        <f t="shared" si="1288"/>
        <v>39</v>
      </c>
      <c r="D1098">
        <f>D1070</f>
        <v>5</v>
      </c>
      <c r="E1098" t="str">
        <f>VLOOKUP(D1098,name!A:B,2,1)</f>
        <v>Minako</v>
      </c>
      <c r="F1098" t="str">
        <f>F1070</f>
        <v>Je rêvais de devenir chanteuse.</v>
      </c>
      <c r="G1098" t="str">
        <f>IF(B1098&lt;&gt;B2039,"e",IF(D1098=0,"q","a"))</f>
        <v>e</v>
      </c>
      <c r="H1098" t="str">
        <f>VLOOKUP(D1098,name!A:C,3,1)</f>
        <v>assets/icons/image086.png</v>
      </c>
      <c r="I1098" t="str">
        <f>IF(A1098="","",VLOOKUP(A1098,lng!A:B,2,0))</f>
        <v>fr-FR</v>
      </c>
    </row>
    <row r="1099" spans="1:9" x14ac:dyDescent="0.15">
      <c r="A1099" t="str">
        <f t="shared" ref="A1099:B1099" si="1325">A1098</f>
        <v>フランス語</v>
      </c>
      <c r="B1099">
        <f t="shared" si="1325"/>
        <v>14</v>
      </c>
      <c r="C1099">
        <f t="shared" si="1288"/>
        <v>40</v>
      </c>
      <c r="D1099">
        <v>0</v>
      </c>
      <c r="E1099" t="str">
        <f>VLOOKUP(D1099,name!A:B,2,1)</f>
        <v>Player</v>
      </c>
      <c r="F1099" t="str">
        <f>F1070</f>
        <v>Je rêvais de devenir chanteuse.</v>
      </c>
      <c r="G1099" t="str">
        <f t="shared" ref="G1099" si="1326">IF(B1099&lt;&gt;B1100,"e",IF(D1099=0,"q","a"))</f>
        <v>q</v>
      </c>
      <c r="H1099" t="str">
        <f>VLOOKUP(D1099,name!A:C,3,1)</f>
        <v>assets/icons/image326.png</v>
      </c>
      <c r="I1099" t="str">
        <f>IF(A1099="","",VLOOKUP(A1099,lng!A:B,2,0))</f>
        <v>fr-FR</v>
      </c>
    </row>
    <row r="1100" spans="1:9" x14ac:dyDescent="0.15">
      <c r="A1100" t="str">
        <f t="shared" ref="A1100:B1100" si="1327">A1099</f>
        <v>フランス語</v>
      </c>
      <c r="B1100">
        <f t="shared" si="1327"/>
        <v>14</v>
      </c>
      <c r="C1100">
        <f t="shared" si="1288"/>
        <v>41</v>
      </c>
      <c r="D1100">
        <f>D1071</f>
        <v>7</v>
      </c>
      <c r="E1100" t="str">
        <f>VLOOKUP(D1100,name!A:B,2,1)</f>
        <v>Luigi</v>
      </c>
      <c r="F1100" t="str">
        <f>F1071</f>
        <v>セリーヌ、あなたはどうですか?</v>
      </c>
      <c r="G1100" t="str">
        <f>IF(B1100&lt;&gt;B2041,"e",IF(D1100=0,"q","a"))</f>
        <v>e</v>
      </c>
      <c r="H1100" t="str">
        <f>VLOOKUP(D1100,name!A:C,3,1)</f>
        <v>assets/icons/image023.png</v>
      </c>
      <c r="I1100" t="s">
        <v>463</v>
      </c>
    </row>
    <row r="1101" spans="1:9" x14ac:dyDescent="0.15">
      <c r="A1101" t="str">
        <f t="shared" ref="A1101:B1101" si="1328">A1100</f>
        <v>フランス語</v>
      </c>
      <c r="B1101">
        <f t="shared" si="1328"/>
        <v>14</v>
      </c>
      <c r="C1101">
        <f t="shared" si="1288"/>
        <v>42</v>
      </c>
      <c r="D1101">
        <f>D1072</f>
        <v>7</v>
      </c>
      <c r="E1101" t="str">
        <f>VLOOKUP(D1101,name!A:B,2,1)</f>
        <v>Luigi</v>
      </c>
      <c r="F1101" t="str">
        <f>F1072</f>
        <v>Et toi, Céline ?</v>
      </c>
      <c r="G1101" t="str">
        <f t="shared" ref="G1101" si="1329">IF(B1101&lt;&gt;B1102,"e",IF(D1101=0,"q","a"))</f>
        <v>a</v>
      </c>
      <c r="H1101" t="str">
        <f>VLOOKUP(D1101,name!A:C,3,1)</f>
        <v>assets/icons/image023.png</v>
      </c>
      <c r="I1101" t="str">
        <f>IF(A1101="","",VLOOKUP(A1101,lng!A:B,2,0))</f>
        <v>fr-FR</v>
      </c>
    </row>
    <row r="1102" spans="1:9" x14ac:dyDescent="0.15">
      <c r="A1102" t="str">
        <f t="shared" ref="A1102:B1102" si="1330">A1101</f>
        <v>フランス語</v>
      </c>
      <c r="B1102">
        <f t="shared" si="1330"/>
        <v>14</v>
      </c>
      <c r="C1102">
        <f t="shared" si="1288"/>
        <v>43</v>
      </c>
      <c r="D1102">
        <v>0</v>
      </c>
      <c r="E1102" t="str">
        <f>VLOOKUP(D1102,name!A:B,2,1)</f>
        <v>Player</v>
      </c>
      <c r="F1102" t="str">
        <f>F1072</f>
        <v>Et toi, Céline ?</v>
      </c>
      <c r="G1102" t="str">
        <f>IF(B1102&lt;&gt;B2043,"e",IF(D1102=0,"q","a"))</f>
        <v>e</v>
      </c>
      <c r="H1102" t="str">
        <f>VLOOKUP(D1102,name!A:C,3,1)</f>
        <v>assets/icons/image326.png</v>
      </c>
      <c r="I1102" t="str">
        <f>IF(A1102="","",VLOOKUP(A1102,lng!A:B,2,0))</f>
        <v>fr-FR</v>
      </c>
    </row>
    <row r="1103" spans="1:9" x14ac:dyDescent="0.15">
      <c r="A1103" t="str">
        <f t="shared" ref="A1103:B1103" si="1331">A1102</f>
        <v>フランス語</v>
      </c>
      <c r="B1103">
        <f t="shared" si="1331"/>
        <v>14</v>
      </c>
      <c r="C1103">
        <f t="shared" si="1288"/>
        <v>44</v>
      </c>
      <c r="D1103">
        <f>D1073</f>
        <v>6</v>
      </c>
      <c r="E1103" t="str">
        <f>VLOOKUP(D1103,name!A:B,2,1)</f>
        <v>Céline</v>
      </c>
      <c r="F1103" t="str">
        <f>F1073</f>
        <v>両親はわたしが16歳のときに離婚しました。</v>
      </c>
      <c r="G1103" t="str">
        <f t="shared" ref="G1103" si="1332">IF(B1103&lt;&gt;B1104,"e",IF(D1103=0,"q","a"))</f>
        <v>a</v>
      </c>
      <c r="H1103" t="str">
        <f>VLOOKUP(D1103,name!A:C,3,1)</f>
        <v>assets/icons/image078.png</v>
      </c>
      <c r="I1103" t="s">
        <v>463</v>
      </c>
    </row>
    <row r="1104" spans="1:9" x14ac:dyDescent="0.15">
      <c r="A1104" t="str">
        <f t="shared" ref="A1104:B1104" si="1333">A1103</f>
        <v>フランス語</v>
      </c>
      <c r="B1104">
        <f t="shared" si="1333"/>
        <v>14</v>
      </c>
      <c r="C1104">
        <f t="shared" si="1288"/>
        <v>45</v>
      </c>
      <c r="D1104">
        <f>D1074</f>
        <v>6</v>
      </c>
      <c r="E1104" t="str">
        <f>VLOOKUP(D1104,name!A:B,2,1)</f>
        <v>Céline</v>
      </c>
      <c r="F1104" t="str">
        <f>F1074</f>
        <v>Mes parents se sont séparés quand j'avais seize ans.</v>
      </c>
      <c r="G1104" t="str">
        <f>IF(B1104&lt;&gt;B2045,"e",IF(D1104=0,"q","a"))</f>
        <v>e</v>
      </c>
      <c r="H1104" t="str">
        <f>VLOOKUP(D1104,name!A:C,3,1)</f>
        <v>assets/icons/image078.png</v>
      </c>
      <c r="I1104" t="str">
        <f>IF(A1104="","",VLOOKUP(A1104,lng!A:B,2,0))</f>
        <v>fr-FR</v>
      </c>
    </row>
    <row r="1105" spans="1:9" x14ac:dyDescent="0.15">
      <c r="A1105" t="str">
        <f t="shared" ref="A1105:B1105" si="1334">A1104</f>
        <v>フランス語</v>
      </c>
      <c r="B1105">
        <f t="shared" si="1334"/>
        <v>14</v>
      </c>
      <c r="C1105">
        <f t="shared" si="1288"/>
        <v>46</v>
      </c>
      <c r="D1105">
        <v>0</v>
      </c>
      <c r="E1105" t="str">
        <f>VLOOKUP(D1105,name!A:B,2,1)</f>
        <v>Player</v>
      </c>
      <c r="F1105" t="str">
        <f>F1074</f>
        <v>Mes parents se sont séparés quand j'avais seize ans.</v>
      </c>
      <c r="G1105" t="str">
        <f t="shared" ref="G1105" si="1335">IF(B1105&lt;&gt;B1106,"e",IF(D1105=0,"q","a"))</f>
        <v>q</v>
      </c>
      <c r="H1105" t="str">
        <f>VLOOKUP(D1105,name!A:C,3,1)</f>
        <v>assets/icons/image326.png</v>
      </c>
      <c r="I1105" t="str">
        <f>IF(A1105="","",VLOOKUP(A1105,lng!A:B,2,0))</f>
        <v>fr-FR</v>
      </c>
    </row>
    <row r="1106" spans="1:9" x14ac:dyDescent="0.15">
      <c r="A1106" t="str">
        <f t="shared" ref="A1106:B1106" si="1336">A1105</f>
        <v>フランス語</v>
      </c>
      <c r="B1106">
        <f t="shared" si="1336"/>
        <v>14</v>
      </c>
      <c r="C1106">
        <f t="shared" si="1288"/>
        <v>47</v>
      </c>
      <c r="D1106">
        <f>D1075</f>
        <v>6</v>
      </c>
      <c r="E1106" t="str">
        <f>VLOOKUP(D1106,name!A:B,2,1)</f>
        <v>Céline</v>
      </c>
      <c r="F1106" t="str">
        <f>F1075</f>
        <v>私は母を喜ばせるために一生懸命勉強しました…模範的な女の子であるために...</v>
      </c>
      <c r="G1106" t="str">
        <f>IF(B1106&lt;&gt;B2047,"e",IF(D1106=0,"q","a"))</f>
        <v>e</v>
      </c>
      <c r="H1106" t="str">
        <f>VLOOKUP(D1106,name!A:C,3,1)</f>
        <v>assets/icons/image078.png</v>
      </c>
      <c r="I1106" t="s">
        <v>463</v>
      </c>
    </row>
    <row r="1107" spans="1:9" x14ac:dyDescent="0.15">
      <c r="A1107" t="str">
        <f t="shared" ref="A1107:B1107" si="1337">A1106</f>
        <v>フランス語</v>
      </c>
      <c r="B1107">
        <f t="shared" si="1337"/>
        <v>14</v>
      </c>
      <c r="C1107">
        <f t="shared" si="1288"/>
        <v>48</v>
      </c>
      <c r="D1107">
        <f>D1076</f>
        <v>6</v>
      </c>
      <c r="E1107" t="str">
        <f>VLOOKUP(D1107,name!A:B,2,1)</f>
        <v>Céline</v>
      </c>
      <c r="F1107" t="str">
        <f>F1076</f>
        <v>J'ai travaillé dur pour faire plaisir à ma mère ... être une fille modèle...</v>
      </c>
      <c r="G1107" t="str">
        <f t="shared" ref="G1107" si="1338">IF(B1107&lt;&gt;B1108,"e",IF(D1107=0,"q","a"))</f>
        <v>a</v>
      </c>
      <c r="H1107" t="str">
        <f>VLOOKUP(D1107,name!A:C,3,1)</f>
        <v>assets/icons/image078.png</v>
      </c>
      <c r="I1107" t="str">
        <f>IF(A1107="","",VLOOKUP(A1107,lng!A:B,2,0))</f>
        <v>fr-FR</v>
      </c>
    </row>
    <row r="1108" spans="1:9" x14ac:dyDescent="0.15">
      <c r="A1108" t="str">
        <f t="shared" ref="A1108:B1108" si="1339">A1107</f>
        <v>フランス語</v>
      </c>
      <c r="B1108">
        <f t="shared" si="1339"/>
        <v>14</v>
      </c>
      <c r="C1108">
        <f t="shared" si="1288"/>
        <v>49</v>
      </c>
      <c r="D1108">
        <v>0</v>
      </c>
      <c r="E1108" t="str">
        <f>VLOOKUP(D1108,name!A:B,2,1)</f>
        <v>Player</v>
      </c>
      <c r="F1108" t="str">
        <f>F1076</f>
        <v>J'ai travaillé dur pour faire plaisir à ma mère ... être une fille modèle...</v>
      </c>
      <c r="G1108" t="str">
        <f>IF(B1108&lt;&gt;B2049,"e",IF(D1108=0,"q","a"))</f>
        <v>e</v>
      </c>
      <c r="H1108" t="str">
        <f>VLOOKUP(D1108,name!A:C,3,1)</f>
        <v>assets/icons/image326.png</v>
      </c>
      <c r="I1108" t="str">
        <f>IF(A1108="","",VLOOKUP(A1108,lng!A:B,2,0))</f>
        <v>fr-FR</v>
      </c>
    </row>
    <row r="1109" spans="1:9" x14ac:dyDescent="0.15">
      <c r="A1109" t="str">
        <f t="shared" ref="A1109:B1109" si="1340">A1108</f>
        <v>フランス語</v>
      </c>
      <c r="B1109">
        <f t="shared" si="1340"/>
        <v>14</v>
      </c>
      <c r="C1109">
        <f t="shared" si="1288"/>
        <v>50</v>
      </c>
      <c r="D1109">
        <f>D1077</f>
        <v>5</v>
      </c>
      <c r="E1109" t="str">
        <f>VLOOKUP(D1109,name!A:B,2,1)</f>
        <v>Minako</v>
      </c>
      <c r="F1109" t="str">
        <f>F1077</f>
        <v>ルイージ、あなたはどうですか?</v>
      </c>
      <c r="G1109" t="str">
        <f t="shared" ref="G1109" si="1341">IF(B1109&lt;&gt;B1110,"e",IF(D1109=0,"q","a"))</f>
        <v>a</v>
      </c>
      <c r="H1109" t="str">
        <f>VLOOKUP(D1109,name!A:C,3,1)</f>
        <v>assets/icons/image086.png</v>
      </c>
      <c r="I1109" t="s">
        <v>463</v>
      </c>
    </row>
    <row r="1110" spans="1:9" x14ac:dyDescent="0.15">
      <c r="A1110" t="str">
        <f t="shared" ref="A1110:B1110" si="1342">A1109</f>
        <v>フランス語</v>
      </c>
      <c r="B1110">
        <f t="shared" si="1342"/>
        <v>14</v>
      </c>
      <c r="C1110">
        <f t="shared" si="1288"/>
        <v>51</v>
      </c>
      <c r="D1110">
        <f>D1078</f>
        <v>5</v>
      </c>
      <c r="E1110" t="str">
        <f>VLOOKUP(D1110,name!A:B,2,1)</f>
        <v>Minako</v>
      </c>
      <c r="F1110" t="str">
        <f>F1078</f>
        <v>Et toi, Luigi ?</v>
      </c>
      <c r="G1110" t="str">
        <f>IF(B1110&lt;&gt;B2051,"e",IF(D1110=0,"q","a"))</f>
        <v>e</v>
      </c>
      <c r="H1110" t="str">
        <f>VLOOKUP(D1110,name!A:C,3,1)</f>
        <v>assets/icons/image086.png</v>
      </c>
      <c r="I1110" t="str">
        <f>IF(A1110="","",VLOOKUP(A1110,lng!A:B,2,0))</f>
        <v>fr-FR</v>
      </c>
    </row>
    <row r="1111" spans="1:9" x14ac:dyDescent="0.15">
      <c r="A1111" t="str">
        <f t="shared" ref="A1111:B1111" si="1343">A1110</f>
        <v>フランス語</v>
      </c>
      <c r="B1111">
        <f t="shared" si="1343"/>
        <v>14</v>
      </c>
      <c r="C1111">
        <f t="shared" si="1288"/>
        <v>52</v>
      </c>
      <c r="D1111">
        <v>0</v>
      </c>
      <c r="E1111" t="str">
        <f>VLOOKUP(D1111,name!A:B,2,1)</f>
        <v>Player</v>
      </c>
      <c r="F1111" t="str">
        <f>F1078</f>
        <v>Et toi, Luigi ?</v>
      </c>
      <c r="G1111" t="str">
        <f t="shared" ref="G1111" si="1344">IF(B1111&lt;&gt;B1112,"e",IF(D1111=0,"q","a"))</f>
        <v>q</v>
      </c>
      <c r="H1111" t="str">
        <f>VLOOKUP(D1111,name!A:C,3,1)</f>
        <v>assets/icons/image326.png</v>
      </c>
      <c r="I1111" t="str">
        <f>IF(A1111="","",VLOOKUP(A1111,lng!A:B,2,0))</f>
        <v>fr-FR</v>
      </c>
    </row>
    <row r="1112" spans="1:9" x14ac:dyDescent="0.15">
      <c r="A1112" t="str">
        <f t="shared" ref="A1112:B1112" si="1345">A1111</f>
        <v>フランス語</v>
      </c>
      <c r="B1112">
        <f t="shared" si="1345"/>
        <v>14</v>
      </c>
      <c r="C1112">
        <f t="shared" si="1288"/>
        <v>53</v>
      </c>
      <c r="D1112">
        <f>D1079</f>
        <v>5</v>
      </c>
      <c r="E1112" t="str">
        <f>VLOOKUP(D1112,name!A:B,2,1)</f>
        <v>Minako</v>
      </c>
      <c r="F1112" t="str">
        <f>F1079</f>
        <v>どうでしたか?</v>
      </c>
      <c r="G1112" t="str">
        <f>IF(B1112&lt;&gt;B2053,"e",IF(D1112=0,"q","a"))</f>
        <v>e</v>
      </c>
      <c r="H1112" t="str">
        <f>VLOOKUP(D1112,name!A:C,3,1)</f>
        <v>assets/icons/image086.png</v>
      </c>
      <c r="I1112" t="s">
        <v>463</v>
      </c>
    </row>
    <row r="1113" spans="1:9" x14ac:dyDescent="0.15">
      <c r="A1113" t="str">
        <f t="shared" ref="A1113:B1113" si="1346">A1112</f>
        <v>フランス語</v>
      </c>
      <c r="B1113">
        <f t="shared" si="1346"/>
        <v>14</v>
      </c>
      <c r="C1113">
        <f t="shared" si="1288"/>
        <v>54</v>
      </c>
      <c r="D1113">
        <f>D1080</f>
        <v>5</v>
      </c>
      <c r="E1113" t="str">
        <f>VLOOKUP(D1113,name!A:B,2,1)</f>
        <v>Minako</v>
      </c>
      <c r="F1113" t="str">
        <f>F1080</f>
        <v>Tu étais comment ?</v>
      </c>
      <c r="G1113" t="str">
        <f t="shared" ref="G1113" si="1347">IF(B1113&lt;&gt;B1114,"e",IF(D1113=0,"q","a"))</f>
        <v>a</v>
      </c>
      <c r="H1113" t="str">
        <f>VLOOKUP(D1113,name!A:C,3,1)</f>
        <v>assets/icons/image086.png</v>
      </c>
      <c r="I1113" t="str">
        <f>IF(A1113="","",VLOOKUP(A1113,lng!A:B,2,0))</f>
        <v>fr-FR</v>
      </c>
    </row>
    <row r="1114" spans="1:9" x14ac:dyDescent="0.15">
      <c r="A1114" t="str">
        <f t="shared" ref="A1114:B1114" si="1348">A1113</f>
        <v>フランス語</v>
      </c>
      <c r="B1114">
        <f t="shared" si="1348"/>
        <v>14</v>
      </c>
      <c r="C1114">
        <f t="shared" si="1288"/>
        <v>55</v>
      </c>
      <c r="D1114">
        <v>0</v>
      </c>
      <c r="E1114" t="str">
        <f>VLOOKUP(D1114,name!A:B,2,1)</f>
        <v>Player</v>
      </c>
      <c r="F1114" t="str">
        <f>F1080</f>
        <v>Tu étais comment ?</v>
      </c>
      <c r="G1114" t="str">
        <f>IF(B1114&lt;&gt;B2055,"e",IF(D1114=0,"q","a"))</f>
        <v>e</v>
      </c>
      <c r="H1114" t="str">
        <f>VLOOKUP(D1114,name!A:C,3,1)</f>
        <v>assets/icons/image326.png</v>
      </c>
      <c r="I1114" t="str">
        <f>IF(A1114="","",VLOOKUP(A1114,lng!A:B,2,0))</f>
        <v>fr-FR</v>
      </c>
    </row>
    <row r="1115" spans="1:9" x14ac:dyDescent="0.15">
      <c r="A1115" t="str">
        <f t="shared" ref="A1115:B1115" si="1349">A1114</f>
        <v>フランス語</v>
      </c>
      <c r="B1115">
        <f t="shared" si="1349"/>
        <v>14</v>
      </c>
      <c r="C1115">
        <f t="shared" si="1288"/>
        <v>56</v>
      </c>
      <c r="D1115">
        <f>D1081</f>
        <v>7</v>
      </c>
      <c r="E1115" t="str">
        <f>VLOOKUP(D1115,name!A:B,2,1)</f>
        <v>Luigi</v>
      </c>
      <c r="F1115" t="str">
        <f>F1081</f>
        <v>ああ、とても楽しかったです。</v>
      </c>
      <c r="G1115" t="str">
        <f t="shared" ref="G1115" si="1350">IF(B1115&lt;&gt;B1116,"e",IF(D1115=0,"q","a"))</f>
        <v>a</v>
      </c>
      <c r="H1115" t="str">
        <f>VLOOKUP(D1115,name!A:C,3,1)</f>
        <v>assets/icons/image023.png</v>
      </c>
      <c r="I1115" t="s">
        <v>463</v>
      </c>
    </row>
    <row r="1116" spans="1:9" x14ac:dyDescent="0.15">
      <c r="A1116" t="str">
        <f t="shared" ref="A1116:B1116" si="1351">A1115</f>
        <v>フランス語</v>
      </c>
      <c r="B1116">
        <f t="shared" si="1351"/>
        <v>14</v>
      </c>
      <c r="C1116">
        <f t="shared" si="1288"/>
        <v>57</v>
      </c>
      <c r="D1116">
        <f>D1082</f>
        <v>7</v>
      </c>
      <c r="E1116" t="str">
        <f>VLOOKUP(D1116,name!A:B,2,1)</f>
        <v>Luigi</v>
      </c>
      <c r="F1116" t="str">
        <f>F1082</f>
        <v>Oh, je me suis bien amusé.</v>
      </c>
      <c r="G1116" t="str">
        <f>IF(B1116&lt;&gt;B2057,"e",IF(D1116=0,"q","a"))</f>
        <v>e</v>
      </c>
      <c r="H1116" t="str">
        <f>VLOOKUP(D1116,name!A:C,3,1)</f>
        <v>assets/icons/image023.png</v>
      </c>
      <c r="I1116" t="str">
        <f>IF(A1116="","",VLOOKUP(A1116,lng!A:B,2,0))</f>
        <v>fr-FR</v>
      </c>
    </row>
    <row r="1117" spans="1:9" x14ac:dyDescent="0.15">
      <c r="A1117" t="str">
        <f t="shared" ref="A1117:B1117" si="1352">A1116</f>
        <v>フランス語</v>
      </c>
      <c r="B1117">
        <f t="shared" si="1352"/>
        <v>14</v>
      </c>
      <c r="C1117">
        <f t="shared" si="1288"/>
        <v>58</v>
      </c>
      <c r="D1117">
        <v>0</v>
      </c>
      <c r="E1117" t="str">
        <f>VLOOKUP(D1117,name!A:B,2,1)</f>
        <v>Player</v>
      </c>
      <c r="F1117" t="str">
        <f>F1082</f>
        <v>Oh, je me suis bien amusé.</v>
      </c>
      <c r="G1117" t="str">
        <f t="shared" ref="G1117" si="1353">IF(B1117&lt;&gt;B1118,"e",IF(D1117=0,"q","a"))</f>
        <v>q</v>
      </c>
      <c r="H1117" t="str">
        <f>VLOOKUP(D1117,name!A:C,3,1)</f>
        <v>assets/icons/image326.png</v>
      </c>
      <c r="I1117" t="str">
        <f>IF(A1117="","",VLOOKUP(A1117,lng!A:B,2,0))</f>
        <v>fr-FR</v>
      </c>
    </row>
    <row r="1118" spans="1:9" x14ac:dyDescent="0.15">
      <c r="A1118" t="str">
        <f t="shared" ref="A1118:B1118" si="1354">A1117</f>
        <v>フランス語</v>
      </c>
      <c r="B1118">
        <f t="shared" si="1354"/>
        <v>14</v>
      </c>
      <c r="C1118">
        <f t="shared" si="1288"/>
        <v>59</v>
      </c>
      <c r="D1118">
        <f>D1083</f>
        <v>7</v>
      </c>
      <c r="E1118" t="str">
        <f>VLOOKUP(D1118,name!A:B,2,1)</f>
        <v>Luigi</v>
      </c>
      <c r="F1118" t="str">
        <f>F1083</f>
        <v>私は女の子と出かけ、踊り、歌いました</v>
      </c>
      <c r="G1118" t="str">
        <f>IF(B1118&lt;&gt;B2059,"e",IF(D1118=0,"q","a"))</f>
        <v>e</v>
      </c>
      <c r="H1118" t="str">
        <f>VLOOKUP(D1118,name!A:C,3,1)</f>
        <v>assets/icons/image023.png</v>
      </c>
      <c r="I1118" t="s">
        <v>463</v>
      </c>
    </row>
    <row r="1119" spans="1:9" x14ac:dyDescent="0.15">
      <c r="A1119" t="str">
        <f t="shared" ref="A1119:B1119" si="1355">A1118</f>
        <v>フランス語</v>
      </c>
      <c r="B1119">
        <f t="shared" si="1355"/>
        <v>14</v>
      </c>
      <c r="C1119">
        <f t="shared" si="1288"/>
        <v>60</v>
      </c>
      <c r="D1119">
        <f>D1084</f>
        <v>7</v>
      </c>
      <c r="E1119" t="str">
        <f>VLOOKUP(D1119,name!A:B,2,1)</f>
        <v>Luigi</v>
      </c>
      <c r="F1119" t="str">
        <f>F1084</f>
        <v>Je suis sorti avec des filles, on a dansé, on a chanté</v>
      </c>
      <c r="G1119" t="str">
        <f t="shared" ref="G1119" si="1356">IF(B1119&lt;&gt;B1120,"e",IF(D1119=0,"q","a"))</f>
        <v>a</v>
      </c>
      <c r="H1119" t="str">
        <f>VLOOKUP(D1119,name!A:C,3,1)</f>
        <v>assets/icons/image023.png</v>
      </c>
      <c r="I1119" t="str">
        <f>IF(A1119="","",VLOOKUP(A1119,lng!A:B,2,0))</f>
        <v>fr-FR</v>
      </c>
    </row>
    <row r="1120" spans="1:9" x14ac:dyDescent="0.15">
      <c r="A1120" t="str">
        <f t="shared" ref="A1120:B1120" si="1357">A1119</f>
        <v>フランス語</v>
      </c>
      <c r="B1120">
        <f t="shared" si="1357"/>
        <v>14</v>
      </c>
      <c r="C1120">
        <f t="shared" si="1288"/>
        <v>61</v>
      </c>
      <c r="D1120">
        <v>0</v>
      </c>
      <c r="E1120" t="str">
        <f>VLOOKUP(D1120,name!A:B,2,1)</f>
        <v>Player</v>
      </c>
      <c r="F1120" t="str">
        <f>F1084</f>
        <v>Je suis sorti avec des filles, on a dansé, on a chanté</v>
      </c>
      <c r="G1120" t="str">
        <f>IF(B1120&lt;&gt;B2061,"e",IF(D1120=0,"q","a"))</f>
        <v>e</v>
      </c>
      <c r="H1120" t="str">
        <f>VLOOKUP(D1120,name!A:C,3,1)</f>
        <v>assets/icons/image326.png</v>
      </c>
      <c r="I1120" t="str">
        <f>IF(A1120="","",VLOOKUP(A1120,lng!A:B,2,0))</f>
        <v>fr-FR</v>
      </c>
    </row>
    <row r="1121" spans="1:9" x14ac:dyDescent="0.15">
      <c r="A1121" t="str">
        <f t="shared" ref="A1121:B1121" si="1358">A1120</f>
        <v>フランス語</v>
      </c>
      <c r="B1121">
        <f t="shared" si="1358"/>
        <v>14</v>
      </c>
      <c r="C1121">
        <f t="shared" si="1288"/>
        <v>62</v>
      </c>
      <c r="D1121">
        <f>D1085</f>
        <v>6</v>
      </c>
      <c r="E1121" t="str">
        <f>VLOOKUP(D1121,name!A:B,2,1)</f>
        <v>Céline</v>
      </c>
      <c r="F1121" t="str">
        <f>F1085</f>
        <v>イタリアの生活は良いですね。</v>
      </c>
      <c r="G1121" t="str">
        <f t="shared" ref="G1121" si="1359">IF(B1121&lt;&gt;B1122,"e",IF(D1121=0,"q","a"))</f>
        <v>a</v>
      </c>
      <c r="H1121" t="str">
        <f>VLOOKUP(D1121,name!A:C,3,1)</f>
        <v>assets/icons/image078.png</v>
      </c>
      <c r="I1121" t="s">
        <v>463</v>
      </c>
    </row>
    <row r="1122" spans="1:9" x14ac:dyDescent="0.15">
      <c r="A1122" t="str">
        <f t="shared" ref="A1122:B1122" si="1360">A1121</f>
        <v>フランス語</v>
      </c>
      <c r="B1122">
        <f t="shared" si="1360"/>
        <v>14</v>
      </c>
      <c r="C1122">
        <f t="shared" si="1288"/>
        <v>63</v>
      </c>
      <c r="D1122">
        <f>D1086</f>
        <v>6</v>
      </c>
      <c r="E1122" t="str">
        <f>VLOOKUP(D1122,name!A:B,2,1)</f>
        <v>Céline</v>
      </c>
      <c r="F1122" t="str">
        <f>F1086</f>
        <v>La vie est belle en Italie.</v>
      </c>
      <c r="G1122" t="str">
        <f>IF(B1122&lt;&gt;B2063,"e",IF(D1122=0,"q","a"))</f>
        <v>e</v>
      </c>
      <c r="H1122" t="str">
        <f>VLOOKUP(D1122,name!A:C,3,1)</f>
        <v>assets/icons/image078.png</v>
      </c>
      <c r="I1122" t="str">
        <f>IF(A1122="","",VLOOKUP(A1122,lng!A:B,2,0))</f>
        <v>fr-FR</v>
      </c>
    </row>
    <row r="1123" spans="1:9" x14ac:dyDescent="0.15">
      <c r="A1123" t="str">
        <f t="shared" ref="A1123:B1123" si="1361">A1122</f>
        <v>フランス語</v>
      </c>
      <c r="B1123">
        <f t="shared" si="1361"/>
        <v>14</v>
      </c>
      <c r="C1123">
        <f t="shared" si="1288"/>
        <v>64</v>
      </c>
      <c r="D1123">
        <v>0</v>
      </c>
      <c r="E1123" t="str">
        <f>VLOOKUP(D1123,name!A:B,2,1)</f>
        <v>Player</v>
      </c>
      <c r="F1123" t="str">
        <f>F1086</f>
        <v>La vie est belle en Italie.</v>
      </c>
      <c r="G1123" t="str">
        <f t="shared" ref="G1123" si="1362">IF(B1123&lt;&gt;B1124,"e",IF(D1123=0,"q","a"))</f>
        <v>q</v>
      </c>
      <c r="H1123" t="str">
        <f>VLOOKUP(D1123,name!A:C,3,1)</f>
        <v>assets/icons/image326.png</v>
      </c>
      <c r="I1123" t="str">
        <f>IF(A1123="","",VLOOKUP(A1123,lng!A:B,2,0))</f>
        <v>fr-FR</v>
      </c>
    </row>
    <row r="1124" spans="1:9" x14ac:dyDescent="0.15">
      <c r="A1124" t="str">
        <f t="shared" ref="A1124:B1124" si="1363">A1123</f>
        <v>フランス語</v>
      </c>
      <c r="B1124">
        <f t="shared" si="1363"/>
        <v>14</v>
      </c>
      <c r="C1124">
        <f t="shared" si="1288"/>
        <v>65</v>
      </c>
      <c r="D1124">
        <v>1</v>
      </c>
      <c r="E1124" t="str">
        <f>VLOOKUP(D1124,name!A:B,2,1)</f>
        <v>Navigator</v>
      </c>
      <c r="F1124" t="str">
        <f>"次の日本語を"&amp;A1124&amp;"に訳して答えてね！"</f>
        <v>次の日本語をフランス語に訳して答えてね！</v>
      </c>
      <c r="G1124" t="str">
        <f>IF(B1124&lt;&gt;B2065,"e",IF(D1124=0,"q","a"))</f>
        <v>e</v>
      </c>
      <c r="H1124" t="str">
        <f>VLOOKUP(D1124,name!A:C,3,1)</f>
        <v>assets/icons/image014.png</v>
      </c>
      <c r="I1124" t="s">
        <v>463</v>
      </c>
    </row>
    <row r="1125" spans="1:9" x14ac:dyDescent="0.15">
      <c r="A1125" t="str">
        <f t="shared" ref="A1125:B1125" si="1364">A1124</f>
        <v>フランス語</v>
      </c>
      <c r="B1125">
        <f t="shared" si="1364"/>
        <v>14</v>
      </c>
      <c r="C1125">
        <f t="shared" si="1288"/>
        <v>66</v>
      </c>
      <c r="D1125">
        <f>D1063</f>
        <v>7</v>
      </c>
      <c r="E1125" t="str">
        <f>VLOOKUP(D1125,name!A:B,2,1)</f>
        <v>Luigi</v>
      </c>
      <c r="F1125" t="str">
        <f t="shared" ref="F1125:F1148" si="1365">F1063</f>
        <v>高校生の頃はどんな感じでしたか?</v>
      </c>
      <c r="G1125" t="str">
        <f t="shared" ref="G1125" si="1366">IF(B1125&lt;&gt;B1126,"e",IF(D1125=0,"q","a"))</f>
        <v>a</v>
      </c>
      <c r="H1125" t="str">
        <f>VLOOKUP(D1125,name!A:C,3,1)</f>
        <v>assets/icons/image023.png</v>
      </c>
      <c r="I1125" t="s">
        <v>463</v>
      </c>
    </row>
    <row r="1126" spans="1:9" x14ac:dyDescent="0.15">
      <c r="A1126" t="str">
        <f t="shared" ref="A1126:B1126" si="1367">A1125</f>
        <v>フランス語</v>
      </c>
      <c r="B1126">
        <f t="shared" si="1367"/>
        <v>14</v>
      </c>
      <c r="C1126">
        <f t="shared" ref="C1126:C1149" si="1368">C1125+1</f>
        <v>67</v>
      </c>
      <c r="D1126">
        <v>0</v>
      </c>
      <c r="E1126" t="str">
        <f>VLOOKUP(D1126,name!A:B,2,1)</f>
        <v>Player</v>
      </c>
      <c r="F1126" t="str">
        <f t="shared" si="1365"/>
        <v xml:space="preserve"> Tu étais comment quand tu étais au lycée ?</v>
      </c>
      <c r="G1126" t="str">
        <f>IF(B1126&lt;&gt;B2067,"e",IF(D1126=0,"q","a"))</f>
        <v>e</v>
      </c>
      <c r="H1126" t="str">
        <f>VLOOKUP(D1126,name!A:C,3,1)</f>
        <v>assets/icons/image326.png</v>
      </c>
      <c r="I1126" t="str">
        <f>IF(A1126="","",VLOOKUP(A1126,lng!A:B,2,0))</f>
        <v>fr-FR</v>
      </c>
    </row>
    <row r="1127" spans="1:9" x14ac:dyDescent="0.15">
      <c r="A1127" t="str">
        <f t="shared" ref="A1127:B1127" si="1369">A1126</f>
        <v>フランス語</v>
      </c>
      <c r="B1127">
        <f t="shared" si="1369"/>
        <v>14</v>
      </c>
      <c r="C1127">
        <f t="shared" si="1368"/>
        <v>68</v>
      </c>
      <c r="D1127">
        <f>D1065</f>
        <v>5</v>
      </c>
      <c r="E1127" t="str">
        <f>VLOOKUP(D1127,name!A:B,2,1)</f>
        <v>Minako</v>
      </c>
      <c r="F1127" t="str">
        <f t="shared" si="1365"/>
        <v>ああ、私は少し夢見がちな高校生でした...</v>
      </c>
      <c r="G1127" t="str">
        <f t="shared" ref="G1127" si="1370">IF(B1127&lt;&gt;B1128,"e",IF(D1127=0,"q","a"))</f>
        <v>a</v>
      </c>
      <c r="H1127" t="str">
        <f>VLOOKUP(D1127,name!A:C,3,1)</f>
        <v>assets/icons/image086.png</v>
      </c>
      <c r="I1127" t="s">
        <v>463</v>
      </c>
    </row>
    <row r="1128" spans="1:9" x14ac:dyDescent="0.15">
      <c r="A1128" t="str">
        <f t="shared" ref="A1128:B1128" si="1371">A1127</f>
        <v>フランス語</v>
      </c>
      <c r="B1128">
        <f t="shared" si="1371"/>
        <v>14</v>
      </c>
      <c r="C1128">
        <f t="shared" si="1368"/>
        <v>69</v>
      </c>
      <c r="D1128">
        <v>0</v>
      </c>
      <c r="E1128" t="str">
        <f>VLOOKUP(D1128,name!A:B,2,1)</f>
        <v>Player</v>
      </c>
      <c r="F1128" t="str">
        <f t="shared" si="1365"/>
        <v>Oh, j'étais une petite lycéenne plutôt rêveuse...</v>
      </c>
      <c r="G1128" t="str">
        <f>IF(B1128&lt;&gt;B2069,"e",IF(D1128=0,"q","a"))</f>
        <v>e</v>
      </c>
      <c r="H1128" t="str">
        <f>VLOOKUP(D1128,name!A:C,3,1)</f>
        <v>assets/icons/image326.png</v>
      </c>
      <c r="I1128" t="str">
        <f>IF(A1128="","",VLOOKUP(A1128,lng!A:B,2,0))</f>
        <v>fr-FR</v>
      </c>
    </row>
    <row r="1129" spans="1:9" x14ac:dyDescent="0.15">
      <c r="A1129" t="str">
        <f t="shared" ref="A1129:B1129" si="1372">A1128</f>
        <v>フランス語</v>
      </c>
      <c r="B1129">
        <f t="shared" si="1372"/>
        <v>14</v>
      </c>
      <c r="C1129">
        <f t="shared" si="1368"/>
        <v>70</v>
      </c>
      <c r="D1129">
        <f>D1067</f>
        <v>7</v>
      </c>
      <c r="E1129" t="str">
        <f>VLOOKUP(D1129,name!A:B,2,1)</f>
        <v>Luigi</v>
      </c>
      <c r="F1129" t="str">
        <f t="shared" si="1365"/>
        <v>何を夢見ていましたか?</v>
      </c>
      <c r="G1129" t="str">
        <f t="shared" ref="G1129" si="1373">IF(B1129&lt;&gt;B1130,"e",IF(D1129=0,"q","a"))</f>
        <v>a</v>
      </c>
      <c r="H1129" t="str">
        <f>VLOOKUP(D1129,name!A:C,3,1)</f>
        <v>assets/icons/image023.png</v>
      </c>
      <c r="I1129" t="s">
        <v>463</v>
      </c>
    </row>
    <row r="1130" spans="1:9" x14ac:dyDescent="0.15">
      <c r="A1130" t="str">
        <f t="shared" ref="A1130:B1130" si="1374">A1129</f>
        <v>フランス語</v>
      </c>
      <c r="B1130">
        <f t="shared" si="1374"/>
        <v>14</v>
      </c>
      <c r="C1130">
        <f t="shared" si="1368"/>
        <v>71</v>
      </c>
      <c r="D1130">
        <v>0</v>
      </c>
      <c r="E1130" t="str">
        <f>VLOOKUP(D1130,name!A:B,2,1)</f>
        <v>Player</v>
      </c>
      <c r="F1130" t="str">
        <f t="shared" si="1365"/>
        <v>De quoi est-ce que tu rêvais ?</v>
      </c>
      <c r="G1130" t="str">
        <f>IF(B1130&lt;&gt;B2071,"e",IF(D1130=0,"q","a"))</f>
        <v>e</v>
      </c>
      <c r="H1130" t="str">
        <f>VLOOKUP(D1130,name!A:C,3,1)</f>
        <v>assets/icons/image326.png</v>
      </c>
      <c r="I1130" t="str">
        <f>IF(A1130="","",VLOOKUP(A1130,lng!A:B,2,0))</f>
        <v>fr-FR</v>
      </c>
    </row>
    <row r="1131" spans="1:9" x14ac:dyDescent="0.15">
      <c r="A1131" t="str">
        <f t="shared" ref="A1131:B1131" si="1375">A1130</f>
        <v>フランス語</v>
      </c>
      <c r="B1131">
        <f t="shared" si="1375"/>
        <v>14</v>
      </c>
      <c r="C1131">
        <f t="shared" si="1368"/>
        <v>72</v>
      </c>
      <c r="D1131">
        <f>D1069</f>
        <v>5</v>
      </c>
      <c r="E1131" t="str">
        <f>VLOOKUP(D1131,name!A:B,2,1)</f>
        <v>Minako</v>
      </c>
      <c r="F1131" t="str">
        <f t="shared" si="1365"/>
        <v>私は歌手になることを夢見ていました。</v>
      </c>
      <c r="G1131" t="str">
        <f t="shared" ref="G1131" si="1376">IF(B1131&lt;&gt;B1132,"e",IF(D1131=0,"q","a"))</f>
        <v>a</v>
      </c>
      <c r="H1131" t="str">
        <f>VLOOKUP(D1131,name!A:C,3,1)</f>
        <v>assets/icons/image086.png</v>
      </c>
      <c r="I1131" t="s">
        <v>463</v>
      </c>
    </row>
    <row r="1132" spans="1:9" x14ac:dyDescent="0.15">
      <c r="A1132" t="str">
        <f t="shared" ref="A1132:B1132" si="1377">A1131</f>
        <v>フランス語</v>
      </c>
      <c r="B1132">
        <f t="shared" si="1377"/>
        <v>14</v>
      </c>
      <c r="C1132">
        <f t="shared" si="1368"/>
        <v>73</v>
      </c>
      <c r="D1132">
        <v>0</v>
      </c>
      <c r="E1132" t="str">
        <f>VLOOKUP(D1132,name!A:B,2,1)</f>
        <v>Player</v>
      </c>
      <c r="F1132" t="str">
        <f t="shared" si="1365"/>
        <v>Je rêvais de devenir chanteuse.</v>
      </c>
      <c r="G1132" t="str">
        <f>IF(B1132&lt;&gt;B2073,"e",IF(D1132=0,"q","a"))</f>
        <v>e</v>
      </c>
      <c r="H1132" t="str">
        <f>VLOOKUP(D1132,name!A:C,3,1)</f>
        <v>assets/icons/image326.png</v>
      </c>
      <c r="I1132" t="str">
        <f>IF(A1132="","",VLOOKUP(A1132,lng!A:B,2,0))</f>
        <v>fr-FR</v>
      </c>
    </row>
    <row r="1133" spans="1:9" x14ac:dyDescent="0.15">
      <c r="A1133" t="str">
        <f t="shared" ref="A1133:B1133" si="1378">A1132</f>
        <v>フランス語</v>
      </c>
      <c r="B1133">
        <f t="shared" si="1378"/>
        <v>14</v>
      </c>
      <c r="C1133">
        <f t="shared" si="1368"/>
        <v>74</v>
      </c>
      <c r="D1133">
        <f>D1071</f>
        <v>7</v>
      </c>
      <c r="E1133" t="str">
        <f>VLOOKUP(D1133,name!A:B,2,1)</f>
        <v>Luigi</v>
      </c>
      <c r="F1133" t="str">
        <f t="shared" si="1365"/>
        <v>セリーヌ、あなたはどうですか?</v>
      </c>
      <c r="G1133" t="str">
        <f t="shared" ref="G1133" si="1379">IF(B1133&lt;&gt;B1134,"e",IF(D1133=0,"q","a"))</f>
        <v>a</v>
      </c>
      <c r="H1133" t="str">
        <f>VLOOKUP(D1133,name!A:C,3,1)</f>
        <v>assets/icons/image023.png</v>
      </c>
      <c r="I1133" t="s">
        <v>463</v>
      </c>
    </row>
    <row r="1134" spans="1:9" x14ac:dyDescent="0.15">
      <c r="A1134" t="str">
        <f t="shared" ref="A1134:B1134" si="1380">A1133</f>
        <v>フランス語</v>
      </c>
      <c r="B1134">
        <f t="shared" si="1380"/>
        <v>14</v>
      </c>
      <c r="C1134">
        <f t="shared" si="1368"/>
        <v>75</v>
      </c>
      <c r="D1134">
        <v>0</v>
      </c>
      <c r="E1134" t="str">
        <f>VLOOKUP(D1134,name!A:B,2,1)</f>
        <v>Player</v>
      </c>
      <c r="F1134" t="str">
        <f t="shared" si="1365"/>
        <v>Et toi, Céline ?</v>
      </c>
      <c r="G1134" t="str">
        <f>IF(B1134&lt;&gt;B2075,"e",IF(D1134=0,"q","a"))</f>
        <v>e</v>
      </c>
      <c r="H1134" t="str">
        <f>VLOOKUP(D1134,name!A:C,3,1)</f>
        <v>assets/icons/image326.png</v>
      </c>
      <c r="I1134" t="str">
        <f>IF(A1134="","",VLOOKUP(A1134,lng!A:B,2,0))</f>
        <v>fr-FR</v>
      </c>
    </row>
    <row r="1135" spans="1:9" x14ac:dyDescent="0.15">
      <c r="A1135" t="str">
        <f t="shared" ref="A1135:B1135" si="1381">A1134</f>
        <v>フランス語</v>
      </c>
      <c r="B1135">
        <f t="shared" si="1381"/>
        <v>14</v>
      </c>
      <c r="C1135">
        <f t="shared" si="1368"/>
        <v>76</v>
      </c>
      <c r="D1135">
        <f>D1073</f>
        <v>6</v>
      </c>
      <c r="E1135" t="str">
        <f>VLOOKUP(D1135,name!A:B,2,1)</f>
        <v>Céline</v>
      </c>
      <c r="F1135" t="str">
        <f t="shared" si="1365"/>
        <v>両親はわたしが16歳のときに離婚しました。</v>
      </c>
      <c r="G1135" t="str">
        <f t="shared" ref="G1135" si="1382">IF(B1135&lt;&gt;B1136,"e",IF(D1135=0,"q","a"))</f>
        <v>a</v>
      </c>
      <c r="H1135" t="str">
        <f>VLOOKUP(D1135,name!A:C,3,1)</f>
        <v>assets/icons/image078.png</v>
      </c>
      <c r="I1135" t="s">
        <v>463</v>
      </c>
    </row>
    <row r="1136" spans="1:9" x14ac:dyDescent="0.15">
      <c r="A1136" t="str">
        <f t="shared" ref="A1136:B1136" si="1383">A1135</f>
        <v>フランス語</v>
      </c>
      <c r="B1136">
        <f t="shared" si="1383"/>
        <v>14</v>
      </c>
      <c r="C1136">
        <f t="shared" si="1368"/>
        <v>77</v>
      </c>
      <c r="D1136">
        <v>0</v>
      </c>
      <c r="E1136" t="str">
        <f>VLOOKUP(D1136,name!A:B,2,1)</f>
        <v>Player</v>
      </c>
      <c r="F1136" t="str">
        <f t="shared" si="1365"/>
        <v>Mes parents se sont séparés quand j'avais seize ans.</v>
      </c>
      <c r="G1136" t="str">
        <f>IF(B1136&lt;&gt;B2077,"e",IF(D1136=0,"q","a"))</f>
        <v>e</v>
      </c>
      <c r="H1136" t="str">
        <f>VLOOKUP(D1136,name!A:C,3,1)</f>
        <v>assets/icons/image326.png</v>
      </c>
      <c r="I1136" t="str">
        <f>IF(A1136="","",VLOOKUP(A1136,lng!A:B,2,0))</f>
        <v>fr-FR</v>
      </c>
    </row>
    <row r="1137" spans="1:12" x14ac:dyDescent="0.15">
      <c r="A1137" t="str">
        <f t="shared" ref="A1137:B1137" si="1384">A1136</f>
        <v>フランス語</v>
      </c>
      <c r="B1137">
        <f t="shared" si="1384"/>
        <v>14</v>
      </c>
      <c r="C1137">
        <f t="shared" si="1368"/>
        <v>78</v>
      </c>
      <c r="D1137">
        <f>D1075</f>
        <v>6</v>
      </c>
      <c r="E1137" t="str">
        <f>VLOOKUP(D1137,name!A:B,2,1)</f>
        <v>Céline</v>
      </c>
      <c r="F1137" t="str">
        <f t="shared" si="1365"/>
        <v>私は母を喜ばせるために一生懸命勉強しました…模範的な女の子であるために...</v>
      </c>
      <c r="G1137" t="str">
        <f t="shared" ref="G1137" si="1385">IF(B1137&lt;&gt;B1138,"e",IF(D1137=0,"q","a"))</f>
        <v>a</v>
      </c>
      <c r="H1137" t="str">
        <f>VLOOKUP(D1137,name!A:C,3,1)</f>
        <v>assets/icons/image078.png</v>
      </c>
      <c r="I1137" t="s">
        <v>463</v>
      </c>
    </row>
    <row r="1138" spans="1:12" x14ac:dyDescent="0.15">
      <c r="A1138" t="str">
        <f t="shared" ref="A1138:B1138" si="1386">A1137</f>
        <v>フランス語</v>
      </c>
      <c r="B1138">
        <f t="shared" si="1386"/>
        <v>14</v>
      </c>
      <c r="C1138">
        <f t="shared" si="1368"/>
        <v>79</v>
      </c>
      <c r="D1138">
        <v>0</v>
      </c>
      <c r="E1138" t="str">
        <f>VLOOKUP(D1138,name!A:B,2,1)</f>
        <v>Player</v>
      </c>
      <c r="F1138" t="str">
        <f t="shared" si="1365"/>
        <v>J'ai travaillé dur pour faire plaisir à ma mère ... être une fille modèle...</v>
      </c>
      <c r="G1138" t="str">
        <f>IF(B1138&lt;&gt;B2079,"e",IF(D1138=0,"q","a"))</f>
        <v>e</v>
      </c>
      <c r="H1138" t="str">
        <f>VLOOKUP(D1138,name!A:C,3,1)</f>
        <v>assets/icons/image326.png</v>
      </c>
      <c r="I1138" t="str">
        <f>IF(A1138="","",VLOOKUP(A1138,lng!A:B,2,0))</f>
        <v>fr-FR</v>
      </c>
    </row>
    <row r="1139" spans="1:12" x14ac:dyDescent="0.15">
      <c r="A1139" t="str">
        <f t="shared" ref="A1139:B1139" si="1387">A1138</f>
        <v>フランス語</v>
      </c>
      <c r="B1139">
        <f t="shared" si="1387"/>
        <v>14</v>
      </c>
      <c r="C1139">
        <f t="shared" si="1368"/>
        <v>80</v>
      </c>
      <c r="D1139">
        <f>D1077</f>
        <v>5</v>
      </c>
      <c r="E1139" t="str">
        <f>VLOOKUP(D1139,name!A:B,2,1)</f>
        <v>Minako</v>
      </c>
      <c r="F1139" t="str">
        <f t="shared" si="1365"/>
        <v>ルイージ、あなたはどうですか?</v>
      </c>
      <c r="G1139" t="str">
        <f t="shared" ref="G1139" si="1388">IF(B1139&lt;&gt;B1140,"e",IF(D1139=0,"q","a"))</f>
        <v>a</v>
      </c>
      <c r="H1139" t="str">
        <f>VLOOKUP(D1139,name!A:C,3,1)</f>
        <v>assets/icons/image086.png</v>
      </c>
      <c r="I1139" t="s">
        <v>463</v>
      </c>
    </row>
    <row r="1140" spans="1:12" x14ac:dyDescent="0.15">
      <c r="A1140" t="str">
        <f t="shared" ref="A1140:B1140" si="1389">A1139</f>
        <v>フランス語</v>
      </c>
      <c r="B1140">
        <f t="shared" si="1389"/>
        <v>14</v>
      </c>
      <c r="C1140">
        <f t="shared" si="1368"/>
        <v>81</v>
      </c>
      <c r="D1140">
        <v>0</v>
      </c>
      <c r="E1140" t="str">
        <f>VLOOKUP(D1140,name!A:B,2,1)</f>
        <v>Player</v>
      </c>
      <c r="F1140" t="str">
        <f t="shared" si="1365"/>
        <v>Et toi, Luigi ?</v>
      </c>
      <c r="G1140" t="str">
        <f>IF(B1140&lt;&gt;B2081,"e",IF(D1140=0,"q","a"))</f>
        <v>e</v>
      </c>
      <c r="H1140" t="str">
        <f>VLOOKUP(D1140,name!A:C,3,1)</f>
        <v>assets/icons/image326.png</v>
      </c>
      <c r="I1140" t="str">
        <f>IF(A1140="","",VLOOKUP(A1140,lng!A:B,2,0))</f>
        <v>fr-FR</v>
      </c>
    </row>
    <row r="1141" spans="1:12" x14ac:dyDescent="0.15">
      <c r="A1141" t="str">
        <f t="shared" ref="A1141:B1141" si="1390">A1140</f>
        <v>フランス語</v>
      </c>
      <c r="B1141">
        <f t="shared" si="1390"/>
        <v>14</v>
      </c>
      <c r="C1141">
        <f t="shared" si="1368"/>
        <v>82</v>
      </c>
      <c r="D1141">
        <f>D1079</f>
        <v>5</v>
      </c>
      <c r="E1141" t="str">
        <f>VLOOKUP(D1141,name!A:B,2,1)</f>
        <v>Minako</v>
      </c>
      <c r="F1141" t="str">
        <f t="shared" si="1365"/>
        <v>どうでしたか?</v>
      </c>
      <c r="G1141" t="str">
        <f t="shared" ref="G1141" si="1391">IF(B1141&lt;&gt;B1142,"e",IF(D1141=0,"q","a"))</f>
        <v>a</v>
      </c>
      <c r="H1141" t="str">
        <f>VLOOKUP(D1141,name!A:C,3,1)</f>
        <v>assets/icons/image086.png</v>
      </c>
      <c r="I1141" t="s">
        <v>463</v>
      </c>
    </row>
    <row r="1142" spans="1:12" x14ac:dyDescent="0.15">
      <c r="A1142" t="str">
        <f t="shared" ref="A1142:B1142" si="1392">A1141</f>
        <v>フランス語</v>
      </c>
      <c r="B1142">
        <f t="shared" si="1392"/>
        <v>14</v>
      </c>
      <c r="C1142">
        <f t="shared" si="1368"/>
        <v>83</v>
      </c>
      <c r="D1142">
        <v>0</v>
      </c>
      <c r="E1142" t="str">
        <f>VLOOKUP(D1142,name!A:B,2,1)</f>
        <v>Player</v>
      </c>
      <c r="F1142" t="str">
        <f t="shared" si="1365"/>
        <v>Tu étais comment ?</v>
      </c>
      <c r="G1142" t="str">
        <f>IF(B1142&lt;&gt;B2083,"e",IF(D1142=0,"q","a"))</f>
        <v>e</v>
      </c>
      <c r="H1142" t="str">
        <f>VLOOKUP(D1142,name!A:C,3,1)</f>
        <v>assets/icons/image326.png</v>
      </c>
      <c r="I1142" t="str">
        <f>IF(A1142="","",VLOOKUP(A1142,lng!A:B,2,0))</f>
        <v>fr-FR</v>
      </c>
    </row>
    <row r="1143" spans="1:12" x14ac:dyDescent="0.15">
      <c r="A1143" t="str">
        <f t="shared" ref="A1143:B1143" si="1393">A1142</f>
        <v>フランス語</v>
      </c>
      <c r="B1143">
        <f t="shared" si="1393"/>
        <v>14</v>
      </c>
      <c r="C1143">
        <f t="shared" si="1368"/>
        <v>84</v>
      </c>
      <c r="D1143">
        <f>D1081</f>
        <v>7</v>
      </c>
      <c r="E1143" t="str">
        <f>VLOOKUP(D1143,name!A:B,2,1)</f>
        <v>Luigi</v>
      </c>
      <c r="F1143" t="str">
        <f t="shared" si="1365"/>
        <v>ああ、とても楽しかったです。</v>
      </c>
      <c r="G1143" t="str">
        <f t="shared" ref="G1143" si="1394">IF(B1143&lt;&gt;B1144,"e",IF(D1143=0,"q","a"))</f>
        <v>a</v>
      </c>
      <c r="H1143" t="str">
        <f>VLOOKUP(D1143,name!A:C,3,1)</f>
        <v>assets/icons/image023.png</v>
      </c>
      <c r="I1143" t="s">
        <v>463</v>
      </c>
    </row>
    <row r="1144" spans="1:12" x14ac:dyDescent="0.15">
      <c r="A1144" t="str">
        <f t="shared" ref="A1144:B1144" si="1395">A1143</f>
        <v>フランス語</v>
      </c>
      <c r="B1144">
        <f t="shared" si="1395"/>
        <v>14</v>
      </c>
      <c r="C1144">
        <f t="shared" si="1368"/>
        <v>85</v>
      </c>
      <c r="D1144">
        <v>0</v>
      </c>
      <c r="E1144" t="str">
        <f>VLOOKUP(D1144,name!A:B,2,1)</f>
        <v>Player</v>
      </c>
      <c r="F1144" t="str">
        <f t="shared" si="1365"/>
        <v>Oh, je me suis bien amusé.</v>
      </c>
      <c r="G1144" t="str">
        <f>IF(B1144&lt;&gt;B2085,"e",IF(D1144=0,"q","a"))</f>
        <v>e</v>
      </c>
      <c r="H1144" t="str">
        <f>VLOOKUP(D1144,name!A:C,3,1)</f>
        <v>assets/icons/image326.png</v>
      </c>
      <c r="I1144" t="str">
        <f>IF(A1144="","",VLOOKUP(A1144,lng!A:B,2,0))</f>
        <v>fr-FR</v>
      </c>
    </row>
    <row r="1145" spans="1:12" x14ac:dyDescent="0.15">
      <c r="A1145" t="str">
        <f t="shared" ref="A1145:B1145" si="1396">A1144</f>
        <v>フランス語</v>
      </c>
      <c r="B1145">
        <f t="shared" si="1396"/>
        <v>14</v>
      </c>
      <c r="C1145">
        <f t="shared" si="1368"/>
        <v>86</v>
      </c>
      <c r="D1145">
        <f>D1083</f>
        <v>7</v>
      </c>
      <c r="E1145" t="str">
        <f>VLOOKUP(D1145,name!A:B,2,1)</f>
        <v>Luigi</v>
      </c>
      <c r="F1145" t="str">
        <f t="shared" si="1365"/>
        <v>私は女の子と出かけ、踊り、歌いました</v>
      </c>
      <c r="G1145" t="str">
        <f t="shared" ref="G1145" si="1397">IF(B1145&lt;&gt;B1146,"e",IF(D1145=0,"q","a"))</f>
        <v>a</v>
      </c>
      <c r="H1145" t="str">
        <f>VLOOKUP(D1145,name!A:C,3,1)</f>
        <v>assets/icons/image023.png</v>
      </c>
      <c r="I1145" t="s">
        <v>463</v>
      </c>
    </row>
    <row r="1146" spans="1:12" x14ac:dyDescent="0.15">
      <c r="A1146" t="str">
        <f t="shared" ref="A1146:B1146" si="1398">A1145</f>
        <v>フランス語</v>
      </c>
      <c r="B1146">
        <f t="shared" si="1398"/>
        <v>14</v>
      </c>
      <c r="C1146">
        <f t="shared" si="1368"/>
        <v>87</v>
      </c>
      <c r="D1146">
        <v>0</v>
      </c>
      <c r="E1146" t="str">
        <f>VLOOKUP(D1146,name!A:B,2,1)</f>
        <v>Player</v>
      </c>
      <c r="F1146" t="str">
        <f t="shared" si="1365"/>
        <v>Je suis sorti avec des filles, on a dansé, on a chanté</v>
      </c>
      <c r="G1146" t="str">
        <f>IF(B1146&lt;&gt;B2087,"e",IF(D1146=0,"q","a"))</f>
        <v>e</v>
      </c>
      <c r="H1146" t="str">
        <f>VLOOKUP(D1146,name!A:C,3,1)</f>
        <v>assets/icons/image326.png</v>
      </c>
      <c r="I1146" t="str">
        <f>IF(A1146="","",VLOOKUP(A1146,lng!A:B,2,0))</f>
        <v>fr-FR</v>
      </c>
    </row>
    <row r="1147" spans="1:12" x14ac:dyDescent="0.15">
      <c r="A1147" t="str">
        <f t="shared" ref="A1147:B1147" si="1399">A1146</f>
        <v>フランス語</v>
      </c>
      <c r="B1147">
        <f t="shared" si="1399"/>
        <v>14</v>
      </c>
      <c r="C1147">
        <f t="shared" si="1368"/>
        <v>88</v>
      </c>
      <c r="D1147">
        <f>D1085</f>
        <v>6</v>
      </c>
      <c r="E1147" t="str">
        <f>VLOOKUP(D1147,name!A:B,2,1)</f>
        <v>Céline</v>
      </c>
      <c r="F1147" t="str">
        <f t="shared" si="1365"/>
        <v>イタリアの生活は良いですね。</v>
      </c>
      <c r="G1147" t="str">
        <f t="shared" ref="G1147" si="1400">IF(B1147&lt;&gt;B1148,"e",IF(D1147=0,"q","a"))</f>
        <v>a</v>
      </c>
      <c r="H1147" t="str">
        <f>VLOOKUP(D1147,name!A:C,3,1)</f>
        <v>assets/icons/image078.png</v>
      </c>
      <c r="I1147" t="s">
        <v>463</v>
      </c>
    </row>
    <row r="1148" spans="1:12" x14ac:dyDescent="0.15">
      <c r="A1148" t="str">
        <f t="shared" ref="A1148:B1148" si="1401">A1147</f>
        <v>フランス語</v>
      </c>
      <c r="B1148">
        <f t="shared" si="1401"/>
        <v>14</v>
      </c>
      <c r="C1148">
        <f t="shared" si="1368"/>
        <v>89</v>
      </c>
      <c r="D1148">
        <v>0</v>
      </c>
      <c r="E1148" t="str">
        <f>VLOOKUP(D1148,name!A:B,2,1)</f>
        <v>Player</v>
      </c>
      <c r="F1148" t="str">
        <f t="shared" si="1365"/>
        <v>La vie est belle en Italie.</v>
      </c>
      <c r="G1148" t="str">
        <f>IF(B1148&lt;&gt;B2089,"e",IF(D1148=0,"q","a"))</f>
        <v>e</v>
      </c>
      <c r="H1148" t="str">
        <f>VLOOKUP(D1148,name!A:C,3,1)</f>
        <v>assets/icons/image326.png</v>
      </c>
      <c r="I1148" t="str">
        <f>IF(A1148="","",VLOOKUP(A1148,lng!A:B,2,0))</f>
        <v>fr-FR</v>
      </c>
    </row>
    <row r="1149" spans="1:12" x14ac:dyDescent="0.15">
      <c r="A1149" t="str">
        <f t="shared" ref="A1149:B1149" si="1402">A1148</f>
        <v>フランス語</v>
      </c>
      <c r="B1149">
        <f t="shared" si="1402"/>
        <v>14</v>
      </c>
      <c r="C1149">
        <f t="shared" si="1368"/>
        <v>90</v>
      </c>
      <c r="D1149">
        <v>1</v>
      </c>
      <c r="E1149" t="str">
        <f>VLOOKUP(D1149,name!A:B,2,1)</f>
        <v>Navigator</v>
      </c>
      <c r="F1149" t="str">
        <f>"とても良くできました。レッスン"&amp;B1149&amp;"はこれで終了です。"</f>
        <v>とても良くできました。レッスン14はこれで終了です。</v>
      </c>
      <c r="G1149" t="str">
        <f>IF(B1149&lt;&gt;B1559,"e",IF(D1149=0,"q","a"))</f>
        <v>e</v>
      </c>
      <c r="H1149" t="str">
        <f>VLOOKUP(D1149,name!A:C,3,1)</f>
        <v>assets/icons/image014.png</v>
      </c>
      <c r="I1149" t="s">
        <v>463</v>
      </c>
    </row>
    <row r="1150" spans="1:12" x14ac:dyDescent="0.15">
      <c r="A1150" t="str">
        <f>A1149</f>
        <v>フランス語</v>
      </c>
      <c r="B1150">
        <f>B1149+1</f>
        <v>15</v>
      </c>
      <c r="C1150">
        <v>1</v>
      </c>
      <c r="D1150">
        <v>1</v>
      </c>
      <c r="E1150" t="str">
        <f>VLOOKUP(D1150,name!A:B,2,1)</f>
        <v>Navigator</v>
      </c>
      <c r="F1150" t="s">
        <v>739</v>
      </c>
      <c r="G1150" t="str">
        <f t="shared" ref="G1150" si="1403">IF(B1150&lt;&gt;B1151,"e",IF(D1150=0,"q","a"))</f>
        <v>a</v>
      </c>
      <c r="H1150" t="str">
        <f>VLOOKUP(D1150,name!A:C,3,1)</f>
        <v>assets/icons/image014.png</v>
      </c>
      <c r="I1150" t="str">
        <f>IF(A1150="","",VLOOKUP(A1150,lng!A:B,2,0))</f>
        <v>fr-FR</v>
      </c>
    </row>
    <row r="1151" spans="1:12" x14ac:dyDescent="0.15">
      <c r="A1151" t="str">
        <f t="shared" ref="A1151:B1166" si="1404">A1150</f>
        <v>フランス語</v>
      </c>
      <c r="B1151">
        <f>B1150</f>
        <v>15</v>
      </c>
      <c r="C1151">
        <f>C1150+1</f>
        <v>2</v>
      </c>
      <c r="D1151">
        <v>1</v>
      </c>
      <c r="E1151" t="str">
        <f>VLOOKUP(D1151,name!A:B,2,1)</f>
        <v>Navigator</v>
      </c>
      <c r="F1151" t="str">
        <f>"レッスン"&amp;B1151</f>
        <v>レッスン15</v>
      </c>
      <c r="G1151" t="str">
        <f>IF(B1151&lt;&gt;B2092,"e",IF(D1151=0,"q","a"))</f>
        <v>e</v>
      </c>
      <c r="H1151" t="str">
        <f>VLOOKUP(D1151,name!A:C,3,1)</f>
        <v>assets/icons/image014.png</v>
      </c>
      <c r="I1151" t="s">
        <v>463</v>
      </c>
    </row>
    <row r="1152" spans="1:12" ht="40.5" x14ac:dyDescent="0.15">
      <c r="A1152" t="str">
        <f t="shared" si="1404"/>
        <v>フランス語</v>
      </c>
      <c r="B1152">
        <f t="shared" si="1404"/>
        <v>15</v>
      </c>
      <c r="C1152">
        <f t="shared" ref="C1152:C1215" si="1405">C1151+1</f>
        <v>3</v>
      </c>
      <c r="D1152">
        <v>1</v>
      </c>
      <c r="E1152" t="str">
        <f>VLOOKUP(D1152,name!A:B,2,1)</f>
        <v>Navigator</v>
      </c>
      <c r="F1152" s="1" t="str">
        <f>"まずは対話文を流します。その後に、日本語と"&amp;A1152&amp;"を一文ずつ流すので"&amp;A1152&amp;"を真似して下さい。最後に日本語のみを流すので、"&amp;A1152&amp;"で答えてください。"</f>
        <v>まずは対話文を流します。その後に、日本語とフランス語を一文ずつ流すのでフランス語を真似して下さい。最後に日本語のみを流すので、フランス語で答えてください。</v>
      </c>
      <c r="G1152" t="str">
        <f>IF(B1152&lt;&gt;B1562,"e",IF(D1152=0,"q","a"))</f>
        <v>e</v>
      </c>
      <c r="H1152" t="str">
        <f>VLOOKUP(D1152,name!A:C,3,1)</f>
        <v>assets/icons/image014.png</v>
      </c>
      <c r="I1152" t="s">
        <v>463</v>
      </c>
      <c r="L1152" s="1"/>
    </row>
    <row r="1153" spans="1:9" x14ac:dyDescent="0.15">
      <c r="A1153" t="str">
        <f t="shared" si="1404"/>
        <v>フランス語</v>
      </c>
      <c r="B1153">
        <f t="shared" si="1404"/>
        <v>15</v>
      </c>
      <c r="C1153">
        <f t="shared" si="1405"/>
        <v>4</v>
      </c>
      <c r="D1153">
        <f>D1154</f>
        <v>6</v>
      </c>
      <c r="E1153" t="str">
        <f>VLOOKUP(D1153,name!A:B,2,1)</f>
        <v>Céline</v>
      </c>
      <c r="F1153" t="s">
        <v>754</v>
      </c>
      <c r="G1153" t="str">
        <f t="shared" ref="G1153" si="1406">IF(B1153&lt;&gt;B1154,"e",IF(D1153=0,"q","a"))</f>
        <v>a</v>
      </c>
      <c r="H1153" t="str">
        <f>VLOOKUP(D1153,name!A:C,3,1)</f>
        <v>assets/icons/image078.png</v>
      </c>
      <c r="I1153" t="s">
        <v>463</v>
      </c>
    </row>
    <row r="1154" spans="1:9" x14ac:dyDescent="0.15">
      <c r="A1154" t="str">
        <f t="shared" si="1404"/>
        <v>フランス語</v>
      </c>
      <c r="B1154">
        <f t="shared" si="1404"/>
        <v>15</v>
      </c>
      <c r="C1154">
        <f t="shared" si="1405"/>
        <v>5</v>
      </c>
      <c r="D1154">
        <v>6</v>
      </c>
      <c r="E1154" t="str">
        <f>VLOOKUP(D1154,name!A:B,2,1)</f>
        <v>Céline</v>
      </c>
      <c r="F1154" t="s">
        <v>740</v>
      </c>
      <c r="G1154" t="str">
        <f>IF(B1154&lt;&gt;B2095,"e",IF(D1154=0,"q","a"))</f>
        <v>e</v>
      </c>
      <c r="H1154" t="str">
        <f>VLOOKUP(D1154,name!A:C,3,1)</f>
        <v>assets/icons/image078.png</v>
      </c>
      <c r="I1154" t="str">
        <f>IF(A1154="","",VLOOKUP(A1154,lng!A:B,2,0))</f>
        <v>fr-FR</v>
      </c>
    </row>
    <row r="1155" spans="1:9" x14ac:dyDescent="0.15">
      <c r="A1155" t="str">
        <f t="shared" si="1404"/>
        <v>フランス語</v>
      </c>
      <c r="B1155">
        <f t="shared" si="1404"/>
        <v>15</v>
      </c>
      <c r="C1155">
        <f t="shared" si="1405"/>
        <v>6</v>
      </c>
      <c r="D1155">
        <f t="shared" ref="D1155:D1179" si="1407">D1156</f>
        <v>5</v>
      </c>
      <c r="E1155" t="str">
        <f>VLOOKUP(D1155,name!A:B,2,1)</f>
        <v>Minako</v>
      </c>
      <c r="F1155" t="s">
        <v>755</v>
      </c>
      <c r="G1155" t="str">
        <f>IF(B1155&lt;&gt;B1565,"e",IF(D1155=0,"q","a"))</f>
        <v>e</v>
      </c>
      <c r="H1155" t="str">
        <f>VLOOKUP(D1155,name!A:C,3,1)</f>
        <v>assets/icons/image086.png</v>
      </c>
      <c r="I1155" t="s">
        <v>463</v>
      </c>
    </row>
    <row r="1156" spans="1:9" x14ac:dyDescent="0.15">
      <c r="A1156" t="str">
        <f t="shared" si="1404"/>
        <v>フランス語</v>
      </c>
      <c r="B1156">
        <f t="shared" si="1404"/>
        <v>15</v>
      </c>
      <c r="C1156">
        <f t="shared" si="1405"/>
        <v>7</v>
      </c>
      <c r="D1156">
        <f t="shared" si="1407"/>
        <v>5</v>
      </c>
      <c r="E1156" t="str">
        <f>VLOOKUP(D1156,name!A:B,2,1)</f>
        <v>Minako</v>
      </c>
      <c r="F1156" t="s">
        <v>741</v>
      </c>
      <c r="G1156" t="str">
        <f t="shared" ref="G1156" si="1408">IF(B1156&lt;&gt;B1157,"e",IF(D1156=0,"q","a"))</f>
        <v>a</v>
      </c>
      <c r="H1156" t="str">
        <f>VLOOKUP(D1156,name!A:C,3,1)</f>
        <v>assets/icons/image086.png</v>
      </c>
      <c r="I1156" t="str">
        <f>IF(A1156="","",VLOOKUP(A1156,lng!A:B,2,0))</f>
        <v>fr-FR</v>
      </c>
    </row>
    <row r="1157" spans="1:9" x14ac:dyDescent="0.15">
      <c r="A1157" t="str">
        <f t="shared" si="1404"/>
        <v>フランス語</v>
      </c>
      <c r="B1157">
        <f t="shared" si="1404"/>
        <v>15</v>
      </c>
      <c r="C1157">
        <f t="shared" si="1405"/>
        <v>8</v>
      </c>
      <c r="D1157">
        <f t="shared" si="1407"/>
        <v>5</v>
      </c>
      <c r="E1157" t="str">
        <f>VLOOKUP(D1157,name!A:B,2,1)</f>
        <v>Minako</v>
      </c>
      <c r="F1157" t="s">
        <v>756</v>
      </c>
      <c r="G1157" t="str">
        <f>IF(B1157&lt;&gt;B2098,"e",IF(D1157=0,"q","a"))</f>
        <v>e</v>
      </c>
      <c r="H1157" t="str">
        <f>VLOOKUP(D1157,name!A:C,3,1)</f>
        <v>assets/icons/image086.png</v>
      </c>
      <c r="I1157" t="s">
        <v>463</v>
      </c>
    </row>
    <row r="1158" spans="1:9" x14ac:dyDescent="0.15">
      <c r="A1158" t="str">
        <f t="shared" si="1404"/>
        <v>フランス語</v>
      </c>
      <c r="B1158">
        <f t="shared" si="1404"/>
        <v>15</v>
      </c>
      <c r="C1158">
        <f t="shared" si="1405"/>
        <v>9</v>
      </c>
      <c r="D1158">
        <v>5</v>
      </c>
      <c r="E1158" t="str">
        <f>VLOOKUP(D1158,name!A:B,2,1)</f>
        <v>Minako</v>
      </c>
      <c r="F1158" t="s">
        <v>742</v>
      </c>
      <c r="G1158" t="str">
        <f>IF(B1158&lt;&gt;B1568,"e",IF(D1158=0,"q","a"))</f>
        <v>e</v>
      </c>
      <c r="H1158" t="str">
        <f>VLOOKUP(D1158,name!A:C,3,1)</f>
        <v>assets/icons/image086.png</v>
      </c>
      <c r="I1158" t="str">
        <f>IF(A1158="","",VLOOKUP(A1158,lng!A:B,2,0))</f>
        <v>fr-FR</v>
      </c>
    </row>
    <row r="1159" spans="1:9" x14ac:dyDescent="0.15">
      <c r="A1159" t="str">
        <f t="shared" si="1404"/>
        <v>フランス語</v>
      </c>
      <c r="B1159">
        <f t="shared" si="1404"/>
        <v>15</v>
      </c>
      <c r="C1159">
        <f t="shared" si="1405"/>
        <v>10</v>
      </c>
      <c r="D1159">
        <f t="shared" si="1407"/>
        <v>7</v>
      </c>
      <c r="E1159" t="str">
        <f>VLOOKUP(D1159,name!A:B,2,1)</f>
        <v>Luigi</v>
      </c>
      <c r="F1159" t="s">
        <v>757</v>
      </c>
      <c r="G1159" t="str">
        <f t="shared" ref="G1159" si="1409">IF(B1159&lt;&gt;B1160,"e",IF(D1159=0,"q","a"))</f>
        <v>a</v>
      </c>
      <c r="H1159" t="str">
        <f>VLOOKUP(D1159,name!A:C,3,1)</f>
        <v>assets/icons/image023.png</v>
      </c>
      <c r="I1159" t="s">
        <v>463</v>
      </c>
    </row>
    <row r="1160" spans="1:9" x14ac:dyDescent="0.15">
      <c r="A1160" t="str">
        <f t="shared" si="1404"/>
        <v>フランス語</v>
      </c>
      <c r="B1160">
        <f t="shared" si="1404"/>
        <v>15</v>
      </c>
      <c r="C1160">
        <f t="shared" si="1405"/>
        <v>11</v>
      </c>
      <c r="D1160">
        <v>7</v>
      </c>
      <c r="E1160" t="str">
        <f>VLOOKUP(D1160,name!A:B,2,1)</f>
        <v>Luigi</v>
      </c>
      <c r="F1160" t="s">
        <v>743</v>
      </c>
      <c r="G1160" t="str">
        <f>IF(B1160&lt;&gt;B2101,"e",IF(D1160=0,"q","a"))</f>
        <v>e</v>
      </c>
      <c r="H1160" t="str">
        <f>VLOOKUP(D1160,name!A:C,3,1)</f>
        <v>assets/icons/image023.png</v>
      </c>
      <c r="I1160" t="str">
        <f>IF(A1160="","",VLOOKUP(A1160,lng!A:B,2,0))</f>
        <v>fr-FR</v>
      </c>
    </row>
    <row r="1161" spans="1:9" x14ac:dyDescent="0.15">
      <c r="A1161" t="str">
        <f t="shared" si="1404"/>
        <v>フランス語</v>
      </c>
      <c r="B1161">
        <f t="shared" si="1404"/>
        <v>15</v>
      </c>
      <c r="C1161">
        <f t="shared" si="1405"/>
        <v>12</v>
      </c>
      <c r="D1161">
        <f t="shared" si="1407"/>
        <v>5</v>
      </c>
      <c r="E1161" t="str">
        <f>VLOOKUP(D1161,name!A:B,2,1)</f>
        <v>Minako</v>
      </c>
      <c r="F1161" t="s">
        <v>758</v>
      </c>
      <c r="G1161" t="str">
        <f>IF(B1161&lt;&gt;B1571,"e",IF(D1161=0,"q","a"))</f>
        <v>e</v>
      </c>
      <c r="H1161" t="str">
        <f>VLOOKUP(D1161,name!A:C,3,1)</f>
        <v>assets/icons/image086.png</v>
      </c>
      <c r="I1161" t="s">
        <v>463</v>
      </c>
    </row>
    <row r="1162" spans="1:9" x14ac:dyDescent="0.15">
      <c r="A1162" t="str">
        <f t="shared" si="1404"/>
        <v>フランス語</v>
      </c>
      <c r="B1162">
        <f t="shared" si="1404"/>
        <v>15</v>
      </c>
      <c r="C1162">
        <f t="shared" si="1405"/>
        <v>13</v>
      </c>
      <c r="D1162">
        <v>5</v>
      </c>
      <c r="E1162" t="str">
        <f>VLOOKUP(D1162,name!A:B,2,1)</f>
        <v>Minako</v>
      </c>
      <c r="F1162" t="s">
        <v>744</v>
      </c>
      <c r="G1162" t="str">
        <f t="shared" ref="G1162:G1163" si="1410">IF(B1162&lt;&gt;B1163,"e",IF(D1162=0,"q","a"))</f>
        <v>a</v>
      </c>
      <c r="H1162" t="str">
        <f>VLOOKUP(D1162,name!A:C,3,1)</f>
        <v>assets/icons/image086.png</v>
      </c>
      <c r="I1162" t="str">
        <f>IF(A1162="","",VLOOKUP(A1162,lng!A:B,2,0))</f>
        <v>fr-FR</v>
      </c>
    </row>
    <row r="1163" spans="1:9" x14ac:dyDescent="0.15">
      <c r="A1163" t="str">
        <f t="shared" si="1404"/>
        <v>フランス語</v>
      </c>
      <c r="B1163">
        <f t="shared" si="1404"/>
        <v>15</v>
      </c>
      <c r="C1163">
        <f t="shared" si="1405"/>
        <v>14</v>
      </c>
      <c r="D1163">
        <f t="shared" si="1407"/>
        <v>6</v>
      </c>
      <c r="E1163" t="str">
        <f>VLOOKUP(D1163,name!A:B,2,1)</f>
        <v>Céline</v>
      </c>
      <c r="F1163" t="s">
        <v>759</v>
      </c>
      <c r="G1163" t="str">
        <f t="shared" si="1410"/>
        <v>a</v>
      </c>
      <c r="H1163" t="str">
        <f>VLOOKUP(D1163,name!A:C,3,1)</f>
        <v>assets/icons/image078.png</v>
      </c>
      <c r="I1163" t="s">
        <v>463</v>
      </c>
    </row>
    <row r="1164" spans="1:9" x14ac:dyDescent="0.15">
      <c r="A1164" t="str">
        <f t="shared" si="1404"/>
        <v>フランス語</v>
      </c>
      <c r="B1164">
        <f t="shared" si="1404"/>
        <v>15</v>
      </c>
      <c r="C1164">
        <f t="shared" si="1405"/>
        <v>15</v>
      </c>
      <c r="D1164">
        <f t="shared" si="1407"/>
        <v>6</v>
      </c>
      <c r="E1164" t="str">
        <f>VLOOKUP(D1164,name!A:B,2,1)</f>
        <v>Céline</v>
      </c>
      <c r="F1164" t="s">
        <v>745</v>
      </c>
      <c r="G1164" t="str">
        <f t="shared" ref="G1164" si="1411">IF(B1164&lt;&gt;B2105,"e",IF(D1164=0,"q","a"))</f>
        <v>e</v>
      </c>
      <c r="H1164" t="str">
        <f>VLOOKUP(D1164,name!A:C,3,1)</f>
        <v>assets/icons/image078.png</v>
      </c>
      <c r="I1164" t="str">
        <f>IF(A1164="","",VLOOKUP(A1164,lng!A:B,2,0))</f>
        <v>fr-FR</v>
      </c>
    </row>
    <row r="1165" spans="1:9" x14ac:dyDescent="0.15">
      <c r="A1165" t="str">
        <f t="shared" si="1404"/>
        <v>フランス語</v>
      </c>
      <c r="B1165">
        <f t="shared" si="1404"/>
        <v>15</v>
      </c>
      <c r="C1165">
        <f t="shared" si="1405"/>
        <v>16</v>
      </c>
      <c r="D1165">
        <f t="shared" si="1407"/>
        <v>6</v>
      </c>
      <c r="E1165" t="str">
        <f>VLOOKUP(D1165,name!A:B,2,1)</f>
        <v>Céline</v>
      </c>
      <c r="F1165" t="s">
        <v>760</v>
      </c>
      <c r="G1165" t="str">
        <f t="shared" ref="G1165" si="1412">IF(B1165&lt;&gt;B1575,"e",IF(D1165=0,"q","a"))</f>
        <v>e</v>
      </c>
      <c r="H1165" t="str">
        <f>VLOOKUP(D1165,name!A:C,3,1)</f>
        <v>assets/icons/image078.png</v>
      </c>
      <c r="I1165" t="s">
        <v>463</v>
      </c>
    </row>
    <row r="1166" spans="1:9" x14ac:dyDescent="0.15">
      <c r="A1166" t="str">
        <f t="shared" si="1404"/>
        <v>フランス語</v>
      </c>
      <c r="B1166">
        <f t="shared" si="1404"/>
        <v>15</v>
      </c>
      <c r="C1166">
        <f t="shared" si="1405"/>
        <v>17</v>
      </c>
      <c r="D1166">
        <f t="shared" si="1407"/>
        <v>6</v>
      </c>
      <c r="E1166" t="str">
        <f>VLOOKUP(D1166,name!A:B,2,1)</f>
        <v>Céline</v>
      </c>
      <c r="F1166" t="s">
        <v>746</v>
      </c>
      <c r="G1166" t="str">
        <f t="shared" ref="G1166:G1229" si="1413">IF(B1166&lt;&gt;B1167,"e",IF(D1166=0,"q","a"))</f>
        <v>a</v>
      </c>
      <c r="H1166" t="str">
        <f>VLOOKUP(D1166,name!A:C,3,1)</f>
        <v>assets/icons/image078.png</v>
      </c>
      <c r="I1166" t="str">
        <f>IF(A1166="","",VLOOKUP(A1166,lng!A:B,2,0))</f>
        <v>fr-FR</v>
      </c>
    </row>
    <row r="1167" spans="1:9" x14ac:dyDescent="0.15">
      <c r="A1167" t="str">
        <f t="shared" ref="A1167:B1174" si="1414">A1166</f>
        <v>フランス語</v>
      </c>
      <c r="B1167">
        <f t="shared" si="1414"/>
        <v>15</v>
      </c>
      <c r="C1167">
        <f t="shared" si="1405"/>
        <v>18</v>
      </c>
      <c r="D1167">
        <f t="shared" si="1407"/>
        <v>6</v>
      </c>
      <c r="E1167" t="str">
        <f>VLOOKUP(D1167,name!A:B,2,1)</f>
        <v>Céline</v>
      </c>
      <c r="F1167" t="s">
        <v>761</v>
      </c>
      <c r="G1167" t="str">
        <f t="shared" ref="G1167" si="1415">IF(B1167&lt;&gt;B2108,"e",IF(D1167=0,"q","a"))</f>
        <v>e</v>
      </c>
      <c r="H1167" t="str">
        <f>VLOOKUP(D1167,name!A:C,3,1)</f>
        <v>assets/icons/image078.png</v>
      </c>
      <c r="I1167" t="s">
        <v>463</v>
      </c>
    </row>
    <row r="1168" spans="1:9" x14ac:dyDescent="0.15">
      <c r="A1168" t="str">
        <f t="shared" si="1414"/>
        <v>フランス語</v>
      </c>
      <c r="B1168">
        <f t="shared" si="1414"/>
        <v>15</v>
      </c>
      <c r="C1168">
        <f t="shared" si="1405"/>
        <v>19</v>
      </c>
      <c r="D1168">
        <v>6</v>
      </c>
      <c r="E1168" t="str">
        <f>VLOOKUP(D1168,name!A:B,2,1)</f>
        <v>Céline</v>
      </c>
      <c r="F1168" t="s">
        <v>747</v>
      </c>
      <c r="G1168" t="str">
        <f t="shared" ref="G1168" si="1416">IF(B1168&lt;&gt;B1578,"e",IF(D1168=0,"q","a"))</f>
        <v>e</v>
      </c>
      <c r="H1168" t="str">
        <f>VLOOKUP(D1168,name!A:C,3,1)</f>
        <v>assets/icons/image078.png</v>
      </c>
      <c r="I1168" t="str">
        <f>IF(A1168="","",VLOOKUP(A1168,lng!A:B,2,0))</f>
        <v>fr-FR</v>
      </c>
    </row>
    <row r="1169" spans="1:9" x14ac:dyDescent="0.15">
      <c r="A1169" t="str">
        <f t="shared" si="1414"/>
        <v>フランス語</v>
      </c>
      <c r="B1169">
        <f t="shared" si="1414"/>
        <v>15</v>
      </c>
      <c r="C1169">
        <f t="shared" si="1405"/>
        <v>20</v>
      </c>
      <c r="D1169">
        <f t="shared" si="1407"/>
        <v>5</v>
      </c>
      <c r="E1169" t="str">
        <f>VLOOKUP(D1169,name!A:B,2,1)</f>
        <v>Minako</v>
      </c>
      <c r="F1169" t="s">
        <v>762</v>
      </c>
      <c r="G1169" t="str">
        <f t="shared" ref="G1169:G1232" si="1417">IF(B1169&lt;&gt;B1170,"e",IF(D1169=0,"q","a"))</f>
        <v>a</v>
      </c>
      <c r="H1169" t="str">
        <f>VLOOKUP(D1169,name!A:C,3,1)</f>
        <v>assets/icons/image086.png</v>
      </c>
      <c r="I1169" t="s">
        <v>463</v>
      </c>
    </row>
    <row r="1170" spans="1:9" x14ac:dyDescent="0.15">
      <c r="A1170" t="str">
        <f t="shared" si="1414"/>
        <v>フランス語</v>
      </c>
      <c r="B1170">
        <f t="shared" si="1414"/>
        <v>15</v>
      </c>
      <c r="C1170">
        <f t="shared" si="1405"/>
        <v>21</v>
      </c>
      <c r="D1170">
        <f t="shared" si="1407"/>
        <v>5</v>
      </c>
      <c r="E1170" t="str">
        <f>VLOOKUP(D1170,name!A:B,2,1)</f>
        <v>Minako</v>
      </c>
      <c r="F1170" t="s">
        <v>748</v>
      </c>
      <c r="G1170" t="str">
        <f t="shared" si="1417"/>
        <v>a</v>
      </c>
      <c r="H1170" t="str">
        <f>VLOOKUP(D1170,name!A:C,3,1)</f>
        <v>assets/icons/image086.png</v>
      </c>
      <c r="I1170" t="str">
        <f>IF(A1170="","",VLOOKUP(A1170,lng!A:B,2,0))</f>
        <v>fr-FR</v>
      </c>
    </row>
    <row r="1171" spans="1:9" x14ac:dyDescent="0.15">
      <c r="A1171" t="str">
        <f t="shared" si="1414"/>
        <v>フランス語</v>
      </c>
      <c r="B1171">
        <f t="shared" si="1414"/>
        <v>15</v>
      </c>
      <c r="C1171">
        <f t="shared" si="1405"/>
        <v>22</v>
      </c>
      <c r="D1171">
        <f t="shared" si="1407"/>
        <v>5</v>
      </c>
      <c r="E1171" t="str">
        <f>VLOOKUP(D1171,name!A:B,2,1)</f>
        <v>Minako</v>
      </c>
      <c r="F1171" t="s">
        <v>763</v>
      </c>
      <c r="G1171" t="str">
        <f t="shared" ref="G1171" si="1418">IF(B1171&lt;&gt;B2112,"e",IF(D1171=0,"q","a"))</f>
        <v>e</v>
      </c>
      <c r="H1171" t="str">
        <f>VLOOKUP(D1171,name!A:C,3,1)</f>
        <v>assets/icons/image086.png</v>
      </c>
      <c r="I1171" t="s">
        <v>463</v>
      </c>
    </row>
    <row r="1172" spans="1:9" x14ac:dyDescent="0.15">
      <c r="A1172" t="str">
        <f t="shared" si="1414"/>
        <v>フランス語</v>
      </c>
      <c r="B1172">
        <f t="shared" si="1414"/>
        <v>15</v>
      </c>
      <c r="C1172">
        <f t="shared" si="1405"/>
        <v>23</v>
      </c>
      <c r="D1172">
        <v>5</v>
      </c>
      <c r="E1172" t="str">
        <f>VLOOKUP(D1172,name!A:B,2,1)</f>
        <v>Minako</v>
      </c>
      <c r="F1172" t="s">
        <v>749</v>
      </c>
      <c r="G1172" t="str">
        <f t="shared" ref="G1172" si="1419">IF(B1172&lt;&gt;B1582,"e",IF(D1172=0,"q","a"))</f>
        <v>e</v>
      </c>
      <c r="H1172" t="str">
        <f>VLOOKUP(D1172,name!A:C,3,1)</f>
        <v>assets/icons/image086.png</v>
      </c>
      <c r="I1172" t="str">
        <f>IF(A1172="","",VLOOKUP(A1172,lng!A:B,2,0))</f>
        <v>fr-FR</v>
      </c>
    </row>
    <row r="1173" spans="1:9" x14ac:dyDescent="0.15">
      <c r="A1173" t="str">
        <f t="shared" si="1414"/>
        <v>フランス語</v>
      </c>
      <c r="B1173">
        <f t="shared" si="1414"/>
        <v>15</v>
      </c>
      <c r="C1173">
        <f t="shared" si="1405"/>
        <v>24</v>
      </c>
      <c r="D1173">
        <f t="shared" si="1407"/>
        <v>6</v>
      </c>
      <c r="E1173" t="str">
        <f>VLOOKUP(D1173,name!A:B,2,1)</f>
        <v>Céline</v>
      </c>
      <c r="F1173" t="s">
        <v>764</v>
      </c>
      <c r="G1173" t="str">
        <f t="shared" ref="G1173:G1236" si="1420">IF(B1173&lt;&gt;B1174,"e",IF(D1173=0,"q","a"))</f>
        <v>a</v>
      </c>
      <c r="H1173" t="str">
        <f>VLOOKUP(D1173,name!A:C,3,1)</f>
        <v>assets/icons/image078.png</v>
      </c>
      <c r="I1173" t="s">
        <v>463</v>
      </c>
    </row>
    <row r="1174" spans="1:9" x14ac:dyDescent="0.15">
      <c r="A1174" t="str">
        <f t="shared" si="1414"/>
        <v>フランス語</v>
      </c>
      <c r="B1174">
        <f t="shared" si="1414"/>
        <v>15</v>
      </c>
      <c r="C1174">
        <f t="shared" si="1405"/>
        <v>25</v>
      </c>
      <c r="D1174">
        <f t="shared" si="1407"/>
        <v>6</v>
      </c>
      <c r="E1174" t="str">
        <f>VLOOKUP(D1174,name!A:B,2,1)</f>
        <v>Céline</v>
      </c>
      <c r="F1174" t="s">
        <v>750</v>
      </c>
      <c r="G1174" t="str">
        <f t="shared" ref="G1174" si="1421">IF(B1174&lt;&gt;B2115,"e",IF(D1174=0,"q","a"))</f>
        <v>e</v>
      </c>
      <c r="H1174" t="str">
        <f>VLOOKUP(D1174,name!A:C,3,1)</f>
        <v>assets/icons/image078.png</v>
      </c>
      <c r="I1174" t="str">
        <f>IF(A1174="","",VLOOKUP(A1174,lng!A:B,2,0))</f>
        <v>fr-FR</v>
      </c>
    </row>
    <row r="1175" spans="1:9" x14ac:dyDescent="0.15">
      <c r="A1175" t="str">
        <f t="shared" ref="A1175:B1175" si="1422">A1174</f>
        <v>フランス語</v>
      </c>
      <c r="B1175">
        <f t="shared" si="1422"/>
        <v>15</v>
      </c>
      <c r="C1175">
        <f t="shared" si="1405"/>
        <v>26</v>
      </c>
      <c r="D1175">
        <f t="shared" si="1407"/>
        <v>6</v>
      </c>
      <c r="E1175" t="str">
        <f>VLOOKUP(D1175,name!A:B,2,1)</f>
        <v>Céline</v>
      </c>
      <c r="F1175" t="s">
        <v>765</v>
      </c>
      <c r="G1175" t="str">
        <f t="shared" ref="G1175" si="1423">IF(B1175&lt;&gt;B1585,"e",IF(D1175=0,"q","a"))</f>
        <v>e</v>
      </c>
      <c r="H1175" t="str">
        <f>VLOOKUP(D1175,name!A:C,3,1)</f>
        <v>assets/icons/image078.png</v>
      </c>
      <c r="I1175" t="s">
        <v>463</v>
      </c>
    </row>
    <row r="1176" spans="1:9" x14ac:dyDescent="0.15">
      <c r="A1176" t="str">
        <f t="shared" ref="A1176:B1176" si="1424">A1175</f>
        <v>フランス語</v>
      </c>
      <c r="B1176">
        <f t="shared" si="1424"/>
        <v>15</v>
      </c>
      <c r="C1176">
        <f t="shared" si="1405"/>
        <v>27</v>
      </c>
      <c r="D1176">
        <v>6</v>
      </c>
      <c r="E1176" t="str">
        <f>VLOOKUP(D1176,name!A:B,2,1)</f>
        <v>Céline</v>
      </c>
      <c r="F1176" t="s">
        <v>751</v>
      </c>
      <c r="G1176" t="str">
        <f t="shared" ref="G1176:G1239" si="1425">IF(B1176&lt;&gt;B1177,"e",IF(D1176=0,"q","a"))</f>
        <v>a</v>
      </c>
      <c r="H1176" t="str">
        <f>VLOOKUP(D1176,name!A:C,3,1)</f>
        <v>assets/icons/image078.png</v>
      </c>
      <c r="I1176" t="str">
        <f>IF(A1176="","",VLOOKUP(A1176,lng!A:B,2,0))</f>
        <v>fr-FR</v>
      </c>
    </row>
    <row r="1177" spans="1:9" x14ac:dyDescent="0.15">
      <c r="A1177" t="str">
        <f t="shared" ref="A1177:B1177" si="1426">A1176</f>
        <v>フランス語</v>
      </c>
      <c r="B1177">
        <f t="shared" si="1426"/>
        <v>15</v>
      </c>
      <c r="C1177">
        <f t="shared" si="1405"/>
        <v>28</v>
      </c>
      <c r="D1177">
        <f t="shared" si="1407"/>
        <v>7</v>
      </c>
      <c r="E1177" t="str">
        <f>VLOOKUP(D1177,name!A:B,2,1)</f>
        <v>Luigi</v>
      </c>
      <c r="F1177" t="s">
        <v>766</v>
      </c>
      <c r="G1177" t="str">
        <f t="shared" si="1425"/>
        <v>a</v>
      </c>
      <c r="H1177" t="str">
        <f>VLOOKUP(D1177,name!A:C,3,1)</f>
        <v>assets/icons/image023.png</v>
      </c>
      <c r="I1177" t="s">
        <v>463</v>
      </c>
    </row>
    <row r="1178" spans="1:9" x14ac:dyDescent="0.15">
      <c r="A1178" t="str">
        <f t="shared" ref="A1178:B1178" si="1427">A1177</f>
        <v>フランス語</v>
      </c>
      <c r="B1178">
        <f t="shared" si="1427"/>
        <v>15</v>
      </c>
      <c r="C1178">
        <f t="shared" si="1405"/>
        <v>29</v>
      </c>
      <c r="D1178">
        <f t="shared" si="1407"/>
        <v>7</v>
      </c>
      <c r="E1178" t="str">
        <f>VLOOKUP(D1178,name!A:B,2,1)</f>
        <v>Luigi</v>
      </c>
      <c r="F1178" t="s">
        <v>752</v>
      </c>
      <c r="G1178" t="str">
        <f t="shared" ref="G1178" si="1428">IF(B1178&lt;&gt;B2119,"e",IF(D1178=0,"q","a"))</f>
        <v>e</v>
      </c>
      <c r="H1178" t="str">
        <f>VLOOKUP(D1178,name!A:C,3,1)</f>
        <v>assets/icons/image023.png</v>
      </c>
      <c r="I1178" t="str">
        <f>IF(A1178="","",VLOOKUP(A1178,lng!A:B,2,0))</f>
        <v>fr-FR</v>
      </c>
    </row>
    <row r="1179" spans="1:9" x14ac:dyDescent="0.15">
      <c r="A1179" t="str">
        <f t="shared" ref="A1179:B1179" si="1429">A1178</f>
        <v>フランス語</v>
      </c>
      <c r="B1179">
        <f t="shared" si="1429"/>
        <v>15</v>
      </c>
      <c r="C1179">
        <f t="shared" si="1405"/>
        <v>30</v>
      </c>
      <c r="D1179">
        <f t="shared" si="1407"/>
        <v>7</v>
      </c>
      <c r="E1179" t="str">
        <f>VLOOKUP(D1179,name!A:B,2,1)</f>
        <v>Luigi</v>
      </c>
      <c r="F1179" t="s">
        <v>767</v>
      </c>
      <c r="G1179" t="str">
        <f t="shared" ref="G1179" si="1430">IF(B1179&lt;&gt;B1589,"e",IF(D1179=0,"q","a"))</f>
        <v>e</v>
      </c>
      <c r="H1179" t="str">
        <f>VLOOKUP(D1179,name!A:C,3,1)</f>
        <v>assets/icons/image023.png</v>
      </c>
      <c r="I1179" t="s">
        <v>463</v>
      </c>
    </row>
    <row r="1180" spans="1:9" x14ac:dyDescent="0.15">
      <c r="A1180" t="str">
        <f t="shared" ref="A1180:B1180" si="1431">A1179</f>
        <v>フランス語</v>
      </c>
      <c r="B1180">
        <f t="shared" si="1431"/>
        <v>15</v>
      </c>
      <c r="C1180">
        <f t="shared" si="1405"/>
        <v>31</v>
      </c>
      <c r="D1180">
        <v>7</v>
      </c>
      <c r="E1180" t="str">
        <f>VLOOKUP(D1180,name!A:B,2,1)</f>
        <v>Luigi</v>
      </c>
      <c r="F1180" t="s">
        <v>753</v>
      </c>
      <c r="G1180" t="str">
        <f t="shared" ref="G1180:G1243" si="1432">IF(B1180&lt;&gt;B1181,"e",IF(D1180=0,"q","a"))</f>
        <v>a</v>
      </c>
      <c r="H1180" t="str">
        <f>VLOOKUP(D1180,name!A:C,3,1)</f>
        <v>assets/icons/image023.png</v>
      </c>
      <c r="I1180" t="str">
        <f>IF(A1180="","",VLOOKUP(A1180,lng!A:B,2,0))</f>
        <v>fr-FR</v>
      </c>
    </row>
    <row r="1181" spans="1:9" x14ac:dyDescent="0.15">
      <c r="A1181" t="str">
        <f t="shared" ref="A1181:B1181" si="1433">A1180</f>
        <v>フランス語</v>
      </c>
      <c r="B1181">
        <f t="shared" si="1433"/>
        <v>15</v>
      </c>
      <c r="C1181">
        <f t="shared" si="1405"/>
        <v>32</v>
      </c>
      <c r="D1181">
        <v>1</v>
      </c>
      <c r="E1181" t="str">
        <f>VLOOKUP(D1181,name!A:B,2,1)</f>
        <v>Navigator</v>
      </c>
      <c r="F1181" t="str">
        <f>"次の"&amp;A1181&amp;"を真似してね！"</f>
        <v>次のフランス語を真似してね！</v>
      </c>
      <c r="G1181" t="str">
        <f t="shared" ref="G1181" si="1434">IF(B1181&lt;&gt;B2122,"e",IF(D1181=0,"q","a"))</f>
        <v>e</v>
      </c>
      <c r="H1181" t="str">
        <f>VLOOKUP(D1181,name!A:C,3,1)</f>
        <v>assets/icons/image014.png</v>
      </c>
      <c r="I1181" t="s">
        <v>463</v>
      </c>
    </row>
    <row r="1182" spans="1:9" x14ac:dyDescent="0.15">
      <c r="A1182" t="str">
        <f t="shared" ref="A1182:B1182" si="1435">A1181</f>
        <v>フランス語</v>
      </c>
      <c r="B1182">
        <f t="shared" si="1435"/>
        <v>15</v>
      </c>
      <c r="C1182">
        <f t="shared" si="1405"/>
        <v>33</v>
      </c>
      <c r="D1182">
        <f>D1153</f>
        <v>6</v>
      </c>
      <c r="E1182" t="str">
        <f>VLOOKUP(D1182,name!A:B,2,1)</f>
        <v>Céline</v>
      </c>
      <c r="F1182" t="str">
        <f>F1153</f>
        <v>ルーブル美術館に来るのは初めてですか?</v>
      </c>
      <c r="G1182" t="str">
        <f t="shared" ref="G1182" si="1436">IF(B1182&lt;&gt;B1592,"e",IF(D1182=0,"q","a"))</f>
        <v>e</v>
      </c>
      <c r="H1182" t="str">
        <f>VLOOKUP(D1182,name!A:C,3,1)</f>
        <v>assets/icons/image078.png</v>
      </c>
      <c r="I1182" t="s">
        <v>463</v>
      </c>
    </row>
    <row r="1183" spans="1:9" x14ac:dyDescent="0.15">
      <c r="A1183" t="str">
        <f t="shared" ref="A1183:B1183" si="1437">A1182</f>
        <v>フランス語</v>
      </c>
      <c r="B1183">
        <f t="shared" si="1437"/>
        <v>15</v>
      </c>
      <c r="C1183">
        <f t="shared" si="1405"/>
        <v>34</v>
      </c>
      <c r="D1183">
        <f>D1154</f>
        <v>6</v>
      </c>
      <c r="E1183" t="str">
        <f>VLOOKUP(D1183,name!A:B,2,1)</f>
        <v>Céline</v>
      </c>
      <c r="F1183" t="str">
        <f>F1154</f>
        <v>C'est la première fois que tu viens au Musée du Louvre ?</v>
      </c>
      <c r="G1183" t="str">
        <f t="shared" ref="G1183:G1246" si="1438">IF(B1183&lt;&gt;B1184,"e",IF(D1183=0,"q","a"))</f>
        <v>a</v>
      </c>
      <c r="H1183" t="str">
        <f>VLOOKUP(D1183,name!A:C,3,1)</f>
        <v>assets/icons/image078.png</v>
      </c>
      <c r="I1183" t="str">
        <f>IF(A1183="","",VLOOKUP(A1183,lng!A:B,2,0))</f>
        <v>fr-FR</v>
      </c>
    </row>
    <row r="1184" spans="1:9" x14ac:dyDescent="0.15">
      <c r="A1184" t="str">
        <f t="shared" ref="A1184:B1184" si="1439">A1183</f>
        <v>フランス語</v>
      </c>
      <c r="B1184">
        <f t="shared" si="1439"/>
        <v>15</v>
      </c>
      <c r="C1184">
        <f t="shared" si="1405"/>
        <v>35</v>
      </c>
      <c r="D1184">
        <v>0</v>
      </c>
      <c r="E1184" t="str">
        <f>VLOOKUP(D1184,name!A:B,2,1)</f>
        <v>Player</v>
      </c>
      <c r="F1184" t="str">
        <f>F1154</f>
        <v>C'est la première fois que tu viens au Musée du Louvre ?</v>
      </c>
      <c r="G1184" t="str">
        <f t="shared" si="1438"/>
        <v>q</v>
      </c>
      <c r="H1184" t="str">
        <f>VLOOKUP(D1184,name!A:C,3,1)</f>
        <v>assets/icons/image326.png</v>
      </c>
      <c r="I1184" t="str">
        <f>IF(A1184="","",VLOOKUP(A1184,lng!A:B,2,0))</f>
        <v>fr-FR</v>
      </c>
    </row>
    <row r="1185" spans="1:9" x14ac:dyDescent="0.15">
      <c r="A1185" t="str">
        <f t="shared" ref="A1185:B1185" si="1440">A1184</f>
        <v>フランス語</v>
      </c>
      <c r="B1185">
        <f t="shared" si="1440"/>
        <v>15</v>
      </c>
      <c r="C1185">
        <f t="shared" si="1405"/>
        <v>36</v>
      </c>
      <c r="D1185">
        <f>D1155</f>
        <v>5</v>
      </c>
      <c r="E1185" t="str">
        <f>VLOOKUP(D1185,name!A:B,2,1)</f>
        <v>Minako</v>
      </c>
      <c r="F1185" t="str">
        <f>F1155</f>
        <v>はい、ずっと来たいと思っていましたが、</v>
      </c>
      <c r="G1185" t="str">
        <f t="shared" ref="G1185" si="1441">IF(B1185&lt;&gt;B2126,"e",IF(D1185=0,"q","a"))</f>
        <v>e</v>
      </c>
      <c r="H1185" t="str">
        <f>VLOOKUP(D1185,name!A:C,3,1)</f>
        <v>assets/icons/image086.png</v>
      </c>
      <c r="I1185" t="s">
        <v>463</v>
      </c>
    </row>
    <row r="1186" spans="1:9" x14ac:dyDescent="0.15">
      <c r="A1186" t="str">
        <f t="shared" ref="A1186:B1186" si="1442">A1185</f>
        <v>フランス語</v>
      </c>
      <c r="B1186">
        <f t="shared" si="1442"/>
        <v>15</v>
      </c>
      <c r="C1186">
        <f t="shared" si="1405"/>
        <v>37</v>
      </c>
      <c r="D1186">
        <f>D1156</f>
        <v>5</v>
      </c>
      <c r="E1186" t="str">
        <f>VLOOKUP(D1186,name!A:B,2,1)</f>
        <v>Minako</v>
      </c>
      <c r="F1186" t="str">
        <f>F1156</f>
        <v xml:space="preserve">Oui, ça fait longtemps que je voulais venir, </v>
      </c>
      <c r="G1186" t="str">
        <f t="shared" ref="G1186" si="1443">IF(B1186&lt;&gt;B1596,"e",IF(D1186=0,"q","a"))</f>
        <v>e</v>
      </c>
      <c r="H1186" t="str">
        <f>VLOOKUP(D1186,name!A:C,3,1)</f>
        <v>assets/icons/image086.png</v>
      </c>
      <c r="I1186" t="str">
        <f>IF(A1186="","",VLOOKUP(A1186,lng!A:B,2,0))</f>
        <v>fr-FR</v>
      </c>
    </row>
    <row r="1187" spans="1:9" x14ac:dyDescent="0.15">
      <c r="A1187" t="str">
        <f t="shared" ref="A1187:B1187" si="1444">A1186</f>
        <v>フランス語</v>
      </c>
      <c r="B1187">
        <f t="shared" si="1444"/>
        <v>15</v>
      </c>
      <c r="C1187">
        <f t="shared" si="1405"/>
        <v>38</v>
      </c>
      <c r="D1187">
        <v>0</v>
      </c>
      <c r="E1187" t="str">
        <f>VLOOKUP(D1187,name!A:B,2,1)</f>
        <v>Player</v>
      </c>
      <c r="F1187" t="str">
        <f>F1156</f>
        <v xml:space="preserve">Oui, ça fait longtemps que je voulais venir, </v>
      </c>
      <c r="G1187" t="str">
        <f t="shared" ref="G1187:G1250" si="1445">IF(B1187&lt;&gt;B1188,"e",IF(D1187=0,"q","a"))</f>
        <v>q</v>
      </c>
      <c r="H1187" t="str">
        <f>VLOOKUP(D1187,name!A:C,3,1)</f>
        <v>assets/icons/image326.png</v>
      </c>
      <c r="I1187" t="str">
        <f>IF(A1187="","",VLOOKUP(A1187,lng!A:B,2,0))</f>
        <v>fr-FR</v>
      </c>
    </row>
    <row r="1188" spans="1:9" x14ac:dyDescent="0.15">
      <c r="A1188" t="str">
        <f t="shared" ref="A1188:B1188" si="1446">A1187</f>
        <v>フランス語</v>
      </c>
      <c r="B1188">
        <f t="shared" si="1446"/>
        <v>15</v>
      </c>
      <c r="C1188">
        <f t="shared" si="1405"/>
        <v>39</v>
      </c>
      <c r="D1188">
        <f>D1157</f>
        <v>5</v>
      </c>
      <c r="E1188" t="str">
        <f>VLOOKUP(D1188,name!A:B,2,1)</f>
        <v>Minako</v>
      </c>
      <c r="F1188" t="str">
        <f>F1157</f>
        <v>しかし、私には時間がありませんでした。</v>
      </c>
      <c r="G1188" t="str">
        <f t="shared" ref="G1188" si="1447">IF(B1188&lt;&gt;B2129,"e",IF(D1188=0,"q","a"))</f>
        <v>e</v>
      </c>
      <c r="H1188" t="str">
        <f>VLOOKUP(D1188,name!A:C,3,1)</f>
        <v>assets/icons/image086.png</v>
      </c>
      <c r="I1188" t="s">
        <v>463</v>
      </c>
    </row>
    <row r="1189" spans="1:9" x14ac:dyDescent="0.15">
      <c r="A1189" t="str">
        <f t="shared" ref="A1189:B1189" si="1448">A1188</f>
        <v>フランス語</v>
      </c>
      <c r="B1189">
        <f t="shared" si="1448"/>
        <v>15</v>
      </c>
      <c r="C1189">
        <f t="shared" si="1405"/>
        <v>40</v>
      </c>
      <c r="D1189">
        <f>D1158</f>
        <v>5</v>
      </c>
      <c r="E1189" t="str">
        <f>VLOOKUP(D1189,name!A:B,2,1)</f>
        <v>Minako</v>
      </c>
      <c r="F1189" t="str">
        <f>F1158</f>
        <v>mais je n'avais pas eu le temps.</v>
      </c>
      <c r="G1189" t="str">
        <f t="shared" ref="G1189" si="1449">IF(B1189&lt;&gt;B1599,"e",IF(D1189=0,"q","a"))</f>
        <v>e</v>
      </c>
      <c r="H1189" t="str">
        <f>VLOOKUP(D1189,name!A:C,3,1)</f>
        <v>assets/icons/image086.png</v>
      </c>
      <c r="I1189" t="str">
        <f>IF(A1189="","",VLOOKUP(A1189,lng!A:B,2,0))</f>
        <v>fr-FR</v>
      </c>
    </row>
    <row r="1190" spans="1:9" x14ac:dyDescent="0.15">
      <c r="A1190" t="str">
        <f t="shared" ref="A1190:B1190" si="1450">A1189</f>
        <v>フランス語</v>
      </c>
      <c r="B1190">
        <f t="shared" si="1450"/>
        <v>15</v>
      </c>
      <c r="C1190">
        <f t="shared" si="1405"/>
        <v>41</v>
      </c>
      <c r="D1190">
        <v>0</v>
      </c>
      <c r="E1190" t="str">
        <f>VLOOKUP(D1190,name!A:B,2,1)</f>
        <v>Player</v>
      </c>
      <c r="F1190" t="str">
        <f>F1158</f>
        <v>mais je n'avais pas eu le temps.</v>
      </c>
      <c r="G1190" t="str">
        <f t="shared" ref="G1190:G1253" si="1451">IF(B1190&lt;&gt;B1191,"e",IF(D1190=0,"q","a"))</f>
        <v>q</v>
      </c>
      <c r="H1190" t="str">
        <f>VLOOKUP(D1190,name!A:C,3,1)</f>
        <v>assets/icons/image326.png</v>
      </c>
      <c r="I1190" t="str">
        <f>IF(A1190="","",VLOOKUP(A1190,lng!A:B,2,0))</f>
        <v>fr-FR</v>
      </c>
    </row>
    <row r="1191" spans="1:9" x14ac:dyDescent="0.15">
      <c r="A1191" t="str">
        <f t="shared" ref="A1191:B1191" si="1452">A1190</f>
        <v>フランス語</v>
      </c>
      <c r="B1191">
        <f t="shared" si="1452"/>
        <v>15</v>
      </c>
      <c r="C1191">
        <f t="shared" si="1405"/>
        <v>42</v>
      </c>
      <c r="D1191">
        <f>D1159</f>
        <v>7</v>
      </c>
      <c r="E1191" t="str">
        <f>VLOOKUP(D1191,name!A:B,2,1)</f>
        <v>Luigi</v>
      </c>
      <c r="F1191" t="str">
        <f>F1159</f>
        <v>何よりもモナリザとミロのヴィーナスを見なければなりません。</v>
      </c>
      <c r="G1191" t="str">
        <f t="shared" si="1451"/>
        <v>a</v>
      </c>
      <c r="H1191" t="str">
        <f>VLOOKUP(D1191,name!A:C,3,1)</f>
        <v>assets/icons/image023.png</v>
      </c>
      <c r="I1191" t="s">
        <v>463</v>
      </c>
    </row>
    <row r="1192" spans="1:9" x14ac:dyDescent="0.15">
      <c r="A1192" t="str">
        <f t="shared" ref="A1192:B1192" si="1453">A1191</f>
        <v>フランス語</v>
      </c>
      <c r="B1192">
        <f t="shared" si="1453"/>
        <v>15</v>
      </c>
      <c r="C1192">
        <f t="shared" si="1405"/>
        <v>43</v>
      </c>
      <c r="D1192">
        <f>D1160</f>
        <v>7</v>
      </c>
      <c r="E1192" t="str">
        <f>VLOOKUP(D1192,name!A:B,2,1)</f>
        <v>Luigi</v>
      </c>
      <c r="F1192" t="str">
        <f>F1160</f>
        <v>Il faut voir avant tout La Joconde et la Vénus de Milo.</v>
      </c>
      <c r="G1192" t="str">
        <f t="shared" ref="G1192" si="1454">IF(B1192&lt;&gt;B2133,"e",IF(D1192=0,"q","a"))</f>
        <v>e</v>
      </c>
      <c r="H1192" t="str">
        <f>VLOOKUP(D1192,name!A:C,3,1)</f>
        <v>assets/icons/image023.png</v>
      </c>
      <c r="I1192" t="str">
        <f>IF(A1192="","",VLOOKUP(A1192,lng!A:B,2,0))</f>
        <v>fr-FR</v>
      </c>
    </row>
    <row r="1193" spans="1:9" x14ac:dyDescent="0.15">
      <c r="A1193" t="str">
        <f t="shared" ref="A1193:B1193" si="1455">A1192</f>
        <v>フランス語</v>
      </c>
      <c r="B1193">
        <f t="shared" si="1455"/>
        <v>15</v>
      </c>
      <c r="C1193">
        <f t="shared" si="1405"/>
        <v>44</v>
      </c>
      <c r="D1193">
        <v>0</v>
      </c>
      <c r="E1193" t="str">
        <f>VLOOKUP(D1193,name!A:B,2,1)</f>
        <v>Player</v>
      </c>
      <c r="F1193" t="str">
        <f>F1160</f>
        <v>Il faut voir avant tout La Joconde et la Vénus de Milo.</v>
      </c>
      <c r="G1193" t="str">
        <f t="shared" ref="G1193" si="1456">IF(B1193&lt;&gt;B1603,"e",IF(D1193=0,"q","a"))</f>
        <v>e</v>
      </c>
      <c r="H1193" t="str">
        <f>VLOOKUP(D1193,name!A:C,3,1)</f>
        <v>assets/icons/image326.png</v>
      </c>
      <c r="I1193" t="str">
        <f>IF(A1193="","",VLOOKUP(A1193,lng!A:B,2,0))</f>
        <v>fr-FR</v>
      </c>
    </row>
    <row r="1194" spans="1:9" x14ac:dyDescent="0.15">
      <c r="A1194" t="str">
        <f t="shared" ref="A1194:B1194" si="1457">A1193</f>
        <v>フランス語</v>
      </c>
      <c r="B1194">
        <f t="shared" si="1457"/>
        <v>15</v>
      </c>
      <c r="C1194">
        <f t="shared" si="1405"/>
        <v>45</v>
      </c>
      <c r="D1194">
        <f>D1161</f>
        <v>5</v>
      </c>
      <c r="E1194" t="str">
        <f>VLOOKUP(D1194,name!A:B,2,1)</f>
        <v>Minako</v>
      </c>
      <c r="F1194" t="str">
        <f>F1161</f>
        <v>はい、でもルネッサンス絵画にも興味があります。</v>
      </c>
      <c r="G1194" t="str">
        <f t="shared" ref="G1194:G1257" si="1458">IF(B1194&lt;&gt;B1195,"e",IF(D1194=0,"q","a"))</f>
        <v>a</v>
      </c>
      <c r="H1194" t="str">
        <f>VLOOKUP(D1194,name!A:C,3,1)</f>
        <v>assets/icons/image086.png</v>
      </c>
      <c r="I1194" t="s">
        <v>463</v>
      </c>
    </row>
    <row r="1195" spans="1:9" x14ac:dyDescent="0.15">
      <c r="A1195" t="str">
        <f t="shared" ref="A1195:B1195" si="1459">A1194</f>
        <v>フランス語</v>
      </c>
      <c r="B1195">
        <f t="shared" si="1459"/>
        <v>15</v>
      </c>
      <c r="C1195">
        <f t="shared" si="1405"/>
        <v>46</v>
      </c>
      <c r="D1195">
        <f>D1162</f>
        <v>5</v>
      </c>
      <c r="E1195" t="str">
        <f>VLOOKUP(D1195,name!A:B,2,1)</f>
        <v>Minako</v>
      </c>
      <c r="F1195" t="str">
        <f>F1162</f>
        <v>Oui, mais je m'intéresse aussi à la peinture de la Renaissance.</v>
      </c>
      <c r="G1195" t="str">
        <f t="shared" ref="G1195" si="1460">IF(B1195&lt;&gt;B2136,"e",IF(D1195=0,"q","a"))</f>
        <v>e</v>
      </c>
      <c r="H1195" t="str">
        <f>VLOOKUP(D1195,name!A:C,3,1)</f>
        <v>assets/icons/image086.png</v>
      </c>
      <c r="I1195" t="str">
        <f>IF(A1195="","",VLOOKUP(A1195,lng!A:B,2,0))</f>
        <v>fr-FR</v>
      </c>
    </row>
    <row r="1196" spans="1:9" x14ac:dyDescent="0.15">
      <c r="A1196" t="str">
        <f t="shared" ref="A1196:B1196" si="1461">A1195</f>
        <v>フランス語</v>
      </c>
      <c r="B1196">
        <f t="shared" si="1461"/>
        <v>15</v>
      </c>
      <c r="C1196">
        <f t="shared" si="1405"/>
        <v>47</v>
      </c>
      <c r="D1196">
        <v>0</v>
      </c>
      <c r="E1196" t="str">
        <f>VLOOKUP(D1196,name!A:B,2,1)</f>
        <v>Player</v>
      </c>
      <c r="F1196" t="str">
        <f>F1162</f>
        <v>Oui, mais je m'intéresse aussi à la peinture de la Renaissance.</v>
      </c>
      <c r="G1196" t="str">
        <f t="shared" ref="G1196" si="1462">IF(B1196&lt;&gt;B1606,"e",IF(D1196=0,"q","a"))</f>
        <v>e</v>
      </c>
      <c r="H1196" t="str">
        <f>VLOOKUP(D1196,name!A:C,3,1)</f>
        <v>assets/icons/image326.png</v>
      </c>
      <c r="I1196" t="str">
        <f>IF(A1196="","",VLOOKUP(A1196,lng!A:B,2,0))</f>
        <v>fr-FR</v>
      </c>
    </row>
    <row r="1197" spans="1:9" x14ac:dyDescent="0.15">
      <c r="A1197" t="str">
        <f t="shared" ref="A1197:B1197" si="1463">A1196</f>
        <v>フランス語</v>
      </c>
      <c r="B1197">
        <f t="shared" si="1463"/>
        <v>15</v>
      </c>
      <c r="C1197">
        <f t="shared" si="1405"/>
        <v>48</v>
      </c>
      <c r="D1197">
        <f>D1163</f>
        <v>6</v>
      </c>
      <c r="E1197" t="str">
        <f>VLOOKUP(D1197,name!A:B,2,1)</f>
        <v>Céline</v>
      </c>
      <c r="F1197" t="str">
        <f>F1163</f>
        <v>一日ですべてを見ることは不可能です。</v>
      </c>
      <c r="G1197" t="str">
        <f t="shared" ref="G1197:G1260" si="1464">IF(B1197&lt;&gt;B1198,"e",IF(D1197=0,"q","a"))</f>
        <v>a</v>
      </c>
      <c r="H1197" t="str">
        <f>VLOOKUP(D1197,name!A:C,3,1)</f>
        <v>assets/icons/image078.png</v>
      </c>
      <c r="I1197" t="s">
        <v>463</v>
      </c>
    </row>
    <row r="1198" spans="1:9" x14ac:dyDescent="0.15">
      <c r="A1198" t="str">
        <f t="shared" ref="A1198:B1198" si="1465">A1197</f>
        <v>フランス語</v>
      </c>
      <c r="B1198">
        <f t="shared" si="1465"/>
        <v>15</v>
      </c>
      <c r="C1198">
        <f t="shared" si="1405"/>
        <v>49</v>
      </c>
      <c r="D1198">
        <f>D1164</f>
        <v>6</v>
      </c>
      <c r="E1198" t="str">
        <f>VLOOKUP(D1198,name!A:B,2,1)</f>
        <v>Céline</v>
      </c>
      <c r="F1198" t="str">
        <f>F1164</f>
        <v xml:space="preserve">Il est impossible de tout voir en un jour. </v>
      </c>
      <c r="G1198" t="str">
        <f t="shared" si="1464"/>
        <v>a</v>
      </c>
      <c r="H1198" t="str">
        <f>VLOOKUP(D1198,name!A:C,3,1)</f>
        <v>assets/icons/image078.png</v>
      </c>
      <c r="I1198" t="str">
        <f>IF(A1198="","",VLOOKUP(A1198,lng!A:B,2,0))</f>
        <v>fr-FR</v>
      </c>
    </row>
    <row r="1199" spans="1:9" x14ac:dyDescent="0.15">
      <c r="A1199" t="str">
        <f t="shared" ref="A1199:B1199" si="1466">A1198</f>
        <v>フランス語</v>
      </c>
      <c r="B1199">
        <f t="shared" si="1466"/>
        <v>15</v>
      </c>
      <c r="C1199">
        <f t="shared" si="1405"/>
        <v>50</v>
      </c>
      <c r="D1199">
        <v>0</v>
      </c>
      <c r="E1199" t="str">
        <f>VLOOKUP(D1199,name!A:B,2,1)</f>
        <v>Player</v>
      </c>
      <c r="F1199" t="str">
        <f>F1164</f>
        <v xml:space="preserve">Il est impossible de tout voir en un jour. </v>
      </c>
      <c r="G1199" t="str">
        <f t="shared" ref="G1199" si="1467">IF(B1199&lt;&gt;B2140,"e",IF(D1199=0,"q","a"))</f>
        <v>e</v>
      </c>
      <c r="H1199" t="str">
        <f>VLOOKUP(D1199,name!A:C,3,1)</f>
        <v>assets/icons/image326.png</v>
      </c>
      <c r="I1199" t="str">
        <f>IF(A1199="","",VLOOKUP(A1199,lng!A:B,2,0))</f>
        <v>fr-FR</v>
      </c>
    </row>
    <row r="1200" spans="1:9" x14ac:dyDescent="0.15">
      <c r="A1200" t="str">
        <f t="shared" ref="A1200:B1200" si="1468">A1199</f>
        <v>フランス語</v>
      </c>
      <c r="B1200">
        <f t="shared" si="1468"/>
        <v>15</v>
      </c>
      <c r="C1200">
        <f t="shared" si="1405"/>
        <v>51</v>
      </c>
      <c r="D1200">
        <f>D1165</f>
        <v>6</v>
      </c>
      <c r="E1200" t="str">
        <f>VLOOKUP(D1200,name!A:B,2,1)</f>
        <v>Céline</v>
      </c>
      <c r="F1200" t="str">
        <f>F1165</f>
        <v>あなたは選ばなければなりません。</v>
      </c>
      <c r="G1200" t="str">
        <f t="shared" ref="G1200" si="1469">IF(B1200&lt;&gt;B1610,"e",IF(D1200=0,"q","a"))</f>
        <v>e</v>
      </c>
      <c r="H1200" t="str">
        <f>VLOOKUP(D1200,name!A:C,3,1)</f>
        <v>assets/icons/image078.png</v>
      </c>
      <c r="I1200" t="s">
        <v>463</v>
      </c>
    </row>
    <row r="1201" spans="1:9" x14ac:dyDescent="0.15">
      <c r="A1201" t="str">
        <f t="shared" ref="A1201:B1201" si="1470">A1200</f>
        <v>フランス語</v>
      </c>
      <c r="B1201">
        <f t="shared" si="1470"/>
        <v>15</v>
      </c>
      <c r="C1201">
        <f t="shared" si="1405"/>
        <v>52</v>
      </c>
      <c r="D1201">
        <f>D1166</f>
        <v>6</v>
      </c>
      <c r="E1201" t="str">
        <f>VLOOKUP(D1201,name!A:B,2,1)</f>
        <v>Céline</v>
      </c>
      <c r="F1201" t="str">
        <f>F1166</f>
        <v>Il faut choisir.</v>
      </c>
      <c r="G1201" t="str">
        <f t="shared" ref="G1201:G1264" si="1471">IF(B1201&lt;&gt;B1202,"e",IF(D1201=0,"q","a"))</f>
        <v>a</v>
      </c>
      <c r="H1201" t="str">
        <f>VLOOKUP(D1201,name!A:C,3,1)</f>
        <v>assets/icons/image078.png</v>
      </c>
      <c r="I1201" t="str">
        <f>IF(A1201="","",VLOOKUP(A1201,lng!A:B,2,0))</f>
        <v>fr-FR</v>
      </c>
    </row>
    <row r="1202" spans="1:9" x14ac:dyDescent="0.15">
      <c r="A1202" t="str">
        <f t="shared" ref="A1202:B1202" si="1472">A1201</f>
        <v>フランス語</v>
      </c>
      <c r="B1202">
        <f t="shared" si="1472"/>
        <v>15</v>
      </c>
      <c r="C1202">
        <f t="shared" si="1405"/>
        <v>53</v>
      </c>
      <c r="D1202">
        <v>0</v>
      </c>
      <c r="E1202" t="str">
        <f>VLOOKUP(D1202,name!A:B,2,1)</f>
        <v>Player</v>
      </c>
      <c r="F1202" t="str">
        <f>F1166</f>
        <v>Il faut choisir.</v>
      </c>
      <c r="G1202" t="str">
        <f t="shared" ref="G1202" si="1473">IF(B1202&lt;&gt;B2143,"e",IF(D1202=0,"q","a"))</f>
        <v>e</v>
      </c>
      <c r="H1202" t="str">
        <f>VLOOKUP(D1202,name!A:C,3,1)</f>
        <v>assets/icons/image326.png</v>
      </c>
      <c r="I1202" t="str">
        <f>IF(A1202="","",VLOOKUP(A1202,lng!A:B,2,0))</f>
        <v>fr-FR</v>
      </c>
    </row>
    <row r="1203" spans="1:9" x14ac:dyDescent="0.15">
      <c r="A1203" t="str">
        <f t="shared" ref="A1203:B1203" si="1474">A1202</f>
        <v>フランス語</v>
      </c>
      <c r="B1203">
        <f t="shared" si="1474"/>
        <v>15</v>
      </c>
      <c r="C1203">
        <f t="shared" si="1405"/>
        <v>54</v>
      </c>
      <c r="D1203">
        <f>D1167</f>
        <v>6</v>
      </c>
      <c r="E1203" t="str">
        <f>VLOOKUP(D1203,name!A:B,2,1)</f>
        <v>Céline</v>
      </c>
      <c r="F1203" t="str">
        <f>F1167</f>
        <v>(見学後)</v>
      </c>
      <c r="G1203" t="str">
        <f t="shared" ref="G1203" si="1475">IF(B1203&lt;&gt;B1613,"e",IF(D1203=0,"q","a"))</f>
        <v>e</v>
      </c>
      <c r="H1203" t="str">
        <f>VLOOKUP(D1203,name!A:C,3,1)</f>
        <v>assets/icons/image078.png</v>
      </c>
      <c r="I1203" t="s">
        <v>463</v>
      </c>
    </row>
    <row r="1204" spans="1:9" x14ac:dyDescent="0.15">
      <c r="A1204" t="str">
        <f t="shared" ref="A1204:B1204" si="1476">A1203</f>
        <v>フランス語</v>
      </c>
      <c r="B1204">
        <f t="shared" si="1476"/>
        <v>15</v>
      </c>
      <c r="C1204">
        <f t="shared" si="1405"/>
        <v>55</v>
      </c>
      <c r="D1204">
        <f>D1168</f>
        <v>6</v>
      </c>
      <c r="E1204" t="str">
        <f>VLOOKUP(D1204,name!A:B,2,1)</f>
        <v>Céline</v>
      </c>
      <c r="F1204" t="str">
        <f>F1168</f>
        <v>(Après la visite)</v>
      </c>
      <c r="G1204" t="str">
        <f t="shared" ref="G1204:G1267" si="1477">IF(B1204&lt;&gt;B1205,"e",IF(D1204=0,"q","a"))</f>
        <v>a</v>
      </c>
      <c r="H1204" t="str">
        <f>VLOOKUP(D1204,name!A:C,3,1)</f>
        <v>assets/icons/image078.png</v>
      </c>
      <c r="I1204" t="str">
        <f>IF(A1204="","",VLOOKUP(A1204,lng!A:B,2,0))</f>
        <v>fr-FR</v>
      </c>
    </row>
    <row r="1205" spans="1:9" x14ac:dyDescent="0.15">
      <c r="A1205" t="str">
        <f t="shared" ref="A1205:B1205" si="1478">A1204</f>
        <v>フランス語</v>
      </c>
      <c r="B1205">
        <f t="shared" si="1478"/>
        <v>15</v>
      </c>
      <c r="C1205">
        <f t="shared" si="1405"/>
        <v>56</v>
      </c>
      <c r="D1205">
        <v>0</v>
      </c>
      <c r="E1205" t="str">
        <f>VLOOKUP(D1205,name!A:B,2,1)</f>
        <v>Player</v>
      </c>
      <c r="F1205" t="str">
        <f>F1168</f>
        <v>(Après la visite)</v>
      </c>
      <c r="G1205" t="str">
        <f t="shared" si="1477"/>
        <v>q</v>
      </c>
      <c r="H1205" t="str">
        <f>VLOOKUP(D1205,name!A:C,3,1)</f>
        <v>assets/icons/image326.png</v>
      </c>
      <c r="I1205" t="str">
        <f>IF(A1205="","",VLOOKUP(A1205,lng!A:B,2,0))</f>
        <v>fr-FR</v>
      </c>
    </row>
    <row r="1206" spans="1:9" x14ac:dyDescent="0.15">
      <c r="A1206" t="str">
        <f t="shared" ref="A1206:B1206" si="1479">A1205</f>
        <v>フランス語</v>
      </c>
      <c r="B1206">
        <f t="shared" si="1479"/>
        <v>15</v>
      </c>
      <c r="C1206">
        <f t="shared" si="1405"/>
        <v>57</v>
      </c>
      <c r="D1206">
        <f>D1169</f>
        <v>5</v>
      </c>
      <c r="E1206" t="str">
        <f>VLOOKUP(D1206,name!A:B,2,1)</f>
        <v>Minako</v>
      </c>
      <c r="F1206" t="str">
        <f>F1169</f>
        <v>ルーブル美術館がこんなに大きいとは知りませんでした。</v>
      </c>
      <c r="G1206" t="str">
        <f t="shared" ref="G1206" si="1480">IF(B1206&lt;&gt;B2147,"e",IF(D1206=0,"q","a"))</f>
        <v>e</v>
      </c>
      <c r="H1206" t="str">
        <f>VLOOKUP(D1206,name!A:C,3,1)</f>
        <v>assets/icons/image086.png</v>
      </c>
      <c r="I1206" t="s">
        <v>463</v>
      </c>
    </row>
    <row r="1207" spans="1:9" x14ac:dyDescent="0.15">
      <c r="A1207" t="str">
        <f t="shared" ref="A1207:B1207" si="1481">A1206</f>
        <v>フランス語</v>
      </c>
      <c r="B1207">
        <f t="shared" si="1481"/>
        <v>15</v>
      </c>
      <c r="C1207">
        <f t="shared" si="1405"/>
        <v>58</v>
      </c>
      <c r="D1207">
        <f>D1170</f>
        <v>5</v>
      </c>
      <c r="E1207" t="str">
        <f>VLOOKUP(D1207,name!A:B,2,1)</f>
        <v>Minako</v>
      </c>
      <c r="F1207" t="str">
        <f>F1170</f>
        <v>Je ne savais pas que le Musée du Louvre était aussi grand.</v>
      </c>
      <c r="G1207" t="str">
        <f t="shared" ref="G1207" si="1482">IF(B1207&lt;&gt;B1617,"e",IF(D1207=0,"q","a"))</f>
        <v>e</v>
      </c>
      <c r="H1207" t="str">
        <f>VLOOKUP(D1207,name!A:C,3,1)</f>
        <v>assets/icons/image086.png</v>
      </c>
      <c r="I1207" t="str">
        <f>IF(A1207="","",VLOOKUP(A1207,lng!A:B,2,0))</f>
        <v>fr-FR</v>
      </c>
    </row>
    <row r="1208" spans="1:9" x14ac:dyDescent="0.15">
      <c r="A1208" t="str">
        <f t="shared" ref="A1208:B1208" si="1483">A1207</f>
        <v>フランス語</v>
      </c>
      <c r="B1208">
        <f t="shared" si="1483"/>
        <v>15</v>
      </c>
      <c r="C1208">
        <f t="shared" si="1405"/>
        <v>59</v>
      </c>
      <c r="D1208">
        <v>0</v>
      </c>
      <c r="E1208" t="str">
        <f>VLOOKUP(D1208,name!A:B,2,1)</f>
        <v>Player</v>
      </c>
      <c r="F1208" t="str">
        <f>F1170</f>
        <v>Je ne savais pas que le Musée du Louvre était aussi grand.</v>
      </c>
      <c r="G1208" t="str">
        <f t="shared" ref="G1208:G1271" si="1484">IF(B1208&lt;&gt;B1209,"e",IF(D1208=0,"q","a"))</f>
        <v>q</v>
      </c>
      <c r="H1208" t="str">
        <f>VLOOKUP(D1208,name!A:C,3,1)</f>
        <v>assets/icons/image326.png</v>
      </c>
      <c r="I1208" t="str">
        <f>IF(A1208="","",VLOOKUP(A1208,lng!A:B,2,0))</f>
        <v>fr-FR</v>
      </c>
    </row>
    <row r="1209" spans="1:9" x14ac:dyDescent="0.15">
      <c r="A1209" t="str">
        <f t="shared" ref="A1209:B1209" si="1485">A1208</f>
        <v>フランス語</v>
      </c>
      <c r="B1209">
        <f t="shared" si="1485"/>
        <v>15</v>
      </c>
      <c r="C1209">
        <f t="shared" si="1405"/>
        <v>60</v>
      </c>
      <c r="D1209">
        <f>D1171</f>
        <v>5</v>
      </c>
      <c r="E1209" t="str">
        <f>VLOOKUP(D1209,name!A:B,2,1)</f>
        <v>Minako</v>
      </c>
      <c r="F1209" t="str">
        <f>F1171</f>
        <v>疲れ果てました。</v>
      </c>
      <c r="G1209" t="str">
        <f t="shared" ref="G1209" si="1486">IF(B1209&lt;&gt;B2150,"e",IF(D1209=0,"q","a"))</f>
        <v>e</v>
      </c>
      <c r="H1209" t="str">
        <f>VLOOKUP(D1209,name!A:C,3,1)</f>
        <v>assets/icons/image086.png</v>
      </c>
      <c r="I1209" t="s">
        <v>463</v>
      </c>
    </row>
    <row r="1210" spans="1:9" x14ac:dyDescent="0.15">
      <c r="A1210" t="str">
        <f t="shared" ref="A1210:B1210" si="1487">A1209</f>
        <v>フランス語</v>
      </c>
      <c r="B1210">
        <f t="shared" si="1487"/>
        <v>15</v>
      </c>
      <c r="C1210">
        <f t="shared" si="1405"/>
        <v>61</v>
      </c>
      <c r="D1210">
        <f>D1172</f>
        <v>5</v>
      </c>
      <c r="E1210" t="str">
        <f>VLOOKUP(D1210,name!A:B,2,1)</f>
        <v>Minako</v>
      </c>
      <c r="F1210" t="str">
        <f>F1172</f>
        <v>Je suis complètement épuisée.</v>
      </c>
      <c r="G1210" t="str">
        <f t="shared" ref="G1210" si="1488">IF(B1210&lt;&gt;B1620,"e",IF(D1210=0,"q","a"))</f>
        <v>e</v>
      </c>
      <c r="H1210" t="str">
        <f>VLOOKUP(D1210,name!A:C,3,1)</f>
        <v>assets/icons/image086.png</v>
      </c>
      <c r="I1210" t="str">
        <f>IF(A1210="","",VLOOKUP(A1210,lng!A:B,2,0))</f>
        <v>fr-FR</v>
      </c>
    </row>
    <row r="1211" spans="1:9" x14ac:dyDescent="0.15">
      <c r="A1211" t="str">
        <f t="shared" ref="A1211:B1211" si="1489">A1210</f>
        <v>フランス語</v>
      </c>
      <c r="B1211">
        <f t="shared" si="1489"/>
        <v>15</v>
      </c>
      <c r="C1211">
        <f t="shared" si="1405"/>
        <v>62</v>
      </c>
      <c r="D1211">
        <v>0</v>
      </c>
      <c r="E1211" t="str">
        <f>VLOOKUP(D1211,name!A:B,2,1)</f>
        <v>Player</v>
      </c>
      <c r="F1211" t="str">
        <f>F1172</f>
        <v>Je suis complètement épuisée.</v>
      </c>
      <c r="G1211" t="str">
        <f t="shared" ref="G1211:G1274" si="1490">IF(B1211&lt;&gt;B1212,"e",IF(D1211=0,"q","a"))</f>
        <v>q</v>
      </c>
      <c r="H1211" t="str">
        <f>VLOOKUP(D1211,name!A:C,3,1)</f>
        <v>assets/icons/image326.png</v>
      </c>
      <c r="I1211" t="str">
        <f>IF(A1211="","",VLOOKUP(A1211,lng!A:B,2,0))</f>
        <v>fr-FR</v>
      </c>
    </row>
    <row r="1212" spans="1:9" x14ac:dyDescent="0.15">
      <c r="A1212" t="str">
        <f t="shared" ref="A1212:B1212" si="1491">A1211</f>
        <v>フランス語</v>
      </c>
      <c r="B1212">
        <f t="shared" si="1491"/>
        <v>15</v>
      </c>
      <c r="C1212">
        <f t="shared" si="1405"/>
        <v>63</v>
      </c>
      <c r="D1212">
        <f>D1173</f>
        <v>6</v>
      </c>
      <c r="E1212" t="str">
        <f>VLOOKUP(D1212,name!A:B,2,1)</f>
        <v>Céline</v>
      </c>
      <c r="F1212" t="str">
        <f>F1173</f>
        <v>私もそうです。</v>
      </c>
      <c r="G1212" t="str">
        <f t="shared" si="1490"/>
        <v>a</v>
      </c>
      <c r="H1212" t="str">
        <f>VLOOKUP(D1212,name!A:C,3,1)</f>
        <v>assets/icons/image078.png</v>
      </c>
      <c r="I1212" t="s">
        <v>463</v>
      </c>
    </row>
    <row r="1213" spans="1:9" x14ac:dyDescent="0.15">
      <c r="A1213" t="str">
        <f t="shared" ref="A1213:B1213" si="1492">A1212</f>
        <v>フランス語</v>
      </c>
      <c r="B1213">
        <f t="shared" si="1492"/>
        <v>15</v>
      </c>
      <c r="C1213">
        <f t="shared" si="1405"/>
        <v>64</v>
      </c>
      <c r="D1213">
        <f>D1174</f>
        <v>6</v>
      </c>
      <c r="E1213" t="str">
        <f>VLOOKUP(D1213,name!A:B,2,1)</f>
        <v>Céline</v>
      </c>
      <c r="F1213" t="str">
        <f>F1174</f>
        <v>Moi aussi.</v>
      </c>
      <c r="G1213" t="str">
        <f t="shared" ref="G1213" si="1493">IF(B1213&lt;&gt;B2154,"e",IF(D1213=0,"q","a"))</f>
        <v>e</v>
      </c>
      <c r="H1213" t="str">
        <f>VLOOKUP(D1213,name!A:C,3,1)</f>
        <v>assets/icons/image078.png</v>
      </c>
      <c r="I1213" t="str">
        <f>IF(A1213="","",VLOOKUP(A1213,lng!A:B,2,0))</f>
        <v>fr-FR</v>
      </c>
    </row>
    <row r="1214" spans="1:9" x14ac:dyDescent="0.15">
      <c r="A1214" t="str">
        <f t="shared" ref="A1214:B1214" si="1494">A1213</f>
        <v>フランス語</v>
      </c>
      <c r="B1214">
        <f t="shared" si="1494"/>
        <v>15</v>
      </c>
      <c r="C1214">
        <f t="shared" si="1405"/>
        <v>65</v>
      </c>
      <c r="D1214">
        <v>0</v>
      </c>
      <c r="E1214" t="str">
        <f>VLOOKUP(D1214,name!A:B,2,1)</f>
        <v>Player</v>
      </c>
      <c r="F1214" t="str">
        <f>F1174</f>
        <v>Moi aussi.</v>
      </c>
      <c r="G1214" t="str">
        <f t="shared" ref="G1214" si="1495">IF(B1214&lt;&gt;B1624,"e",IF(D1214=0,"q","a"))</f>
        <v>e</v>
      </c>
      <c r="H1214" t="str">
        <f>VLOOKUP(D1214,name!A:C,3,1)</f>
        <v>assets/icons/image326.png</v>
      </c>
      <c r="I1214" t="str">
        <f>IF(A1214="","",VLOOKUP(A1214,lng!A:B,2,0))</f>
        <v>fr-FR</v>
      </c>
    </row>
    <row r="1215" spans="1:9" x14ac:dyDescent="0.15">
      <c r="A1215" t="str">
        <f t="shared" ref="A1215:B1215" si="1496">A1214</f>
        <v>フランス語</v>
      </c>
      <c r="B1215">
        <f t="shared" si="1496"/>
        <v>15</v>
      </c>
      <c r="C1215">
        <f t="shared" si="1405"/>
        <v>66</v>
      </c>
      <c r="D1215">
        <f>D1175</f>
        <v>6</v>
      </c>
      <c r="E1215" t="str">
        <f>VLOOKUP(D1215,name!A:B,2,1)</f>
        <v>Céline</v>
      </c>
      <c r="F1215" t="str">
        <f>F1175</f>
        <v>美術館の目の前のカフェに行かない?</v>
      </c>
      <c r="G1215" t="str">
        <f t="shared" ref="G1215:G1278" si="1497">IF(B1215&lt;&gt;B1216,"e",IF(D1215=0,"q","a"))</f>
        <v>a</v>
      </c>
      <c r="H1215" t="str">
        <f>VLOOKUP(D1215,name!A:C,3,1)</f>
        <v>assets/icons/image078.png</v>
      </c>
      <c r="I1215" t="s">
        <v>463</v>
      </c>
    </row>
    <row r="1216" spans="1:9" x14ac:dyDescent="0.15">
      <c r="A1216" t="str">
        <f t="shared" ref="A1216:B1216" si="1498">A1215</f>
        <v>フランス語</v>
      </c>
      <c r="B1216">
        <f t="shared" si="1498"/>
        <v>15</v>
      </c>
      <c r="C1216">
        <f t="shared" ref="C1216:C1253" si="1499">C1215+1</f>
        <v>67</v>
      </c>
      <c r="D1216">
        <f>D1176</f>
        <v>6</v>
      </c>
      <c r="E1216" t="str">
        <f>VLOOKUP(D1216,name!A:B,2,1)</f>
        <v>Céline</v>
      </c>
      <c r="F1216" t="str">
        <f>F1176</f>
        <v>Si on allait au café qui se trouve juste devant le Musée ?</v>
      </c>
      <c r="G1216" t="str">
        <f t="shared" ref="G1216" si="1500">IF(B1216&lt;&gt;B2157,"e",IF(D1216=0,"q","a"))</f>
        <v>e</v>
      </c>
      <c r="H1216" t="str">
        <f>VLOOKUP(D1216,name!A:C,3,1)</f>
        <v>assets/icons/image078.png</v>
      </c>
      <c r="I1216" t="str">
        <f>IF(A1216="","",VLOOKUP(A1216,lng!A:B,2,0))</f>
        <v>fr-FR</v>
      </c>
    </row>
    <row r="1217" spans="1:9" x14ac:dyDescent="0.15">
      <c r="A1217" t="str">
        <f t="shared" ref="A1217:B1217" si="1501">A1216</f>
        <v>フランス語</v>
      </c>
      <c r="B1217">
        <f t="shared" si="1501"/>
        <v>15</v>
      </c>
      <c r="C1217">
        <f t="shared" si="1499"/>
        <v>68</v>
      </c>
      <c r="D1217">
        <v>0</v>
      </c>
      <c r="E1217" t="str">
        <f>VLOOKUP(D1217,name!A:B,2,1)</f>
        <v>Player</v>
      </c>
      <c r="F1217" t="str">
        <f>F1176</f>
        <v>Si on allait au café qui se trouve juste devant le Musée ?</v>
      </c>
      <c r="G1217" t="str">
        <f t="shared" ref="G1217" si="1502">IF(B1217&lt;&gt;B1627,"e",IF(D1217=0,"q","a"))</f>
        <v>e</v>
      </c>
      <c r="H1217" t="str">
        <f>VLOOKUP(D1217,name!A:C,3,1)</f>
        <v>assets/icons/image326.png</v>
      </c>
      <c r="I1217" t="str">
        <f>IF(A1217="","",VLOOKUP(A1217,lng!A:B,2,0))</f>
        <v>fr-FR</v>
      </c>
    </row>
    <row r="1218" spans="1:9" x14ac:dyDescent="0.15">
      <c r="A1218" t="str">
        <f t="shared" ref="A1218:B1218" si="1503">A1217</f>
        <v>フランス語</v>
      </c>
      <c r="B1218">
        <f t="shared" si="1503"/>
        <v>15</v>
      </c>
      <c r="C1218">
        <f t="shared" si="1499"/>
        <v>69</v>
      </c>
      <c r="D1218">
        <f>D1177</f>
        <v>7</v>
      </c>
      <c r="E1218" t="str">
        <f>VLOOKUP(D1218,name!A:B,2,1)</f>
        <v>Luigi</v>
      </c>
      <c r="F1218" t="str">
        <f>F1177</f>
        <v>いい考え。</v>
      </c>
      <c r="G1218" t="str">
        <f t="shared" ref="G1218:G1281" si="1504">IF(B1218&lt;&gt;B1219,"e",IF(D1218=0,"q","a"))</f>
        <v>a</v>
      </c>
      <c r="H1218" t="str">
        <f>VLOOKUP(D1218,name!A:C,3,1)</f>
        <v>assets/icons/image023.png</v>
      </c>
      <c r="I1218" t="s">
        <v>463</v>
      </c>
    </row>
    <row r="1219" spans="1:9" x14ac:dyDescent="0.15">
      <c r="A1219" t="str">
        <f t="shared" ref="A1219:B1219" si="1505">A1218</f>
        <v>フランス語</v>
      </c>
      <c r="B1219">
        <f t="shared" si="1505"/>
        <v>15</v>
      </c>
      <c r="C1219">
        <f t="shared" si="1499"/>
        <v>70</v>
      </c>
      <c r="D1219">
        <f>D1178</f>
        <v>7</v>
      </c>
      <c r="E1219" t="str">
        <f>VLOOKUP(D1219,name!A:B,2,1)</f>
        <v>Luigi</v>
      </c>
      <c r="F1219" t="str">
        <f>F1178</f>
        <v>Bonne idée.</v>
      </c>
      <c r="G1219" t="str">
        <f t="shared" si="1504"/>
        <v>a</v>
      </c>
      <c r="H1219" t="str">
        <f>VLOOKUP(D1219,name!A:C,3,1)</f>
        <v>assets/icons/image023.png</v>
      </c>
      <c r="I1219" t="str">
        <f>IF(A1219="","",VLOOKUP(A1219,lng!A:B,2,0))</f>
        <v>fr-FR</v>
      </c>
    </row>
    <row r="1220" spans="1:9" x14ac:dyDescent="0.15">
      <c r="A1220" t="str">
        <f t="shared" ref="A1220:B1220" si="1506">A1219</f>
        <v>フランス語</v>
      </c>
      <c r="B1220">
        <f t="shared" si="1506"/>
        <v>15</v>
      </c>
      <c r="C1220">
        <f t="shared" si="1499"/>
        <v>71</v>
      </c>
      <c r="D1220">
        <v>0</v>
      </c>
      <c r="E1220" t="str">
        <f>VLOOKUP(D1220,name!A:B,2,1)</f>
        <v>Player</v>
      </c>
      <c r="F1220" t="str">
        <f>F1178</f>
        <v>Bonne idée.</v>
      </c>
      <c r="G1220" t="str">
        <f t="shared" ref="G1220" si="1507">IF(B1220&lt;&gt;B2161,"e",IF(D1220=0,"q","a"))</f>
        <v>e</v>
      </c>
      <c r="H1220" t="str">
        <f>VLOOKUP(D1220,name!A:C,3,1)</f>
        <v>assets/icons/image326.png</v>
      </c>
      <c r="I1220" t="str">
        <f>IF(A1220="","",VLOOKUP(A1220,lng!A:B,2,0))</f>
        <v>fr-FR</v>
      </c>
    </row>
    <row r="1221" spans="1:9" x14ac:dyDescent="0.15">
      <c r="A1221" t="str">
        <f t="shared" ref="A1221:B1221" si="1508">A1220</f>
        <v>フランス語</v>
      </c>
      <c r="B1221">
        <f t="shared" si="1508"/>
        <v>15</v>
      </c>
      <c r="C1221">
        <f t="shared" si="1499"/>
        <v>72</v>
      </c>
      <c r="D1221">
        <f>D1179</f>
        <v>7</v>
      </c>
      <c r="E1221" t="str">
        <f>VLOOKUP(D1221,name!A:B,2,1)</f>
        <v>Luigi</v>
      </c>
      <c r="F1221" t="str">
        <f>F1179</f>
        <v>喉が渇いていますし。</v>
      </c>
      <c r="G1221" t="str">
        <f t="shared" ref="G1221" si="1509">IF(B1221&lt;&gt;B1631,"e",IF(D1221=0,"q","a"))</f>
        <v>e</v>
      </c>
      <c r="H1221" t="str">
        <f>VLOOKUP(D1221,name!A:C,3,1)</f>
        <v>assets/icons/image023.png</v>
      </c>
      <c r="I1221" t="s">
        <v>463</v>
      </c>
    </row>
    <row r="1222" spans="1:9" x14ac:dyDescent="0.15">
      <c r="A1222" t="str">
        <f t="shared" ref="A1222:B1222" si="1510">A1221</f>
        <v>フランス語</v>
      </c>
      <c r="B1222">
        <f t="shared" si="1510"/>
        <v>15</v>
      </c>
      <c r="C1222">
        <f t="shared" si="1499"/>
        <v>73</v>
      </c>
      <c r="D1222">
        <f>D1180</f>
        <v>7</v>
      </c>
      <c r="E1222" t="str">
        <f>VLOOKUP(D1222,name!A:B,2,1)</f>
        <v>Luigi</v>
      </c>
      <c r="F1222" t="str">
        <f>F1180</f>
        <v>J'ai soif.</v>
      </c>
      <c r="G1222" t="str">
        <f t="shared" ref="G1222:G1285" si="1511">IF(B1222&lt;&gt;B1223,"e",IF(D1222=0,"q","a"))</f>
        <v>a</v>
      </c>
      <c r="H1222" t="str">
        <f>VLOOKUP(D1222,name!A:C,3,1)</f>
        <v>assets/icons/image023.png</v>
      </c>
      <c r="I1222" t="str">
        <f>IF(A1222="","",VLOOKUP(A1222,lng!A:B,2,0))</f>
        <v>fr-FR</v>
      </c>
    </row>
    <row r="1223" spans="1:9" x14ac:dyDescent="0.15">
      <c r="A1223" t="str">
        <f t="shared" ref="A1223:B1223" si="1512">A1222</f>
        <v>フランス語</v>
      </c>
      <c r="B1223">
        <f t="shared" si="1512"/>
        <v>15</v>
      </c>
      <c r="C1223">
        <f t="shared" si="1499"/>
        <v>74</v>
      </c>
      <c r="D1223">
        <v>0</v>
      </c>
      <c r="E1223" t="str">
        <f>VLOOKUP(D1223,name!A:B,2,1)</f>
        <v>Player</v>
      </c>
      <c r="F1223" t="str">
        <f>F1180</f>
        <v>J'ai soif.</v>
      </c>
      <c r="G1223" t="str">
        <f t="shared" ref="G1223" si="1513">IF(B1223&lt;&gt;B2164,"e",IF(D1223=0,"q","a"))</f>
        <v>e</v>
      </c>
      <c r="H1223" t="str">
        <f>VLOOKUP(D1223,name!A:C,3,1)</f>
        <v>assets/icons/image326.png</v>
      </c>
      <c r="I1223" t="str">
        <f>IF(A1223="","",VLOOKUP(A1223,lng!A:B,2,0))</f>
        <v>fr-FR</v>
      </c>
    </row>
    <row r="1224" spans="1:9" x14ac:dyDescent="0.15">
      <c r="A1224" t="str">
        <f t="shared" ref="A1224:B1224" si="1514">A1223</f>
        <v>フランス語</v>
      </c>
      <c r="B1224">
        <f t="shared" si="1514"/>
        <v>15</v>
      </c>
      <c r="C1224">
        <f t="shared" si="1499"/>
        <v>75</v>
      </c>
      <c r="D1224">
        <v>1</v>
      </c>
      <c r="E1224" t="str">
        <f>VLOOKUP(D1224,name!A:B,2,1)</f>
        <v>Navigator</v>
      </c>
      <c r="F1224" t="str">
        <f>"次の日本語を"&amp;A1224&amp;"に訳して答えてね！"</f>
        <v>次の日本語をフランス語に訳して答えてね！</v>
      </c>
      <c r="G1224" t="str">
        <f t="shared" ref="G1224" si="1515">IF(B1224&lt;&gt;B1634,"e",IF(D1224=0,"q","a"))</f>
        <v>e</v>
      </c>
      <c r="H1224" t="str">
        <f>VLOOKUP(D1224,name!A:C,3,1)</f>
        <v>assets/icons/image014.png</v>
      </c>
      <c r="I1224" t="s">
        <v>463</v>
      </c>
    </row>
    <row r="1225" spans="1:9" x14ac:dyDescent="0.15">
      <c r="A1225" t="str">
        <f t="shared" ref="A1225:B1225" si="1516">A1224</f>
        <v>フランス語</v>
      </c>
      <c r="B1225">
        <f t="shared" si="1516"/>
        <v>15</v>
      </c>
      <c r="C1225">
        <f t="shared" si="1499"/>
        <v>76</v>
      </c>
      <c r="D1225">
        <f>D1153</f>
        <v>6</v>
      </c>
      <c r="E1225" t="str">
        <f>VLOOKUP(D1225,name!A:B,2,1)</f>
        <v>Céline</v>
      </c>
      <c r="F1225" t="str">
        <f t="shared" ref="F1225:F1252" si="1517">F1153</f>
        <v>ルーブル美術館に来るのは初めてですか?</v>
      </c>
      <c r="G1225" t="str">
        <f t="shared" ref="G1225:G1288" si="1518">IF(B1225&lt;&gt;B1226,"e",IF(D1225=0,"q","a"))</f>
        <v>a</v>
      </c>
      <c r="H1225" t="str">
        <f>VLOOKUP(D1225,name!A:C,3,1)</f>
        <v>assets/icons/image078.png</v>
      </c>
      <c r="I1225" t="s">
        <v>463</v>
      </c>
    </row>
    <row r="1226" spans="1:9" x14ac:dyDescent="0.15">
      <c r="A1226" t="str">
        <f t="shared" ref="A1226:B1226" si="1519">A1225</f>
        <v>フランス語</v>
      </c>
      <c r="B1226">
        <f t="shared" si="1519"/>
        <v>15</v>
      </c>
      <c r="C1226">
        <f t="shared" si="1499"/>
        <v>77</v>
      </c>
      <c r="D1226">
        <v>0</v>
      </c>
      <c r="E1226" t="str">
        <f>VLOOKUP(D1226,name!A:B,2,1)</f>
        <v>Player</v>
      </c>
      <c r="F1226" t="str">
        <f t="shared" si="1517"/>
        <v>C'est la première fois que tu viens au Musée du Louvre ?</v>
      </c>
      <c r="G1226" t="str">
        <f t="shared" si="1518"/>
        <v>q</v>
      </c>
      <c r="H1226" t="str">
        <f>VLOOKUP(D1226,name!A:C,3,1)</f>
        <v>assets/icons/image326.png</v>
      </c>
      <c r="I1226" t="str">
        <f>IF(A1226="","",VLOOKUP(A1226,lng!A:B,2,0))</f>
        <v>fr-FR</v>
      </c>
    </row>
    <row r="1227" spans="1:9" x14ac:dyDescent="0.15">
      <c r="A1227" t="str">
        <f t="shared" ref="A1227:B1227" si="1520">A1226</f>
        <v>フランス語</v>
      </c>
      <c r="B1227">
        <f t="shared" si="1520"/>
        <v>15</v>
      </c>
      <c r="C1227">
        <f t="shared" si="1499"/>
        <v>78</v>
      </c>
      <c r="D1227">
        <f>D1155</f>
        <v>5</v>
      </c>
      <c r="E1227" t="str">
        <f>VLOOKUP(D1227,name!A:B,2,1)</f>
        <v>Minako</v>
      </c>
      <c r="F1227" t="str">
        <f t="shared" si="1517"/>
        <v>はい、ずっと来たいと思っていましたが、</v>
      </c>
      <c r="G1227" t="str">
        <f t="shared" ref="G1227" si="1521">IF(B1227&lt;&gt;B2168,"e",IF(D1227=0,"q","a"))</f>
        <v>e</v>
      </c>
      <c r="H1227" t="str">
        <f>VLOOKUP(D1227,name!A:C,3,1)</f>
        <v>assets/icons/image086.png</v>
      </c>
      <c r="I1227" t="s">
        <v>463</v>
      </c>
    </row>
    <row r="1228" spans="1:9" x14ac:dyDescent="0.15">
      <c r="A1228" t="str">
        <f t="shared" ref="A1228:B1228" si="1522">A1227</f>
        <v>フランス語</v>
      </c>
      <c r="B1228">
        <f t="shared" si="1522"/>
        <v>15</v>
      </c>
      <c r="C1228">
        <f t="shared" si="1499"/>
        <v>79</v>
      </c>
      <c r="D1228">
        <v>0</v>
      </c>
      <c r="E1228" t="str">
        <f>VLOOKUP(D1228,name!A:B,2,1)</f>
        <v>Player</v>
      </c>
      <c r="F1228" t="str">
        <f t="shared" si="1517"/>
        <v xml:space="preserve">Oui, ça fait longtemps que je voulais venir, </v>
      </c>
      <c r="G1228" t="str">
        <f t="shared" ref="G1228" si="1523">IF(B1228&lt;&gt;B1638,"e",IF(D1228=0,"q","a"))</f>
        <v>e</v>
      </c>
      <c r="H1228" t="str">
        <f>VLOOKUP(D1228,name!A:C,3,1)</f>
        <v>assets/icons/image326.png</v>
      </c>
      <c r="I1228" t="str">
        <f>IF(A1228="","",VLOOKUP(A1228,lng!A:B,2,0))</f>
        <v>fr-FR</v>
      </c>
    </row>
    <row r="1229" spans="1:9" x14ac:dyDescent="0.15">
      <c r="A1229" t="str">
        <f t="shared" ref="A1229:B1229" si="1524">A1228</f>
        <v>フランス語</v>
      </c>
      <c r="B1229">
        <f t="shared" si="1524"/>
        <v>15</v>
      </c>
      <c r="C1229">
        <f t="shared" si="1499"/>
        <v>80</v>
      </c>
      <c r="D1229">
        <f>D1157</f>
        <v>5</v>
      </c>
      <c r="E1229" t="str">
        <f>VLOOKUP(D1229,name!A:B,2,1)</f>
        <v>Minako</v>
      </c>
      <c r="F1229" t="str">
        <f t="shared" si="1517"/>
        <v>しかし、私には時間がありませんでした。</v>
      </c>
      <c r="G1229" t="str">
        <f t="shared" ref="G1229:G1292" si="1525">IF(B1229&lt;&gt;B1230,"e",IF(D1229=0,"q","a"))</f>
        <v>a</v>
      </c>
      <c r="H1229" t="str">
        <f>VLOOKUP(D1229,name!A:C,3,1)</f>
        <v>assets/icons/image086.png</v>
      </c>
      <c r="I1229" t="s">
        <v>463</v>
      </c>
    </row>
    <row r="1230" spans="1:9" x14ac:dyDescent="0.15">
      <c r="A1230" t="str">
        <f t="shared" ref="A1230:B1230" si="1526">A1229</f>
        <v>フランス語</v>
      </c>
      <c r="B1230">
        <f t="shared" si="1526"/>
        <v>15</v>
      </c>
      <c r="C1230">
        <f t="shared" si="1499"/>
        <v>81</v>
      </c>
      <c r="D1230">
        <v>0</v>
      </c>
      <c r="E1230" t="str">
        <f>VLOOKUP(D1230,name!A:B,2,1)</f>
        <v>Player</v>
      </c>
      <c r="F1230" t="str">
        <f t="shared" si="1517"/>
        <v>mais je n'avais pas eu le temps.</v>
      </c>
      <c r="G1230" t="str">
        <f t="shared" ref="G1230" si="1527">IF(B1230&lt;&gt;B2171,"e",IF(D1230=0,"q","a"))</f>
        <v>e</v>
      </c>
      <c r="H1230" t="str">
        <f>VLOOKUP(D1230,name!A:C,3,1)</f>
        <v>assets/icons/image326.png</v>
      </c>
      <c r="I1230" t="str">
        <f>IF(A1230="","",VLOOKUP(A1230,lng!A:B,2,0))</f>
        <v>fr-FR</v>
      </c>
    </row>
    <row r="1231" spans="1:9" x14ac:dyDescent="0.15">
      <c r="A1231" t="str">
        <f t="shared" ref="A1231:B1231" si="1528">A1230</f>
        <v>フランス語</v>
      </c>
      <c r="B1231">
        <f t="shared" si="1528"/>
        <v>15</v>
      </c>
      <c r="C1231">
        <f t="shared" si="1499"/>
        <v>82</v>
      </c>
      <c r="D1231">
        <f>D1159</f>
        <v>7</v>
      </c>
      <c r="E1231" t="str">
        <f>VLOOKUP(D1231,name!A:B,2,1)</f>
        <v>Luigi</v>
      </c>
      <c r="F1231" t="str">
        <f t="shared" si="1517"/>
        <v>何よりもモナリザとミロのヴィーナスを見なければなりません。</v>
      </c>
      <c r="G1231" t="str">
        <f t="shared" ref="G1231" si="1529">IF(B1231&lt;&gt;B1641,"e",IF(D1231=0,"q","a"))</f>
        <v>e</v>
      </c>
      <c r="H1231" t="str">
        <f>VLOOKUP(D1231,name!A:C,3,1)</f>
        <v>assets/icons/image023.png</v>
      </c>
      <c r="I1231" t="s">
        <v>463</v>
      </c>
    </row>
    <row r="1232" spans="1:9" x14ac:dyDescent="0.15">
      <c r="A1232" t="str">
        <f t="shared" ref="A1232:B1232" si="1530">A1231</f>
        <v>フランス語</v>
      </c>
      <c r="B1232">
        <f t="shared" si="1530"/>
        <v>15</v>
      </c>
      <c r="C1232">
        <f t="shared" si="1499"/>
        <v>83</v>
      </c>
      <c r="D1232">
        <v>0</v>
      </c>
      <c r="E1232" t="str">
        <f>VLOOKUP(D1232,name!A:B,2,1)</f>
        <v>Player</v>
      </c>
      <c r="F1232" t="str">
        <f t="shared" si="1517"/>
        <v>Il faut voir avant tout La Joconde et la Vénus de Milo.</v>
      </c>
      <c r="G1232" t="str">
        <f t="shared" ref="G1232:G1295" si="1531">IF(B1232&lt;&gt;B1233,"e",IF(D1232=0,"q","a"))</f>
        <v>q</v>
      </c>
      <c r="H1232" t="str">
        <f>VLOOKUP(D1232,name!A:C,3,1)</f>
        <v>assets/icons/image326.png</v>
      </c>
      <c r="I1232" t="str">
        <f>IF(A1232="","",VLOOKUP(A1232,lng!A:B,2,0))</f>
        <v>fr-FR</v>
      </c>
    </row>
    <row r="1233" spans="1:9" x14ac:dyDescent="0.15">
      <c r="A1233" t="str">
        <f t="shared" ref="A1233:B1233" si="1532">A1232</f>
        <v>フランス語</v>
      </c>
      <c r="B1233">
        <f t="shared" si="1532"/>
        <v>15</v>
      </c>
      <c r="C1233">
        <f t="shared" si="1499"/>
        <v>84</v>
      </c>
      <c r="D1233">
        <f>D1161</f>
        <v>5</v>
      </c>
      <c r="E1233" t="str">
        <f>VLOOKUP(D1233,name!A:B,2,1)</f>
        <v>Minako</v>
      </c>
      <c r="F1233" t="str">
        <f t="shared" si="1517"/>
        <v>はい、でもルネッサンス絵画にも興味があります。</v>
      </c>
      <c r="G1233" t="str">
        <f t="shared" si="1531"/>
        <v>a</v>
      </c>
      <c r="H1233" t="str">
        <f>VLOOKUP(D1233,name!A:C,3,1)</f>
        <v>assets/icons/image086.png</v>
      </c>
      <c r="I1233" t="s">
        <v>463</v>
      </c>
    </row>
    <row r="1234" spans="1:9" x14ac:dyDescent="0.15">
      <c r="A1234" t="str">
        <f t="shared" ref="A1234:B1234" si="1533">A1233</f>
        <v>フランス語</v>
      </c>
      <c r="B1234">
        <f t="shared" si="1533"/>
        <v>15</v>
      </c>
      <c r="C1234">
        <f t="shared" si="1499"/>
        <v>85</v>
      </c>
      <c r="D1234">
        <v>0</v>
      </c>
      <c r="E1234" t="str">
        <f>VLOOKUP(D1234,name!A:B,2,1)</f>
        <v>Player</v>
      </c>
      <c r="F1234" t="str">
        <f t="shared" si="1517"/>
        <v>Oui, mais je m'intéresse aussi à la peinture de la Renaissance.</v>
      </c>
      <c r="G1234" t="str">
        <f t="shared" ref="G1234" si="1534">IF(B1234&lt;&gt;B2175,"e",IF(D1234=0,"q","a"))</f>
        <v>e</v>
      </c>
      <c r="H1234" t="str">
        <f>VLOOKUP(D1234,name!A:C,3,1)</f>
        <v>assets/icons/image326.png</v>
      </c>
      <c r="I1234" t="str">
        <f>IF(A1234="","",VLOOKUP(A1234,lng!A:B,2,0))</f>
        <v>fr-FR</v>
      </c>
    </row>
    <row r="1235" spans="1:9" x14ac:dyDescent="0.15">
      <c r="A1235" t="str">
        <f t="shared" ref="A1235:B1235" si="1535">A1234</f>
        <v>フランス語</v>
      </c>
      <c r="B1235">
        <f t="shared" si="1535"/>
        <v>15</v>
      </c>
      <c r="C1235">
        <f t="shared" si="1499"/>
        <v>86</v>
      </c>
      <c r="D1235">
        <f>D1163</f>
        <v>6</v>
      </c>
      <c r="E1235" t="str">
        <f>VLOOKUP(D1235,name!A:B,2,1)</f>
        <v>Céline</v>
      </c>
      <c r="F1235" t="str">
        <f t="shared" si="1517"/>
        <v>一日ですべてを見ることは不可能です。</v>
      </c>
      <c r="G1235" t="str">
        <f t="shared" ref="G1235" si="1536">IF(B1235&lt;&gt;B1645,"e",IF(D1235=0,"q","a"))</f>
        <v>e</v>
      </c>
      <c r="H1235" t="str">
        <f>VLOOKUP(D1235,name!A:C,3,1)</f>
        <v>assets/icons/image078.png</v>
      </c>
      <c r="I1235" t="s">
        <v>463</v>
      </c>
    </row>
    <row r="1236" spans="1:9" x14ac:dyDescent="0.15">
      <c r="A1236" t="str">
        <f t="shared" ref="A1236:B1236" si="1537">A1235</f>
        <v>フランス語</v>
      </c>
      <c r="B1236">
        <f t="shared" si="1537"/>
        <v>15</v>
      </c>
      <c r="C1236">
        <f t="shared" si="1499"/>
        <v>87</v>
      </c>
      <c r="D1236">
        <v>0</v>
      </c>
      <c r="E1236" t="str">
        <f>VLOOKUP(D1236,name!A:B,2,1)</f>
        <v>Player</v>
      </c>
      <c r="F1236" t="str">
        <f t="shared" si="1517"/>
        <v xml:space="preserve">Il est impossible de tout voir en un jour. </v>
      </c>
      <c r="G1236" t="str">
        <f t="shared" ref="G1236:G1299" si="1538">IF(B1236&lt;&gt;B1237,"e",IF(D1236=0,"q","a"))</f>
        <v>q</v>
      </c>
      <c r="H1236" t="str">
        <f>VLOOKUP(D1236,name!A:C,3,1)</f>
        <v>assets/icons/image326.png</v>
      </c>
      <c r="I1236" t="str">
        <f>IF(A1236="","",VLOOKUP(A1236,lng!A:B,2,0))</f>
        <v>fr-FR</v>
      </c>
    </row>
    <row r="1237" spans="1:9" x14ac:dyDescent="0.15">
      <c r="A1237" t="str">
        <f t="shared" ref="A1237:B1237" si="1539">A1236</f>
        <v>フランス語</v>
      </c>
      <c r="B1237">
        <f t="shared" si="1539"/>
        <v>15</v>
      </c>
      <c r="C1237">
        <f t="shared" si="1499"/>
        <v>88</v>
      </c>
      <c r="D1237">
        <f>D1165</f>
        <v>6</v>
      </c>
      <c r="E1237" t="str">
        <f>VLOOKUP(D1237,name!A:B,2,1)</f>
        <v>Céline</v>
      </c>
      <c r="F1237" t="str">
        <f t="shared" si="1517"/>
        <v>あなたは選ばなければなりません。</v>
      </c>
      <c r="G1237" t="str">
        <f t="shared" ref="G1237" si="1540">IF(B1237&lt;&gt;B2178,"e",IF(D1237=0,"q","a"))</f>
        <v>e</v>
      </c>
      <c r="H1237" t="str">
        <f>VLOOKUP(D1237,name!A:C,3,1)</f>
        <v>assets/icons/image078.png</v>
      </c>
      <c r="I1237" t="s">
        <v>463</v>
      </c>
    </row>
    <row r="1238" spans="1:9" x14ac:dyDescent="0.15">
      <c r="A1238" t="str">
        <f t="shared" ref="A1238:B1238" si="1541">A1237</f>
        <v>フランス語</v>
      </c>
      <c r="B1238">
        <f t="shared" si="1541"/>
        <v>15</v>
      </c>
      <c r="C1238">
        <f t="shared" si="1499"/>
        <v>89</v>
      </c>
      <c r="D1238">
        <v>0</v>
      </c>
      <c r="E1238" t="str">
        <f>VLOOKUP(D1238,name!A:B,2,1)</f>
        <v>Player</v>
      </c>
      <c r="F1238" t="str">
        <f t="shared" si="1517"/>
        <v>Il faut choisir.</v>
      </c>
      <c r="G1238" t="str">
        <f t="shared" ref="G1238" si="1542">IF(B1238&lt;&gt;B1648,"e",IF(D1238=0,"q","a"))</f>
        <v>e</v>
      </c>
      <c r="H1238" t="str">
        <f>VLOOKUP(D1238,name!A:C,3,1)</f>
        <v>assets/icons/image326.png</v>
      </c>
      <c r="I1238" t="str">
        <f>IF(A1238="","",VLOOKUP(A1238,lng!A:B,2,0))</f>
        <v>fr-FR</v>
      </c>
    </row>
    <row r="1239" spans="1:9" x14ac:dyDescent="0.15">
      <c r="A1239" t="str">
        <f t="shared" ref="A1239:B1239" si="1543">A1238</f>
        <v>フランス語</v>
      </c>
      <c r="B1239">
        <f t="shared" si="1543"/>
        <v>15</v>
      </c>
      <c r="C1239">
        <f t="shared" si="1499"/>
        <v>90</v>
      </c>
      <c r="D1239">
        <f>D1167</f>
        <v>6</v>
      </c>
      <c r="E1239" t="str">
        <f>VLOOKUP(D1239,name!A:B,2,1)</f>
        <v>Céline</v>
      </c>
      <c r="F1239" t="str">
        <f t="shared" si="1517"/>
        <v>(見学後)</v>
      </c>
      <c r="G1239" t="str">
        <f t="shared" ref="G1239:G1302" si="1544">IF(B1239&lt;&gt;B1240,"e",IF(D1239=0,"q","a"))</f>
        <v>a</v>
      </c>
      <c r="H1239" t="str">
        <f>VLOOKUP(D1239,name!A:C,3,1)</f>
        <v>assets/icons/image078.png</v>
      </c>
      <c r="I1239" t="s">
        <v>463</v>
      </c>
    </row>
    <row r="1240" spans="1:9" x14ac:dyDescent="0.15">
      <c r="A1240" t="str">
        <f t="shared" ref="A1240:B1240" si="1545">A1239</f>
        <v>フランス語</v>
      </c>
      <c r="B1240">
        <f t="shared" si="1545"/>
        <v>15</v>
      </c>
      <c r="C1240">
        <f t="shared" si="1499"/>
        <v>91</v>
      </c>
      <c r="D1240">
        <v>0</v>
      </c>
      <c r="E1240" t="str">
        <f>VLOOKUP(D1240,name!A:B,2,1)</f>
        <v>Player</v>
      </c>
      <c r="F1240" t="str">
        <f t="shared" si="1517"/>
        <v>(Après la visite)</v>
      </c>
      <c r="G1240" t="str">
        <f t="shared" si="1544"/>
        <v>q</v>
      </c>
      <c r="H1240" t="str">
        <f>VLOOKUP(D1240,name!A:C,3,1)</f>
        <v>assets/icons/image326.png</v>
      </c>
      <c r="I1240" t="str">
        <f>IF(A1240="","",VLOOKUP(A1240,lng!A:B,2,0))</f>
        <v>fr-FR</v>
      </c>
    </row>
    <row r="1241" spans="1:9" x14ac:dyDescent="0.15">
      <c r="A1241" t="str">
        <f t="shared" ref="A1241:B1241" si="1546">A1240</f>
        <v>フランス語</v>
      </c>
      <c r="B1241">
        <f t="shared" si="1546"/>
        <v>15</v>
      </c>
      <c r="C1241">
        <f t="shared" si="1499"/>
        <v>92</v>
      </c>
      <c r="D1241">
        <f>D1169</f>
        <v>5</v>
      </c>
      <c r="E1241" t="str">
        <f>VLOOKUP(D1241,name!A:B,2,1)</f>
        <v>Minako</v>
      </c>
      <c r="F1241" t="str">
        <f t="shared" si="1517"/>
        <v>ルーブル美術館がこんなに大きいとは知りませんでした。</v>
      </c>
      <c r="G1241" t="str">
        <f t="shared" ref="G1241" si="1547">IF(B1241&lt;&gt;B2182,"e",IF(D1241=0,"q","a"))</f>
        <v>e</v>
      </c>
      <c r="H1241" t="str">
        <f>VLOOKUP(D1241,name!A:C,3,1)</f>
        <v>assets/icons/image086.png</v>
      </c>
      <c r="I1241" t="s">
        <v>463</v>
      </c>
    </row>
    <row r="1242" spans="1:9" x14ac:dyDescent="0.15">
      <c r="A1242" t="str">
        <f t="shared" ref="A1242:B1242" si="1548">A1241</f>
        <v>フランス語</v>
      </c>
      <c r="B1242">
        <f t="shared" si="1548"/>
        <v>15</v>
      </c>
      <c r="C1242">
        <f t="shared" si="1499"/>
        <v>93</v>
      </c>
      <c r="D1242">
        <v>0</v>
      </c>
      <c r="E1242" t="str">
        <f>VLOOKUP(D1242,name!A:B,2,1)</f>
        <v>Player</v>
      </c>
      <c r="F1242" t="str">
        <f t="shared" si="1517"/>
        <v>Je ne savais pas que le Musée du Louvre était aussi grand.</v>
      </c>
      <c r="G1242" t="str">
        <f t="shared" ref="G1242" si="1549">IF(B1242&lt;&gt;B1652,"e",IF(D1242=0,"q","a"))</f>
        <v>e</v>
      </c>
      <c r="H1242" t="str">
        <f>VLOOKUP(D1242,name!A:C,3,1)</f>
        <v>assets/icons/image326.png</v>
      </c>
      <c r="I1242" t="str">
        <f>IF(A1242="","",VLOOKUP(A1242,lng!A:B,2,0))</f>
        <v>fr-FR</v>
      </c>
    </row>
    <row r="1243" spans="1:9" x14ac:dyDescent="0.15">
      <c r="A1243" t="str">
        <f t="shared" ref="A1243:B1243" si="1550">A1242</f>
        <v>フランス語</v>
      </c>
      <c r="B1243">
        <f t="shared" si="1550"/>
        <v>15</v>
      </c>
      <c r="C1243">
        <f t="shared" si="1499"/>
        <v>94</v>
      </c>
      <c r="D1243">
        <f>D1171</f>
        <v>5</v>
      </c>
      <c r="E1243" t="str">
        <f>VLOOKUP(D1243,name!A:B,2,1)</f>
        <v>Minako</v>
      </c>
      <c r="F1243" t="str">
        <f t="shared" si="1517"/>
        <v>疲れ果てました。</v>
      </c>
      <c r="G1243" t="str">
        <f t="shared" ref="G1243:G1306" si="1551">IF(B1243&lt;&gt;B1244,"e",IF(D1243=0,"q","a"))</f>
        <v>a</v>
      </c>
      <c r="H1243" t="str">
        <f>VLOOKUP(D1243,name!A:C,3,1)</f>
        <v>assets/icons/image086.png</v>
      </c>
      <c r="I1243" t="s">
        <v>463</v>
      </c>
    </row>
    <row r="1244" spans="1:9" x14ac:dyDescent="0.15">
      <c r="A1244" t="str">
        <f t="shared" ref="A1244:B1244" si="1552">A1243</f>
        <v>フランス語</v>
      </c>
      <c r="B1244">
        <f t="shared" si="1552"/>
        <v>15</v>
      </c>
      <c r="C1244">
        <f t="shared" si="1499"/>
        <v>95</v>
      </c>
      <c r="D1244">
        <v>0</v>
      </c>
      <c r="E1244" t="str">
        <f>VLOOKUP(D1244,name!A:B,2,1)</f>
        <v>Player</v>
      </c>
      <c r="F1244" t="str">
        <f t="shared" si="1517"/>
        <v>Je suis complètement épuisée.</v>
      </c>
      <c r="G1244" t="str">
        <f t="shared" ref="G1244" si="1553">IF(B1244&lt;&gt;B2185,"e",IF(D1244=0,"q","a"))</f>
        <v>e</v>
      </c>
      <c r="H1244" t="str">
        <f>VLOOKUP(D1244,name!A:C,3,1)</f>
        <v>assets/icons/image326.png</v>
      </c>
      <c r="I1244" t="str">
        <f>IF(A1244="","",VLOOKUP(A1244,lng!A:B,2,0))</f>
        <v>fr-FR</v>
      </c>
    </row>
    <row r="1245" spans="1:9" x14ac:dyDescent="0.15">
      <c r="A1245" t="str">
        <f t="shared" ref="A1245:B1245" si="1554">A1244</f>
        <v>フランス語</v>
      </c>
      <c r="B1245">
        <f t="shared" si="1554"/>
        <v>15</v>
      </c>
      <c r="C1245">
        <f t="shared" si="1499"/>
        <v>96</v>
      </c>
      <c r="D1245">
        <f>D1173</f>
        <v>6</v>
      </c>
      <c r="E1245" t="str">
        <f>VLOOKUP(D1245,name!A:B,2,1)</f>
        <v>Céline</v>
      </c>
      <c r="F1245" t="str">
        <f t="shared" si="1517"/>
        <v>私もそうです。</v>
      </c>
      <c r="G1245" t="str">
        <f t="shared" ref="G1245" si="1555">IF(B1245&lt;&gt;B1655,"e",IF(D1245=0,"q","a"))</f>
        <v>e</v>
      </c>
      <c r="H1245" t="str">
        <f>VLOOKUP(D1245,name!A:C,3,1)</f>
        <v>assets/icons/image078.png</v>
      </c>
      <c r="I1245" t="s">
        <v>463</v>
      </c>
    </row>
    <row r="1246" spans="1:9" x14ac:dyDescent="0.15">
      <c r="A1246" t="str">
        <f t="shared" ref="A1246:B1246" si="1556">A1245</f>
        <v>フランス語</v>
      </c>
      <c r="B1246">
        <f t="shared" si="1556"/>
        <v>15</v>
      </c>
      <c r="C1246">
        <f t="shared" si="1499"/>
        <v>97</v>
      </c>
      <c r="D1246">
        <v>0</v>
      </c>
      <c r="E1246" t="str">
        <f>VLOOKUP(D1246,name!A:B,2,1)</f>
        <v>Player</v>
      </c>
      <c r="F1246" t="str">
        <f t="shared" si="1517"/>
        <v>Moi aussi.</v>
      </c>
      <c r="G1246" t="str">
        <f t="shared" ref="G1246:G1309" si="1557">IF(B1246&lt;&gt;B1247,"e",IF(D1246=0,"q","a"))</f>
        <v>q</v>
      </c>
      <c r="H1246" t="str">
        <f>VLOOKUP(D1246,name!A:C,3,1)</f>
        <v>assets/icons/image326.png</v>
      </c>
      <c r="I1246" t="str">
        <f>IF(A1246="","",VLOOKUP(A1246,lng!A:B,2,0))</f>
        <v>fr-FR</v>
      </c>
    </row>
    <row r="1247" spans="1:9" x14ac:dyDescent="0.15">
      <c r="A1247" t="str">
        <f t="shared" ref="A1247:B1247" si="1558">A1246</f>
        <v>フランス語</v>
      </c>
      <c r="B1247">
        <f t="shared" si="1558"/>
        <v>15</v>
      </c>
      <c r="C1247">
        <f t="shared" si="1499"/>
        <v>98</v>
      </c>
      <c r="D1247">
        <f>D1175</f>
        <v>6</v>
      </c>
      <c r="E1247" t="str">
        <f>VLOOKUP(D1247,name!A:B,2,1)</f>
        <v>Céline</v>
      </c>
      <c r="F1247" t="str">
        <f t="shared" si="1517"/>
        <v>美術館の目の前のカフェに行かない?</v>
      </c>
      <c r="G1247" t="str">
        <f t="shared" si="1557"/>
        <v>a</v>
      </c>
      <c r="H1247" t="str">
        <f>VLOOKUP(D1247,name!A:C,3,1)</f>
        <v>assets/icons/image078.png</v>
      </c>
      <c r="I1247" t="s">
        <v>463</v>
      </c>
    </row>
    <row r="1248" spans="1:9" x14ac:dyDescent="0.15">
      <c r="A1248" t="str">
        <f t="shared" ref="A1248:B1248" si="1559">A1247</f>
        <v>フランス語</v>
      </c>
      <c r="B1248">
        <f t="shared" si="1559"/>
        <v>15</v>
      </c>
      <c r="C1248">
        <f t="shared" si="1499"/>
        <v>99</v>
      </c>
      <c r="D1248">
        <v>0</v>
      </c>
      <c r="E1248" t="str">
        <f>VLOOKUP(D1248,name!A:B,2,1)</f>
        <v>Player</v>
      </c>
      <c r="F1248" t="str">
        <f t="shared" si="1517"/>
        <v>Si on allait au café qui se trouve juste devant le Musée ?</v>
      </c>
      <c r="G1248" t="str">
        <f t="shared" ref="G1248" si="1560">IF(B1248&lt;&gt;B2189,"e",IF(D1248=0,"q","a"))</f>
        <v>e</v>
      </c>
      <c r="H1248" t="str">
        <f>VLOOKUP(D1248,name!A:C,3,1)</f>
        <v>assets/icons/image326.png</v>
      </c>
      <c r="I1248" t="str">
        <f>IF(A1248="","",VLOOKUP(A1248,lng!A:B,2,0))</f>
        <v>fr-FR</v>
      </c>
    </row>
    <row r="1249" spans="1:12" x14ac:dyDescent="0.15">
      <c r="A1249" t="str">
        <f t="shared" ref="A1249:B1249" si="1561">A1248</f>
        <v>フランス語</v>
      </c>
      <c r="B1249">
        <f t="shared" si="1561"/>
        <v>15</v>
      </c>
      <c r="C1249">
        <f t="shared" si="1499"/>
        <v>100</v>
      </c>
      <c r="D1249">
        <f>D1177</f>
        <v>7</v>
      </c>
      <c r="E1249" t="str">
        <f>VLOOKUP(D1249,name!A:B,2,1)</f>
        <v>Luigi</v>
      </c>
      <c r="F1249" t="str">
        <f t="shared" si="1517"/>
        <v>いい考え。</v>
      </c>
      <c r="G1249" t="str">
        <f t="shared" ref="G1249" si="1562">IF(B1249&lt;&gt;B1659,"e",IF(D1249=0,"q","a"))</f>
        <v>e</v>
      </c>
      <c r="H1249" t="str">
        <f>VLOOKUP(D1249,name!A:C,3,1)</f>
        <v>assets/icons/image023.png</v>
      </c>
      <c r="I1249" t="s">
        <v>463</v>
      </c>
    </row>
    <row r="1250" spans="1:12" x14ac:dyDescent="0.15">
      <c r="A1250" t="str">
        <f t="shared" ref="A1250:B1250" si="1563">A1249</f>
        <v>フランス語</v>
      </c>
      <c r="B1250">
        <f t="shared" si="1563"/>
        <v>15</v>
      </c>
      <c r="C1250">
        <f t="shared" si="1499"/>
        <v>101</v>
      </c>
      <c r="D1250">
        <v>0</v>
      </c>
      <c r="E1250" t="str">
        <f>VLOOKUP(D1250,name!A:B,2,1)</f>
        <v>Player</v>
      </c>
      <c r="F1250" t="str">
        <f t="shared" si="1517"/>
        <v>Bonne idée.</v>
      </c>
      <c r="G1250" t="str">
        <f t="shared" ref="G1250:G1313" si="1564">IF(B1250&lt;&gt;B1251,"e",IF(D1250=0,"q","a"))</f>
        <v>q</v>
      </c>
      <c r="H1250" t="str">
        <f>VLOOKUP(D1250,name!A:C,3,1)</f>
        <v>assets/icons/image326.png</v>
      </c>
      <c r="I1250" t="str">
        <f>IF(A1250="","",VLOOKUP(A1250,lng!A:B,2,0))</f>
        <v>fr-FR</v>
      </c>
    </row>
    <row r="1251" spans="1:12" x14ac:dyDescent="0.15">
      <c r="A1251" t="str">
        <f t="shared" ref="A1251:B1251" si="1565">A1250</f>
        <v>フランス語</v>
      </c>
      <c r="B1251">
        <f t="shared" si="1565"/>
        <v>15</v>
      </c>
      <c r="C1251">
        <f t="shared" si="1499"/>
        <v>102</v>
      </c>
      <c r="D1251">
        <f>D1179</f>
        <v>7</v>
      </c>
      <c r="E1251" t="str">
        <f>VLOOKUP(D1251,name!A:B,2,1)</f>
        <v>Luigi</v>
      </c>
      <c r="F1251" t="str">
        <f t="shared" si="1517"/>
        <v>喉が渇いていますし。</v>
      </c>
      <c r="G1251" t="str">
        <f t="shared" ref="G1251" si="1566">IF(B1251&lt;&gt;B2192,"e",IF(D1251=0,"q","a"))</f>
        <v>e</v>
      </c>
      <c r="H1251" t="str">
        <f>VLOOKUP(D1251,name!A:C,3,1)</f>
        <v>assets/icons/image023.png</v>
      </c>
      <c r="I1251" t="s">
        <v>463</v>
      </c>
    </row>
    <row r="1252" spans="1:12" x14ac:dyDescent="0.15">
      <c r="A1252" t="str">
        <f t="shared" ref="A1252:B1252" si="1567">A1251</f>
        <v>フランス語</v>
      </c>
      <c r="B1252">
        <f t="shared" si="1567"/>
        <v>15</v>
      </c>
      <c r="C1252">
        <f t="shared" si="1499"/>
        <v>103</v>
      </c>
      <c r="D1252">
        <v>0</v>
      </c>
      <c r="E1252" t="str">
        <f>VLOOKUP(D1252,name!A:B,2,1)</f>
        <v>Player</v>
      </c>
      <c r="F1252" t="str">
        <f t="shared" si="1517"/>
        <v>J'ai soif.</v>
      </c>
      <c r="G1252" t="str">
        <f t="shared" ref="G1252" si="1568">IF(B1252&lt;&gt;B1662,"e",IF(D1252=0,"q","a"))</f>
        <v>e</v>
      </c>
      <c r="H1252" t="str">
        <f>VLOOKUP(D1252,name!A:C,3,1)</f>
        <v>assets/icons/image326.png</v>
      </c>
      <c r="I1252" t="str">
        <f>IF(A1252="","",VLOOKUP(A1252,lng!A:B,2,0))</f>
        <v>fr-FR</v>
      </c>
    </row>
    <row r="1253" spans="1:12" x14ac:dyDescent="0.15">
      <c r="A1253" t="str">
        <f t="shared" ref="A1253:B1253" si="1569">A1252</f>
        <v>フランス語</v>
      </c>
      <c r="B1253">
        <f t="shared" si="1569"/>
        <v>15</v>
      </c>
      <c r="C1253">
        <f t="shared" si="1499"/>
        <v>104</v>
      </c>
      <c r="D1253">
        <v>1</v>
      </c>
      <c r="E1253" t="str">
        <f>VLOOKUP(D1253,name!A:B,2,1)</f>
        <v>Navigator</v>
      </c>
      <c r="F1253" t="str">
        <f>"とても良くできました。レッスン"&amp;B1253&amp;"はこれで終了です。"</f>
        <v>とても良くできました。レッスン15はこれで終了です。</v>
      </c>
      <c r="G1253" t="str">
        <f t="shared" ref="G1253:G1316" si="1570">IF(B1253&lt;&gt;B1254,"e",IF(D1253=0,"q","a"))</f>
        <v>e</v>
      </c>
      <c r="H1253" t="str">
        <f>VLOOKUP(D1253,name!A:C,3,1)</f>
        <v>assets/icons/image014.png</v>
      </c>
      <c r="I1253" t="s">
        <v>463</v>
      </c>
    </row>
    <row r="1254" spans="1:12" x14ac:dyDescent="0.15">
      <c r="A1254" t="str">
        <f>A1253</f>
        <v>フランス語</v>
      </c>
      <c r="B1254">
        <f>B1253+1</f>
        <v>16</v>
      </c>
      <c r="C1254">
        <v>1</v>
      </c>
      <c r="D1254">
        <v>1</v>
      </c>
      <c r="E1254" t="str">
        <f>VLOOKUP(D1254,name!A:B,2,1)</f>
        <v>Navigator</v>
      </c>
      <c r="F1254" t="s">
        <v>768</v>
      </c>
      <c r="G1254" t="str">
        <f t="shared" si="1570"/>
        <v>a</v>
      </c>
      <c r="H1254" t="str">
        <f>VLOOKUP(D1254,name!A:C,3,1)</f>
        <v>assets/icons/image014.png</v>
      </c>
      <c r="I1254" t="str">
        <f>IF(A1254="","",VLOOKUP(A1254,lng!A:B,2,0))</f>
        <v>fr-FR</v>
      </c>
    </row>
    <row r="1255" spans="1:12" x14ac:dyDescent="0.15">
      <c r="A1255" t="str">
        <f t="shared" ref="A1255:B1270" si="1571">A1254</f>
        <v>フランス語</v>
      </c>
      <c r="B1255">
        <f>B1254</f>
        <v>16</v>
      </c>
      <c r="C1255">
        <f>C1254+1</f>
        <v>2</v>
      </c>
      <c r="D1255">
        <v>1</v>
      </c>
      <c r="E1255" t="str">
        <f>VLOOKUP(D1255,name!A:B,2,1)</f>
        <v>Navigator</v>
      </c>
      <c r="F1255" t="str">
        <f>"レッスン"&amp;B1255</f>
        <v>レッスン16</v>
      </c>
      <c r="G1255" t="str">
        <f t="shared" ref="G1255" si="1572">IF(B1255&lt;&gt;B2196,"e",IF(D1255=0,"q","a"))</f>
        <v>e</v>
      </c>
      <c r="H1255" t="str">
        <f>VLOOKUP(D1255,name!A:C,3,1)</f>
        <v>assets/icons/image014.png</v>
      </c>
      <c r="I1255" t="s">
        <v>463</v>
      </c>
    </row>
    <row r="1256" spans="1:12" ht="40.5" x14ac:dyDescent="0.15">
      <c r="A1256" t="str">
        <f t="shared" si="1571"/>
        <v>フランス語</v>
      </c>
      <c r="B1256">
        <f t="shared" si="1571"/>
        <v>16</v>
      </c>
      <c r="C1256">
        <f t="shared" ref="C1256:C1319" si="1573">C1255+1</f>
        <v>3</v>
      </c>
      <c r="D1256">
        <v>1</v>
      </c>
      <c r="E1256" t="str">
        <f>VLOOKUP(D1256,name!A:B,2,1)</f>
        <v>Navigator</v>
      </c>
      <c r="F1256" s="1" t="str">
        <f>"まずは対話文を流します。その後に、日本語と"&amp;A1256&amp;"を一文ずつ流すので"&amp;A1256&amp;"を真似して下さい。最後に日本語のみを流すので、"&amp;A1256&amp;"で答えてください。"</f>
        <v>まずは対話文を流します。その後に、日本語とフランス語を一文ずつ流すのでフランス語を真似して下さい。最後に日本語のみを流すので、フランス語で答えてください。</v>
      </c>
      <c r="G1256" t="str">
        <f t="shared" ref="G1256" si="1574">IF(B1256&lt;&gt;B1666,"e",IF(D1256=0,"q","a"))</f>
        <v>e</v>
      </c>
      <c r="H1256" t="str">
        <f>VLOOKUP(D1256,name!A:C,3,1)</f>
        <v>assets/icons/image014.png</v>
      </c>
      <c r="I1256" t="s">
        <v>463</v>
      </c>
      <c r="L1256" s="1"/>
    </row>
    <row r="1257" spans="1:12" x14ac:dyDescent="0.15">
      <c r="A1257" t="str">
        <f t="shared" si="1571"/>
        <v>フランス語</v>
      </c>
      <c r="B1257">
        <f t="shared" si="1571"/>
        <v>16</v>
      </c>
      <c r="C1257">
        <f t="shared" si="1573"/>
        <v>4</v>
      </c>
      <c r="D1257">
        <f>D1258</f>
        <v>5</v>
      </c>
      <c r="E1257" t="str">
        <f>VLOOKUP(D1257,name!A:B,2,1)</f>
        <v>Minako</v>
      </c>
      <c r="F1257" t="s">
        <v>782</v>
      </c>
      <c r="G1257" t="str">
        <f t="shared" ref="G1257:G1320" si="1575">IF(B1257&lt;&gt;B1258,"e",IF(D1257=0,"q","a"))</f>
        <v>a</v>
      </c>
      <c r="H1257" t="str">
        <f>VLOOKUP(D1257,name!A:C,3,1)</f>
        <v>assets/icons/image086.png</v>
      </c>
      <c r="I1257" t="s">
        <v>463</v>
      </c>
    </row>
    <row r="1258" spans="1:12" x14ac:dyDescent="0.15">
      <c r="A1258" t="str">
        <f t="shared" si="1571"/>
        <v>フランス語</v>
      </c>
      <c r="B1258">
        <f t="shared" si="1571"/>
        <v>16</v>
      </c>
      <c r="C1258">
        <f t="shared" si="1573"/>
        <v>5</v>
      </c>
      <c r="D1258">
        <v>5</v>
      </c>
      <c r="E1258" t="str">
        <f>VLOOKUP(D1258,name!A:B,2,1)</f>
        <v>Minako</v>
      </c>
      <c r="F1258" t="s">
        <v>769</v>
      </c>
      <c r="G1258" t="str">
        <f t="shared" ref="G1258" si="1576">IF(B1258&lt;&gt;B2199,"e",IF(D1258=0,"q","a"))</f>
        <v>e</v>
      </c>
      <c r="H1258" t="str">
        <f>VLOOKUP(D1258,name!A:C,3,1)</f>
        <v>assets/icons/image086.png</v>
      </c>
      <c r="I1258" t="str">
        <f>IF(A1258="","",VLOOKUP(A1258,lng!A:B,2,0))</f>
        <v>fr-FR</v>
      </c>
    </row>
    <row r="1259" spans="1:12" x14ac:dyDescent="0.15">
      <c r="A1259" t="str">
        <f t="shared" si="1571"/>
        <v>フランス語</v>
      </c>
      <c r="B1259">
        <f t="shared" si="1571"/>
        <v>16</v>
      </c>
      <c r="C1259">
        <f t="shared" si="1573"/>
        <v>6</v>
      </c>
      <c r="D1259">
        <f t="shared" ref="D1259:D1285" si="1577">D1260</f>
        <v>22</v>
      </c>
      <c r="E1259" t="str">
        <f>VLOOKUP(D1259,name!A:B,2,1)</f>
        <v>Agent de police</v>
      </c>
      <c r="F1259" t="s">
        <v>798</v>
      </c>
      <c r="G1259" t="str">
        <f t="shared" ref="G1259" si="1578">IF(B1259&lt;&gt;B1669,"e",IF(D1259=0,"q","a"))</f>
        <v>e</v>
      </c>
      <c r="H1259" t="str">
        <f>VLOOKUP(D1259,name!A:C,3,1)</f>
        <v>assets/icons/image052.png</v>
      </c>
      <c r="I1259" t="s">
        <v>463</v>
      </c>
    </row>
    <row r="1260" spans="1:12" x14ac:dyDescent="0.15">
      <c r="A1260" t="str">
        <f t="shared" si="1571"/>
        <v>フランス語</v>
      </c>
      <c r="B1260">
        <f t="shared" si="1571"/>
        <v>16</v>
      </c>
      <c r="C1260">
        <f t="shared" si="1573"/>
        <v>7</v>
      </c>
      <c r="D1260">
        <v>22</v>
      </c>
      <c r="E1260" t="str">
        <f>VLOOKUP(D1260,name!A:B,2,1)</f>
        <v>Agent de police</v>
      </c>
      <c r="F1260" t="s">
        <v>770</v>
      </c>
      <c r="G1260" t="str">
        <f t="shared" ref="G1260:G1323" si="1579">IF(B1260&lt;&gt;B1261,"e",IF(D1260=0,"q","a"))</f>
        <v>a</v>
      </c>
      <c r="H1260" t="str">
        <f>VLOOKUP(D1260,name!A:C,3,1)</f>
        <v>assets/icons/image052.png</v>
      </c>
      <c r="I1260" t="str">
        <f>IF(A1260="","",VLOOKUP(A1260,lng!A:B,2,0))</f>
        <v>fr-FR</v>
      </c>
    </row>
    <row r="1261" spans="1:12" x14ac:dyDescent="0.15">
      <c r="A1261" t="str">
        <f t="shared" si="1571"/>
        <v>フランス語</v>
      </c>
      <c r="B1261">
        <f t="shared" si="1571"/>
        <v>16</v>
      </c>
      <c r="C1261">
        <f t="shared" si="1573"/>
        <v>8</v>
      </c>
      <c r="D1261">
        <f t="shared" si="1577"/>
        <v>5</v>
      </c>
      <c r="E1261" t="str">
        <f>VLOOKUP(D1261,name!A:B,2,1)</f>
        <v>Minako</v>
      </c>
      <c r="F1261" t="s">
        <v>543</v>
      </c>
      <c r="G1261" t="str">
        <f t="shared" si="1579"/>
        <v>a</v>
      </c>
      <c r="H1261" t="str">
        <f>VLOOKUP(D1261,name!A:C,3,1)</f>
        <v>assets/icons/image086.png</v>
      </c>
      <c r="I1261" t="s">
        <v>463</v>
      </c>
    </row>
    <row r="1262" spans="1:12" x14ac:dyDescent="0.15">
      <c r="A1262" t="str">
        <f t="shared" si="1571"/>
        <v>フランス語</v>
      </c>
      <c r="B1262">
        <f t="shared" si="1571"/>
        <v>16</v>
      </c>
      <c r="C1262">
        <f t="shared" si="1573"/>
        <v>9</v>
      </c>
      <c r="D1262">
        <f t="shared" si="1577"/>
        <v>5</v>
      </c>
      <c r="E1262" t="str">
        <f>VLOOKUP(D1262,name!A:B,2,1)</f>
        <v>Minako</v>
      </c>
      <c r="F1262" t="s">
        <v>529</v>
      </c>
      <c r="G1262" t="str">
        <f t="shared" ref="G1262" si="1580">IF(B1262&lt;&gt;B2203,"e",IF(D1262=0,"q","a"))</f>
        <v>e</v>
      </c>
      <c r="H1262" t="str">
        <f>VLOOKUP(D1262,name!A:C,3,1)</f>
        <v>assets/icons/image086.png</v>
      </c>
      <c r="I1262" t="str">
        <f>IF(A1262="","",VLOOKUP(A1262,lng!A:B,2,0))</f>
        <v>fr-FR</v>
      </c>
    </row>
    <row r="1263" spans="1:12" x14ac:dyDescent="0.15">
      <c r="A1263" t="str">
        <f t="shared" si="1571"/>
        <v>フランス語</v>
      </c>
      <c r="B1263">
        <f t="shared" si="1571"/>
        <v>16</v>
      </c>
      <c r="C1263">
        <f t="shared" si="1573"/>
        <v>10</v>
      </c>
      <c r="D1263">
        <f t="shared" si="1577"/>
        <v>5</v>
      </c>
      <c r="E1263" t="str">
        <f>VLOOKUP(D1263,name!A:B,2,1)</f>
        <v>Minako</v>
      </c>
      <c r="F1263" t="s">
        <v>783</v>
      </c>
      <c r="G1263" t="str">
        <f t="shared" ref="G1263" si="1581">IF(B1263&lt;&gt;B1673,"e",IF(D1263=0,"q","a"))</f>
        <v>e</v>
      </c>
      <c r="H1263" t="str">
        <f>VLOOKUP(D1263,name!A:C,3,1)</f>
        <v>assets/icons/image086.png</v>
      </c>
      <c r="I1263" t="s">
        <v>463</v>
      </c>
    </row>
    <row r="1264" spans="1:12" x14ac:dyDescent="0.15">
      <c r="A1264" t="str">
        <f t="shared" si="1571"/>
        <v>フランス語</v>
      </c>
      <c r="B1264">
        <f t="shared" si="1571"/>
        <v>16</v>
      </c>
      <c r="C1264">
        <f t="shared" si="1573"/>
        <v>11</v>
      </c>
      <c r="D1264">
        <v>5</v>
      </c>
      <c r="E1264" t="str">
        <f>VLOOKUP(D1264,name!A:B,2,1)</f>
        <v>Minako</v>
      </c>
      <c r="F1264" t="s">
        <v>773</v>
      </c>
      <c r="G1264" t="str">
        <f t="shared" ref="G1264:G1327" si="1582">IF(B1264&lt;&gt;B1265,"e",IF(D1264=0,"q","a"))</f>
        <v>a</v>
      </c>
      <c r="H1264" t="str">
        <f>VLOOKUP(D1264,name!A:C,3,1)</f>
        <v>assets/icons/image086.png</v>
      </c>
      <c r="I1264" t="str">
        <f>IF(A1264="","",VLOOKUP(A1264,lng!A:B,2,0))</f>
        <v>fr-FR</v>
      </c>
    </row>
    <row r="1265" spans="1:9" x14ac:dyDescent="0.15">
      <c r="A1265" t="str">
        <f t="shared" si="1571"/>
        <v>フランス語</v>
      </c>
      <c r="B1265">
        <f t="shared" si="1571"/>
        <v>16</v>
      </c>
      <c r="C1265">
        <f t="shared" si="1573"/>
        <v>12</v>
      </c>
      <c r="D1265">
        <f t="shared" si="1577"/>
        <v>22</v>
      </c>
      <c r="E1265" t="str">
        <f>VLOOKUP(D1265,name!A:B,2,1)</f>
        <v>Agent de police</v>
      </c>
      <c r="F1265" t="s">
        <v>785</v>
      </c>
      <c r="G1265" t="str">
        <f t="shared" ref="G1265" si="1583">IF(B1265&lt;&gt;B2206,"e",IF(D1265=0,"q","a"))</f>
        <v>e</v>
      </c>
      <c r="H1265" t="str">
        <f>VLOOKUP(D1265,name!A:C,3,1)</f>
        <v>assets/icons/image052.png</v>
      </c>
      <c r="I1265" t="s">
        <v>463</v>
      </c>
    </row>
    <row r="1266" spans="1:9" x14ac:dyDescent="0.15">
      <c r="A1266" t="str">
        <f t="shared" si="1571"/>
        <v>フランス語</v>
      </c>
      <c r="B1266">
        <f t="shared" si="1571"/>
        <v>16</v>
      </c>
      <c r="C1266">
        <f t="shared" si="1573"/>
        <v>13</v>
      </c>
      <c r="D1266">
        <f t="shared" si="1577"/>
        <v>22</v>
      </c>
      <c r="E1266" t="str">
        <f>VLOOKUP(D1266,name!A:B,2,1)</f>
        <v>Agent de police</v>
      </c>
      <c r="F1266" t="s">
        <v>774</v>
      </c>
      <c r="G1266" t="str">
        <f t="shared" ref="G1266" si="1584">IF(B1266&lt;&gt;B1676,"e",IF(D1266=0,"q","a"))</f>
        <v>e</v>
      </c>
      <c r="H1266" t="str">
        <f>VLOOKUP(D1266,name!A:C,3,1)</f>
        <v>assets/icons/image052.png</v>
      </c>
      <c r="I1266" t="str">
        <f>IF(A1266="","",VLOOKUP(A1266,lng!A:B,2,0))</f>
        <v>fr-FR</v>
      </c>
    </row>
    <row r="1267" spans="1:9" x14ac:dyDescent="0.15">
      <c r="A1267" t="str">
        <f t="shared" si="1571"/>
        <v>フランス語</v>
      </c>
      <c r="B1267">
        <f t="shared" si="1571"/>
        <v>16</v>
      </c>
      <c r="C1267">
        <f t="shared" si="1573"/>
        <v>14</v>
      </c>
      <c r="D1267">
        <f t="shared" si="1577"/>
        <v>22</v>
      </c>
      <c r="E1267" t="str">
        <f>VLOOKUP(D1267,name!A:B,2,1)</f>
        <v>Agent de police</v>
      </c>
      <c r="F1267" t="s">
        <v>786</v>
      </c>
      <c r="G1267" t="str">
        <f t="shared" ref="G1267:G1330" si="1585">IF(B1267&lt;&gt;B1268,"e",IF(D1267=0,"q","a"))</f>
        <v>a</v>
      </c>
      <c r="H1267" t="str">
        <f>VLOOKUP(D1267,name!A:C,3,1)</f>
        <v>assets/icons/image052.png</v>
      </c>
      <c r="I1267" t="s">
        <v>463</v>
      </c>
    </row>
    <row r="1268" spans="1:9" x14ac:dyDescent="0.15">
      <c r="A1268" t="str">
        <f t="shared" si="1571"/>
        <v>フランス語</v>
      </c>
      <c r="B1268">
        <f t="shared" si="1571"/>
        <v>16</v>
      </c>
      <c r="C1268">
        <f t="shared" si="1573"/>
        <v>15</v>
      </c>
      <c r="D1268">
        <f t="shared" si="1577"/>
        <v>22</v>
      </c>
      <c r="E1268" t="str">
        <f>VLOOKUP(D1268,name!A:B,2,1)</f>
        <v>Agent de police</v>
      </c>
      <c r="F1268" t="s">
        <v>775</v>
      </c>
      <c r="G1268" t="str">
        <f t="shared" si="1585"/>
        <v>a</v>
      </c>
      <c r="H1268" t="str">
        <f>VLOOKUP(D1268,name!A:C,3,1)</f>
        <v>assets/icons/image052.png</v>
      </c>
      <c r="I1268" t="str">
        <f>IF(A1268="","",VLOOKUP(A1268,lng!A:B,2,0))</f>
        <v>fr-FR</v>
      </c>
    </row>
    <row r="1269" spans="1:9" x14ac:dyDescent="0.15">
      <c r="A1269" t="str">
        <f t="shared" si="1571"/>
        <v>フランス語</v>
      </c>
      <c r="B1269">
        <f t="shared" si="1571"/>
        <v>16</v>
      </c>
      <c r="C1269">
        <f t="shared" si="1573"/>
        <v>16</v>
      </c>
      <c r="D1269">
        <f t="shared" si="1577"/>
        <v>22</v>
      </c>
      <c r="E1269" t="str">
        <f>VLOOKUP(D1269,name!A:B,2,1)</f>
        <v>Agent de police</v>
      </c>
      <c r="F1269" t="s">
        <v>784</v>
      </c>
      <c r="G1269" t="str">
        <f t="shared" ref="G1269" si="1586">IF(B1269&lt;&gt;B2210,"e",IF(D1269=0,"q","a"))</f>
        <v>e</v>
      </c>
      <c r="H1269" t="str">
        <f>VLOOKUP(D1269,name!A:C,3,1)</f>
        <v>assets/icons/image052.png</v>
      </c>
      <c r="I1269" t="s">
        <v>463</v>
      </c>
    </row>
    <row r="1270" spans="1:9" x14ac:dyDescent="0.15">
      <c r="A1270" t="str">
        <f t="shared" si="1571"/>
        <v>フランス語</v>
      </c>
      <c r="B1270">
        <f t="shared" si="1571"/>
        <v>16</v>
      </c>
      <c r="C1270">
        <f t="shared" si="1573"/>
        <v>17</v>
      </c>
      <c r="D1270">
        <v>22</v>
      </c>
      <c r="E1270" t="str">
        <f>VLOOKUP(D1270,name!A:B,2,1)</f>
        <v>Agent de police</v>
      </c>
      <c r="F1270" t="s">
        <v>776</v>
      </c>
      <c r="G1270" t="str">
        <f t="shared" ref="G1270" si="1587">IF(B1270&lt;&gt;B1680,"e",IF(D1270=0,"q","a"))</f>
        <v>e</v>
      </c>
      <c r="H1270" t="str">
        <f>VLOOKUP(D1270,name!A:C,3,1)</f>
        <v>assets/icons/image052.png</v>
      </c>
      <c r="I1270" t="str">
        <f>IF(A1270="","",VLOOKUP(A1270,lng!A:B,2,0))</f>
        <v>fr-FR</v>
      </c>
    </row>
    <row r="1271" spans="1:9" x14ac:dyDescent="0.15">
      <c r="A1271" t="str">
        <f t="shared" ref="A1271:B1282" si="1588">A1270</f>
        <v>フランス語</v>
      </c>
      <c r="B1271">
        <f t="shared" si="1588"/>
        <v>16</v>
      </c>
      <c r="C1271">
        <f t="shared" si="1573"/>
        <v>18</v>
      </c>
      <c r="D1271">
        <f t="shared" si="1577"/>
        <v>5</v>
      </c>
      <c r="E1271" t="str">
        <f>VLOOKUP(D1271,name!A:B,2,1)</f>
        <v>Minako</v>
      </c>
      <c r="F1271" t="s">
        <v>787</v>
      </c>
      <c r="G1271" t="str">
        <f t="shared" ref="G1271:G1334" si="1589">IF(B1271&lt;&gt;B1272,"e",IF(D1271=0,"q","a"))</f>
        <v>a</v>
      </c>
      <c r="H1271" t="str">
        <f>VLOOKUP(D1271,name!A:C,3,1)</f>
        <v>assets/icons/image086.png</v>
      </c>
      <c r="I1271" t="s">
        <v>463</v>
      </c>
    </row>
    <row r="1272" spans="1:9" x14ac:dyDescent="0.15">
      <c r="A1272" t="str">
        <f t="shared" si="1588"/>
        <v>フランス語</v>
      </c>
      <c r="B1272">
        <f t="shared" si="1588"/>
        <v>16</v>
      </c>
      <c r="C1272">
        <f t="shared" si="1573"/>
        <v>19</v>
      </c>
      <c r="D1272">
        <v>5</v>
      </c>
      <c r="E1272" t="str">
        <f>VLOOKUP(D1272,name!A:B,2,1)</f>
        <v>Minako</v>
      </c>
      <c r="F1272" t="s">
        <v>777</v>
      </c>
      <c r="G1272" t="str">
        <f t="shared" ref="G1272" si="1590">IF(B1272&lt;&gt;B2213,"e",IF(D1272=0,"q","a"))</f>
        <v>e</v>
      </c>
      <c r="H1272" t="str">
        <f>VLOOKUP(D1272,name!A:C,3,1)</f>
        <v>assets/icons/image086.png</v>
      </c>
      <c r="I1272" t="str">
        <f>IF(A1272="","",VLOOKUP(A1272,lng!A:B,2,0))</f>
        <v>fr-FR</v>
      </c>
    </row>
    <row r="1273" spans="1:9" x14ac:dyDescent="0.15">
      <c r="A1273" t="str">
        <f t="shared" si="1588"/>
        <v>フランス語</v>
      </c>
      <c r="B1273">
        <f t="shared" si="1588"/>
        <v>16</v>
      </c>
      <c r="C1273">
        <f t="shared" si="1573"/>
        <v>20</v>
      </c>
      <c r="D1273">
        <f t="shared" si="1577"/>
        <v>22</v>
      </c>
      <c r="E1273" t="str">
        <f>VLOOKUP(D1273,name!A:B,2,1)</f>
        <v>Agent de police</v>
      </c>
      <c r="F1273" t="s">
        <v>788</v>
      </c>
      <c r="G1273" t="str">
        <f t="shared" ref="G1273" si="1591">IF(B1273&lt;&gt;B1683,"e",IF(D1273=0,"q","a"))</f>
        <v>e</v>
      </c>
      <c r="H1273" t="str">
        <f>VLOOKUP(D1273,name!A:C,3,1)</f>
        <v>assets/icons/image052.png</v>
      </c>
      <c r="I1273" t="s">
        <v>463</v>
      </c>
    </row>
    <row r="1274" spans="1:9" x14ac:dyDescent="0.15">
      <c r="A1274" t="str">
        <f t="shared" si="1588"/>
        <v>フランス語</v>
      </c>
      <c r="B1274">
        <f t="shared" si="1588"/>
        <v>16</v>
      </c>
      <c r="C1274">
        <f t="shared" si="1573"/>
        <v>21</v>
      </c>
      <c r="D1274">
        <v>22</v>
      </c>
      <c r="E1274" t="str">
        <f>VLOOKUP(D1274,name!A:B,2,1)</f>
        <v>Agent de police</v>
      </c>
      <c r="F1274" t="s">
        <v>778</v>
      </c>
      <c r="G1274" t="str">
        <f t="shared" ref="G1274:G1337" si="1592">IF(B1274&lt;&gt;B1275,"e",IF(D1274=0,"q","a"))</f>
        <v>a</v>
      </c>
      <c r="H1274" t="str">
        <f>VLOOKUP(D1274,name!A:C,3,1)</f>
        <v>assets/icons/image052.png</v>
      </c>
      <c r="I1274" t="str">
        <f>IF(A1274="","",VLOOKUP(A1274,lng!A:B,2,0))</f>
        <v>fr-FR</v>
      </c>
    </row>
    <row r="1275" spans="1:9" x14ac:dyDescent="0.15">
      <c r="A1275" t="str">
        <f t="shared" si="1588"/>
        <v>フランス語</v>
      </c>
      <c r="B1275">
        <f t="shared" si="1588"/>
        <v>16</v>
      </c>
      <c r="C1275">
        <f t="shared" si="1573"/>
        <v>22</v>
      </c>
      <c r="D1275">
        <f t="shared" si="1577"/>
        <v>5</v>
      </c>
      <c r="E1275" t="str">
        <f>VLOOKUP(D1275,name!A:B,2,1)</f>
        <v>Minako</v>
      </c>
      <c r="F1275" t="s">
        <v>792</v>
      </c>
      <c r="G1275" t="str">
        <f t="shared" si="1592"/>
        <v>a</v>
      </c>
      <c r="H1275" t="str">
        <f>VLOOKUP(D1275,name!A:C,3,1)</f>
        <v>assets/icons/image086.png</v>
      </c>
      <c r="I1275" t="s">
        <v>463</v>
      </c>
    </row>
    <row r="1276" spans="1:9" x14ac:dyDescent="0.15">
      <c r="A1276" t="str">
        <f t="shared" si="1588"/>
        <v>フランス語</v>
      </c>
      <c r="B1276">
        <f t="shared" si="1588"/>
        <v>16</v>
      </c>
      <c r="C1276">
        <f t="shared" si="1573"/>
        <v>23</v>
      </c>
      <c r="D1276">
        <f t="shared" si="1577"/>
        <v>5</v>
      </c>
      <c r="E1276" t="str">
        <f>VLOOKUP(D1276,name!A:B,2,1)</f>
        <v>Minako</v>
      </c>
      <c r="F1276" t="s">
        <v>789</v>
      </c>
      <c r="G1276" t="str">
        <f t="shared" ref="G1276" si="1593">IF(B1276&lt;&gt;B2217,"e",IF(D1276=0,"q","a"))</f>
        <v>e</v>
      </c>
      <c r="H1276" t="str">
        <f>VLOOKUP(D1276,name!A:C,3,1)</f>
        <v>assets/icons/image086.png</v>
      </c>
      <c r="I1276" t="str">
        <f>IF(A1276="","",VLOOKUP(A1276,lng!A:B,2,0))</f>
        <v>fr-FR</v>
      </c>
    </row>
    <row r="1277" spans="1:9" x14ac:dyDescent="0.15">
      <c r="A1277" t="str">
        <f t="shared" si="1588"/>
        <v>フランス語</v>
      </c>
      <c r="B1277">
        <f t="shared" si="1588"/>
        <v>16</v>
      </c>
      <c r="C1277">
        <f t="shared" si="1573"/>
        <v>24</v>
      </c>
      <c r="D1277">
        <f t="shared" si="1577"/>
        <v>5</v>
      </c>
      <c r="E1277" t="str">
        <f>VLOOKUP(D1277,name!A:B,2,1)</f>
        <v>Minako</v>
      </c>
      <c r="F1277" t="s">
        <v>793</v>
      </c>
      <c r="G1277" t="str">
        <f t="shared" ref="G1277" si="1594">IF(B1277&lt;&gt;B1687,"e",IF(D1277=0,"q","a"))</f>
        <v>e</v>
      </c>
      <c r="H1277" t="str">
        <f>VLOOKUP(D1277,name!A:C,3,1)</f>
        <v>assets/icons/image086.png</v>
      </c>
      <c r="I1277" t="s">
        <v>463</v>
      </c>
    </row>
    <row r="1278" spans="1:9" x14ac:dyDescent="0.15">
      <c r="A1278" t="str">
        <f t="shared" si="1588"/>
        <v>フランス語</v>
      </c>
      <c r="B1278">
        <f t="shared" si="1588"/>
        <v>16</v>
      </c>
      <c r="C1278">
        <f t="shared" si="1573"/>
        <v>25</v>
      </c>
      <c r="D1278">
        <v>5</v>
      </c>
      <c r="E1278" t="str">
        <f>VLOOKUP(D1278,name!A:B,2,1)</f>
        <v>Minako</v>
      </c>
      <c r="F1278" t="s">
        <v>790</v>
      </c>
      <c r="G1278" t="str">
        <f t="shared" ref="G1278:G1341" si="1595">IF(B1278&lt;&gt;B1279,"e",IF(D1278=0,"q","a"))</f>
        <v>a</v>
      </c>
      <c r="H1278" t="str">
        <f>VLOOKUP(D1278,name!A:C,3,1)</f>
        <v>assets/icons/image086.png</v>
      </c>
      <c r="I1278" t="str">
        <f>IF(A1278="","",VLOOKUP(A1278,lng!A:B,2,0))</f>
        <v>fr-FR</v>
      </c>
    </row>
    <row r="1279" spans="1:9" x14ac:dyDescent="0.15">
      <c r="A1279" t="str">
        <f t="shared" si="1588"/>
        <v>フランス語</v>
      </c>
      <c r="B1279">
        <f t="shared" si="1588"/>
        <v>16</v>
      </c>
      <c r="C1279">
        <f t="shared" si="1573"/>
        <v>26</v>
      </c>
      <c r="D1279">
        <f t="shared" si="1577"/>
        <v>22</v>
      </c>
      <c r="E1279" t="str">
        <f>VLOOKUP(D1279,name!A:B,2,1)</f>
        <v>Agent de police</v>
      </c>
      <c r="F1279" t="s">
        <v>794</v>
      </c>
      <c r="G1279" t="str">
        <f t="shared" ref="G1279" si="1596">IF(B1279&lt;&gt;B2220,"e",IF(D1279=0,"q","a"))</f>
        <v>e</v>
      </c>
      <c r="H1279" t="str">
        <f>VLOOKUP(D1279,name!A:C,3,1)</f>
        <v>assets/icons/image052.png</v>
      </c>
      <c r="I1279" t="s">
        <v>463</v>
      </c>
    </row>
    <row r="1280" spans="1:9" x14ac:dyDescent="0.15">
      <c r="A1280" t="str">
        <f t="shared" si="1588"/>
        <v>フランス語</v>
      </c>
      <c r="B1280">
        <f t="shared" si="1588"/>
        <v>16</v>
      </c>
      <c r="C1280">
        <f t="shared" si="1573"/>
        <v>27</v>
      </c>
      <c r="D1280">
        <v>22</v>
      </c>
      <c r="E1280" t="str">
        <f>VLOOKUP(D1280,name!A:B,2,1)</f>
        <v>Agent de police</v>
      </c>
      <c r="F1280" t="s">
        <v>791</v>
      </c>
      <c r="G1280" t="str">
        <f t="shared" ref="G1280" si="1597">IF(B1280&lt;&gt;B1690,"e",IF(D1280=0,"q","a"))</f>
        <v>e</v>
      </c>
      <c r="H1280" t="str">
        <f>VLOOKUP(D1280,name!A:C,3,1)</f>
        <v>assets/icons/image052.png</v>
      </c>
      <c r="I1280" t="str">
        <f>IF(A1280="","",VLOOKUP(A1280,lng!A:B,2,0))</f>
        <v>fr-FR</v>
      </c>
    </row>
    <row r="1281" spans="1:9" x14ac:dyDescent="0.15">
      <c r="A1281" t="str">
        <f t="shared" si="1588"/>
        <v>フランス語</v>
      </c>
      <c r="B1281">
        <f t="shared" si="1588"/>
        <v>16</v>
      </c>
      <c r="C1281">
        <f t="shared" si="1573"/>
        <v>28</v>
      </c>
      <c r="D1281">
        <f t="shared" si="1577"/>
        <v>5</v>
      </c>
      <c r="E1281" t="str">
        <f>VLOOKUP(D1281,name!A:B,2,1)</f>
        <v>Minako</v>
      </c>
      <c r="F1281" t="s">
        <v>795</v>
      </c>
      <c r="G1281" t="str">
        <f t="shared" ref="G1281:G1344" si="1598">IF(B1281&lt;&gt;B1282,"e",IF(D1281=0,"q","a"))</f>
        <v>a</v>
      </c>
      <c r="H1281" t="str">
        <f>VLOOKUP(D1281,name!A:C,3,1)</f>
        <v>assets/icons/image086.png</v>
      </c>
      <c r="I1281" t="s">
        <v>463</v>
      </c>
    </row>
    <row r="1282" spans="1:9" x14ac:dyDescent="0.15">
      <c r="A1282" t="str">
        <f t="shared" si="1588"/>
        <v>フランス語</v>
      </c>
      <c r="B1282">
        <f t="shared" si="1588"/>
        <v>16</v>
      </c>
      <c r="C1282">
        <f t="shared" si="1573"/>
        <v>29</v>
      </c>
      <c r="D1282">
        <f t="shared" si="1577"/>
        <v>5</v>
      </c>
      <c r="E1282" t="str">
        <f>VLOOKUP(D1282,name!A:B,2,1)</f>
        <v>Minako</v>
      </c>
      <c r="F1282" t="s">
        <v>779</v>
      </c>
      <c r="G1282" t="str">
        <f t="shared" si="1598"/>
        <v>a</v>
      </c>
      <c r="H1282" t="str">
        <f>VLOOKUP(D1282,name!A:C,3,1)</f>
        <v>assets/icons/image086.png</v>
      </c>
      <c r="I1282" t="str">
        <f>IF(A1282="","",VLOOKUP(A1282,lng!A:B,2,0))</f>
        <v>fr-FR</v>
      </c>
    </row>
    <row r="1283" spans="1:9" x14ac:dyDescent="0.15">
      <c r="A1283" t="str">
        <f t="shared" ref="A1283:B1283" si="1599">A1282</f>
        <v>フランス語</v>
      </c>
      <c r="B1283">
        <f t="shared" si="1599"/>
        <v>16</v>
      </c>
      <c r="C1283">
        <f t="shared" si="1573"/>
        <v>30</v>
      </c>
      <c r="D1283">
        <f t="shared" si="1577"/>
        <v>5</v>
      </c>
      <c r="E1283" t="str">
        <f>VLOOKUP(D1283,name!A:B,2,1)</f>
        <v>Minako</v>
      </c>
      <c r="F1283" t="s">
        <v>796</v>
      </c>
      <c r="G1283" t="str">
        <f t="shared" ref="G1283" si="1600">IF(B1283&lt;&gt;B2224,"e",IF(D1283=0,"q","a"))</f>
        <v>e</v>
      </c>
      <c r="H1283" t="str">
        <f>VLOOKUP(D1283,name!A:C,3,1)</f>
        <v>assets/icons/image086.png</v>
      </c>
      <c r="I1283" t="s">
        <v>463</v>
      </c>
    </row>
    <row r="1284" spans="1:9" x14ac:dyDescent="0.15">
      <c r="A1284" t="str">
        <f t="shared" ref="A1284:B1284" si="1601">A1283</f>
        <v>フランス語</v>
      </c>
      <c r="B1284">
        <f t="shared" si="1601"/>
        <v>16</v>
      </c>
      <c r="C1284">
        <f t="shared" si="1573"/>
        <v>31</v>
      </c>
      <c r="D1284">
        <v>5</v>
      </c>
      <c r="E1284" t="str">
        <f>VLOOKUP(D1284,name!A:B,2,1)</f>
        <v>Minako</v>
      </c>
      <c r="F1284" t="s">
        <v>780</v>
      </c>
      <c r="G1284" t="str">
        <f t="shared" ref="G1284" si="1602">IF(B1284&lt;&gt;B1694,"e",IF(D1284=0,"q","a"))</f>
        <v>e</v>
      </c>
      <c r="H1284" t="str">
        <f>VLOOKUP(D1284,name!A:C,3,1)</f>
        <v>assets/icons/image086.png</v>
      </c>
      <c r="I1284" t="str">
        <f>IF(A1284="","",VLOOKUP(A1284,lng!A:B,2,0))</f>
        <v>fr-FR</v>
      </c>
    </row>
    <row r="1285" spans="1:9" x14ac:dyDescent="0.15">
      <c r="A1285" t="str">
        <f t="shared" ref="A1285:B1285" si="1603">A1284</f>
        <v>フランス語</v>
      </c>
      <c r="B1285">
        <f t="shared" si="1603"/>
        <v>16</v>
      </c>
      <c r="C1285">
        <f t="shared" si="1573"/>
        <v>32</v>
      </c>
      <c r="D1285">
        <f t="shared" si="1577"/>
        <v>22</v>
      </c>
      <c r="E1285" t="str">
        <f>VLOOKUP(D1285,name!A:B,2,1)</f>
        <v>Agent de police</v>
      </c>
      <c r="F1285" t="s">
        <v>797</v>
      </c>
      <c r="G1285" t="str">
        <f t="shared" ref="G1285:G1348" si="1604">IF(B1285&lt;&gt;B1286,"e",IF(D1285=0,"q","a"))</f>
        <v>a</v>
      </c>
      <c r="H1285" t="str">
        <f>VLOOKUP(D1285,name!A:C,3,1)</f>
        <v>assets/icons/image052.png</v>
      </c>
      <c r="I1285" t="s">
        <v>463</v>
      </c>
    </row>
    <row r="1286" spans="1:9" x14ac:dyDescent="0.15">
      <c r="A1286" t="str">
        <f t="shared" ref="A1286:B1286" si="1605">A1285</f>
        <v>フランス語</v>
      </c>
      <c r="B1286">
        <f t="shared" si="1605"/>
        <v>16</v>
      </c>
      <c r="C1286">
        <f t="shared" si="1573"/>
        <v>33</v>
      </c>
      <c r="D1286">
        <v>22</v>
      </c>
      <c r="E1286" t="str">
        <f>VLOOKUP(D1286,name!A:B,2,1)</f>
        <v>Agent de police</v>
      </c>
      <c r="F1286" t="s">
        <v>781</v>
      </c>
      <c r="G1286" t="str">
        <f t="shared" ref="G1286" si="1606">IF(B1286&lt;&gt;B2227,"e",IF(D1286=0,"q","a"))</f>
        <v>e</v>
      </c>
      <c r="H1286" t="str">
        <f>VLOOKUP(D1286,name!A:C,3,1)</f>
        <v>assets/icons/image052.png</v>
      </c>
      <c r="I1286" t="str">
        <f>IF(A1286="","",VLOOKUP(A1286,lng!A:B,2,0))</f>
        <v>fr-FR</v>
      </c>
    </row>
    <row r="1287" spans="1:9" x14ac:dyDescent="0.15">
      <c r="A1287" t="str">
        <f t="shared" ref="A1287:B1287" si="1607">A1286</f>
        <v>フランス語</v>
      </c>
      <c r="B1287">
        <f t="shared" si="1607"/>
        <v>16</v>
      </c>
      <c r="C1287">
        <f t="shared" si="1573"/>
        <v>34</v>
      </c>
      <c r="D1287">
        <v>1</v>
      </c>
      <c r="E1287" t="str">
        <f>VLOOKUP(D1287,name!A:B,2,1)</f>
        <v>Navigator</v>
      </c>
      <c r="F1287" t="str">
        <f>"次の"&amp;A1287&amp;"を真似してね！"</f>
        <v>次のフランス語を真似してね！</v>
      </c>
      <c r="G1287" t="str">
        <f t="shared" ref="G1287" si="1608">IF(B1287&lt;&gt;B1697,"e",IF(D1287=0,"q","a"))</f>
        <v>e</v>
      </c>
      <c r="H1287" t="str">
        <f>VLOOKUP(D1287,name!A:C,3,1)</f>
        <v>assets/icons/image014.png</v>
      </c>
      <c r="I1287" t="s">
        <v>463</v>
      </c>
    </row>
    <row r="1288" spans="1:9" x14ac:dyDescent="0.15">
      <c r="A1288" t="str">
        <f t="shared" ref="A1288:B1288" si="1609">A1287</f>
        <v>フランス語</v>
      </c>
      <c r="B1288">
        <f t="shared" si="1609"/>
        <v>16</v>
      </c>
      <c r="C1288">
        <f t="shared" si="1573"/>
        <v>35</v>
      </c>
      <c r="D1288">
        <f>D1257</f>
        <v>5</v>
      </c>
      <c r="E1288" t="str">
        <f>VLOOKUP(D1288,name!A:B,2,1)</f>
        <v>Minako</v>
      </c>
      <c r="F1288" t="str">
        <f>F1257</f>
        <v>すみません、財布をなくしたのですが。</v>
      </c>
      <c r="G1288" t="str">
        <f t="shared" ref="G1288:G1351" si="1610">IF(B1288&lt;&gt;B1289,"e",IF(D1288=0,"q","a"))</f>
        <v>a</v>
      </c>
      <c r="H1288" t="str">
        <f>VLOOKUP(D1288,name!A:C,3,1)</f>
        <v>assets/icons/image086.png</v>
      </c>
      <c r="I1288" t="s">
        <v>463</v>
      </c>
    </row>
    <row r="1289" spans="1:9" x14ac:dyDescent="0.15">
      <c r="A1289" t="str">
        <f t="shared" ref="A1289:B1289" si="1611">A1288</f>
        <v>フランス語</v>
      </c>
      <c r="B1289">
        <f t="shared" si="1611"/>
        <v>16</v>
      </c>
      <c r="C1289">
        <f t="shared" si="1573"/>
        <v>36</v>
      </c>
      <c r="D1289">
        <f>D1258</f>
        <v>5</v>
      </c>
      <c r="E1289" t="str">
        <f>VLOOKUP(D1289,name!A:B,2,1)</f>
        <v>Minako</v>
      </c>
      <c r="F1289" t="str">
        <f>F1258</f>
        <v>Monsieur, j'ai perdu mon portefeuille.</v>
      </c>
      <c r="G1289" t="str">
        <f t="shared" si="1610"/>
        <v>a</v>
      </c>
      <c r="H1289" t="str">
        <f>VLOOKUP(D1289,name!A:C,3,1)</f>
        <v>assets/icons/image086.png</v>
      </c>
      <c r="I1289" t="str">
        <f>IF(A1289="","",VLOOKUP(A1289,lng!A:B,2,0))</f>
        <v>fr-FR</v>
      </c>
    </row>
    <row r="1290" spans="1:9" x14ac:dyDescent="0.15">
      <c r="A1290" t="str">
        <f t="shared" ref="A1290:B1290" si="1612">A1289</f>
        <v>フランス語</v>
      </c>
      <c r="B1290">
        <f t="shared" si="1612"/>
        <v>16</v>
      </c>
      <c r="C1290">
        <f t="shared" si="1573"/>
        <v>37</v>
      </c>
      <c r="D1290">
        <v>0</v>
      </c>
      <c r="E1290" t="str">
        <f>VLOOKUP(D1290,name!A:B,2,1)</f>
        <v>Player</v>
      </c>
      <c r="F1290" t="str">
        <f>F1258</f>
        <v>Monsieur, j'ai perdu mon portefeuille.</v>
      </c>
      <c r="G1290" t="str">
        <f t="shared" ref="G1290" si="1613">IF(B1290&lt;&gt;B2231,"e",IF(D1290=0,"q","a"))</f>
        <v>e</v>
      </c>
      <c r="H1290" t="str">
        <f>VLOOKUP(D1290,name!A:C,3,1)</f>
        <v>assets/icons/image326.png</v>
      </c>
      <c r="I1290" t="str">
        <f>IF(A1290="","",VLOOKUP(A1290,lng!A:B,2,0))</f>
        <v>fr-FR</v>
      </c>
    </row>
    <row r="1291" spans="1:9" x14ac:dyDescent="0.15">
      <c r="A1291" t="str">
        <f t="shared" ref="A1291:B1291" si="1614">A1290</f>
        <v>フランス語</v>
      </c>
      <c r="B1291">
        <f t="shared" si="1614"/>
        <v>16</v>
      </c>
      <c r="C1291">
        <f t="shared" si="1573"/>
        <v>38</v>
      </c>
      <c r="D1291">
        <f>D1259</f>
        <v>22</v>
      </c>
      <c r="E1291" t="str">
        <f>VLOOKUP(D1291,name!A:B,2,1)</f>
        <v>Agent de police</v>
      </c>
      <c r="F1291" t="str">
        <f>F1259</f>
        <v>どこで失くしたのですか?</v>
      </c>
      <c r="G1291" t="str">
        <f t="shared" ref="G1291" si="1615">IF(B1291&lt;&gt;B1701,"e",IF(D1291=0,"q","a"))</f>
        <v>e</v>
      </c>
      <c r="H1291" t="str">
        <f>VLOOKUP(D1291,name!A:C,3,1)</f>
        <v>assets/icons/image052.png</v>
      </c>
      <c r="I1291" t="s">
        <v>463</v>
      </c>
    </row>
    <row r="1292" spans="1:9" x14ac:dyDescent="0.15">
      <c r="A1292" t="str">
        <f t="shared" ref="A1292:B1292" si="1616">A1291</f>
        <v>フランス語</v>
      </c>
      <c r="B1292">
        <f t="shared" si="1616"/>
        <v>16</v>
      </c>
      <c r="C1292">
        <f t="shared" si="1573"/>
        <v>39</v>
      </c>
      <c r="D1292">
        <f>D1260</f>
        <v>22</v>
      </c>
      <c r="E1292" t="str">
        <f>VLOOKUP(D1292,name!A:B,2,1)</f>
        <v>Agent de police</v>
      </c>
      <c r="F1292" t="str">
        <f>F1260</f>
        <v>Où est-ce que vous l'avez perdu ?</v>
      </c>
      <c r="G1292" t="str">
        <f t="shared" ref="G1292:G1355" si="1617">IF(B1292&lt;&gt;B1293,"e",IF(D1292=0,"q","a"))</f>
        <v>a</v>
      </c>
      <c r="H1292" t="str">
        <f>VLOOKUP(D1292,name!A:C,3,1)</f>
        <v>assets/icons/image052.png</v>
      </c>
      <c r="I1292" t="str">
        <f>IF(A1292="","",VLOOKUP(A1292,lng!A:B,2,0))</f>
        <v>fr-FR</v>
      </c>
    </row>
    <row r="1293" spans="1:9" x14ac:dyDescent="0.15">
      <c r="A1293" t="str">
        <f t="shared" ref="A1293:B1293" si="1618">A1292</f>
        <v>フランス語</v>
      </c>
      <c r="B1293">
        <f t="shared" si="1618"/>
        <v>16</v>
      </c>
      <c r="C1293">
        <f t="shared" si="1573"/>
        <v>40</v>
      </c>
      <c r="D1293">
        <v>0</v>
      </c>
      <c r="E1293" t="str">
        <f>VLOOKUP(D1293,name!A:B,2,1)</f>
        <v>Player</v>
      </c>
      <c r="F1293" t="str">
        <f>F1260</f>
        <v>Où est-ce que vous l'avez perdu ?</v>
      </c>
      <c r="G1293" t="str">
        <f t="shared" ref="G1293" si="1619">IF(B1293&lt;&gt;B2234,"e",IF(D1293=0,"q","a"))</f>
        <v>e</v>
      </c>
      <c r="H1293" t="str">
        <f>VLOOKUP(D1293,name!A:C,3,1)</f>
        <v>assets/icons/image326.png</v>
      </c>
      <c r="I1293" t="str">
        <f>IF(A1293="","",VLOOKUP(A1293,lng!A:B,2,0))</f>
        <v>fr-FR</v>
      </c>
    </row>
    <row r="1294" spans="1:9" x14ac:dyDescent="0.15">
      <c r="A1294" t="str">
        <f t="shared" ref="A1294:B1294" si="1620">A1293</f>
        <v>フランス語</v>
      </c>
      <c r="B1294">
        <f t="shared" si="1620"/>
        <v>16</v>
      </c>
      <c r="C1294">
        <f t="shared" si="1573"/>
        <v>41</v>
      </c>
      <c r="D1294">
        <f>D1261</f>
        <v>5</v>
      </c>
      <c r="E1294" t="str">
        <f>VLOOKUP(D1294,name!A:B,2,1)</f>
        <v>Minako</v>
      </c>
      <c r="F1294" t="str">
        <f>F1261</f>
        <v>わかりません。</v>
      </c>
      <c r="G1294" t="str">
        <f t="shared" ref="G1294" si="1621">IF(B1294&lt;&gt;B1704,"e",IF(D1294=0,"q","a"))</f>
        <v>e</v>
      </c>
      <c r="H1294" t="str">
        <f>VLOOKUP(D1294,name!A:C,3,1)</f>
        <v>assets/icons/image086.png</v>
      </c>
      <c r="I1294" t="s">
        <v>463</v>
      </c>
    </row>
    <row r="1295" spans="1:9" x14ac:dyDescent="0.15">
      <c r="A1295" t="str">
        <f t="shared" ref="A1295:B1295" si="1622">A1294</f>
        <v>フランス語</v>
      </c>
      <c r="B1295">
        <f t="shared" si="1622"/>
        <v>16</v>
      </c>
      <c r="C1295">
        <f t="shared" si="1573"/>
        <v>42</v>
      </c>
      <c r="D1295">
        <f>D1262</f>
        <v>5</v>
      </c>
      <c r="E1295" t="str">
        <f>VLOOKUP(D1295,name!A:B,2,1)</f>
        <v>Minako</v>
      </c>
      <c r="F1295" t="str">
        <f>F1262</f>
        <v>Je ne sais pas.</v>
      </c>
      <c r="G1295" t="str">
        <f t="shared" ref="G1295:G1358" si="1623">IF(B1295&lt;&gt;B1296,"e",IF(D1295=0,"q","a"))</f>
        <v>a</v>
      </c>
      <c r="H1295" t="str">
        <f>VLOOKUP(D1295,name!A:C,3,1)</f>
        <v>assets/icons/image086.png</v>
      </c>
      <c r="I1295" t="str">
        <f>IF(A1295="","",VLOOKUP(A1295,lng!A:B,2,0))</f>
        <v>fr-FR</v>
      </c>
    </row>
    <row r="1296" spans="1:9" x14ac:dyDescent="0.15">
      <c r="A1296" t="str">
        <f t="shared" ref="A1296:B1296" si="1624">A1295</f>
        <v>フランス語</v>
      </c>
      <c r="B1296">
        <f t="shared" si="1624"/>
        <v>16</v>
      </c>
      <c r="C1296">
        <f t="shared" si="1573"/>
        <v>43</v>
      </c>
      <c r="D1296">
        <v>0</v>
      </c>
      <c r="E1296" t="str">
        <f>VLOOKUP(D1296,name!A:B,2,1)</f>
        <v>Player</v>
      </c>
      <c r="F1296" t="str">
        <f>F1262</f>
        <v>Je ne sais pas.</v>
      </c>
      <c r="G1296" t="str">
        <f t="shared" si="1623"/>
        <v>q</v>
      </c>
      <c r="H1296" t="str">
        <f>VLOOKUP(D1296,name!A:C,3,1)</f>
        <v>assets/icons/image326.png</v>
      </c>
      <c r="I1296" t="str">
        <f>IF(A1296="","",VLOOKUP(A1296,lng!A:B,2,0))</f>
        <v>fr-FR</v>
      </c>
    </row>
    <row r="1297" spans="1:9" x14ac:dyDescent="0.15">
      <c r="A1297" t="str">
        <f t="shared" ref="A1297:B1297" si="1625">A1296</f>
        <v>フランス語</v>
      </c>
      <c r="B1297">
        <f t="shared" si="1625"/>
        <v>16</v>
      </c>
      <c r="C1297">
        <f t="shared" si="1573"/>
        <v>44</v>
      </c>
      <c r="D1297">
        <f>D1263</f>
        <v>5</v>
      </c>
      <c r="E1297" t="str">
        <f>VLOOKUP(D1297,name!A:B,2,1)</f>
        <v>Minako</v>
      </c>
      <c r="F1297" t="str">
        <f>F1263</f>
        <v>多分地下鉄で。</v>
      </c>
      <c r="G1297" t="str">
        <f t="shared" ref="G1297" si="1626">IF(B1297&lt;&gt;B2238,"e",IF(D1297=0,"q","a"))</f>
        <v>e</v>
      </c>
      <c r="H1297" t="str">
        <f>VLOOKUP(D1297,name!A:C,3,1)</f>
        <v>assets/icons/image086.png</v>
      </c>
      <c r="I1297" t="s">
        <v>463</v>
      </c>
    </row>
    <row r="1298" spans="1:9" x14ac:dyDescent="0.15">
      <c r="A1298" t="str">
        <f t="shared" ref="A1298:B1298" si="1627">A1297</f>
        <v>フランス語</v>
      </c>
      <c r="B1298">
        <f t="shared" si="1627"/>
        <v>16</v>
      </c>
      <c r="C1298">
        <f t="shared" si="1573"/>
        <v>45</v>
      </c>
      <c r="D1298">
        <f>D1264</f>
        <v>5</v>
      </c>
      <c r="E1298" t="str">
        <f>VLOOKUP(D1298,name!A:B,2,1)</f>
        <v>Minako</v>
      </c>
      <c r="F1298" t="str">
        <f>F1264</f>
        <v>Peut-être dans le métro.</v>
      </c>
      <c r="G1298" t="str">
        <f t="shared" ref="G1298" si="1628">IF(B1298&lt;&gt;B1708,"e",IF(D1298=0,"q","a"))</f>
        <v>e</v>
      </c>
      <c r="H1298" t="str">
        <f>VLOOKUP(D1298,name!A:C,3,1)</f>
        <v>assets/icons/image086.png</v>
      </c>
      <c r="I1298" t="str">
        <f>IF(A1298="","",VLOOKUP(A1298,lng!A:B,2,0))</f>
        <v>fr-FR</v>
      </c>
    </row>
    <row r="1299" spans="1:9" x14ac:dyDescent="0.15">
      <c r="A1299" t="str">
        <f t="shared" ref="A1299:B1299" si="1629">A1298</f>
        <v>フランス語</v>
      </c>
      <c r="B1299">
        <f t="shared" si="1629"/>
        <v>16</v>
      </c>
      <c r="C1299">
        <f t="shared" si="1573"/>
        <v>46</v>
      </c>
      <c r="D1299">
        <v>0</v>
      </c>
      <c r="E1299" t="str">
        <f>VLOOKUP(D1299,name!A:B,2,1)</f>
        <v>Player</v>
      </c>
      <c r="F1299" t="str">
        <f>F1264</f>
        <v>Peut-être dans le métro.</v>
      </c>
      <c r="G1299" t="str">
        <f t="shared" ref="G1299:G1362" si="1630">IF(B1299&lt;&gt;B1300,"e",IF(D1299=0,"q","a"))</f>
        <v>q</v>
      </c>
      <c r="H1299" t="str">
        <f>VLOOKUP(D1299,name!A:C,3,1)</f>
        <v>assets/icons/image326.png</v>
      </c>
      <c r="I1299" t="str">
        <f>IF(A1299="","",VLOOKUP(A1299,lng!A:B,2,0))</f>
        <v>fr-FR</v>
      </c>
    </row>
    <row r="1300" spans="1:9" x14ac:dyDescent="0.15">
      <c r="A1300" t="str">
        <f t="shared" ref="A1300:B1300" si="1631">A1299</f>
        <v>フランス語</v>
      </c>
      <c r="B1300">
        <f t="shared" si="1631"/>
        <v>16</v>
      </c>
      <c r="C1300">
        <f t="shared" si="1573"/>
        <v>47</v>
      </c>
      <c r="D1300">
        <f>D1265</f>
        <v>22</v>
      </c>
      <c r="E1300" t="str">
        <f>VLOOKUP(D1300,name!A:B,2,1)</f>
        <v>Agent de police</v>
      </c>
      <c r="F1300" t="str">
        <f>F1265</f>
        <v>財布なら</v>
      </c>
      <c r="G1300" t="str">
        <f t="shared" ref="G1300" si="1632">IF(B1300&lt;&gt;B2241,"e",IF(D1300=0,"q","a"))</f>
        <v>e</v>
      </c>
      <c r="H1300" t="str">
        <f>VLOOKUP(D1300,name!A:C,3,1)</f>
        <v>assets/icons/image052.png</v>
      </c>
      <c r="I1300" t="s">
        <v>463</v>
      </c>
    </row>
    <row r="1301" spans="1:9" x14ac:dyDescent="0.15">
      <c r="A1301" t="str">
        <f t="shared" ref="A1301:B1301" si="1633">A1300</f>
        <v>フランス語</v>
      </c>
      <c r="B1301">
        <f t="shared" si="1633"/>
        <v>16</v>
      </c>
      <c r="C1301">
        <f t="shared" si="1573"/>
        <v>48</v>
      </c>
      <c r="D1301">
        <f>D1266</f>
        <v>22</v>
      </c>
      <c r="E1301" t="str">
        <f>VLOOKUP(D1301,name!A:B,2,1)</f>
        <v>Agent de police</v>
      </c>
      <c r="F1301" t="str">
        <f>F1266</f>
        <v>Des portefeuilles,</v>
      </c>
      <c r="G1301" t="str">
        <f t="shared" ref="G1301" si="1634">IF(B1301&lt;&gt;B1711,"e",IF(D1301=0,"q","a"))</f>
        <v>e</v>
      </c>
      <c r="H1301" t="str">
        <f>VLOOKUP(D1301,name!A:C,3,1)</f>
        <v>assets/icons/image052.png</v>
      </c>
      <c r="I1301" t="str">
        <f>IF(A1301="","",VLOOKUP(A1301,lng!A:B,2,0))</f>
        <v>fr-FR</v>
      </c>
    </row>
    <row r="1302" spans="1:9" x14ac:dyDescent="0.15">
      <c r="A1302" t="str">
        <f t="shared" ref="A1302:B1302" si="1635">A1301</f>
        <v>フランス語</v>
      </c>
      <c r="B1302">
        <f t="shared" si="1635"/>
        <v>16</v>
      </c>
      <c r="C1302">
        <f t="shared" si="1573"/>
        <v>49</v>
      </c>
      <c r="D1302">
        <v>0</v>
      </c>
      <c r="E1302" t="str">
        <f>VLOOKUP(D1302,name!A:B,2,1)</f>
        <v>Player</v>
      </c>
      <c r="F1302" t="str">
        <f>F1266</f>
        <v>Des portefeuilles,</v>
      </c>
      <c r="G1302" t="str">
        <f t="shared" ref="G1302:G1365" si="1636">IF(B1302&lt;&gt;B1303,"e",IF(D1302=0,"q","a"))</f>
        <v>q</v>
      </c>
      <c r="H1302" t="str">
        <f>VLOOKUP(D1302,name!A:C,3,1)</f>
        <v>assets/icons/image326.png</v>
      </c>
      <c r="I1302" t="str">
        <f>IF(A1302="","",VLOOKUP(A1302,lng!A:B,2,0))</f>
        <v>fr-FR</v>
      </c>
    </row>
    <row r="1303" spans="1:9" x14ac:dyDescent="0.15">
      <c r="A1303" t="str">
        <f t="shared" ref="A1303:B1303" si="1637">A1302</f>
        <v>フランス語</v>
      </c>
      <c r="B1303">
        <f t="shared" si="1637"/>
        <v>16</v>
      </c>
      <c r="C1303">
        <f t="shared" si="1573"/>
        <v>50</v>
      </c>
      <c r="D1303">
        <f>D1267</f>
        <v>22</v>
      </c>
      <c r="E1303" t="str">
        <f>VLOOKUP(D1303,name!A:B,2,1)</f>
        <v>Agent de police</v>
      </c>
      <c r="F1303" t="str">
        <f>F1267</f>
        <v>この箱にたくさんあります。</v>
      </c>
      <c r="G1303" t="str">
        <f t="shared" si="1636"/>
        <v>a</v>
      </c>
      <c r="H1303" t="str">
        <f>VLOOKUP(D1303,name!A:C,3,1)</f>
        <v>assets/icons/image052.png</v>
      </c>
      <c r="I1303" t="s">
        <v>463</v>
      </c>
    </row>
    <row r="1304" spans="1:9" x14ac:dyDescent="0.15">
      <c r="A1304" t="str">
        <f t="shared" ref="A1304:B1304" si="1638">A1303</f>
        <v>フランス語</v>
      </c>
      <c r="B1304">
        <f t="shared" si="1638"/>
        <v>16</v>
      </c>
      <c r="C1304">
        <f t="shared" si="1573"/>
        <v>51</v>
      </c>
      <c r="D1304">
        <f>D1268</f>
        <v>22</v>
      </c>
      <c r="E1304" t="str">
        <f>VLOOKUP(D1304,name!A:B,2,1)</f>
        <v>Agent de police</v>
      </c>
      <c r="F1304" t="str">
        <f>F1268</f>
        <v xml:space="preserve"> il y en a plein dans cette boîte.</v>
      </c>
      <c r="G1304" t="str">
        <f t="shared" ref="G1304" si="1639">IF(B1304&lt;&gt;B2245,"e",IF(D1304=0,"q","a"))</f>
        <v>e</v>
      </c>
      <c r="H1304" t="str">
        <f>VLOOKUP(D1304,name!A:C,3,1)</f>
        <v>assets/icons/image052.png</v>
      </c>
      <c r="I1304" t="str">
        <f>IF(A1304="","",VLOOKUP(A1304,lng!A:B,2,0))</f>
        <v>fr-FR</v>
      </c>
    </row>
    <row r="1305" spans="1:9" x14ac:dyDescent="0.15">
      <c r="A1305" t="str">
        <f t="shared" ref="A1305:B1305" si="1640">A1304</f>
        <v>フランス語</v>
      </c>
      <c r="B1305">
        <f t="shared" si="1640"/>
        <v>16</v>
      </c>
      <c r="C1305">
        <f t="shared" si="1573"/>
        <v>52</v>
      </c>
      <c r="D1305">
        <v>0</v>
      </c>
      <c r="E1305" t="str">
        <f>VLOOKUP(D1305,name!A:B,2,1)</f>
        <v>Player</v>
      </c>
      <c r="F1305" t="str">
        <f>F1268</f>
        <v xml:space="preserve"> il y en a plein dans cette boîte.</v>
      </c>
      <c r="G1305" t="str">
        <f t="shared" ref="G1305" si="1641">IF(B1305&lt;&gt;B1715,"e",IF(D1305=0,"q","a"))</f>
        <v>e</v>
      </c>
      <c r="H1305" t="str">
        <f>VLOOKUP(D1305,name!A:C,3,1)</f>
        <v>assets/icons/image326.png</v>
      </c>
      <c r="I1305" t="str">
        <f>IF(A1305="","",VLOOKUP(A1305,lng!A:B,2,0))</f>
        <v>fr-FR</v>
      </c>
    </row>
    <row r="1306" spans="1:9" x14ac:dyDescent="0.15">
      <c r="A1306" t="str">
        <f t="shared" ref="A1306:B1306" si="1642">A1305</f>
        <v>フランス語</v>
      </c>
      <c r="B1306">
        <f t="shared" si="1642"/>
        <v>16</v>
      </c>
      <c r="C1306">
        <f t="shared" si="1573"/>
        <v>53</v>
      </c>
      <c r="D1306">
        <f>D1269</f>
        <v>22</v>
      </c>
      <c r="E1306" t="str">
        <f>VLOOKUP(D1306,name!A:B,2,1)</f>
        <v>Agent de police</v>
      </c>
      <c r="F1306" t="str">
        <f>F1269</f>
        <v>あなたの財布の色は何色ですか?</v>
      </c>
      <c r="G1306" t="str">
        <f t="shared" ref="G1306:G1369" si="1643">IF(B1306&lt;&gt;B1307,"e",IF(D1306=0,"q","a"))</f>
        <v>a</v>
      </c>
      <c r="H1306" t="str">
        <f>VLOOKUP(D1306,name!A:C,3,1)</f>
        <v>assets/icons/image052.png</v>
      </c>
      <c r="I1306" t="s">
        <v>463</v>
      </c>
    </row>
    <row r="1307" spans="1:9" x14ac:dyDescent="0.15">
      <c r="A1307" t="str">
        <f t="shared" ref="A1307:B1307" si="1644">A1306</f>
        <v>フランス語</v>
      </c>
      <c r="B1307">
        <f t="shared" si="1644"/>
        <v>16</v>
      </c>
      <c r="C1307">
        <f t="shared" si="1573"/>
        <v>54</v>
      </c>
      <c r="D1307">
        <f>D1270</f>
        <v>22</v>
      </c>
      <c r="E1307" t="str">
        <f>VLOOKUP(D1307,name!A:B,2,1)</f>
        <v>Agent de police</v>
      </c>
      <c r="F1307" t="str">
        <f>F1270</f>
        <v>De quelle couleur est le vôtre ?</v>
      </c>
      <c r="G1307" t="str">
        <f t="shared" ref="G1307" si="1645">IF(B1307&lt;&gt;B2248,"e",IF(D1307=0,"q","a"))</f>
        <v>e</v>
      </c>
      <c r="H1307" t="str">
        <f>VLOOKUP(D1307,name!A:C,3,1)</f>
        <v>assets/icons/image052.png</v>
      </c>
      <c r="I1307" t="str">
        <f>IF(A1307="","",VLOOKUP(A1307,lng!A:B,2,0))</f>
        <v>fr-FR</v>
      </c>
    </row>
    <row r="1308" spans="1:9" x14ac:dyDescent="0.15">
      <c r="A1308" t="str">
        <f t="shared" ref="A1308:B1308" si="1646">A1307</f>
        <v>フランス語</v>
      </c>
      <c r="B1308">
        <f t="shared" si="1646"/>
        <v>16</v>
      </c>
      <c r="C1308">
        <f t="shared" si="1573"/>
        <v>55</v>
      </c>
      <c r="D1308">
        <v>0</v>
      </c>
      <c r="E1308" t="str">
        <f>VLOOKUP(D1308,name!A:B,2,1)</f>
        <v>Player</v>
      </c>
      <c r="F1308" t="str">
        <f>F1270</f>
        <v>De quelle couleur est le vôtre ?</v>
      </c>
      <c r="G1308" t="str">
        <f t="shared" ref="G1308" si="1647">IF(B1308&lt;&gt;B1718,"e",IF(D1308=0,"q","a"))</f>
        <v>e</v>
      </c>
      <c r="H1308" t="str">
        <f>VLOOKUP(D1308,name!A:C,3,1)</f>
        <v>assets/icons/image326.png</v>
      </c>
      <c r="I1308" t="str">
        <f>IF(A1308="","",VLOOKUP(A1308,lng!A:B,2,0))</f>
        <v>fr-FR</v>
      </c>
    </row>
    <row r="1309" spans="1:9" x14ac:dyDescent="0.15">
      <c r="A1309" t="str">
        <f t="shared" ref="A1309:B1309" si="1648">A1308</f>
        <v>フランス語</v>
      </c>
      <c r="B1309">
        <f t="shared" si="1648"/>
        <v>16</v>
      </c>
      <c r="C1309">
        <f t="shared" si="1573"/>
        <v>56</v>
      </c>
      <c r="D1309">
        <f>D1271</f>
        <v>5</v>
      </c>
      <c r="E1309" t="str">
        <f>VLOOKUP(D1309,name!A:B,2,1)</f>
        <v>Minako</v>
      </c>
      <c r="F1309" t="str">
        <f>F1271</f>
        <v>赤です。</v>
      </c>
      <c r="G1309" t="str">
        <f t="shared" ref="G1309:G1372" si="1649">IF(B1309&lt;&gt;B1310,"e",IF(D1309=0,"q","a"))</f>
        <v>a</v>
      </c>
      <c r="H1309" t="str">
        <f>VLOOKUP(D1309,name!A:C,3,1)</f>
        <v>assets/icons/image086.png</v>
      </c>
      <c r="I1309" t="s">
        <v>463</v>
      </c>
    </row>
    <row r="1310" spans="1:9" x14ac:dyDescent="0.15">
      <c r="A1310" t="str">
        <f t="shared" ref="A1310:B1310" si="1650">A1309</f>
        <v>フランス語</v>
      </c>
      <c r="B1310">
        <f t="shared" si="1650"/>
        <v>16</v>
      </c>
      <c r="C1310">
        <f t="shared" si="1573"/>
        <v>57</v>
      </c>
      <c r="D1310">
        <f>D1272</f>
        <v>5</v>
      </c>
      <c r="E1310" t="str">
        <f>VLOOKUP(D1310,name!A:B,2,1)</f>
        <v>Minako</v>
      </c>
      <c r="F1310" t="str">
        <f>F1272</f>
        <v>Rouge.</v>
      </c>
      <c r="G1310" t="str">
        <f t="shared" si="1649"/>
        <v>a</v>
      </c>
      <c r="H1310" t="str">
        <f>VLOOKUP(D1310,name!A:C,3,1)</f>
        <v>assets/icons/image086.png</v>
      </c>
      <c r="I1310" t="str">
        <f>IF(A1310="","",VLOOKUP(A1310,lng!A:B,2,0))</f>
        <v>fr-FR</v>
      </c>
    </row>
    <row r="1311" spans="1:9" x14ac:dyDescent="0.15">
      <c r="A1311" t="str">
        <f t="shared" ref="A1311:B1311" si="1651">A1310</f>
        <v>フランス語</v>
      </c>
      <c r="B1311">
        <f t="shared" si="1651"/>
        <v>16</v>
      </c>
      <c r="C1311">
        <f t="shared" si="1573"/>
        <v>58</v>
      </c>
      <c r="D1311">
        <v>0</v>
      </c>
      <c r="E1311" t="str">
        <f>VLOOKUP(D1311,name!A:B,2,1)</f>
        <v>Player</v>
      </c>
      <c r="F1311" t="str">
        <f>F1272</f>
        <v>Rouge.</v>
      </c>
      <c r="G1311" t="str">
        <f t="shared" ref="G1311" si="1652">IF(B1311&lt;&gt;B2252,"e",IF(D1311=0,"q","a"))</f>
        <v>e</v>
      </c>
      <c r="H1311" t="str">
        <f>VLOOKUP(D1311,name!A:C,3,1)</f>
        <v>assets/icons/image326.png</v>
      </c>
      <c r="I1311" t="str">
        <f>IF(A1311="","",VLOOKUP(A1311,lng!A:B,2,0))</f>
        <v>fr-FR</v>
      </c>
    </row>
    <row r="1312" spans="1:9" x14ac:dyDescent="0.15">
      <c r="A1312" t="str">
        <f t="shared" ref="A1312:B1312" si="1653">A1311</f>
        <v>フランス語</v>
      </c>
      <c r="B1312">
        <f t="shared" si="1653"/>
        <v>16</v>
      </c>
      <c r="C1312">
        <f t="shared" si="1573"/>
        <v>59</v>
      </c>
      <c r="D1312">
        <f>D1273</f>
        <v>22</v>
      </c>
      <c r="E1312" t="str">
        <f>VLOOKUP(D1312,name!A:B,2,1)</f>
        <v>Agent de police</v>
      </c>
      <c r="F1312" t="str">
        <f>F1273</f>
        <v>これですか?</v>
      </c>
      <c r="G1312" t="str">
        <f t="shared" ref="G1312" si="1654">IF(B1312&lt;&gt;B1722,"e",IF(D1312=0,"q","a"))</f>
        <v>e</v>
      </c>
      <c r="H1312" t="str">
        <f>VLOOKUP(D1312,name!A:C,3,1)</f>
        <v>assets/icons/image052.png</v>
      </c>
      <c r="I1312" t="s">
        <v>463</v>
      </c>
    </row>
    <row r="1313" spans="1:9" x14ac:dyDescent="0.15">
      <c r="A1313" t="str">
        <f t="shared" ref="A1313:B1313" si="1655">A1312</f>
        <v>フランス語</v>
      </c>
      <c r="B1313">
        <f t="shared" si="1655"/>
        <v>16</v>
      </c>
      <c r="C1313">
        <f t="shared" si="1573"/>
        <v>60</v>
      </c>
      <c r="D1313">
        <f>D1274</f>
        <v>22</v>
      </c>
      <c r="E1313" t="str">
        <f>VLOOKUP(D1313,name!A:B,2,1)</f>
        <v>Agent de police</v>
      </c>
      <c r="F1313" t="str">
        <f>F1274</f>
        <v>C'est celui-ci ?</v>
      </c>
      <c r="G1313" t="str">
        <f t="shared" ref="G1313:G1376" si="1656">IF(B1313&lt;&gt;B1314,"e",IF(D1313=0,"q","a"))</f>
        <v>a</v>
      </c>
      <c r="H1313" t="str">
        <f>VLOOKUP(D1313,name!A:C,3,1)</f>
        <v>assets/icons/image052.png</v>
      </c>
      <c r="I1313" t="str">
        <f>IF(A1313="","",VLOOKUP(A1313,lng!A:B,2,0))</f>
        <v>fr-FR</v>
      </c>
    </row>
    <row r="1314" spans="1:9" x14ac:dyDescent="0.15">
      <c r="A1314" t="str">
        <f t="shared" ref="A1314:B1314" si="1657">A1313</f>
        <v>フランス語</v>
      </c>
      <c r="B1314">
        <f t="shared" si="1657"/>
        <v>16</v>
      </c>
      <c r="C1314">
        <f t="shared" si="1573"/>
        <v>61</v>
      </c>
      <c r="D1314">
        <v>0</v>
      </c>
      <c r="E1314" t="str">
        <f>VLOOKUP(D1314,name!A:B,2,1)</f>
        <v>Player</v>
      </c>
      <c r="F1314" t="str">
        <f>F1274</f>
        <v>C'est celui-ci ?</v>
      </c>
      <c r="G1314" t="str">
        <f t="shared" ref="G1314" si="1658">IF(B1314&lt;&gt;B2255,"e",IF(D1314=0,"q","a"))</f>
        <v>e</v>
      </c>
      <c r="H1314" t="str">
        <f>VLOOKUP(D1314,name!A:C,3,1)</f>
        <v>assets/icons/image326.png</v>
      </c>
      <c r="I1314" t="str">
        <f>IF(A1314="","",VLOOKUP(A1314,lng!A:B,2,0))</f>
        <v>fr-FR</v>
      </c>
    </row>
    <row r="1315" spans="1:9" x14ac:dyDescent="0.15">
      <c r="A1315" t="str">
        <f t="shared" ref="A1315:B1315" si="1659">A1314</f>
        <v>フランス語</v>
      </c>
      <c r="B1315">
        <f t="shared" si="1659"/>
        <v>16</v>
      </c>
      <c r="C1315">
        <f t="shared" si="1573"/>
        <v>62</v>
      </c>
      <c r="D1315">
        <f>D1275</f>
        <v>5</v>
      </c>
      <c r="E1315" t="str">
        <f>VLOOKUP(D1315,name!A:B,2,1)</f>
        <v>Minako</v>
      </c>
      <c r="F1315" t="str">
        <f>F1275</f>
        <v>ああ、そうです。</v>
      </c>
      <c r="G1315" t="str">
        <f t="shared" ref="G1315" si="1660">IF(B1315&lt;&gt;B1725,"e",IF(D1315=0,"q","a"))</f>
        <v>e</v>
      </c>
      <c r="H1315" t="str">
        <f>VLOOKUP(D1315,name!A:C,3,1)</f>
        <v>assets/icons/image086.png</v>
      </c>
      <c r="I1315" t="s">
        <v>463</v>
      </c>
    </row>
    <row r="1316" spans="1:9" x14ac:dyDescent="0.15">
      <c r="A1316" t="str">
        <f t="shared" ref="A1316:B1316" si="1661">A1315</f>
        <v>フランス語</v>
      </c>
      <c r="B1316">
        <f t="shared" si="1661"/>
        <v>16</v>
      </c>
      <c r="C1316">
        <f t="shared" si="1573"/>
        <v>63</v>
      </c>
      <c r="D1316">
        <f>D1276</f>
        <v>5</v>
      </c>
      <c r="E1316" t="str">
        <f>VLOOKUP(D1316,name!A:B,2,1)</f>
        <v>Minako</v>
      </c>
      <c r="F1316" t="str">
        <f>F1276</f>
        <v>Ah, oui.</v>
      </c>
      <c r="G1316" t="str">
        <f t="shared" ref="G1316:G1379" si="1662">IF(B1316&lt;&gt;B1317,"e",IF(D1316=0,"q","a"))</f>
        <v>a</v>
      </c>
      <c r="H1316" t="str">
        <f>VLOOKUP(D1316,name!A:C,3,1)</f>
        <v>assets/icons/image086.png</v>
      </c>
      <c r="I1316" t="str">
        <f>IF(A1316="","",VLOOKUP(A1316,lng!A:B,2,0))</f>
        <v>fr-FR</v>
      </c>
    </row>
    <row r="1317" spans="1:9" x14ac:dyDescent="0.15">
      <c r="A1317" t="str">
        <f t="shared" ref="A1317:B1317" si="1663">A1316</f>
        <v>フランス語</v>
      </c>
      <c r="B1317">
        <f t="shared" si="1663"/>
        <v>16</v>
      </c>
      <c r="C1317">
        <f t="shared" si="1573"/>
        <v>64</v>
      </c>
      <c r="D1317">
        <v>0</v>
      </c>
      <c r="E1317" t="str">
        <f>VLOOKUP(D1317,name!A:B,2,1)</f>
        <v>Player</v>
      </c>
      <c r="F1317" t="str">
        <f>F1276</f>
        <v>Ah, oui.</v>
      </c>
      <c r="G1317" t="str">
        <f t="shared" si="1662"/>
        <v>q</v>
      </c>
      <c r="H1317" t="str">
        <f>VLOOKUP(D1317,name!A:C,3,1)</f>
        <v>assets/icons/image326.png</v>
      </c>
      <c r="I1317" t="str">
        <f>IF(A1317="","",VLOOKUP(A1317,lng!A:B,2,0))</f>
        <v>fr-FR</v>
      </c>
    </row>
    <row r="1318" spans="1:9" x14ac:dyDescent="0.15">
      <c r="A1318" t="str">
        <f t="shared" ref="A1318:B1318" si="1664">A1317</f>
        <v>フランス語</v>
      </c>
      <c r="B1318">
        <f t="shared" si="1664"/>
        <v>16</v>
      </c>
      <c r="C1318">
        <f t="shared" si="1573"/>
        <v>65</v>
      </c>
      <c r="D1318">
        <f>D1277</f>
        <v>5</v>
      </c>
      <c r="E1318" t="str">
        <f>VLOOKUP(D1318,name!A:B,2,1)</f>
        <v>Minako</v>
      </c>
      <c r="F1318" t="str">
        <f>F1277</f>
        <v>それが私のです。</v>
      </c>
      <c r="G1318" t="str">
        <f t="shared" ref="G1318" si="1665">IF(B1318&lt;&gt;B2259,"e",IF(D1318=0,"q","a"))</f>
        <v>e</v>
      </c>
      <c r="H1318" t="str">
        <f>VLOOKUP(D1318,name!A:C,3,1)</f>
        <v>assets/icons/image086.png</v>
      </c>
      <c r="I1318" t="s">
        <v>463</v>
      </c>
    </row>
    <row r="1319" spans="1:9" x14ac:dyDescent="0.15">
      <c r="A1319" t="str">
        <f t="shared" ref="A1319:B1319" si="1666">A1318</f>
        <v>フランス語</v>
      </c>
      <c r="B1319">
        <f t="shared" si="1666"/>
        <v>16</v>
      </c>
      <c r="C1319">
        <f t="shared" si="1573"/>
        <v>66</v>
      </c>
      <c r="D1319">
        <f>D1278</f>
        <v>5</v>
      </c>
      <c r="E1319" t="str">
        <f>VLOOKUP(D1319,name!A:B,2,1)</f>
        <v>Minako</v>
      </c>
      <c r="F1319" t="str">
        <f>F1278</f>
        <v>C'est le mien.</v>
      </c>
      <c r="G1319" t="str">
        <f t="shared" ref="G1319" si="1667">IF(B1319&lt;&gt;B1729,"e",IF(D1319=0,"q","a"))</f>
        <v>e</v>
      </c>
      <c r="H1319" t="str">
        <f>VLOOKUP(D1319,name!A:C,3,1)</f>
        <v>assets/icons/image086.png</v>
      </c>
      <c r="I1319" t="str">
        <f>IF(A1319="","",VLOOKUP(A1319,lng!A:B,2,0))</f>
        <v>fr-FR</v>
      </c>
    </row>
    <row r="1320" spans="1:9" x14ac:dyDescent="0.15">
      <c r="A1320" t="str">
        <f t="shared" ref="A1320:B1320" si="1668">A1319</f>
        <v>フランス語</v>
      </c>
      <c r="B1320">
        <f t="shared" si="1668"/>
        <v>16</v>
      </c>
      <c r="C1320">
        <f t="shared" ref="C1320:C1364" si="1669">C1319+1</f>
        <v>67</v>
      </c>
      <c r="D1320">
        <v>0</v>
      </c>
      <c r="E1320" t="str">
        <f>VLOOKUP(D1320,name!A:B,2,1)</f>
        <v>Player</v>
      </c>
      <c r="F1320" t="str">
        <f>F1278</f>
        <v>C'est le mien.</v>
      </c>
      <c r="G1320" t="str">
        <f t="shared" ref="G1320:G1383" si="1670">IF(B1320&lt;&gt;B1321,"e",IF(D1320=0,"q","a"))</f>
        <v>q</v>
      </c>
      <c r="H1320" t="str">
        <f>VLOOKUP(D1320,name!A:C,3,1)</f>
        <v>assets/icons/image326.png</v>
      </c>
      <c r="I1320" t="str">
        <f>IF(A1320="","",VLOOKUP(A1320,lng!A:B,2,0))</f>
        <v>fr-FR</v>
      </c>
    </row>
    <row r="1321" spans="1:9" x14ac:dyDescent="0.15">
      <c r="A1321" t="str">
        <f t="shared" ref="A1321:B1321" si="1671">A1320</f>
        <v>フランス語</v>
      </c>
      <c r="B1321">
        <f t="shared" si="1671"/>
        <v>16</v>
      </c>
      <c r="C1321">
        <f t="shared" si="1669"/>
        <v>68</v>
      </c>
      <c r="D1321">
        <f>D1279</f>
        <v>22</v>
      </c>
      <c r="E1321" t="str">
        <f>VLOOKUP(D1321,name!A:B,2,1)</f>
        <v>Agent de police</v>
      </c>
      <c r="F1321" t="str">
        <f>F1279</f>
        <v>ちょうど今、若い男がそれをここに持ってきました。</v>
      </c>
      <c r="G1321" t="str">
        <f t="shared" ref="G1321" si="1672">IF(B1321&lt;&gt;B2262,"e",IF(D1321=0,"q","a"))</f>
        <v>e</v>
      </c>
      <c r="H1321" t="str">
        <f>VLOOKUP(D1321,name!A:C,3,1)</f>
        <v>assets/icons/image052.png</v>
      </c>
      <c r="I1321" t="s">
        <v>463</v>
      </c>
    </row>
    <row r="1322" spans="1:9" x14ac:dyDescent="0.15">
      <c r="A1322" t="str">
        <f t="shared" ref="A1322:B1322" si="1673">A1321</f>
        <v>フランス語</v>
      </c>
      <c r="B1322">
        <f t="shared" si="1673"/>
        <v>16</v>
      </c>
      <c r="C1322">
        <f t="shared" si="1669"/>
        <v>69</v>
      </c>
      <c r="D1322">
        <f>D1280</f>
        <v>22</v>
      </c>
      <c r="E1322" t="str">
        <f>VLOOKUP(D1322,name!A:B,2,1)</f>
        <v>Agent de police</v>
      </c>
      <c r="F1322" t="str">
        <f>F1280</f>
        <v>Un jeune homme l'a apporté ici tout à l'heure.</v>
      </c>
      <c r="G1322" t="str">
        <f t="shared" ref="G1322" si="1674">IF(B1322&lt;&gt;B1732,"e",IF(D1322=0,"q","a"))</f>
        <v>e</v>
      </c>
      <c r="H1322" t="str">
        <f>VLOOKUP(D1322,name!A:C,3,1)</f>
        <v>assets/icons/image052.png</v>
      </c>
      <c r="I1322" t="str">
        <f>IF(A1322="","",VLOOKUP(A1322,lng!A:B,2,0))</f>
        <v>fr-FR</v>
      </c>
    </row>
    <row r="1323" spans="1:9" x14ac:dyDescent="0.15">
      <c r="A1323" t="str">
        <f t="shared" ref="A1323:B1323" si="1675">A1322</f>
        <v>フランス語</v>
      </c>
      <c r="B1323">
        <f t="shared" si="1675"/>
        <v>16</v>
      </c>
      <c r="C1323">
        <f t="shared" si="1669"/>
        <v>70</v>
      </c>
      <c r="D1323">
        <v>0</v>
      </c>
      <c r="E1323" t="str">
        <f>VLOOKUP(D1323,name!A:B,2,1)</f>
        <v>Player</v>
      </c>
      <c r="F1323" t="str">
        <f>F1280</f>
        <v>Un jeune homme l'a apporté ici tout à l'heure.</v>
      </c>
      <c r="G1323" t="str">
        <f t="shared" ref="G1323:G1386" si="1676">IF(B1323&lt;&gt;B1324,"e",IF(D1323=0,"q","a"))</f>
        <v>q</v>
      </c>
      <c r="H1323" t="str">
        <f>VLOOKUP(D1323,name!A:C,3,1)</f>
        <v>assets/icons/image326.png</v>
      </c>
      <c r="I1323" t="str">
        <f>IF(A1323="","",VLOOKUP(A1323,lng!A:B,2,0))</f>
        <v>fr-FR</v>
      </c>
    </row>
    <row r="1324" spans="1:9" x14ac:dyDescent="0.15">
      <c r="A1324" t="str">
        <f t="shared" ref="A1324:B1324" si="1677">A1323</f>
        <v>フランス語</v>
      </c>
      <c r="B1324">
        <f t="shared" si="1677"/>
        <v>16</v>
      </c>
      <c r="C1324">
        <f t="shared" si="1669"/>
        <v>71</v>
      </c>
      <c r="D1324">
        <f>D1281</f>
        <v>5</v>
      </c>
      <c r="E1324" t="str">
        <f>VLOOKUP(D1324,name!A:B,2,1)</f>
        <v>Minako</v>
      </c>
      <c r="F1324" t="str">
        <f>F1281</f>
        <v>この親切な方は誰ですか?</v>
      </c>
      <c r="G1324" t="str">
        <f t="shared" si="1676"/>
        <v>a</v>
      </c>
      <c r="H1324" t="str">
        <f>VLOOKUP(D1324,name!A:C,3,1)</f>
        <v>assets/icons/image086.png</v>
      </c>
      <c r="I1324" t="s">
        <v>463</v>
      </c>
    </row>
    <row r="1325" spans="1:9" x14ac:dyDescent="0.15">
      <c r="A1325" t="str">
        <f t="shared" ref="A1325:B1325" si="1678">A1324</f>
        <v>フランス語</v>
      </c>
      <c r="B1325">
        <f t="shared" si="1678"/>
        <v>16</v>
      </c>
      <c r="C1325">
        <f t="shared" si="1669"/>
        <v>72</v>
      </c>
      <c r="D1325">
        <f>D1282</f>
        <v>5</v>
      </c>
      <c r="E1325" t="str">
        <f>VLOOKUP(D1325,name!A:B,2,1)</f>
        <v>Minako</v>
      </c>
      <c r="F1325" t="str">
        <f>F1282</f>
        <v>Qui est ce gentil monsieur ?</v>
      </c>
      <c r="G1325" t="str">
        <f t="shared" ref="G1325" si="1679">IF(B1325&lt;&gt;B2266,"e",IF(D1325=0,"q","a"))</f>
        <v>e</v>
      </c>
      <c r="H1325" t="str">
        <f>VLOOKUP(D1325,name!A:C,3,1)</f>
        <v>assets/icons/image086.png</v>
      </c>
      <c r="I1325" t="str">
        <f>IF(A1325="","",VLOOKUP(A1325,lng!A:B,2,0))</f>
        <v>fr-FR</v>
      </c>
    </row>
    <row r="1326" spans="1:9" x14ac:dyDescent="0.15">
      <c r="A1326" t="str">
        <f t="shared" ref="A1326:B1326" si="1680">A1325</f>
        <v>フランス語</v>
      </c>
      <c r="B1326">
        <f t="shared" si="1680"/>
        <v>16</v>
      </c>
      <c r="C1326">
        <f t="shared" si="1669"/>
        <v>73</v>
      </c>
      <c r="D1326">
        <v>0</v>
      </c>
      <c r="E1326" t="str">
        <f>VLOOKUP(D1326,name!A:B,2,1)</f>
        <v>Player</v>
      </c>
      <c r="F1326" t="str">
        <f>F1282</f>
        <v>Qui est ce gentil monsieur ?</v>
      </c>
      <c r="G1326" t="str">
        <f t="shared" ref="G1326" si="1681">IF(B1326&lt;&gt;B1736,"e",IF(D1326=0,"q","a"))</f>
        <v>e</v>
      </c>
      <c r="H1326" t="str">
        <f>VLOOKUP(D1326,name!A:C,3,1)</f>
        <v>assets/icons/image326.png</v>
      </c>
      <c r="I1326" t="str">
        <f>IF(A1326="","",VLOOKUP(A1326,lng!A:B,2,0))</f>
        <v>fr-FR</v>
      </c>
    </row>
    <row r="1327" spans="1:9" x14ac:dyDescent="0.15">
      <c r="A1327" t="str">
        <f t="shared" ref="A1327:B1327" si="1682">A1326</f>
        <v>フランス語</v>
      </c>
      <c r="B1327">
        <f t="shared" si="1682"/>
        <v>16</v>
      </c>
      <c r="C1327">
        <f t="shared" si="1669"/>
        <v>74</v>
      </c>
      <c r="D1327">
        <f>D1283</f>
        <v>5</v>
      </c>
      <c r="E1327" t="str">
        <f>VLOOKUP(D1327,name!A:B,2,1)</f>
        <v>Minako</v>
      </c>
      <c r="F1327" t="str">
        <f>F1283</f>
        <v>彼の名前と住所を教えていただけますか?</v>
      </c>
      <c r="G1327" t="str">
        <f t="shared" ref="G1327:G1390" si="1683">IF(B1327&lt;&gt;B1328,"e",IF(D1327=0,"q","a"))</f>
        <v>a</v>
      </c>
      <c r="H1327" t="str">
        <f>VLOOKUP(D1327,name!A:C,3,1)</f>
        <v>assets/icons/image086.png</v>
      </c>
      <c r="I1327" t="s">
        <v>463</v>
      </c>
    </row>
    <row r="1328" spans="1:9" x14ac:dyDescent="0.15">
      <c r="A1328" t="str">
        <f t="shared" ref="A1328:B1328" si="1684">A1327</f>
        <v>フランス語</v>
      </c>
      <c r="B1328">
        <f t="shared" si="1684"/>
        <v>16</v>
      </c>
      <c r="C1328">
        <f t="shared" si="1669"/>
        <v>75</v>
      </c>
      <c r="D1328">
        <f>D1284</f>
        <v>5</v>
      </c>
      <c r="E1328" t="str">
        <f>VLOOKUP(D1328,name!A:B,2,1)</f>
        <v>Minako</v>
      </c>
      <c r="F1328" t="str">
        <f>F1284</f>
        <v>Vous pouvez me donner son nom et son adresse?</v>
      </c>
      <c r="G1328" t="str">
        <f t="shared" ref="G1328" si="1685">IF(B1328&lt;&gt;B2269,"e",IF(D1328=0,"q","a"))</f>
        <v>e</v>
      </c>
      <c r="H1328" t="str">
        <f>VLOOKUP(D1328,name!A:C,3,1)</f>
        <v>assets/icons/image086.png</v>
      </c>
      <c r="I1328" t="str">
        <f>IF(A1328="","",VLOOKUP(A1328,lng!A:B,2,0))</f>
        <v>fr-FR</v>
      </c>
    </row>
    <row r="1329" spans="1:9" x14ac:dyDescent="0.15">
      <c r="A1329" t="str">
        <f t="shared" ref="A1329:B1329" si="1686">A1328</f>
        <v>フランス語</v>
      </c>
      <c r="B1329">
        <f t="shared" si="1686"/>
        <v>16</v>
      </c>
      <c r="C1329">
        <f t="shared" si="1669"/>
        <v>76</v>
      </c>
      <c r="D1329">
        <v>0</v>
      </c>
      <c r="E1329" t="str">
        <f>VLOOKUP(D1329,name!A:B,2,1)</f>
        <v>Player</v>
      </c>
      <c r="F1329" t="str">
        <f>F1284</f>
        <v>Vous pouvez me donner son nom et son adresse?</v>
      </c>
      <c r="G1329" t="str">
        <f t="shared" ref="G1329" si="1687">IF(B1329&lt;&gt;B1739,"e",IF(D1329=0,"q","a"))</f>
        <v>e</v>
      </c>
      <c r="H1329" t="str">
        <f>VLOOKUP(D1329,name!A:C,3,1)</f>
        <v>assets/icons/image326.png</v>
      </c>
      <c r="I1329" t="str">
        <f>IF(A1329="","",VLOOKUP(A1329,lng!A:B,2,0))</f>
        <v>fr-FR</v>
      </c>
    </row>
    <row r="1330" spans="1:9" x14ac:dyDescent="0.15">
      <c r="A1330" t="str">
        <f t="shared" ref="A1330:B1330" si="1688">A1329</f>
        <v>フランス語</v>
      </c>
      <c r="B1330">
        <f t="shared" si="1688"/>
        <v>16</v>
      </c>
      <c r="C1330">
        <f t="shared" si="1669"/>
        <v>77</v>
      </c>
      <c r="D1330">
        <f>D1285</f>
        <v>22</v>
      </c>
      <c r="E1330" t="str">
        <f>VLOOKUP(D1330,name!A:B,2,1)</f>
        <v>Agent de police</v>
      </c>
      <c r="F1330" t="str">
        <f>F1285</f>
        <v>はい、少しお待ちください。</v>
      </c>
      <c r="G1330" t="str">
        <f t="shared" ref="G1330:G1393" si="1689">IF(B1330&lt;&gt;B1331,"e",IF(D1330=0,"q","a"))</f>
        <v>a</v>
      </c>
      <c r="H1330" t="str">
        <f>VLOOKUP(D1330,name!A:C,3,1)</f>
        <v>assets/icons/image052.png</v>
      </c>
      <c r="I1330" t="s">
        <v>463</v>
      </c>
    </row>
    <row r="1331" spans="1:9" x14ac:dyDescent="0.15">
      <c r="A1331" t="str">
        <f t="shared" ref="A1331:B1331" si="1690">A1330</f>
        <v>フランス語</v>
      </c>
      <c r="B1331">
        <f t="shared" si="1690"/>
        <v>16</v>
      </c>
      <c r="C1331">
        <f t="shared" si="1669"/>
        <v>78</v>
      </c>
      <c r="D1331">
        <f>D1286</f>
        <v>22</v>
      </c>
      <c r="E1331" t="str">
        <f>VLOOKUP(D1331,name!A:B,2,1)</f>
        <v>Agent de police</v>
      </c>
      <c r="F1331" t="str">
        <f>F1286</f>
        <v>Oui, une seconde, s'il vous plaît.</v>
      </c>
      <c r="G1331" t="str">
        <f t="shared" si="1689"/>
        <v>a</v>
      </c>
      <c r="H1331" t="str">
        <f>VLOOKUP(D1331,name!A:C,3,1)</f>
        <v>assets/icons/image052.png</v>
      </c>
      <c r="I1331" t="str">
        <f>IF(A1331="","",VLOOKUP(A1331,lng!A:B,2,0))</f>
        <v>fr-FR</v>
      </c>
    </row>
    <row r="1332" spans="1:9" x14ac:dyDescent="0.15">
      <c r="A1332" t="str">
        <f t="shared" ref="A1332:B1332" si="1691">A1331</f>
        <v>フランス語</v>
      </c>
      <c r="B1332">
        <f t="shared" si="1691"/>
        <v>16</v>
      </c>
      <c r="C1332">
        <f t="shared" si="1669"/>
        <v>79</v>
      </c>
      <c r="D1332">
        <v>0</v>
      </c>
      <c r="E1332" t="str">
        <f>VLOOKUP(D1332,name!A:B,2,1)</f>
        <v>Player</v>
      </c>
      <c r="F1332" t="str">
        <f>F1286</f>
        <v>Oui, une seconde, s'il vous plaît.</v>
      </c>
      <c r="G1332" t="str">
        <f t="shared" ref="G1332" si="1692">IF(B1332&lt;&gt;B2273,"e",IF(D1332=0,"q","a"))</f>
        <v>e</v>
      </c>
      <c r="H1332" t="str">
        <f>VLOOKUP(D1332,name!A:C,3,1)</f>
        <v>assets/icons/image326.png</v>
      </c>
      <c r="I1332" t="str">
        <f>IF(A1332="","",VLOOKUP(A1332,lng!A:B,2,0))</f>
        <v>fr-FR</v>
      </c>
    </row>
    <row r="1333" spans="1:9" x14ac:dyDescent="0.15">
      <c r="A1333" t="str">
        <f t="shared" ref="A1333:B1333" si="1693">A1332</f>
        <v>フランス語</v>
      </c>
      <c r="B1333">
        <f t="shared" si="1693"/>
        <v>16</v>
      </c>
      <c r="C1333">
        <f t="shared" si="1669"/>
        <v>80</v>
      </c>
      <c r="D1333">
        <v>1</v>
      </c>
      <c r="E1333" t="str">
        <f>VLOOKUP(D1333,name!A:B,2,1)</f>
        <v>Navigator</v>
      </c>
      <c r="F1333" t="str">
        <f>"次の日本語を"&amp;A1333&amp;"に訳して答えてね！"</f>
        <v>次の日本語をフランス語に訳して答えてね！</v>
      </c>
      <c r="G1333" t="str">
        <f t="shared" ref="G1333" si="1694">IF(B1333&lt;&gt;B1743,"e",IF(D1333=0,"q","a"))</f>
        <v>e</v>
      </c>
      <c r="H1333" t="str">
        <f>VLOOKUP(D1333,name!A:C,3,1)</f>
        <v>assets/icons/image014.png</v>
      </c>
      <c r="I1333" t="s">
        <v>463</v>
      </c>
    </row>
    <row r="1334" spans="1:9" x14ac:dyDescent="0.15">
      <c r="A1334" t="str">
        <f t="shared" ref="A1334:B1334" si="1695">A1333</f>
        <v>フランス語</v>
      </c>
      <c r="B1334">
        <f t="shared" si="1695"/>
        <v>16</v>
      </c>
      <c r="C1334">
        <f t="shared" si="1669"/>
        <v>81</v>
      </c>
      <c r="D1334">
        <f>D1257</f>
        <v>5</v>
      </c>
      <c r="E1334" t="str">
        <f>VLOOKUP(D1334,name!A:B,2,1)</f>
        <v>Minako</v>
      </c>
      <c r="F1334" t="str">
        <f t="shared" ref="F1334:F1363" si="1696">F1257</f>
        <v>すみません、財布をなくしたのですが。</v>
      </c>
      <c r="G1334" t="str">
        <f t="shared" ref="G1334:G1397" si="1697">IF(B1334&lt;&gt;B1335,"e",IF(D1334=0,"q","a"))</f>
        <v>a</v>
      </c>
      <c r="H1334" t="str">
        <f>VLOOKUP(D1334,name!A:C,3,1)</f>
        <v>assets/icons/image086.png</v>
      </c>
      <c r="I1334" t="s">
        <v>463</v>
      </c>
    </row>
    <row r="1335" spans="1:9" x14ac:dyDescent="0.15">
      <c r="A1335" t="str">
        <f t="shared" ref="A1335:B1335" si="1698">A1334</f>
        <v>フランス語</v>
      </c>
      <c r="B1335">
        <f t="shared" si="1698"/>
        <v>16</v>
      </c>
      <c r="C1335">
        <f t="shared" si="1669"/>
        <v>82</v>
      </c>
      <c r="D1335">
        <v>0</v>
      </c>
      <c r="E1335" t="str">
        <f>VLOOKUP(D1335,name!A:B,2,1)</f>
        <v>Player</v>
      </c>
      <c r="F1335" t="str">
        <f t="shared" si="1696"/>
        <v>Monsieur, j'ai perdu mon portefeuille.</v>
      </c>
      <c r="G1335" t="str">
        <f t="shared" ref="G1335" si="1699">IF(B1335&lt;&gt;B2276,"e",IF(D1335=0,"q","a"))</f>
        <v>e</v>
      </c>
      <c r="H1335" t="str">
        <f>VLOOKUP(D1335,name!A:C,3,1)</f>
        <v>assets/icons/image326.png</v>
      </c>
      <c r="I1335" t="str">
        <f>IF(A1335="","",VLOOKUP(A1335,lng!A:B,2,0))</f>
        <v>fr-FR</v>
      </c>
    </row>
    <row r="1336" spans="1:9" x14ac:dyDescent="0.15">
      <c r="A1336" t="str">
        <f t="shared" ref="A1336:B1336" si="1700">A1335</f>
        <v>フランス語</v>
      </c>
      <c r="B1336">
        <f t="shared" si="1700"/>
        <v>16</v>
      </c>
      <c r="C1336">
        <f t="shared" si="1669"/>
        <v>83</v>
      </c>
      <c r="D1336">
        <f>D1259</f>
        <v>22</v>
      </c>
      <c r="E1336" t="str">
        <f>VLOOKUP(D1336,name!A:B,2,1)</f>
        <v>Agent de police</v>
      </c>
      <c r="F1336" t="str">
        <f t="shared" si="1696"/>
        <v>どこで失くしたのですか?</v>
      </c>
      <c r="G1336" t="str">
        <f t="shared" ref="G1336" si="1701">IF(B1336&lt;&gt;B1746,"e",IF(D1336=0,"q","a"))</f>
        <v>e</v>
      </c>
      <c r="H1336" t="str">
        <f>VLOOKUP(D1336,name!A:C,3,1)</f>
        <v>assets/icons/image052.png</v>
      </c>
      <c r="I1336" t="s">
        <v>463</v>
      </c>
    </row>
    <row r="1337" spans="1:9" x14ac:dyDescent="0.15">
      <c r="A1337" t="str">
        <f t="shared" ref="A1337:B1337" si="1702">A1336</f>
        <v>フランス語</v>
      </c>
      <c r="B1337">
        <f t="shared" si="1702"/>
        <v>16</v>
      </c>
      <c r="C1337">
        <f t="shared" si="1669"/>
        <v>84</v>
      </c>
      <c r="D1337">
        <v>0</v>
      </c>
      <c r="E1337" t="str">
        <f>VLOOKUP(D1337,name!A:B,2,1)</f>
        <v>Player</v>
      </c>
      <c r="F1337" t="str">
        <f t="shared" si="1696"/>
        <v>Où est-ce que vous l'avez perdu ?</v>
      </c>
      <c r="G1337" t="str">
        <f t="shared" ref="G1337:G1400" si="1703">IF(B1337&lt;&gt;B1338,"e",IF(D1337=0,"q","a"))</f>
        <v>q</v>
      </c>
      <c r="H1337" t="str">
        <f>VLOOKUP(D1337,name!A:C,3,1)</f>
        <v>assets/icons/image326.png</v>
      </c>
      <c r="I1337" t="str">
        <f>IF(A1337="","",VLOOKUP(A1337,lng!A:B,2,0))</f>
        <v>fr-FR</v>
      </c>
    </row>
    <row r="1338" spans="1:9" x14ac:dyDescent="0.15">
      <c r="A1338" t="str">
        <f t="shared" ref="A1338:B1338" si="1704">A1337</f>
        <v>フランス語</v>
      </c>
      <c r="B1338">
        <f t="shared" si="1704"/>
        <v>16</v>
      </c>
      <c r="C1338">
        <f t="shared" si="1669"/>
        <v>85</v>
      </c>
      <c r="D1338">
        <f>D1261</f>
        <v>5</v>
      </c>
      <c r="E1338" t="str">
        <f>VLOOKUP(D1338,name!A:B,2,1)</f>
        <v>Minako</v>
      </c>
      <c r="F1338" t="str">
        <f t="shared" si="1696"/>
        <v>わかりません。</v>
      </c>
      <c r="G1338" t="str">
        <f t="shared" si="1703"/>
        <v>a</v>
      </c>
      <c r="H1338" t="str">
        <f>VLOOKUP(D1338,name!A:C,3,1)</f>
        <v>assets/icons/image086.png</v>
      </c>
      <c r="I1338" t="s">
        <v>463</v>
      </c>
    </row>
    <row r="1339" spans="1:9" x14ac:dyDescent="0.15">
      <c r="A1339" t="str">
        <f t="shared" ref="A1339:B1339" si="1705">A1338</f>
        <v>フランス語</v>
      </c>
      <c r="B1339">
        <f t="shared" si="1705"/>
        <v>16</v>
      </c>
      <c r="C1339">
        <f t="shared" si="1669"/>
        <v>86</v>
      </c>
      <c r="D1339">
        <v>0</v>
      </c>
      <c r="E1339" t="str">
        <f>VLOOKUP(D1339,name!A:B,2,1)</f>
        <v>Player</v>
      </c>
      <c r="F1339" t="str">
        <f t="shared" si="1696"/>
        <v>Je ne sais pas.</v>
      </c>
      <c r="G1339" t="str">
        <f t="shared" ref="G1339" si="1706">IF(B1339&lt;&gt;B2280,"e",IF(D1339=0,"q","a"))</f>
        <v>e</v>
      </c>
      <c r="H1339" t="str">
        <f>VLOOKUP(D1339,name!A:C,3,1)</f>
        <v>assets/icons/image326.png</v>
      </c>
      <c r="I1339" t="str">
        <f>IF(A1339="","",VLOOKUP(A1339,lng!A:B,2,0))</f>
        <v>fr-FR</v>
      </c>
    </row>
    <row r="1340" spans="1:9" x14ac:dyDescent="0.15">
      <c r="A1340" t="str">
        <f t="shared" ref="A1340:B1340" si="1707">A1339</f>
        <v>フランス語</v>
      </c>
      <c r="B1340">
        <f t="shared" si="1707"/>
        <v>16</v>
      </c>
      <c r="C1340">
        <f t="shared" si="1669"/>
        <v>87</v>
      </c>
      <c r="D1340">
        <f>D1263</f>
        <v>5</v>
      </c>
      <c r="E1340" t="str">
        <f>VLOOKUP(D1340,name!A:B,2,1)</f>
        <v>Minako</v>
      </c>
      <c r="F1340" t="str">
        <f t="shared" si="1696"/>
        <v>多分地下鉄で。</v>
      </c>
      <c r="G1340" t="str">
        <f t="shared" ref="G1340" si="1708">IF(B1340&lt;&gt;B1750,"e",IF(D1340=0,"q","a"))</f>
        <v>e</v>
      </c>
      <c r="H1340" t="str">
        <f>VLOOKUP(D1340,name!A:C,3,1)</f>
        <v>assets/icons/image086.png</v>
      </c>
      <c r="I1340" t="s">
        <v>463</v>
      </c>
    </row>
    <row r="1341" spans="1:9" x14ac:dyDescent="0.15">
      <c r="A1341" t="str">
        <f t="shared" ref="A1341:B1341" si="1709">A1340</f>
        <v>フランス語</v>
      </c>
      <c r="B1341">
        <f t="shared" si="1709"/>
        <v>16</v>
      </c>
      <c r="C1341">
        <f t="shared" si="1669"/>
        <v>88</v>
      </c>
      <c r="D1341">
        <v>0</v>
      </c>
      <c r="E1341" t="str">
        <f>VLOOKUP(D1341,name!A:B,2,1)</f>
        <v>Player</v>
      </c>
      <c r="F1341" t="str">
        <f t="shared" si="1696"/>
        <v>Peut-être dans le métro.</v>
      </c>
      <c r="G1341" t="str">
        <f t="shared" ref="G1341:G1404" si="1710">IF(B1341&lt;&gt;B1342,"e",IF(D1341=0,"q","a"))</f>
        <v>q</v>
      </c>
      <c r="H1341" t="str">
        <f>VLOOKUP(D1341,name!A:C,3,1)</f>
        <v>assets/icons/image326.png</v>
      </c>
      <c r="I1341" t="str">
        <f>IF(A1341="","",VLOOKUP(A1341,lng!A:B,2,0))</f>
        <v>fr-FR</v>
      </c>
    </row>
    <row r="1342" spans="1:9" x14ac:dyDescent="0.15">
      <c r="A1342" t="str">
        <f t="shared" ref="A1342:B1342" si="1711">A1341</f>
        <v>フランス語</v>
      </c>
      <c r="B1342">
        <f t="shared" si="1711"/>
        <v>16</v>
      </c>
      <c r="C1342">
        <f t="shared" si="1669"/>
        <v>89</v>
      </c>
      <c r="D1342">
        <f>D1265</f>
        <v>22</v>
      </c>
      <c r="E1342" t="str">
        <f>VLOOKUP(D1342,name!A:B,2,1)</f>
        <v>Agent de police</v>
      </c>
      <c r="F1342" t="str">
        <f t="shared" si="1696"/>
        <v>財布なら</v>
      </c>
      <c r="G1342" t="str">
        <f t="shared" ref="G1342" si="1712">IF(B1342&lt;&gt;B2283,"e",IF(D1342=0,"q","a"))</f>
        <v>e</v>
      </c>
      <c r="H1342" t="str">
        <f>VLOOKUP(D1342,name!A:C,3,1)</f>
        <v>assets/icons/image052.png</v>
      </c>
      <c r="I1342" t="s">
        <v>463</v>
      </c>
    </row>
    <row r="1343" spans="1:9" x14ac:dyDescent="0.15">
      <c r="A1343" t="str">
        <f t="shared" ref="A1343:B1343" si="1713">A1342</f>
        <v>フランス語</v>
      </c>
      <c r="B1343">
        <f t="shared" si="1713"/>
        <v>16</v>
      </c>
      <c r="C1343">
        <f t="shared" si="1669"/>
        <v>90</v>
      </c>
      <c r="D1343">
        <v>0</v>
      </c>
      <c r="E1343" t="str">
        <f>VLOOKUP(D1343,name!A:B,2,1)</f>
        <v>Player</v>
      </c>
      <c r="F1343" t="str">
        <f t="shared" si="1696"/>
        <v>Des portefeuilles,</v>
      </c>
      <c r="G1343" t="str">
        <f t="shared" ref="G1343" si="1714">IF(B1343&lt;&gt;B1753,"e",IF(D1343=0,"q","a"))</f>
        <v>e</v>
      </c>
      <c r="H1343" t="str">
        <f>VLOOKUP(D1343,name!A:C,3,1)</f>
        <v>assets/icons/image326.png</v>
      </c>
      <c r="I1343" t="str">
        <f>IF(A1343="","",VLOOKUP(A1343,lng!A:B,2,0))</f>
        <v>fr-FR</v>
      </c>
    </row>
    <row r="1344" spans="1:9" x14ac:dyDescent="0.15">
      <c r="A1344" t="str">
        <f t="shared" ref="A1344:B1344" si="1715">A1343</f>
        <v>フランス語</v>
      </c>
      <c r="B1344">
        <f t="shared" si="1715"/>
        <v>16</v>
      </c>
      <c r="C1344">
        <f t="shared" si="1669"/>
        <v>91</v>
      </c>
      <c r="D1344">
        <f>D1267</f>
        <v>22</v>
      </c>
      <c r="E1344" t="str">
        <f>VLOOKUP(D1344,name!A:B,2,1)</f>
        <v>Agent de police</v>
      </c>
      <c r="F1344" t="str">
        <f t="shared" si="1696"/>
        <v>この箱にたくさんあります。</v>
      </c>
      <c r="G1344" t="str">
        <f t="shared" ref="G1344:G1407" si="1716">IF(B1344&lt;&gt;B1345,"e",IF(D1344=0,"q","a"))</f>
        <v>a</v>
      </c>
      <c r="H1344" t="str">
        <f>VLOOKUP(D1344,name!A:C,3,1)</f>
        <v>assets/icons/image052.png</v>
      </c>
      <c r="I1344" t="s">
        <v>463</v>
      </c>
    </row>
    <row r="1345" spans="1:9" x14ac:dyDescent="0.15">
      <c r="A1345" t="str">
        <f t="shared" ref="A1345:B1345" si="1717">A1344</f>
        <v>フランス語</v>
      </c>
      <c r="B1345">
        <f t="shared" si="1717"/>
        <v>16</v>
      </c>
      <c r="C1345">
        <f t="shared" si="1669"/>
        <v>92</v>
      </c>
      <c r="D1345">
        <v>0</v>
      </c>
      <c r="E1345" t="str">
        <f>VLOOKUP(D1345,name!A:B,2,1)</f>
        <v>Player</v>
      </c>
      <c r="F1345" t="str">
        <f t="shared" si="1696"/>
        <v xml:space="preserve"> il y en a plein dans cette boîte.</v>
      </c>
      <c r="G1345" t="str">
        <f t="shared" si="1716"/>
        <v>q</v>
      </c>
      <c r="H1345" t="str">
        <f>VLOOKUP(D1345,name!A:C,3,1)</f>
        <v>assets/icons/image326.png</v>
      </c>
      <c r="I1345" t="str">
        <f>IF(A1345="","",VLOOKUP(A1345,lng!A:B,2,0))</f>
        <v>fr-FR</v>
      </c>
    </row>
    <row r="1346" spans="1:9" x14ac:dyDescent="0.15">
      <c r="A1346" t="str">
        <f t="shared" ref="A1346:B1346" si="1718">A1345</f>
        <v>フランス語</v>
      </c>
      <c r="B1346">
        <f t="shared" si="1718"/>
        <v>16</v>
      </c>
      <c r="C1346">
        <f t="shared" si="1669"/>
        <v>93</v>
      </c>
      <c r="D1346">
        <f>D1269</f>
        <v>22</v>
      </c>
      <c r="E1346" t="str">
        <f>VLOOKUP(D1346,name!A:B,2,1)</f>
        <v>Agent de police</v>
      </c>
      <c r="F1346" t="str">
        <f t="shared" si="1696"/>
        <v>あなたの財布の色は何色ですか?</v>
      </c>
      <c r="G1346" t="str">
        <f t="shared" ref="G1346" si="1719">IF(B1346&lt;&gt;B2287,"e",IF(D1346=0,"q","a"))</f>
        <v>e</v>
      </c>
      <c r="H1346" t="str">
        <f>VLOOKUP(D1346,name!A:C,3,1)</f>
        <v>assets/icons/image052.png</v>
      </c>
      <c r="I1346" t="s">
        <v>463</v>
      </c>
    </row>
    <row r="1347" spans="1:9" x14ac:dyDescent="0.15">
      <c r="A1347" t="str">
        <f t="shared" ref="A1347:B1347" si="1720">A1346</f>
        <v>フランス語</v>
      </c>
      <c r="B1347">
        <f t="shared" si="1720"/>
        <v>16</v>
      </c>
      <c r="C1347">
        <f t="shared" si="1669"/>
        <v>94</v>
      </c>
      <c r="D1347">
        <v>0</v>
      </c>
      <c r="E1347" t="str">
        <f>VLOOKUP(D1347,name!A:B,2,1)</f>
        <v>Player</v>
      </c>
      <c r="F1347" t="str">
        <f t="shared" si="1696"/>
        <v>De quelle couleur est le vôtre ?</v>
      </c>
      <c r="G1347" t="str">
        <f t="shared" ref="G1347" si="1721">IF(B1347&lt;&gt;B1757,"e",IF(D1347=0,"q","a"))</f>
        <v>e</v>
      </c>
      <c r="H1347" t="str">
        <f>VLOOKUP(D1347,name!A:C,3,1)</f>
        <v>assets/icons/image326.png</v>
      </c>
      <c r="I1347" t="str">
        <f>IF(A1347="","",VLOOKUP(A1347,lng!A:B,2,0))</f>
        <v>fr-FR</v>
      </c>
    </row>
    <row r="1348" spans="1:9" x14ac:dyDescent="0.15">
      <c r="A1348" t="str">
        <f t="shared" ref="A1348:B1348" si="1722">A1347</f>
        <v>フランス語</v>
      </c>
      <c r="B1348">
        <f t="shared" si="1722"/>
        <v>16</v>
      </c>
      <c r="C1348">
        <f t="shared" si="1669"/>
        <v>95</v>
      </c>
      <c r="D1348">
        <f>D1271</f>
        <v>5</v>
      </c>
      <c r="E1348" t="str">
        <f>VLOOKUP(D1348,name!A:B,2,1)</f>
        <v>Minako</v>
      </c>
      <c r="F1348" t="str">
        <f t="shared" si="1696"/>
        <v>赤です。</v>
      </c>
      <c r="G1348" t="str">
        <f t="shared" ref="G1348:G1411" si="1723">IF(B1348&lt;&gt;B1349,"e",IF(D1348=0,"q","a"))</f>
        <v>a</v>
      </c>
      <c r="H1348" t="str">
        <f>VLOOKUP(D1348,name!A:C,3,1)</f>
        <v>assets/icons/image086.png</v>
      </c>
      <c r="I1348" t="s">
        <v>463</v>
      </c>
    </row>
    <row r="1349" spans="1:9" x14ac:dyDescent="0.15">
      <c r="A1349" t="str">
        <f t="shared" ref="A1349:B1349" si="1724">A1348</f>
        <v>フランス語</v>
      </c>
      <c r="B1349">
        <f t="shared" si="1724"/>
        <v>16</v>
      </c>
      <c r="C1349">
        <f t="shared" si="1669"/>
        <v>96</v>
      </c>
      <c r="D1349">
        <v>0</v>
      </c>
      <c r="E1349" t="str">
        <f>VLOOKUP(D1349,name!A:B,2,1)</f>
        <v>Player</v>
      </c>
      <c r="F1349" t="str">
        <f t="shared" si="1696"/>
        <v>Rouge.</v>
      </c>
      <c r="G1349" t="str">
        <f t="shared" ref="G1349" si="1725">IF(B1349&lt;&gt;B2290,"e",IF(D1349=0,"q","a"))</f>
        <v>e</v>
      </c>
      <c r="H1349" t="str">
        <f>VLOOKUP(D1349,name!A:C,3,1)</f>
        <v>assets/icons/image326.png</v>
      </c>
      <c r="I1349" t="str">
        <f>IF(A1349="","",VLOOKUP(A1349,lng!A:B,2,0))</f>
        <v>fr-FR</v>
      </c>
    </row>
    <row r="1350" spans="1:9" x14ac:dyDescent="0.15">
      <c r="A1350" t="str">
        <f t="shared" ref="A1350:B1350" si="1726">A1349</f>
        <v>フランス語</v>
      </c>
      <c r="B1350">
        <f t="shared" si="1726"/>
        <v>16</v>
      </c>
      <c r="C1350">
        <f t="shared" si="1669"/>
        <v>97</v>
      </c>
      <c r="D1350">
        <f>D1273</f>
        <v>22</v>
      </c>
      <c r="E1350" t="str">
        <f>VLOOKUP(D1350,name!A:B,2,1)</f>
        <v>Agent de police</v>
      </c>
      <c r="F1350" t="str">
        <f t="shared" si="1696"/>
        <v>これですか?</v>
      </c>
      <c r="G1350" t="str">
        <f t="shared" ref="G1350" si="1727">IF(B1350&lt;&gt;B1760,"e",IF(D1350=0,"q","a"))</f>
        <v>e</v>
      </c>
      <c r="H1350" t="str">
        <f>VLOOKUP(D1350,name!A:C,3,1)</f>
        <v>assets/icons/image052.png</v>
      </c>
      <c r="I1350" t="s">
        <v>463</v>
      </c>
    </row>
    <row r="1351" spans="1:9" x14ac:dyDescent="0.15">
      <c r="A1351" t="str">
        <f t="shared" ref="A1351:B1351" si="1728">A1350</f>
        <v>フランス語</v>
      </c>
      <c r="B1351">
        <f t="shared" si="1728"/>
        <v>16</v>
      </c>
      <c r="C1351">
        <f t="shared" si="1669"/>
        <v>98</v>
      </c>
      <c r="D1351">
        <v>0</v>
      </c>
      <c r="E1351" t="str">
        <f>VLOOKUP(D1351,name!A:B,2,1)</f>
        <v>Player</v>
      </c>
      <c r="F1351" t="str">
        <f t="shared" si="1696"/>
        <v>C'est celui-ci ?</v>
      </c>
      <c r="G1351" t="str">
        <f t="shared" ref="G1351:G1414" si="1729">IF(B1351&lt;&gt;B1352,"e",IF(D1351=0,"q","a"))</f>
        <v>q</v>
      </c>
      <c r="H1351" t="str">
        <f>VLOOKUP(D1351,name!A:C,3,1)</f>
        <v>assets/icons/image326.png</v>
      </c>
      <c r="I1351" t="str">
        <f>IF(A1351="","",VLOOKUP(A1351,lng!A:B,2,0))</f>
        <v>fr-FR</v>
      </c>
    </row>
    <row r="1352" spans="1:9" x14ac:dyDescent="0.15">
      <c r="A1352" t="str">
        <f t="shared" ref="A1352:B1352" si="1730">A1351</f>
        <v>フランス語</v>
      </c>
      <c r="B1352">
        <f t="shared" si="1730"/>
        <v>16</v>
      </c>
      <c r="C1352">
        <f t="shared" si="1669"/>
        <v>99</v>
      </c>
      <c r="D1352">
        <f>D1275</f>
        <v>5</v>
      </c>
      <c r="E1352" t="str">
        <f>VLOOKUP(D1352,name!A:B,2,1)</f>
        <v>Minako</v>
      </c>
      <c r="F1352" t="str">
        <f t="shared" si="1696"/>
        <v>ああ、そうです。</v>
      </c>
      <c r="G1352" t="str">
        <f t="shared" si="1729"/>
        <v>a</v>
      </c>
      <c r="H1352" t="str">
        <f>VLOOKUP(D1352,name!A:C,3,1)</f>
        <v>assets/icons/image086.png</v>
      </c>
      <c r="I1352" t="s">
        <v>463</v>
      </c>
    </row>
    <row r="1353" spans="1:9" x14ac:dyDescent="0.15">
      <c r="A1353" t="str">
        <f t="shared" ref="A1353:B1353" si="1731">A1352</f>
        <v>フランス語</v>
      </c>
      <c r="B1353">
        <f t="shared" si="1731"/>
        <v>16</v>
      </c>
      <c r="C1353">
        <f t="shared" si="1669"/>
        <v>100</v>
      </c>
      <c r="D1353">
        <v>0</v>
      </c>
      <c r="E1353" t="str">
        <f>VLOOKUP(D1353,name!A:B,2,1)</f>
        <v>Player</v>
      </c>
      <c r="F1353" t="str">
        <f t="shared" si="1696"/>
        <v>Ah, oui.</v>
      </c>
      <c r="G1353" t="str">
        <f t="shared" ref="G1353" si="1732">IF(B1353&lt;&gt;B2294,"e",IF(D1353=0,"q","a"))</f>
        <v>e</v>
      </c>
      <c r="H1353" t="str">
        <f>VLOOKUP(D1353,name!A:C,3,1)</f>
        <v>assets/icons/image326.png</v>
      </c>
      <c r="I1353" t="str">
        <f>IF(A1353="","",VLOOKUP(A1353,lng!A:B,2,0))</f>
        <v>fr-FR</v>
      </c>
    </row>
    <row r="1354" spans="1:9" x14ac:dyDescent="0.15">
      <c r="A1354" t="str">
        <f t="shared" ref="A1354:B1354" si="1733">A1353</f>
        <v>フランス語</v>
      </c>
      <c r="B1354">
        <f t="shared" si="1733"/>
        <v>16</v>
      </c>
      <c r="C1354">
        <f t="shared" si="1669"/>
        <v>101</v>
      </c>
      <c r="D1354">
        <f>D1277</f>
        <v>5</v>
      </c>
      <c r="E1354" t="str">
        <f>VLOOKUP(D1354,name!A:B,2,1)</f>
        <v>Minako</v>
      </c>
      <c r="F1354" t="str">
        <f t="shared" si="1696"/>
        <v>それが私のです。</v>
      </c>
      <c r="G1354" t="str">
        <f t="shared" ref="G1354" si="1734">IF(B1354&lt;&gt;B1764,"e",IF(D1354=0,"q","a"))</f>
        <v>e</v>
      </c>
      <c r="H1354" t="str">
        <f>VLOOKUP(D1354,name!A:C,3,1)</f>
        <v>assets/icons/image086.png</v>
      </c>
      <c r="I1354" t="s">
        <v>463</v>
      </c>
    </row>
    <row r="1355" spans="1:9" x14ac:dyDescent="0.15">
      <c r="A1355" t="str">
        <f t="shared" ref="A1355:B1355" si="1735">A1354</f>
        <v>フランス語</v>
      </c>
      <c r="B1355">
        <f t="shared" si="1735"/>
        <v>16</v>
      </c>
      <c r="C1355">
        <f t="shared" si="1669"/>
        <v>102</v>
      </c>
      <c r="D1355">
        <v>0</v>
      </c>
      <c r="E1355" t="str">
        <f>VLOOKUP(D1355,name!A:B,2,1)</f>
        <v>Player</v>
      </c>
      <c r="F1355" t="str">
        <f t="shared" si="1696"/>
        <v>C'est le mien.</v>
      </c>
      <c r="G1355" t="str">
        <f t="shared" ref="G1355:G1418" si="1736">IF(B1355&lt;&gt;B1356,"e",IF(D1355=0,"q","a"))</f>
        <v>q</v>
      </c>
      <c r="H1355" t="str">
        <f>VLOOKUP(D1355,name!A:C,3,1)</f>
        <v>assets/icons/image326.png</v>
      </c>
      <c r="I1355" t="str">
        <f>IF(A1355="","",VLOOKUP(A1355,lng!A:B,2,0))</f>
        <v>fr-FR</v>
      </c>
    </row>
    <row r="1356" spans="1:9" x14ac:dyDescent="0.15">
      <c r="A1356" t="str">
        <f t="shared" ref="A1356:B1356" si="1737">A1355</f>
        <v>フランス語</v>
      </c>
      <c r="B1356">
        <f t="shared" si="1737"/>
        <v>16</v>
      </c>
      <c r="C1356">
        <f t="shared" si="1669"/>
        <v>103</v>
      </c>
      <c r="D1356">
        <f>D1279</f>
        <v>22</v>
      </c>
      <c r="E1356" t="str">
        <f>VLOOKUP(D1356,name!A:B,2,1)</f>
        <v>Agent de police</v>
      </c>
      <c r="F1356" t="str">
        <f t="shared" si="1696"/>
        <v>ちょうど今、若い男がそれをここに持ってきました。</v>
      </c>
      <c r="G1356" t="str">
        <f t="shared" ref="G1356" si="1738">IF(B1356&lt;&gt;B2297,"e",IF(D1356=0,"q","a"))</f>
        <v>e</v>
      </c>
      <c r="H1356" t="str">
        <f>VLOOKUP(D1356,name!A:C,3,1)</f>
        <v>assets/icons/image052.png</v>
      </c>
      <c r="I1356" t="s">
        <v>463</v>
      </c>
    </row>
    <row r="1357" spans="1:9" x14ac:dyDescent="0.15">
      <c r="A1357" t="str">
        <f t="shared" ref="A1357:B1357" si="1739">A1356</f>
        <v>フランス語</v>
      </c>
      <c r="B1357">
        <f t="shared" si="1739"/>
        <v>16</v>
      </c>
      <c r="C1357">
        <f t="shared" si="1669"/>
        <v>104</v>
      </c>
      <c r="D1357">
        <v>0</v>
      </c>
      <c r="E1357" t="str">
        <f>VLOOKUP(D1357,name!A:B,2,1)</f>
        <v>Player</v>
      </c>
      <c r="F1357" t="str">
        <f t="shared" si="1696"/>
        <v>Un jeune homme l'a apporté ici tout à l'heure.</v>
      </c>
      <c r="G1357" t="str">
        <f t="shared" ref="G1357" si="1740">IF(B1357&lt;&gt;B1767,"e",IF(D1357=0,"q","a"))</f>
        <v>e</v>
      </c>
      <c r="H1357" t="str">
        <f>VLOOKUP(D1357,name!A:C,3,1)</f>
        <v>assets/icons/image326.png</v>
      </c>
      <c r="I1357" t="str">
        <f>IF(A1357="","",VLOOKUP(A1357,lng!A:B,2,0))</f>
        <v>fr-FR</v>
      </c>
    </row>
    <row r="1358" spans="1:9" x14ac:dyDescent="0.15">
      <c r="A1358" t="str">
        <f t="shared" ref="A1358:B1358" si="1741">A1357</f>
        <v>フランス語</v>
      </c>
      <c r="B1358">
        <f t="shared" si="1741"/>
        <v>16</v>
      </c>
      <c r="C1358">
        <f t="shared" si="1669"/>
        <v>105</v>
      </c>
      <c r="D1358">
        <f>D1281</f>
        <v>5</v>
      </c>
      <c r="E1358" t="str">
        <f>VLOOKUP(D1358,name!A:B,2,1)</f>
        <v>Minako</v>
      </c>
      <c r="F1358" t="str">
        <f t="shared" si="1696"/>
        <v>この親切な方は誰ですか?</v>
      </c>
      <c r="G1358" t="str">
        <f t="shared" ref="G1358:G1421" si="1742">IF(B1358&lt;&gt;B1359,"e",IF(D1358=0,"q","a"))</f>
        <v>a</v>
      </c>
      <c r="H1358" t="str">
        <f>VLOOKUP(D1358,name!A:C,3,1)</f>
        <v>assets/icons/image086.png</v>
      </c>
      <c r="I1358" t="s">
        <v>463</v>
      </c>
    </row>
    <row r="1359" spans="1:9" x14ac:dyDescent="0.15">
      <c r="A1359" t="str">
        <f t="shared" ref="A1359:B1359" si="1743">A1358</f>
        <v>フランス語</v>
      </c>
      <c r="B1359">
        <f t="shared" si="1743"/>
        <v>16</v>
      </c>
      <c r="C1359">
        <f t="shared" si="1669"/>
        <v>106</v>
      </c>
      <c r="D1359">
        <v>0</v>
      </c>
      <c r="E1359" t="str">
        <f>VLOOKUP(D1359,name!A:B,2,1)</f>
        <v>Player</v>
      </c>
      <c r="F1359" t="str">
        <f t="shared" si="1696"/>
        <v>Qui est ce gentil monsieur ?</v>
      </c>
      <c r="G1359" t="str">
        <f t="shared" si="1742"/>
        <v>q</v>
      </c>
      <c r="H1359" t="str">
        <f>VLOOKUP(D1359,name!A:C,3,1)</f>
        <v>assets/icons/image326.png</v>
      </c>
      <c r="I1359" t="str">
        <f>IF(A1359="","",VLOOKUP(A1359,lng!A:B,2,0))</f>
        <v>fr-FR</v>
      </c>
    </row>
    <row r="1360" spans="1:9" x14ac:dyDescent="0.15">
      <c r="A1360" t="str">
        <f t="shared" ref="A1360:B1360" si="1744">A1359</f>
        <v>フランス語</v>
      </c>
      <c r="B1360">
        <f t="shared" si="1744"/>
        <v>16</v>
      </c>
      <c r="C1360">
        <f t="shared" si="1669"/>
        <v>107</v>
      </c>
      <c r="D1360">
        <f>D1283</f>
        <v>5</v>
      </c>
      <c r="E1360" t="str">
        <f>VLOOKUP(D1360,name!A:B,2,1)</f>
        <v>Minako</v>
      </c>
      <c r="F1360" t="str">
        <f t="shared" si="1696"/>
        <v>彼の名前と住所を教えていただけますか?</v>
      </c>
      <c r="G1360" t="str">
        <f t="shared" ref="G1360" si="1745">IF(B1360&lt;&gt;B2301,"e",IF(D1360=0,"q","a"))</f>
        <v>e</v>
      </c>
      <c r="H1360" t="str">
        <f>VLOOKUP(D1360,name!A:C,3,1)</f>
        <v>assets/icons/image086.png</v>
      </c>
      <c r="I1360" t="s">
        <v>463</v>
      </c>
    </row>
    <row r="1361" spans="1:12" x14ac:dyDescent="0.15">
      <c r="A1361" t="str">
        <f t="shared" ref="A1361:B1361" si="1746">A1360</f>
        <v>フランス語</v>
      </c>
      <c r="B1361">
        <f t="shared" si="1746"/>
        <v>16</v>
      </c>
      <c r="C1361">
        <f t="shared" si="1669"/>
        <v>108</v>
      </c>
      <c r="D1361">
        <v>0</v>
      </c>
      <c r="E1361" t="str">
        <f>VLOOKUP(D1361,name!A:B,2,1)</f>
        <v>Player</v>
      </c>
      <c r="F1361" t="str">
        <f t="shared" si="1696"/>
        <v>Vous pouvez me donner son nom et son adresse?</v>
      </c>
      <c r="G1361" t="str">
        <f t="shared" ref="G1361" si="1747">IF(B1361&lt;&gt;B1771,"e",IF(D1361=0,"q","a"))</f>
        <v>e</v>
      </c>
      <c r="H1361" t="str">
        <f>VLOOKUP(D1361,name!A:C,3,1)</f>
        <v>assets/icons/image326.png</v>
      </c>
      <c r="I1361" t="str">
        <f>IF(A1361="","",VLOOKUP(A1361,lng!A:B,2,0))</f>
        <v>fr-FR</v>
      </c>
    </row>
    <row r="1362" spans="1:12" x14ac:dyDescent="0.15">
      <c r="A1362" t="str">
        <f t="shared" ref="A1362:B1362" si="1748">A1361</f>
        <v>フランス語</v>
      </c>
      <c r="B1362">
        <f t="shared" si="1748"/>
        <v>16</v>
      </c>
      <c r="C1362">
        <f t="shared" si="1669"/>
        <v>109</v>
      </c>
      <c r="D1362">
        <f>D1285</f>
        <v>22</v>
      </c>
      <c r="E1362" t="str">
        <f>VLOOKUP(D1362,name!A:B,2,1)</f>
        <v>Agent de police</v>
      </c>
      <c r="F1362" t="str">
        <f t="shared" si="1696"/>
        <v>はい、少しお待ちください。</v>
      </c>
      <c r="G1362" t="str">
        <f t="shared" ref="G1362:G1425" si="1749">IF(B1362&lt;&gt;B1363,"e",IF(D1362=0,"q","a"))</f>
        <v>a</v>
      </c>
      <c r="H1362" t="str">
        <f>VLOOKUP(D1362,name!A:C,3,1)</f>
        <v>assets/icons/image052.png</v>
      </c>
      <c r="I1362" t="s">
        <v>463</v>
      </c>
    </row>
    <row r="1363" spans="1:12" x14ac:dyDescent="0.15">
      <c r="A1363" t="str">
        <f t="shared" ref="A1363:B1363" si="1750">A1362</f>
        <v>フランス語</v>
      </c>
      <c r="B1363">
        <f t="shared" si="1750"/>
        <v>16</v>
      </c>
      <c r="C1363">
        <f t="shared" si="1669"/>
        <v>110</v>
      </c>
      <c r="D1363">
        <v>0</v>
      </c>
      <c r="E1363" t="str">
        <f>VLOOKUP(D1363,name!A:B,2,1)</f>
        <v>Player</v>
      </c>
      <c r="F1363" t="str">
        <f t="shared" si="1696"/>
        <v>Oui, une seconde, s'il vous plaît.</v>
      </c>
      <c r="G1363" t="str">
        <f t="shared" ref="G1363" si="1751">IF(B1363&lt;&gt;B2304,"e",IF(D1363=0,"q","a"))</f>
        <v>e</v>
      </c>
      <c r="H1363" t="str">
        <f>VLOOKUP(D1363,name!A:C,3,1)</f>
        <v>assets/icons/image326.png</v>
      </c>
      <c r="I1363" t="str">
        <f>IF(A1363="","",VLOOKUP(A1363,lng!A:B,2,0))</f>
        <v>fr-FR</v>
      </c>
    </row>
    <row r="1364" spans="1:12" x14ac:dyDescent="0.15">
      <c r="A1364" t="str">
        <f t="shared" ref="A1364:B1364" si="1752">A1363</f>
        <v>フランス語</v>
      </c>
      <c r="B1364">
        <f t="shared" si="1752"/>
        <v>16</v>
      </c>
      <c r="C1364">
        <f t="shared" si="1669"/>
        <v>111</v>
      </c>
      <c r="D1364">
        <v>1</v>
      </c>
      <c r="E1364" t="str">
        <f>VLOOKUP(D1364,name!A:B,2,1)</f>
        <v>Navigator</v>
      </c>
      <c r="F1364" t="str">
        <f>"とても良くできました。レッスン"&amp;B1364&amp;"はこれで終了です。"</f>
        <v>とても良くできました。レッスン16はこれで終了です。</v>
      </c>
      <c r="G1364" t="str">
        <f t="shared" ref="G1364" si="1753">IF(B1364&lt;&gt;B1774,"e",IF(D1364=0,"q","a"))</f>
        <v>e</v>
      </c>
      <c r="H1364" t="str">
        <f>VLOOKUP(D1364,name!A:C,3,1)</f>
        <v>assets/icons/image014.png</v>
      </c>
      <c r="I1364" t="s">
        <v>463</v>
      </c>
    </row>
    <row r="1365" spans="1:12" x14ac:dyDescent="0.15">
      <c r="A1365" t="str">
        <f>A1364</f>
        <v>フランス語</v>
      </c>
      <c r="B1365">
        <f>B1364+1</f>
        <v>17</v>
      </c>
      <c r="C1365">
        <v>1</v>
      </c>
      <c r="D1365">
        <v>1</v>
      </c>
      <c r="E1365" t="str">
        <f>VLOOKUP(D1365,name!A:B,2,1)</f>
        <v>Navigator</v>
      </c>
      <c r="F1365" t="s">
        <v>799</v>
      </c>
      <c r="G1365" t="str">
        <f t="shared" ref="G1365:G1428" si="1754">IF(B1365&lt;&gt;B1366,"e",IF(D1365=0,"q","a"))</f>
        <v>a</v>
      </c>
      <c r="H1365" t="str">
        <f>VLOOKUP(D1365,name!A:C,3,1)</f>
        <v>assets/icons/image014.png</v>
      </c>
      <c r="I1365" t="str">
        <f>IF(A1365="","",VLOOKUP(A1365,lng!A:B,2,0))</f>
        <v>fr-FR</v>
      </c>
    </row>
    <row r="1366" spans="1:12" x14ac:dyDescent="0.15">
      <c r="A1366" t="str">
        <f t="shared" ref="A1366:B1381" si="1755">A1365</f>
        <v>フランス語</v>
      </c>
      <c r="B1366">
        <f>B1365</f>
        <v>17</v>
      </c>
      <c r="C1366">
        <f>C1365+1</f>
        <v>2</v>
      </c>
      <c r="D1366">
        <v>1</v>
      </c>
      <c r="E1366" t="str">
        <f>VLOOKUP(D1366,name!A:B,2,1)</f>
        <v>Navigator</v>
      </c>
      <c r="F1366" t="str">
        <f>"レッスン"&amp;B1366</f>
        <v>レッスン17</v>
      </c>
      <c r="G1366" t="str">
        <f t="shared" si="1754"/>
        <v>a</v>
      </c>
      <c r="H1366" t="str">
        <f>VLOOKUP(D1366,name!A:C,3,1)</f>
        <v>assets/icons/image014.png</v>
      </c>
      <c r="I1366" t="s">
        <v>463</v>
      </c>
    </row>
    <row r="1367" spans="1:12" ht="40.5" x14ac:dyDescent="0.15">
      <c r="A1367" t="str">
        <f t="shared" si="1755"/>
        <v>フランス語</v>
      </c>
      <c r="B1367">
        <f t="shared" si="1755"/>
        <v>17</v>
      </c>
      <c r="C1367">
        <f t="shared" ref="C1367:C1430" si="1756">C1366+1</f>
        <v>3</v>
      </c>
      <c r="D1367">
        <v>1</v>
      </c>
      <c r="E1367" t="str">
        <f>VLOOKUP(D1367,name!A:B,2,1)</f>
        <v>Navigator</v>
      </c>
      <c r="F1367" s="1" t="str">
        <f>"まずは対話文を流します。その後に、日本語と"&amp;A1367&amp;"を一文ずつ流すので"&amp;A1367&amp;"を真似して下さい。最後に日本語のみを流すので、"&amp;A1367&amp;"で答えてください。"</f>
        <v>まずは対話文を流します。その後に、日本語とフランス語を一文ずつ流すのでフランス語を真似して下さい。最後に日本語のみを流すので、フランス語で答えてください。</v>
      </c>
      <c r="G1367" t="str">
        <f t="shared" ref="G1367" si="1757">IF(B1367&lt;&gt;B2308,"e",IF(D1367=0,"q","a"))</f>
        <v>e</v>
      </c>
      <c r="H1367" t="str">
        <f>VLOOKUP(D1367,name!A:C,3,1)</f>
        <v>assets/icons/image014.png</v>
      </c>
      <c r="I1367" t="s">
        <v>463</v>
      </c>
      <c r="L1367" s="1"/>
    </row>
    <row r="1368" spans="1:12" x14ac:dyDescent="0.15">
      <c r="A1368" t="str">
        <f t="shared" si="1755"/>
        <v>フランス語</v>
      </c>
      <c r="B1368">
        <f t="shared" si="1755"/>
        <v>17</v>
      </c>
      <c r="C1368">
        <f t="shared" si="1756"/>
        <v>4</v>
      </c>
      <c r="D1368">
        <f>D1369</f>
        <v>6</v>
      </c>
      <c r="E1368" t="str">
        <f>VLOOKUP(D1368,name!A:B,2,1)</f>
        <v>Céline</v>
      </c>
      <c r="F1368" t="s">
        <v>812</v>
      </c>
      <c r="G1368" t="str">
        <f t="shared" ref="G1368" si="1758">IF(B1368&lt;&gt;B1778,"e",IF(D1368=0,"q","a"))</f>
        <v>e</v>
      </c>
      <c r="H1368" t="str">
        <f>VLOOKUP(D1368,name!A:C,3,1)</f>
        <v>assets/icons/image078.png</v>
      </c>
      <c r="I1368" t="s">
        <v>463</v>
      </c>
    </row>
    <row r="1369" spans="1:12" x14ac:dyDescent="0.15">
      <c r="A1369" t="str">
        <f t="shared" si="1755"/>
        <v>フランス語</v>
      </c>
      <c r="B1369">
        <f t="shared" si="1755"/>
        <v>17</v>
      </c>
      <c r="C1369">
        <f t="shared" si="1756"/>
        <v>5</v>
      </c>
      <c r="D1369">
        <v>6</v>
      </c>
      <c r="E1369" t="str">
        <f>VLOOKUP(D1369,name!A:B,2,1)</f>
        <v>Céline</v>
      </c>
      <c r="F1369" t="s">
        <v>800</v>
      </c>
      <c r="G1369" t="str">
        <f t="shared" ref="G1369:G1432" si="1759">IF(B1369&lt;&gt;B1370,"e",IF(D1369=0,"q","a"))</f>
        <v>a</v>
      </c>
      <c r="H1369" t="str">
        <f>VLOOKUP(D1369,name!A:C,3,1)</f>
        <v>assets/icons/image078.png</v>
      </c>
      <c r="I1369" t="str">
        <f>IF(A1369="","",VLOOKUP(A1369,lng!A:B,2,0))</f>
        <v>fr-FR</v>
      </c>
    </row>
    <row r="1370" spans="1:12" x14ac:dyDescent="0.15">
      <c r="A1370" t="str">
        <f t="shared" si="1755"/>
        <v>フランス語</v>
      </c>
      <c r="B1370">
        <f t="shared" si="1755"/>
        <v>17</v>
      </c>
      <c r="C1370">
        <f t="shared" si="1756"/>
        <v>6</v>
      </c>
      <c r="D1370">
        <f t="shared" ref="D1370:D1390" si="1760">D1371</f>
        <v>5</v>
      </c>
      <c r="E1370" t="str">
        <f>VLOOKUP(D1370,name!A:B,2,1)</f>
        <v>Minako</v>
      </c>
      <c r="F1370" t="s">
        <v>813</v>
      </c>
      <c r="G1370" t="str">
        <f t="shared" ref="G1370" si="1761">IF(B1370&lt;&gt;B2311,"e",IF(D1370=0,"q","a"))</f>
        <v>e</v>
      </c>
      <c r="H1370" t="str">
        <f>VLOOKUP(D1370,name!A:C,3,1)</f>
        <v>assets/icons/image086.png</v>
      </c>
      <c r="I1370" t="s">
        <v>463</v>
      </c>
    </row>
    <row r="1371" spans="1:12" x14ac:dyDescent="0.15">
      <c r="A1371" t="str">
        <f t="shared" si="1755"/>
        <v>フランス語</v>
      </c>
      <c r="B1371">
        <f t="shared" si="1755"/>
        <v>17</v>
      </c>
      <c r="C1371">
        <f t="shared" si="1756"/>
        <v>7</v>
      </c>
      <c r="D1371">
        <f t="shared" si="1760"/>
        <v>5</v>
      </c>
      <c r="E1371" t="str">
        <f>VLOOKUP(D1371,name!A:B,2,1)</f>
        <v>Minako</v>
      </c>
      <c r="F1371" t="s">
        <v>801</v>
      </c>
      <c r="G1371" t="str">
        <f t="shared" ref="G1371" si="1762">IF(B1371&lt;&gt;B1781,"e",IF(D1371=0,"q","a"))</f>
        <v>e</v>
      </c>
      <c r="H1371" t="str">
        <f>VLOOKUP(D1371,name!A:C,3,1)</f>
        <v>assets/icons/image086.png</v>
      </c>
      <c r="I1371" t="str">
        <f>IF(A1371="","",VLOOKUP(A1371,lng!A:B,2,0))</f>
        <v>fr-FR</v>
      </c>
    </row>
    <row r="1372" spans="1:12" x14ac:dyDescent="0.15">
      <c r="A1372" t="str">
        <f t="shared" si="1755"/>
        <v>フランス語</v>
      </c>
      <c r="B1372">
        <f t="shared" si="1755"/>
        <v>17</v>
      </c>
      <c r="C1372">
        <f t="shared" si="1756"/>
        <v>8</v>
      </c>
      <c r="D1372">
        <f t="shared" si="1760"/>
        <v>5</v>
      </c>
      <c r="E1372" t="str">
        <f>VLOOKUP(D1372,name!A:B,2,1)</f>
        <v>Minako</v>
      </c>
      <c r="F1372" t="s">
        <v>814</v>
      </c>
      <c r="G1372" t="str">
        <f t="shared" ref="G1372:G1435" si="1763">IF(B1372&lt;&gt;B1373,"e",IF(D1372=0,"q","a"))</f>
        <v>a</v>
      </c>
      <c r="H1372" t="str">
        <f>VLOOKUP(D1372,name!A:C,3,1)</f>
        <v>assets/icons/image086.png</v>
      </c>
      <c r="I1372" t="s">
        <v>463</v>
      </c>
    </row>
    <row r="1373" spans="1:12" x14ac:dyDescent="0.15">
      <c r="A1373" t="str">
        <f t="shared" si="1755"/>
        <v>フランス語</v>
      </c>
      <c r="B1373">
        <f t="shared" si="1755"/>
        <v>17</v>
      </c>
      <c r="C1373">
        <f t="shared" si="1756"/>
        <v>9</v>
      </c>
      <c r="D1373">
        <v>5</v>
      </c>
      <c r="E1373" t="str">
        <f>VLOOKUP(D1373,name!A:B,2,1)</f>
        <v>Minako</v>
      </c>
      <c r="F1373" t="s">
        <v>802</v>
      </c>
      <c r="G1373" t="str">
        <f t="shared" si="1763"/>
        <v>a</v>
      </c>
      <c r="H1373" t="str">
        <f>VLOOKUP(D1373,name!A:C,3,1)</f>
        <v>assets/icons/image086.png</v>
      </c>
      <c r="I1373" t="str">
        <f>IF(A1373="","",VLOOKUP(A1373,lng!A:B,2,0))</f>
        <v>fr-FR</v>
      </c>
    </row>
    <row r="1374" spans="1:12" x14ac:dyDescent="0.15">
      <c r="A1374" t="str">
        <f t="shared" si="1755"/>
        <v>フランス語</v>
      </c>
      <c r="B1374">
        <f t="shared" si="1755"/>
        <v>17</v>
      </c>
      <c r="C1374">
        <f t="shared" si="1756"/>
        <v>10</v>
      </c>
      <c r="D1374">
        <f t="shared" si="1760"/>
        <v>7</v>
      </c>
      <c r="E1374" t="str">
        <f>VLOOKUP(D1374,name!A:B,2,1)</f>
        <v>Luigi</v>
      </c>
      <c r="F1374" t="s">
        <v>815</v>
      </c>
      <c r="G1374" t="str">
        <f t="shared" ref="G1374" si="1764">IF(B1374&lt;&gt;B2315,"e",IF(D1374=0,"q","a"))</f>
        <v>e</v>
      </c>
      <c r="H1374" t="str">
        <f>VLOOKUP(D1374,name!A:C,3,1)</f>
        <v>assets/icons/image023.png</v>
      </c>
      <c r="I1374" t="s">
        <v>463</v>
      </c>
    </row>
    <row r="1375" spans="1:12" x14ac:dyDescent="0.15">
      <c r="A1375" t="str">
        <f t="shared" si="1755"/>
        <v>フランス語</v>
      </c>
      <c r="B1375">
        <f t="shared" si="1755"/>
        <v>17</v>
      </c>
      <c r="C1375">
        <f t="shared" si="1756"/>
        <v>11</v>
      </c>
      <c r="D1375">
        <f t="shared" si="1760"/>
        <v>7</v>
      </c>
      <c r="E1375" t="str">
        <f>VLOOKUP(D1375,name!A:B,2,1)</f>
        <v>Luigi</v>
      </c>
      <c r="F1375" t="s">
        <v>803</v>
      </c>
      <c r="G1375" t="str">
        <f t="shared" ref="G1375" si="1765">IF(B1375&lt;&gt;B1785,"e",IF(D1375=0,"q","a"))</f>
        <v>e</v>
      </c>
      <c r="H1375" t="str">
        <f>VLOOKUP(D1375,name!A:C,3,1)</f>
        <v>assets/icons/image023.png</v>
      </c>
      <c r="I1375" t="str">
        <f>IF(A1375="","",VLOOKUP(A1375,lng!A:B,2,0))</f>
        <v>fr-FR</v>
      </c>
    </row>
    <row r="1376" spans="1:12" x14ac:dyDescent="0.15">
      <c r="A1376" t="str">
        <f t="shared" si="1755"/>
        <v>フランス語</v>
      </c>
      <c r="B1376">
        <f t="shared" si="1755"/>
        <v>17</v>
      </c>
      <c r="C1376">
        <f t="shared" si="1756"/>
        <v>12</v>
      </c>
      <c r="D1376">
        <f t="shared" si="1760"/>
        <v>7</v>
      </c>
      <c r="E1376" t="str">
        <f>VLOOKUP(D1376,name!A:B,2,1)</f>
        <v>Luigi</v>
      </c>
      <c r="F1376" t="s">
        <v>816</v>
      </c>
      <c r="G1376" t="str">
        <f t="shared" ref="G1376:G1439" si="1766">IF(B1376&lt;&gt;B1377,"e",IF(D1376=0,"q","a"))</f>
        <v>a</v>
      </c>
      <c r="H1376" t="str">
        <f>VLOOKUP(D1376,name!A:C,3,1)</f>
        <v>assets/icons/image023.png</v>
      </c>
      <c r="I1376" t="s">
        <v>463</v>
      </c>
    </row>
    <row r="1377" spans="1:9" x14ac:dyDescent="0.15">
      <c r="A1377" t="str">
        <f t="shared" si="1755"/>
        <v>フランス語</v>
      </c>
      <c r="B1377">
        <f t="shared" si="1755"/>
        <v>17</v>
      </c>
      <c r="C1377">
        <f t="shared" si="1756"/>
        <v>13</v>
      </c>
      <c r="D1377">
        <v>7</v>
      </c>
      <c r="E1377" t="str">
        <f>VLOOKUP(D1377,name!A:B,2,1)</f>
        <v>Luigi</v>
      </c>
      <c r="F1377" t="s">
        <v>805</v>
      </c>
      <c r="G1377" t="str">
        <f t="shared" ref="G1377" si="1767">IF(B1377&lt;&gt;B2318,"e",IF(D1377=0,"q","a"))</f>
        <v>e</v>
      </c>
      <c r="H1377" t="str">
        <f>VLOOKUP(D1377,name!A:C,3,1)</f>
        <v>assets/icons/image023.png</v>
      </c>
      <c r="I1377" t="str">
        <f>IF(A1377="","",VLOOKUP(A1377,lng!A:B,2,0))</f>
        <v>fr-FR</v>
      </c>
    </row>
    <row r="1378" spans="1:9" x14ac:dyDescent="0.15">
      <c r="A1378" t="str">
        <f t="shared" si="1755"/>
        <v>フランス語</v>
      </c>
      <c r="B1378">
        <f t="shared" si="1755"/>
        <v>17</v>
      </c>
      <c r="C1378">
        <f t="shared" si="1756"/>
        <v>14</v>
      </c>
      <c r="D1378">
        <f t="shared" si="1760"/>
        <v>5</v>
      </c>
      <c r="E1378" t="str">
        <f>VLOOKUP(D1378,name!A:B,2,1)</f>
        <v>Minako</v>
      </c>
      <c r="F1378" t="s">
        <v>817</v>
      </c>
      <c r="G1378" t="str">
        <f t="shared" ref="G1378" si="1768">IF(B1378&lt;&gt;B1788,"e",IF(D1378=0,"q","a"))</f>
        <v>e</v>
      </c>
      <c r="H1378" t="str">
        <f>VLOOKUP(D1378,name!A:C,3,1)</f>
        <v>assets/icons/image086.png</v>
      </c>
      <c r="I1378" t="s">
        <v>463</v>
      </c>
    </row>
    <row r="1379" spans="1:9" x14ac:dyDescent="0.15">
      <c r="A1379" t="str">
        <f t="shared" si="1755"/>
        <v>フランス語</v>
      </c>
      <c r="B1379">
        <f t="shared" si="1755"/>
        <v>17</v>
      </c>
      <c r="C1379">
        <f t="shared" si="1756"/>
        <v>15</v>
      </c>
      <c r="D1379">
        <v>5</v>
      </c>
      <c r="E1379" t="str">
        <f>VLOOKUP(D1379,name!A:B,2,1)</f>
        <v>Minako</v>
      </c>
      <c r="F1379" t="s">
        <v>804</v>
      </c>
      <c r="G1379" t="str">
        <f t="shared" ref="G1379:G1442" si="1769">IF(B1379&lt;&gt;B1380,"e",IF(D1379=0,"q","a"))</f>
        <v>a</v>
      </c>
      <c r="H1379" t="str">
        <f>VLOOKUP(D1379,name!A:C,3,1)</f>
        <v>assets/icons/image086.png</v>
      </c>
      <c r="I1379" t="str">
        <f>IF(A1379="","",VLOOKUP(A1379,lng!A:B,2,0))</f>
        <v>fr-FR</v>
      </c>
    </row>
    <row r="1380" spans="1:9" x14ac:dyDescent="0.15">
      <c r="A1380" t="str">
        <f t="shared" si="1755"/>
        <v>フランス語</v>
      </c>
      <c r="B1380">
        <f t="shared" si="1755"/>
        <v>17</v>
      </c>
      <c r="C1380">
        <f t="shared" si="1756"/>
        <v>16</v>
      </c>
      <c r="D1380">
        <f t="shared" si="1760"/>
        <v>6</v>
      </c>
      <c r="E1380" t="str">
        <f>VLOOKUP(D1380,name!A:B,2,1)</f>
        <v>Céline</v>
      </c>
      <c r="F1380" t="s">
        <v>818</v>
      </c>
      <c r="G1380" t="str">
        <f t="shared" si="1769"/>
        <v>a</v>
      </c>
      <c r="H1380" t="str">
        <f>VLOOKUP(D1380,name!A:C,3,1)</f>
        <v>assets/icons/image078.png</v>
      </c>
      <c r="I1380" t="s">
        <v>463</v>
      </c>
    </row>
    <row r="1381" spans="1:9" x14ac:dyDescent="0.15">
      <c r="A1381" t="str">
        <f t="shared" si="1755"/>
        <v>フランス語</v>
      </c>
      <c r="B1381">
        <f t="shared" si="1755"/>
        <v>17</v>
      </c>
      <c r="C1381">
        <f t="shared" si="1756"/>
        <v>17</v>
      </c>
      <c r="D1381">
        <f t="shared" si="1760"/>
        <v>6</v>
      </c>
      <c r="E1381" t="str">
        <f>VLOOKUP(D1381,name!A:B,2,1)</f>
        <v>Céline</v>
      </c>
      <c r="F1381" t="s">
        <v>806</v>
      </c>
      <c r="G1381" t="str">
        <f t="shared" ref="G1381" si="1770">IF(B1381&lt;&gt;B2322,"e",IF(D1381=0,"q","a"))</f>
        <v>e</v>
      </c>
      <c r="H1381" t="str">
        <f>VLOOKUP(D1381,name!A:C,3,1)</f>
        <v>assets/icons/image078.png</v>
      </c>
      <c r="I1381" t="str">
        <f>IF(A1381="","",VLOOKUP(A1381,lng!A:B,2,0))</f>
        <v>fr-FR</v>
      </c>
    </row>
    <row r="1382" spans="1:9" x14ac:dyDescent="0.15">
      <c r="A1382" t="str">
        <f t="shared" ref="A1382:B1391" si="1771">A1381</f>
        <v>フランス語</v>
      </c>
      <c r="B1382">
        <f t="shared" si="1771"/>
        <v>17</v>
      </c>
      <c r="C1382">
        <f t="shared" si="1756"/>
        <v>18</v>
      </c>
      <c r="D1382">
        <f t="shared" si="1760"/>
        <v>6</v>
      </c>
      <c r="E1382" t="str">
        <f>VLOOKUP(D1382,name!A:B,2,1)</f>
        <v>Céline</v>
      </c>
      <c r="F1382" t="s">
        <v>819</v>
      </c>
      <c r="G1382" t="str">
        <f t="shared" ref="G1382" si="1772">IF(B1382&lt;&gt;B1792,"e",IF(D1382=0,"q","a"))</f>
        <v>e</v>
      </c>
      <c r="H1382" t="str">
        <f>VLOOKUP(D1382,name!A:C,3,1)</f>
        <v>assets/icons/image078.png</v>
      </c>
      <c r="I1382" t="s">
        <v>463</v>
      </c>
    </row>
    <row r="1383" spans="1:9" x14ac:dyDescent="0.15">
      <c r="A1383" t="str">
        <f t="shared" si="1771"/>
        <v>フランス語</v>
      </c>
      <c r="B1383">
        <f t="shared" si="1771"/>
        <v>17</v>
      </c>
      <c r="C1383">
        <f t="shared" si="1756"/>
        <v>19</v>
      </c>
      <c r="D1383">
        <v>6</v>
      </c>
      <c r="E1383" t="str">
        <f>VLOOKUP(D1383,name!A:B,2,1)</f>
        <v>Céline</v>
      </c>
      <c r="F1383" t="s">
        <v>807</v>
      </c>
      <c r="G1383" t="str">
        <f t="shared" ref="G1383:G1446" si="1773">IF(B1383&lt;&gt;B1384,"e",IF(D1383=0,"q","a"))</f>
        <v>a</v>
      </c>
      <c r="H1383" t="str">
        <f>VLOOKUP(D1383,name!A:C,3,1)</f>
        <v>assets/icons/image078.png</v>
      </c>
      <c r="I1383" t="str">
        <f>IF(A1383="","",VLOOKUP(A1383,lng!A:B,2,0))</f>
        <v>fr-FR</v>
      </c>
    </row>
    <row r="1384" spans="1:9" x14ac:dyDescent="0.15">
      <c r="A1384" t="str">
        <f t="shared" si="1771"/>
        <v>フランス語</v>
      </c>
      <c r="B1384">
        <f t="shared" si="1771"/>
        <v>17</v>
      </c>
      <c r="C1384">
        <f t="shared" si="1756"/>
        <v>20</v>
      </c>
      <c r="D1384">
        <f t="shared" si="1760"/>
        <v>7</v>
      </c>
      <c r="E1384" t="str">
        <f>VLOOKUP(D1384,name!A:B,2,1)</f>
        <v>Luigi</v>
      </c>
      <c r="F1384" t="s">
        <v>820</v>
      </c>
      <c r="G1384" t="str">
        <f t="shared" ref="G1384" si="1774">IF(B1384&lt;&gt;B2325,"e",IF(D1384=0,"q","a"))</f>
        <v>e</v>
      </c>
      <c r="H1384" t="str">
        <f>VLOOKUP(D1384,name!A:C,3,1)</f>
        <v>assets/icons/image023.png</v>
      </c>
      <c r="I1384" t="s">
        <v>463</v>
      </c>
    </row>
    <row r="1385" spans="1:9" x14ac:dyDescent="0.15">
      <c r="A1385" t="str">
        <f t="shared" si="1771"/>
        <v>フランス語</v>
      </c>
      <c r="B1385">
        <f t="shared" si="1771"/>
        <v>17</v>
      </c>
      <c r="C1385">
        <f t="shared" si="1756"/>
        <v>21</v>
      </c>
      <c r="D1385">
        <f t="shared" si="1760"/>
        <v>7</v>
      </c>
      <c r="E1385" t="str">
        <f>VLOOKUP(D1385,name!A:B,2,1)</f>
        <v>Luigi</v>
      </c>
      <c r="F1385" t="s">
        <v>808</v>
      </c>
      <c r="G1385" t="str">
        <f t="shared" ref="G1385" si="1775">IF(B1385&lt;&gt;B1795,"e",IF(D1385=0,"q","a"))</f>
        <v>e</v>
      </c>
      <c r="H1385" t="str">
        <f>VLOOKUP(D1385,name!A:C,3,1)</f>
        <v>assets/icons/image023.png</v>
      </c>
      <c r="I1385" t="str">
        <f>IF(A1385="","",VLOOKUP(A1385,lng!A:B,2,0))</f>
        <v>fr-FR</v>
      </c>
    </row>
    <row r="1386" spans="1:9" x14ac:dyDescent="0.15">
      <c r="A1386" t="str">
        <f t="shared" si="1771"/>
        <v>フランス語</v>
      </c>
      <c r="B1386">
        <f t="shared" si="1771"/>
        <v>17</v>
      </c>
      <c r="C1386">
        <f t="shared" si="1756"/>
        <v>22</v>
      </c>
      <c r="D1386">
        <f t="shared" si="1760"/>
        <v>7</v>
      </c>
      <c r="E1386" t="str">
        <f>VLOOKUP(D1386,name!A:B,2,1)</f>
        <v>Luigi</v>
      </c>
      <c r="F1386" t="s">
        <v>821</v>
      </c>
      <c r="G1386" t="str">
        <f t="shared" ref="G1386:G1449" si="1776">IF(B1386&lt;&gt;B1387,"e",IF(D1386=0,"q","a"))</f>
        <v>a</v>
      </c>
      <c r="H1386" t="str">
        <f>VLOOKUP(D1386,name!A:C,3,1)</f>
        <v>assets/icons/image023.png</v>
      </c>
      <c r="I1386" t="s">
        <v>463</v>
      </c>
    </row>
    <row r="1387" spans="1:9" x14ac:dyDescent="0.15">
      <c r="A1387" t="str">
        <f t="shared" si="1771"/>
        <v>フランス語</v>
      </c>
      <c r="B1387">
        <f t="shared" si="1771"/>
        <v>17</v>
      </c>
      <c r="C1387">
        <f t="shared" si="1756"/>
        <v>23</v>
      </c>
      <c r="D1387">
        <v>7</v>
      </c>
      <c r="E1387" t="str">
        <f>VLOOKUP(D1387,name!A:B,2,1)</f>
        <v>Luigi</v>
      </c>
      <c r="F1387" t="s">
        <v>809</v>
      </c>
      <c r="G1387" t="str">
        <f t="shared" si="1776"/>
        <v>a</v>
      </c>
      <c r="H1387" t="str">
        <f>VLOOKUP(D1387,name!A:C,3,1)</f>
        <v>assets/icons/image023.png</v>
      </c>
      <c r="I1387" t="str">
        <f>IF(A1387="","",VLOOKUP(A1387,lng!A:B,2,0))</f>
        <v>fr-FR</v>
      </c>
    </row>
    <row r="1388" spans="1:9" x14ac:dyDescent="0.15">
      <c r="A1388" t="str">
        <f t="shared" si="1771"/>
        <v>フランス語</v>
      </c>
      <c r="B1388">
        <f t="shared" si="1771"/>
        <v>17</v>
      </c>
      <c r="C1388">
        <f t="shared" si="1756"/>
        <v>24</v>
      </c>
      <c r="D1388">
        <f t="shared" si="1760"/>
        <v>7</v>
      </c>
      <c r="E1388" t="str">
        <f>VLOOKUP(D1388,name!A:B,2,1)</f>
        <v>Luigi</v>
      </c>
      <c r="F1388" t="s">
        <v>822</v>
      </c>
      <c r="G1388" t="str">
        <f t="shared" ref="G1388" si="1777">IF(B1388&lt;&gt;B2329,"e",IF(D1388=0,"q","a"))</f>
        <v>e</v>
      </c>
      <c r="H1388" t="str">
        <f>VLOOKUP(D1388,name!A:C,3,1)</f>
        <v>assets/icons/image023.png</v>
      </c>
      <c r="I1388" t="s">
        <v>463</v>
      </c>
    </row>
    <row r="1389" spans="1:9" x14ac:dyDescent="0.15">
      <c r="A1389" t="str">
        <f t="shared" si="1771"/>
        <v>フランス語</v>
      </c>
      <c r="B1389">
        <f t="shared" si="1771"/>
        <v>17</v>
      </c>
      <c r="C1389">
        <f t="shared" si="1756"/>
        <v>25</v>
      </c>
      <c r="D1389">
        <v>7</v>
      </c>
      <c r="E1389" t="str">
        <f>VLOOKUP(D1389,name!A:B,2,1)</f>
        <v>Luigi</v>
      </c>
      <c r="F1389" t="s">
        <v>810</v>
      </c>
      <c r="G1389" t="str">
        <f t="shared" ref="G1389" si="1778">IF(B1389&lt;&gt;B1799,"e",IF(D1389=0,"q","a"))</f>
        <v>e</v>
      </c>
      <c r="H1389" t="str">
        <f>VLOOKUP(D1389,name!A:C,3,1)</f>
        <v>assets/icons/image023.png</v>
      </c>
      <c r="I1389" t="str">
        <f>IF(A1389="","",VLOOKUP(A1389,lng!A:B,2,0))</f>
        <v>fr-FR</v>
      </c>
    </row>
    <row r="1390" spans="1:9" x14ac:dyDescent="0.15">
      <c r="A1390" t="str">
        <f t="shared" si="1771"/>
        <v>フランス語</v>
      </c>
      <c r="B1390">
        <f t="shared" si="1771"/>
        <v>17</v>
      </c>
      <c r="C1390">
        <f t="shared" si="1756"/>
        <v>26</v>
      </c>
      <c r="D1390">
        <f t="shared" si="1760"/>
        <v>5</v>
      </c>
      <c r="E1390" t="str">
        <f>VLOOKUP(D1390,name!A:B,2,1)</f>
        <v>Minako</v>
      </c>
      <c r="F1390" t="s">
        <v>823</v>
      </c>
      <c r="G1390" t="str">
        <f t="shared" ref="G1390:G1453" si="1779">IF(B1390&lt;&gt;B1391,"e",IF(D1390=0,"q","a"))</f>
        <v>a</v>
      </c>
      <c r="H1390" t="str">
        <f>VLOOKUP(D1390,name!A:C,3,1)</f>
        <v>assets/icons/image086.png</v>
      </c>
      <c r="I1390" t="s">
        <v>463</v>
      </c>
    </row>
    <row r="1391" spans="1:9" x14ac:dyDescent="0.15">
      <c r="A1391" t="str">
        <f t="shared" si="1771"/>
        <v>フランス語</v>
      </c>
      <c r="B1391">
        <f t="shared" si="1771"/>
        <v>17</v>
      </c>
      <c r="C1391">
        <f t="shared" si="1756"/>
        <v>27</v>
      </c>
      <c r="D1391">
        <v>5</v>
      </c>
      <c r="E1391" t="str">
        <f>VLOOKUP(D1391,name!A:B,2,1)</f>
        <v>Minako</v>
      </c>
      <c r="F1391" t="s">
        <v>811</v>
      </c>
      <c r="G1391" t="str">
        <f t="shared" ref="G1391" si="1780">IF(B1391&lt;&gt;B2332,"e",IF(D1391=0,"q","a"))</f>
        <v>e</v>
      </c>
      <c r="H1391" t="str">
        <f>VLOOKUP(D1391,name!A:C,3,1)</f>
        <v>assets/icons/image086.png</v>
      </c>
      <c r="I1391" t="str">
        <f>IF(A1391="","",VLOOKUP(A1391,lng!A:B,2,0))</f>
        <v>fr-FR</v>
      </c>
    </row>
    <row r="1392" spans="1:9" x14ac:dyDescent="0.15">
      <c r="A1392" t="str">
        <f t="shared" ref="A1392:B1392" si="1781">A1391</f>
        <v>フランス語</v>
      </c>
      <c r="B1392">
        <f t="shared" si="1781"/>
        <v>17</v>
      </c>
      <c r="C1392">
        <f t="shared" si="1756"/>
        <v>28</v>
      </c>
      <c r="D1392">
        <v>1</v>
      </c>
      <c r="E1392" t="str">
        <f>VLOOKUP(D1392,name!A:B,2,1)</f>
        <v>Navigator</v>
      </c>
      <c r="F1392" t="str">
        <f>"次の"&amp;A1392&amp;"を真似してね！"</f>
        <v>次のフランス語を真似してね！</v>
      </c>
      <c r="G1392" t="str">
        <f t="shared" ref="G1392" si="1782">IF(B1392&lt;&gt;B1802,"e",IF(D1392=0,"q","a"))</f>
        <v>e</v>
      </c>
      <c r="H1392" t="str">
        <f>VLOOKUP(D1392,name!A:C,3,1)</f>
        <v>assets/icons/image014.png</v>
      </c>
      <c r="I1392" t="s">
        <v>463</v>
      </c>
    </row>
    <row r="1393" spans="1:9" x14ac:dyDescent="0.15">
      <c r="A1393" t="str">
        <f t="shared" ref="A1393:B1393" si="1783">A1392</f>
        <v>フランス語</v>
      </c>
      <c r="B1393">
        <f t="shared" si="1783"/>
        <v>17</v>
      </c>
      <c r="C1393">
        <f t="shared" si="1756"/>
        <v>29</v>
      </c>
      <c r="D1393">
        <f>D1368</f>
        <v>6</v>
      </c>
      <c r="E1393" t="str">
        <f>VLOOKUP(D1393,name!A:B,2,1)</f>
        <v>Céline</v>
      </c>
      <c r="F1393" t="str">
        <f>F1368</f>
        <v>美奈子さん、今後はどうするつもりですか?</v>
      </c>
      <c r="G1393" t="str">
        <f t="shared" ref="G1393:G1456" si="1784">IF(B1393&lt;&gt;B1394,"e",IF(D1393=0,"q","a"))</f>
        <v>a</v>
      </c>
      <c r="H1393" t="str">
        <f>VLOOKUP(D1393,name!A:C,3,1)</f>
        <v>assets/icons/image078.png</v>
      </c>
      <c r="I1393" t="s">
        <v>463</v>
      </c>
    </row>
    <row r="1394" spans="1:9" x14ac:dyDescent="0.15">
      <c r="A1394" t="str">
        <f t="shared" ref="A1394:B1394" si="1785">A1393</f>
        <v>フランス語</v>
      </c>
      <c r="B1394">
        <f t="shared" si="1785"/>
        <v>17</v>
      </c>
      <c r="C1394">
        <f t="shared" si="1756"/>
        <v>30</v>
      </c>
      <c r="D1394">
        <f>D1369</f>
        <v>6</v>
      </c>
      <c r="E1394" t="str">
        <f>VLOOKUP(D1394,name!A:B,2,1)</f>
        <v>Céline</v>
      </c>
      <c r="F1394" t="str">
        <f>F1369</f>
        <v>Minako, qu'est-ce que tu penses faire dans l'avenir ?</v>
      </c>
      <c r="G1394" t="str">
        <f t="shared" si="1784"/>
        <v>a</v>
      </c>
      <c r="H1394" t="str">
        <f>VLOOKUP(D1394,name!A:C,3,1)</f>
        <v>assets/icons/image078.png</v>
      </c>
      <c r="I1394" t="str">
        <f>IF(A1394="","",VLOOKUP(A1394,lng!A:B,2,0))</f>
        <v>fr-FR</v>
      </c>
    </row>
    <row r="1395" spans="1:9" x14ac:dyDescent="0.15">
      <c r="A1395" t="str">
        <f t="shared" ref="A1395:B1395" si="1786">A1394</f>
        <v>フランス語</v>
      </c>
      <c r="B1395">
        <f t="shared" si="1786"/>
        <v>17</v>
      </c>
      <c r="C1395">
        <f t="shared" si="1756"/>
        <v>31</v>
      </c>
      <c r="D1395">
        <v>0</v>
      </c>
      <c r="E1395" t="str">
        <f>VLOOKUP(D1395,name!A:B,2,1)</f>
        <v>Player</v>
      </c>
      <c r="F1395" t="str">
        <f>F1369</f>
        <v>Minako, qu'est-ce que tu penses faire dans l'avenir ?</v>
      </c>
      <c r="G1395" t="str">
        <f t="shared" ref="G1395" si="1787">IF(B1395&lt;&gt;B2336,"e",IF(D1395=0,"q","a"))</f>
        <v>e</v>
      </c>
      <c r="H1395" t="str">
        <f>VLOOKUP(D1395,name!A:C,3,1)</f>
        <v>assets/icons/image326.png</v>
      </c>
      <c r="I1395" t="str">
        <f>IF(A1395="","",VLOOKUP(A1395,lng!A:B,2,0))</f>
        <v>fr-FR</v>
      </c>
    </row>
    <row r="1396" spans="1:9" x14ac:dyDescent="0.15">
      <c r="A1396" t="str">
        <f t="shared" ref="A1396:B1396" si="1788">A1395</f>
        <v>フランス語</v>
      </c>
      <c r="B1396">
        <f t="shared" si="1788"/>
        <v>17</v>
      </c>
      <c r="C1396">
        <f t="shared" si="1756"/>
        <v>32</v>
      </c>
      <c r="D1396">
        <f>D1370</f>
        <v>5</v>
      </c>
      <c r="E1396" t="str">
        <f>VLOOKUP(D1396,name!A:B,2,1)</f>
        <v>Minako</v>
      </c>
      <c r="F1396" t="str">
        <f>F1370</f>
        <v>旅行会社で働きたいと思っています。</v>
      </c>
      <c r="G1396" t="str">
        <f t="shared" ref="G1396" si="1789">IF(B1396&lt;&gt;B1806,"e",IF(D1396=0,"q","a"))</f>
        <v>e</v>
      </c>
      <c r="H1396" t="str">
        <f>VLOOKUP(D1396,name!A:C,3,1)</f>
        <v>assets/icons/image086.png</v>
      </c>
      <c r="I1396" t="s">
        <v>463</v>
      </c>
    </row>
    <row r="1397" spans="1:9" x14ac:dyDescent="0.15">
      <c r="A1397" t="str">
        <f t="shared" ref="A1397:B1397" si="1790">A1396</f>
        <v>フランス語</v>
      </c>
      <c r="B1397">
        <f t="shared" si="1790"/>
        <v>17</v>
      </c>
      <c r="C1397">
        <f t="shared" si="1756"/>
        <v>33</v>
      </c>
      <c r="D1397">
        <f>D1371</f>
        <v>5</v>
      </c>
      <c r="E1397" t="str">
        <f>VLOOKUP(D1397,name!A:B,2,1)</f>
        <v>Minako</v>
      </c>
      <c r="F1397" t="str">
        <f>F1371</f>
        <v>J'espère travailler dans une agence de voyages.</v>
      </c>
      <c r="G1397" t="str">
        <f t="shared" ref="G1397:G1460" si="1791">IF(B1397&lt;&gt;B1398,"e",IF(D1397=0,"q","a"))</f>
        <v>a</v>
      </c>
      <c r="H1397" t="str">
        <f>VLOOKUP(D1397,name!A:C,3,1)</f>
        <v>assets/icons/image086.png</v>
      </c>
      <c r="I1397" t="str">
        <f>IF(A1397="","",VLOOKUP(A1397,lng!A:B,2,0))</f>
        <v>fr-FR</v>
      </c>
    </row>
    <row r="1398" spans="1:9" x14ac:dyDescent="0.15">
      <c r="A1398" t="str">
        <f t="shared" ref="A1398:B1398" si="1792">A1397</f>
        <v>フランス語</v>
      </c>
      <c r="B1398">
        <f t="shared" si="1792"/>
        <v>17</v>
      </c>
      <c r="C1398">
        <f t="shared" si="1756"/>
        <v>34</v>
      </c>
      <c r="D1398">
        <v>0</v>
      </c>
      <c r="E1398" t="str">
        <f>VLOOKUP(D1398,name!A:B,2,1)</f>
        <v>Player</v>
      </c>
      <c r="F1398" t="str">
        <f>F1371</f>
        <v>J'espère travailler dans une agence de voyages.</v>
      </c>
      <c r="G1398" t="str">
        <f t="shared" ref="G1398" si="1793">IF(B1398&lt;&gt;B2339,"e",IF(D1398=0,"q","a"))</f>
        <v>e</v>
      </c>
      <c r="H1398" t="str">
        <f>VLOOKUP(D1398,name!A:C,3,1)</f>
        <v>assets/icons/image326.png</v>
      </c>
      <c r="I1398" t="str">
        <f>IF(A1398="","",VLOOKUP(A1398,lng!A:B,2,0))</f>
        <v>fr-FR</v>
      </c>
    </row>
    <row r="1399" spans="1:9" x14ac:dyDescent="0.15">
      <c r="A1399" t="str">
        <f t="shared" ref="A1399:B1399" si="1794">A1398</f>
        <v>フランス語</v>
      </c>
      <c r="B1399">
        <f t="shared" si="1794"/>
        <v>17</v>
      </c>
      <c r="C1399">
        <f t="shared" si="1756"/>
        <v>35</v>
      </c>
      <c r="D1399">
        <f>D1372</f>
        <v>5</v>
      </c>
      <c r="E1399" t="str">
        <f>VLOOKUP(D1399,name!A:B,2,1)</f>
        <v>Minako</v>
      </c>
      <c r="F1399" t="str">
        <f>F1372</f>
        <v>私は世界中を旅します。</v>
      </c>
      <c r="G1399" t="str">
        <f t="shared" ref="G1399" si="1795">IF(B1399&lt;&gt;B1809,"e",IF(D1399=0,"q","a"))</f>
        <v>e</v>
      </c>
      <c r="H1399" t="str">
        <f>VLOOKUP(D1399,name!A:C,3,1)</f>
        <v>assets/icons/image086.png</v>
      </c>
      <c r="I1399" t="s">
        <v>463</v>
      </c>
    </row>
    <row r="1400" spans="1:9" x14ac:dyDescent="0.15">
      <c r="A1400" t="str">
        <f t="shared" ref="A1400:B1400" si="1796">A1399</f>
        <v>フランス語</v>
      </c>
      <c r="B1400">
        <f t="shared" si="1796"/>
        <v>17</v>
      </c>
      <c r="C1400">
        <f t="shared" si="1756"/>
        <v>36</v>
      </c>
      <c r="D1400">
        <f>D1373</f>
        <v>5</v>
      </c>
      <c r="E1400" t="str">
        <f>VLOOKUP(D1400,name!A:B,2,1)</f>
        <v>Minako</v>
      </c>
      <c r="F1400" t="str">
        <f>F1373</f>
        <v>Je voyagerai dans le monde entier.</v>
      </c>
      <c r="G1400" t="str">
        <f t="shared" ref="G1400:G1463" si="1797">IF(B1400&lt;&gt;B1401,"e",IF(D1400=0,"q","a"))</f>
        <v>a</v>
      </c>
      <c r="H1400" t="str">
        <f>VLOOKUP(D1400,name!A:C,3,1)</f>
        <v>assets/icons/image086.png</v>
      </c>
      <c r="I1400" t="str">
        <f>IF(A1400="","",VLOOKUP(A1400,lng!A:B,2,0))</f>
        <v>fr-FR</v>
      </c>
    </row>
    <row r="1401" spans="1:9" x14ac:dyDescent="0.15">
      <c r="A1401" t="str">
        <f t="shared" ref="A1401:B1401" si="1798">A1400</f>
        <v>フランス語</v>
      </c>
      <c r="B1401">
        <f t="shared" si="1798"/>
        <v>17</v>
      </c>
      <c r="C1401">
        <f t="shared" si="1756"/>
        <v>37</v>
      </c>
      <c r="D1401">
        <v>0</v>
      </c>
      <c r="E1401" t="str">
        <f>VLOOKUP(D1401,name!A:B,2,1)</f>
        <v>Player</v>
      </c>
      <c r="F1401" t="str">
        <f>F1373</f>
        <v>Je voyagerai dans le monde entier.</v>
      </c>
      <c r="G1401" t="str">
        <f t="shared" si="1797"/>
        <v>q</v>
      </c>
      <c r="H1401" t="str">
        <f>VLOOKUP(D1401,name!A:C,3,1)</f>
        <v>assets/icons/image326.png</v>
      </c>
      <c r="I1401" t="str">
        <f>IF(A1401="","",VLOOKUP(A1401,lng!A:B,2,0))</f>
        <v>fr-FR</v>
      </c>
    </row>
    <row r="1402" spans="1:9" x14ac:dyDescent="0.15">
      <c r="A1402" t="str">
        <f t="shared" ref="A1402:B1402" si="1799">A1401</f>
        <v>フランス語</v>
      </c>
      <c r="B1402">
        <f t="shared" si="1799"/>
        <v>17</v>
      </c>
      <c r="C1402">
        <f t="shared" si="1756"/>
        <v>38</v>
      </c>
      <c r="D1402">
        <f>D1374</f>
        <v>7</v>
      </c>
      <c r="E1402" t="str">
        <f>VLOOKUP(D1402,name!A:B,2,1)</f>
        <v>Luigi</v>
      </c>
      <c r="F1402" t="str">
        <f>F1374</f>
        <v>あなたはフランス語が上手です。</v>
      </c>
      <c r="G1402" t="str">
        <f t="shared" ref="G1402" si="1800">IF(B1402&lt;&gt;B2343,"e",IF(D1402=0,"q","a"))</f>
        <v>e</v>
      </c>
      <c r="H1402" t="str">
        <f>VLOOKUP(D1402,name!A:C,3,1)</f>
        <v>assets/icons/image023.png</v>
      </c>
      <c r="I1402" t="s">
        <v>463</v>
      </c>
    </row>
    <row r="1403" spans="1:9" x14ac:dyDescent="0.15">
      <c r="A1403" t="str">
        <f t="shared" ref="A1403:B1403" si="1801">A1402</f>
        <v>フランス語</v>
      </c>
      <c r="B1403">
        <f t="shared" si="1801"/>
        <v>17</v>
      </c>
      <c r="C1403">
        <f t="shared" si="1756"/>
        <v>39</v>
      </c>
      <c r="D1403">
        <f>D1375</f>
        <v>7</v>
      </c>
      <c r="E1403" t="str">
        <f>VLOOKUP(D1403,name!A:B,2,1)</f>
        <v>Luigi</v>
      </c>
      <c r="F1403" t="str">
        <f>F1375</f>
        <v>Tu parles bien français.</v>
      </c>
      <c r="G1403" t="str">
        <f t="shared" ref="G1403" si="1802">IF(B1403&lt;&gt;B1813,"e",IF(D1403=0,"q","a"))</f>
        <v>e</v>
      </c>
      <c r="H1403" t="str">
        <f>VLOOKUP(D1403,name!A:C,3,1)</f>
        <v>assets/icons/image023.png</v>
      </c>
      <c r="I1403" t="str">
        <f>IF(A1403="","",VLOOKUP(A1403,lng!A:B,2,0))</f>
        <v>fr-FR</v>
      </c>
    </row>
    <row r="1404" spans="1:9" x14ac:dyDescent="0.15">
      <c r="A1404" t="str">
        <f t="shared" ref="A1404:B1404" si="1803">A1403</f>
        <v>フランス語</v>
      </c>
      <c r="B1404">
        <f t="shared" si="1803"/>
        <v>17</v>
      </c>
      <c r="C1404">
        <f t="shared" si="1756"/>
        <v>40</v>
      </c>
      <c r="D1404">
        <v>0</v>
      </c>
      <c r="E1404" t="str">
        <f>VLOOKUP(D1404,name!A:B,2,1)</f>
        <v>Player</v>
      </c>
      <c r="F1404" t="str">
        <f>F1375</f>
        <v>Tu parles bien français.</v>
      </c>
      <c r="G1404" t="str">
        <f t="shared" ref="G1404:G1467" si="1804">IF(B1404&lt;&gt;B1405,"e",IF(D1404=0,"q","a"))</f>
        <v>q</v>
      </c>
      <c r="H1404" t="str">
        <f>VLOOKUP(D1404,name!A:C,3,1)</f>
        <v>assets/icons/image326.png</v>
      </c>
      <c r="I1404" t="str">
        <f>IF(A1404="","",VLOOKUP(A1404,lng!A:B,2,0))</f>
        <v>fr-FR</v>
      </c>
    </row>
    <row r="1405" spans="1:9" x14ac:dyDescent="0.15">
      <c r="A1405" t="str">
        <f t="shared" ref="A1405:B1405" si="1805">A1404</f>
        <v>フランス語</v>
      </c>
      <c r="B1405">
        <f t="shared" si="1805"/>
        <v>17</v>
      </c>
      <c r="C1405">
        <f t="shared" si="1756"/>
        <v>41</v>
      </c>
      <c r="D1405">
        <f>D1376</f>
        <v>7</v>
      </c>
      <c r="E1405" t="str">
        <f>VLOOKUP(D1405,name!A:B,2,1)</f>
        <v>Luigi</v>
      </c>
      <c r="F1405" t="str">
        <f>F1376</f>
        <v>それはあなたにたくさん役立つでしょう。</v>
      </c>
      <c r="G1405" t="str">
        <f t="shared" ref="G1405" si="1806">IF(B1405&lt;&gt;B2346,"e",IF(D1405=0,"q","a"))</f>
        <v>e</v>
      </c>
      <c r="H1405" t="str">
        <f>VLOOKUP(D1405,name!A:C,3,1)</f>
        <v>assets/icons/image023.png</v>
      </c>
      <c r="I1405" t="s">
        <v>463</v>
      </c>
    </row>
    <row r="1406" spans="1:9" x14ac:dyDescent="0.15">
      <c r="A1406" t="str">
        <f t="shared" ref="A1406:B1406" si="1807">A1405</f>
        <v>フランス語</v>
      </c>
      <c r="B1406">
        <f t="shared" si="1807"/>
        <v>17</v>
      </c>
      <c r="C1406">
        <f t="shared" si="1756"/>
        <v>42</v>
      </c>
      <c r="D1406">
        <f>D1377</f>
        <v>7</v>
      </c>
      <c r="E1406" t="str">
        <f>VLOOKUP(D1406,name!A:B,2,1)</f>
        <v>Luigi</v>
      </c>
      <c r="F1406" t="str">
        <f>F1377</f>
        <v>Ça te servira beaucoup.</v>
      </c>
      <c r="G1406" t="str">
        <f t="shared" ref="G1406" si="1808">IF(B1406&lt;&gt;B1816,"e",IF(D1406=0,"q","a"))</f>
        <v>e</v>
      </c>
      <c r="H1406" t="str">
        <f>VLOOKUP(D1406,name!A:C,3,1)</f>
        <v>assets/icons/image023.png</v>
      </c>
      <c r="I1406" t="str">
        <f>IF(A1406="","",VLOOKUP(A1406,lng!A:B,2,0))</f>
        <v>fr-FR</v>
      </c>
    </row>
    <row r="1407" spans="1:9" x14ac:dyDescent="0.15">
      <c r="A1407" t="str">
        <f t="shared" ref="A1407:B1407" si="1809">A1406</f>
        <v>フランス語</v>
      </c>
      <c r="B1407">
        <f t="shared" si="1809"/>
        <v>17</v>
      </c>
      <c r="C1407">
        <f t="shared" si="1756"/>
        <v>43</v>
      </c>
      <c r="D1407">
        <v>0</v>
      </c>
      <c r="E1407" t="str">
        <f>VLOOKUP(D1407,name!A:B,2,1)</f>
        <v>Player</v>
      </c>
      <c r="F1407" t="str">
        <f>F1377</f>
        <v>Ça te servira beaucoup.</v>
      </c>
      <c r="G1407" t="str">
        <f t="shared" ref="G1407:G1470" si="1810">IF(B1407&lt;&gt;B1408,"e",IF(D1407=0,"q","a"))</f>
        <v>q</v>
      </c>
      <c r="H1407" t="str">
        <f>VLOOKUP(D1407,name!A:C,3,1)</f>
        <v>assets/icons/image326.png</v>
      </c>
      <c r="I1407" t="str">
        <f>IF(A1407="","",VLOOKUP(A1407,lng!A:B,2,0))</f>
        <v>fr-FR</v>
      </c>
    </row>
    <row r="1408" spans="1:9" x14ac:dyDescent="0.15">
      <c r="A1408" t="str">
        <f t="shared" ref="A1408:B1408" si="1811">A1407</f>
        <v>フランス語</v>
      </c>
      <c r="B1408">
        <f t="shared" si="1811"/>
        <v>17</v>
      </c>
      <c r="C1408">
        <f t="shared" si="1756"/>
        <v>44</v>
      </c>
      <c r="D1408">
        <f>D1378</f>
        <v>5</v>
      </c>
      <c r="E1408" t="str">
        <f>VLOOKUP(D1408,name!A:B,2,1)</f>
        <v>Minako</v>
      </c>
      <c r="F1408" t="str">
        <f>F1378</f>
        <v>それで、あなた、あなたは何をしますか?</v>
      </c>
      <c r="G1408" t="str">
        <f t="shared" si="1810"/>
        <v>a</v>
      </c>
      <c r="H1408" t="str">
        <f>VLOOKUP(D1408,name!A:C,3,1)</f>
        <v>assets/icons/image086.png</v>
      </c>
      <c r="I1408" t="s">
        <v>463</v>
      </c>
    </row>
    <row r="1409" spans="1:9" x14ac:dyDescent="0.15">
      <c r="A1409" t="str">
        <f t="shared" ref="A1409:B1409" si="1812">A1408</f>
        <v>フランス語</v>
      </c>
      <c r="B1409">
        <f t="shared" si="1812"/>
        <v>17</v>
      </c>
      <c r="C1409">
        <f t="shared" si="1756"/>
        <v>45</v>
      </c>
      <c r="D1409">
        <f>D1379</f>
        <v>5</v>
      </c>
      <c r="E1409" t="str">
        <f>VLOOKUP(D1409,name!A:B,2,1)</f>
        <v>Minako</v>
      </c>
      <c r="F1409" t="str">
        <f>F1379</f>
        <v>Et vous, qu'est-ce que vous ferez ?</v>
      </c>
      <c r="G1409" t="str">
        <f t="shared" ref="G1409" si="1813">IF(B1409&lt;&gt;B2350,"e",IF(D1409=0,"q","a"))</f>
        <v>e</v>
      </c>
      <c r="H1409" t="str">
        <f>VLOOKUP(D1409,name!A:C,3,1)</f>
        <v>assets/icons/image086.png</v>
      </c>
      <c r="I1409" t="str">
        <f>IF(A1409="","",VLOOKUP(A1409,lng!A:B,2,0))</f>
        <v>fr-FR</v>
      </c>
    </row>
    <row r="1410" spans="1:9" x14ac:dyDescent="0.15">
      <c r="A1410" t="str">
        <f t="shared" ref="A1410:B1410" si="1814">A1409</f>
        <v>フランス語</v>
      </c>
      <c r="B1410">
        <f t="shared" si="1814"/>
        <v>17</v>
      </c>
      <c r="C1410">
        <f t="shared" si="1756"/>
        <v>46</v>
      </c>
      <c r="D1410">
        <v>0</v>
      </c>
      <c r="E1410" t="str">
        <f>VLOOKUP(D1410,name!A:B,2,1)</f>
        <v>Player</v>
      </c>
      <c r="F1410" t="str">
        <f>F1379</f>
        <v>Et vous, qu'est-ce que vous ferez ?</v>
      </c>
      <c r="G1410" t="str">
        <f t="shared" ref="G1410" si="1815">IF(B1410&lt;&gt;B1820,"e",IF(D1410=0,"q","a"))</f>
        <v>e</v>
      </c>
      <c r="H1410" t="str">
        <f>VLOOKUP(D1410,name!A:C,3,1)</f>
        <v>assets/icons/image326.png</v>
      </c>
      <c r="I1410" t="str">
        <f>IF(A1410="","",VLOOKUP(A1410,lng!A:B,2,0))</f>
        <v>fr-FR</v>
      </c>
    </row>
    <row r="1411" spans="1:9" x14ac:dyDescent="0.15">
      <c r="A1411" t="str">
        <f t="shared" ref="A1411:B1411" si="1816">A1410</f>
        <v>フランス語</v>
      </c>
      <c r="B1411">
        <f t="shared" si="1816"/>
        <v>17</v>
      </c>
      <c r="C1411">
        <f t="shared" si="1756"/>
        <v>47</v>
      </c>
      <c r="D1411">
        <f>D1380</f>
        <v>6</v>
      </c>
      <c r="E1411" t="str">
        <f>VLOOKUP(D1411,name!A:B,2,1)</f>
        <v>Céline</v>
      </c>
      <c r="F1411" t="str">
        <f>F1380</f>
        <v>映画の世界で働きたいです。</v>
      </c>
      <c r="G1411" t="str">
        <f t="shared" ref="G1411:G1474" si="1817">IF(B1411&lt;&gt;B1412,"e",IF(D1411=0,"q","a"))</f>
        <v>a</v>
      </c>
      <c r="H1411" t="str">
        <f>VLOOKUP(D1411,name!A:C,3,1)</f>
        <v>assets/icons/image078.png</v>
      </c>
      <c r="I1411" t="s">
        <v>463</v>
      </c>
    </row>
    <row r="1412" spans="1:9" x14ac:dyDescent="0.15">
      <c r="A1412" t="str">
        <f t="shared" ref="A1412:B1412" si="1818">A1411</f>
        <v>フランス語</v>
      </c>
      <c r="B1412">
        <f t="shared" si="1818"/>
        <v>17</v>
      </c>
      <c r="C1412">
        <f t="shared" si="1756"/>
        <v>48</v>
      </c>
      <c r="D1412">
        <f>D1381</f>
        <v>6</v>
      </c>
      <c r="E1412" t="str">
        <f>VLOOKUP(D1412,name!A:B,2,1)</f>
        <v>Céline</v>
      </c>
      <c r="F1412" t="str">
        <f>F1381</f>
        <v>Moi, j'aimerais travailler dans le monde du cinéma.</v>
      </c>
      <c r="G1412" t="str">
        <f t="shared" ref="G1412" si="1819">IF(B1412&lt;&gt;B2353,"e",IF(D1412=0,"q","a"))</f>
        <v>e</v>
      </c>
      <c r="H1412" t="str">
        <f>VLOOKUP(D1412,name!A:C,3,1)</f>
        <v>assets/icons/image078.png</v>
      </c>
      <c r="I1412" t="str">
        <f>IF(A1412="","",VLOOKUP(A1412,lng!A:B,2,0))</f>
        <v>fr-FR</v>
      </c>
    </row>
    <row r="1413" spans="1:9" x14ac:dyDescent="0.15">
      <c r="A1413" t="str">
        <f t="shared" ref="A1413:B1413" si="1820">A1412</f>
        <v>フランス語</v>
      </c>
      <c r="B1413">
        <f t="shared" si="1820"/>
        <v>17</v>
      </c>
      <c r="C1413">
        <f t="shared" si="1756"/>
        <v>49</v>
      </c>
      <c r="D1413">
        <v>0</v>
      </c>
      <c r="E1413" t="str">
        <f>VLOOKUP(D1413,name!A:B,2,1)</f>
        <v>Player</v>
      </c>
      <c r="F1413" t="str">
        <f>F1381</f>
        <v>Moi, j'aimerais travailler dans le monde du cinéma.</v>
      </c>
      <c r="G1413" t="str">
        <f t="shared" ref="G1413" si="1821">IF(B1413&lt;&gt;B1823,"e",IF(D1413=0,"q","a"))</f>
        <v>e</v>
      </c>
      <c r="H1413" t="str">
        <f>VLOOKUP(D1413,name!A:C,3,1)</f>
        <v>assets/icons/image326.png</v>
      </c>
      <c r="I1413" t="str">
        <f>IF(A1413="","",VLOOKUP(A1413,lng!A:B,2,0))</f>
        <v>fr-FR</v>
      </c>
    </row>
    <row r="1414" spans="1:9" x14ac:dyDescent="0.15">
      <c r="A1414" t="str">
        <f t="shared" ref="A1414:B1414" si="1822">A1413</f>
        <v>フランス語</v>
      </c>
      <c r="B1414">
        <f t="shared" si="1822"/>
        <v>17</v>
      </c>
      <c r="C1414">
        <f t="shared" si="1756"/>
        <v>50</v>
      </c>
      <c r="D1414">
        <f>D1382</f>
        <v>6</v>
      </c>
      <c r="E1414" t="str">
        <f>VLOOKUP(D1414,name!A:B,2,1)</f>
        <v>Céline</v>
      </c>
      <c r="F1414" t="str">
        <f>F1382</f>
        <v>スターと一緒に仕事するの、なんて素晴らしいことでしょう!</v>
      </c>
      <c r="G1414" t="str">
        <f t="shared" ref="G1414:G1477" si="1823">IF(B1414&lt;&gt;B1415,"e",IF(D1414=0,"q","a"))</f>
        <v>a</v>
      </c>
      <c r="H1414" t="str">
        <f>VLOOKUP(D1414,name!A:C,3,1)</f>
        <v>assets/icons/image078.png</v>
      </c>
      <c r="I1414" t="s">
        <v>463</v>
      </c>
    </row>
    <row r="1415" spans="1:9" x14ac:dyDescent="0.15">
      <c r="A1415" t="str">
        <f t="shared" ref="A1415:B1415" si="1824">A1414</f>
        <v>フランス語</v>
      </c>
      <c r="B1415">
        <f t="shared" si="1824"/>
        <v>17</v>
      </c>
      <c r="C1415">
        <f t="shared" si="1756"/>
        <v>51</v>
      </c>
      <c r="D1415">
        <f>D1383</f>
        <v>6</v>
      </c>
      <c r="E1415" t="str">
        <f>VLOOKUP(D1415,name!A:B,2,1)</f>
        <v>Céline</v>
      </c>
      <c r="F1415" t="str">
        <f>F1383</f>
        <v>Comme ce sera bien de travailler avec des vedettes!</v>
      </c>
      <c r="G1415" t="str">
        <f t="shared" si="1823"/>
        <v>a</v>
      </c>
      <c r="H1415" t="str">
        <f>VLOOKUP(D1415,name!A:C,3,1)</f>
        <v>assets/icons/image078.png</v>
      </c>
      <c r="I1415" t="str">
        <f>IF(A1415="","",VLOOKUP(A1415,lng!A:B,2,0))</f>
        <v>fr-FR</v>
      </c>
    </row>
    <row r="1416" spans="1:9" x14ac:dyDescent="0.15">
      <c r="A1416" t="str">
        <f t="shared" ref="A1416:B1416" si="1825">A1415</f>
        <v>フランス語</v>
      </c>
      <c r="B1416">
        <f t="shared" si="1825"/>
        <v>17</v>
      </c>
      <c r="C1416">
        <f t="shared" si="1756"/>
        <v>52</v>
      </c>
      <c r="D1416">
        <v>0</v>
      </c>
      <c r="E1416" t="str">
        <f>VLOOKUP(D1416,name!A:B,2,1)</f>
        <v>Player</v>
      </c>
      <c r="F1416" t="str">
        <f>F1383</f>
        <v>Comme ce sera bien de travailler avec des vedettes!</v>
      </c>
      <c r="G1416" t="str">
        <f t="shared" ref="G1416" si="1826">IF(B1416&lt;&gt;B2357,"e",IF(D1416=0,"q","a"))</f>
        <v>e</v>
      </c>
      <c r="H1416" t="str">
        <f>VLOOKUP(D1416,name!A:C,3,1)</f>
        <v>assets/icons/image326.png</v>
      </c>
      <c r="I1416" t="str">
        <f>IF(A1416="","",VLOOKUP(A1416,lng!A:B,2,0))</f>
        <v>fr-FR</v>
      </c>
    </row>
    <row r="1417" spans="1:9" x14ac:dyDescent="0.15">
      <c r="A1417" t="str">
        <f t="shared" ref="A1417:B1417" si="1827">A1416</f>
        <v>フランス語</v>
      </c>
      <c r="B1417">
        <f t="shared" si="1827"/>
        <v>17</v>
      </c>
      <c r="C1417">
        <f t="shared" si="1756"/>
        <v>53</v>
      </c>
      <c r="D1417">
        <f>D1384</f>
        <v>7</v>
      </c>
      <c r="E1417" t="str">
        <f>VLOOKUP(D1417,name!A:B,2,1)</f>
        <v>Luigi</v>
      </c>
      <c r="F1417" t="str">
        <f>F1384</f>
        <v>私はおそらくアルゼンチンに行きます。</v>
      </c>
      <c r="G1417" t="str">
        <f t="shared" ref="G1417" si="1828">IF(B1417&lt;&gt;B1827,"e",IF(D1417=0,"q","a"))</f>
        <v>e</v>
      </c>
      <c r="H1417" t="str">
        <f>VLOOKUP(D1417,name!A:C,3,1)</f>
        <v>assets/icons/image023.png</v>
      </c>
      <c r="I1417" t="s">
        <v>463</v>
      </c>
    </row>
    <row r="1418" spans="1:9" x14ac:dyDescent="0.15">
      <c r="A1418" t="str">
        <f t="shared" ref="A1418:B1418" si="1829">A1417</f>
        <v>フランス語</v>
      </c>
      <c r="B1418">
        <f t="shared" si="1829"/>
        <v>17</v>
      </c>
      <c r="C1418">
        <f t="shared" si="1756"/>
        <v>54</v>
      </c>
      <c r="D1418">
        <f>D1385</f>
        <v>7</v>
      </c>
      <c r="E1418" t="str">
        <f>VLOOKUP(D1418,name!A:B,2,1)</f>
        <v>Luigi</v>
      </c>
      <c r="F1418" t="str">
        <f>F1385</f>
        <v>Moi, j'irai sans doute en Argentine.</v>
      </c>
      <c r="G1418" t="str">
        <f t="shared" ref="G1418:G1481" si="1830">IF(B1418&lt;&gt;B1419,"e",IF(D1418=0,"q","a"))</f>
        <v>a</v>
      </c>
      <c r="H1418" t="str">
        <f>VLOOKUP(D1418,name!A:C,3,1)</f>
        <v>assets/icons/image023.png</v>
      </c>
      <c r="I1418" t="str">
        <f>IF(A1418="","",VLOOKUP(A1418,lng!A:B,2,0))</f>
        <v>fr-FR</v>
      </c>
    </row>
    <row r="1419" spans="1:9" x14ac:dyDescent="0.15">
      <c r="A1419" t="str">
        <f t="shared" ref="A1419:B1419" si="1831">A1418</f>
        <v>フランス語</v>
      </c>
      <c r="B1419">
        <f t="shared" si="1831"/>
        <v>17</v>
      </c>
      <c r="C1419">
        <f t="shared" si="1756"/>
        <v>55</v>
      </c>
      <c r="D1419">
        <v>0</v>
      </c>
      <c r="E1419" t="str">
        <f>VLOOKUP(D1419,name!A:B,2,1)</f>
        <v>Player</v>
      </c>
      <c r="F1419" t="str">
        <f>F1385</f>
        <v>Moi, j'irai sans doute en Argentine.</v>
      </c>
      <c r="G1419" t="str">
        <f t="shared" ref="G1419" si="1832">IF(B1419&lt;&gt;B2360,"e",IF(D1419=0,"q","a"))</f>
        <v>e</v>
      </c>
      <c r="H1419" t="str">
        <f>VLOOKUP(D1419,name!A:C,3,1)</f>
        <v>assets/icons/image326.png</v>
      </c>
      <c r="I1419" t="str">
        <f>IF(A1419="","",VLOOKUP(A1419,lng!A:B,2,0))</f>
        <v>fr-FR</v>
      </c>
    </row>
    <row r="1420" spans="1:9" x14ac:dyDescent="0.15">
      <c r="A1420" t="str">
        <f t="shared" ref="A1420:B1420" si="1833">A1419</f>
        <v>フランス語</v>
      </c>
      <c r="B1420">
        <f t="shared" si="1833"/>
        <v>17</v>
      </c>
      <c r="C1420">
        <f t="shared" si="1756"/>
        <v>56</v>
      </c>
      <c r="D1420">
        <f>D1386</f>
        <v>7</v>
      </c>
      <c r="E1420" t="str">
        <f>VLOOKUP(D1420,name!A:B,2,1)</f>
        <v>Luigi</v>
      </c>
      <c r="F1420" t="str">
        <f>F1386</f>
        <v>私にはそこに農場を持っている叔父がいます。</v>
      </c>
      <c r="G1420" t="str">
        <f t="shared" ref="G1420" si="1834">IF(B1420&lt;&gt;B1830,"e",IF(D1420=0,"q","a"))</f>
        <v>e</v>
      </c>
      <c r="H1420" t="str">
        <f>VLOOKUP(D1420,name!A:C,3,1)</f>
        <v>assets/icons/image023.png</v>
      </c>
      <c r="I1420" t="s">
        <v>463</v>
      </c>
    </row>
    <row r="1421" spans="1:9" x14ac:dyDescent="0.15">
      <c r="A1421" t="str">
        <f t="shared" ref="A1421:B1421" si="1835">A1420</f>
        <v>フランス語</v>
      </c>
      <c r="B1421">
        <f t="shared" si="1835"/>
        <v>17</v>
      </c>
      <c r="C1421">
        <f t="shared" si="1756"/>
        <v>57</v>
      </c>
      <c r="D1421">
        <f>D1387</f>
        <v>7</v>
      </c>
      <c r="E1421" t="str">
        <f>VLOOKUP(D1421,name!A:B,2,1)</f>
        <v>Luigi</v>
      </c>
      <c r="F1421" t="str">
        <f>F1387</f>
        <v>J'ai un oncle qui a une ferme là-bas.</v>
      </c>
      <c r="G1421" t="str">
        <f t="shared" ref="G1421:G1484" si="1836">IF(B1421&lt;&gt;B1422,"e",IF(D1421=0,"q","a"))</f>
        <v>a</v>
      </c>
      <c r="H1421" t="str">
        <f>VLOOKUP(D1421,name!A:C,3,1)</f>
        <v>assets/icons/image023.png</v>
      </c>
      <c r="I1421" t="str">
        <f>IF(A1421="","",VLOOKUP(A1421,lng!A:B,2,0))</f>
        <v>fr-FR</v>
      </c>
    </row>
    <row r="1422" spans="1:9" x14ac:dyDescent="0.15">
      <c r="A1422" t="str">
        <f t="shared" ref="A1422:B1422" si="1837">A1421</f>
        <v>フランス語</v>
      </c>
      <c r="B1422">
        <f t="shared" si="1837"/>
        <v>17</v>
      </c>
      <c r="C1422">
        <f t="shared" si="1756"/>
        <v>58</v>
      </c>
      <c r="D1422">
        <v>0</v>
      </c>
      <c r="E1422" t="str">
        <f>VLOOKUP(D1422,name!A:B,2,1)</f>
        <v>Player</v>
      </c>
      <c r="F1422" t="str">
        <f>F1387</f>
        <v>J'ai un oncle qui a une ferme là-bas.</v>
      </c>
      <c r="G1422" t="str">
        <f t="shared" si="1836"/>
        <v>q</v>
      </c>
      <c r="H1422" t="str">
        <f>VLOOKUP(D1422,name!A:C,3,1)</f>
        <v>assets/icons/image326.png</v>
      </c>
      <c r="I1422" t="str">
        <f>IF(A1422="","",VLOOKUP(A1422,lng!A:B,2,0))</f>
        <v>fr-FR</v>
      </c>
    </row>
    <row r="1423" spans="1:9" x14ac:dyDescent="0.15">
      <c r="A1423" t="str">
        <f t="shared" ref="A1423:B1423" si="1838">A1422</f>
        <v>フランス語</v>
      </c>
      <c r="B1423">
        <f t="shared" si="1838"/>
        <v>17</v>
      </c>
      <c r="C1423">
        <f t="shared" si="1756"/>
        <v>59</v>
      </c>
      <c r="D1423">
        <f>D1388</f>
        <v>7</v>
      </c>
      <c r="E1423" t="str">
        <f>VLOOKUP(D1423,name!A:B,2,1)</f>
        <v>Luigi</v>
      </c>
      <c r="F1423" t="str">
        <f>F1388</f>
        <v>財産を築いたらイタリアに戻ります。</v>
      </c>
      <c r="G1423" t="str">
        <f t="shared" ref="G1423" si="1839">IF(B1423&lt;&gt;B2364,"e",IF(D1423=0,"q","a"))</f>
        <v>e</v>
      </c>
      <c r="H1423" t="str">
        <f>VLOOKUP(D1423,name!A:C,3,1)</f>
        <v>assets/icons/image023.png</v>
      </c>
      <c r="I1423" t="s">
        <v>463</v>
      </c>
    </row>
    <row r="1424" spans="1:9" x14ac:dyDescent="0.15">
      <c r="A1424" t="str">
        <f t="shared" ref="A1424:B1424" si="1840">A1423</f>
        <v>フランス語</v>
      </c>
      <c r="B1424">
        <f t="shared" si="1840"/>
        <v>17</v>
      </c>
      <c r="C1424">
        <f t="shared" si="1756"/>
        <v>60</v>
      </c>
      <c r="D1424">
        <f>D1389</f>
        <v>7</v>
      </c>
      <c r="E1424" t="str">
        <f>VLOOKUP(D1424,name!A:B,2,1)</f>
        <v>Luigi</v>
      </c>
      <c r="F1424" t="str">
        <f>F1389</f>
        <v>Je reviendrai en Italie quand j'aurai fait fortune.</v>
      </c>
      <c r="G1424" t="str">
        <f t="shared" ref="G1424" si="1841">IF(B1424&lt;&gt;B1834,"e",IF(D1424=0,"q","a"))</f>
        <v>e</v>
      </c>
      <c r="H1424" t="str">
        <f>VLOOKUP(D1424,name!A:C,3,1)</f>
        <v>assets/icons/image023.png</v>
      </c>
      <c r="I1424" t="str">
        <f>IF(A1424="","",VLOOKUP(A1424,lng!A:B,2,0))</f>
        <v>fr-FR</v>
      </c>
    </row>
    <row r="1425" spans="1:9" x14ac:dyDescent="0.15">
      <c r="A1425" t="str">
        <f t="shared" ref="A1425:B1425" si="1842">A1424</f>
        <v>フランス語</v>
      </c>
      <c r="B1425">
        <f t="shared" si="1842"/>
        <v>17</v>
      </c>
      <c r="C1425">
        <f t="shared" si="1756"/>
        <v>61</v>
      </c>
      <c r="D1425">
        <v>0</v>
      </c>
      <c r="E1425" t="str">
        <f>VLOOKUP(D1425,name!A:B,2,1)</f>
        <v>Player</v>
      </c>
      <c r="F1425" t="str">
        <f>F1389</f>
        <v>Je reviendrai en Italie quand j'aurai fait fortune.</v>
      </c>
      <c r="G1425" t="str">
        <f t="shared" ref="G1425:G1488" si="1843">IF(B1425&lt;&gt;B1426,"e",IF(D1425=0,"q","a"))</f>
        <v>q</v>
      </c>
      <c r="H1425" t="str">
        <f>VLOOKUP(D1425,name!A:C,3,1)</f>
        <v>assets/icons/image326.png</v>
      </c>
      <c r="I1425" t="str">
        <f>IF(A1425="","",VLOOKUP(A1425,lng!A:B,2,0))</f>
        <v>fr-FR</v>
      </c>
    </row>
    <row r="1426" spans="1:9" x14ac:dyDescent="0.15">
      <c r="A1426" t="str">
        <f t="shared" ref="A1426:B1426" si="1844">A1425</f>
        <v>フランス語</v>
      </c>
      <c r="B1426">
        <f t="shared" si="1844"/>
        <v>17</v>
      </c>
      <c r="C1426">
        <f t="shared" si="1756"/>
        <v>62</v>
      </c>
      <c r="D1426">
        <f>D1390</f>
        <v>5</v>
      </c>
      <c r="E1426" t="str">
        <f>VLOOKUP(D1426,name!A:B,2,1)</f>
        <v>Minako</v>
      </c>
      <c r="F1426" t="str">
        <f>F1390</f>
        <v>あなたは野心的だね。</v>
      </c>
      <c r="G1426" t="str">
        <f t="shared" ref="G1426" si="1845">IF(B1426&lt;&gt;B2367,"e",IF(D1426=0,"q","a"))</f>
        <v>e</v>
      </c>
      <c r="H1426" t="str">
        <f>VLOOKUP(D1426,name!A:C,3,1)</f>
        <v>assets/icons/image086.png</v>
      </c>
      <c r="I1426" t="s">
        <v>463</v>
      </c>
    </row>
    <row r="1427" spans="1:9" x14ac:dyDescent="0.15">
      <c r="A1427" t="str">
        <f t="shared" ref="A1427:B1427" si="1846">A1426</f>
        <v>フランス語</v>
      </c>
      <c r="B1427">
        <f t="shared" si="1846"/>
        <v>17</v>
      </c>
      <c r="C1427">
        <f t="shared" si="1756"/>
        <v>63</v>
      </c>
      <c r="D1427">
        <f>D1391</f>
        <v>5</v>
      </c>
      <c r="E1427" t="str">
        <f>VLOOKUP(D1427,name!A:B,2,1)</f>
        <v>Minako</v>
      </c>
      <c r="F1427" t="str">
        <f>F1391</f>
        <v>Tu es ambitieux.</v>
      </c>
      <c r="G1427" t="str">
        <f t="shared" ref="G1427" si="1847">IF(B1427&lt;&gt;B1837,"e",IF(D1427=0,"q","a"))</f>
        <v>e</v>
      </c>
      <c r="H1427" t="str">
        <f>VLOOKUP(D1427,name!A:C,3,1)</f>
        <v>assets/icons/image086.png</v>
      </c>
      <c r="I1427" t="str">
        <f>IF(A1427="","",VLOOKUP(A1427,lng!A:B,2,0))</f>
        <v>fr-FR</v>
      </c>
    </row>
    <row r="1428" spans="1:9" x14ac:dyDescent="0.15">
      <c r="A1428" t="str">
        <f t="shared" ref="A1428:B1428" si="1848">A1427</f>
        <v>フランス語</v>
      </c>
      <c r="B1428">
        <f t="shared" si="1848"/>
        <v>17</v>
      </c>
      <c r="C1428">
        <f t="shared" si="1756"/>
        <v>64</v>
      </c>
      <c r="D1428">
        <v>0</v>
      </c>
      <c r="E1428" t="str">
        <f>VLOOKUP(D1428,name!A:B,2,1)</f>
        <v>Player</v>
      </c>
      <c r="F1428" t="str">
        <f>F1391</f>
        <v>Tu es ambitieux.</v>
      </c>
      <c r="G1428" t="str">
        <f t="shared" ref="G1428:G1491" si="1849">IF(B1428&lt;&gt;B1429,"e",IF(D1428=0,"q","a"))</f>
        <v>q</v>
      </c>
      <c r="H1428" t="str">
        <f>VLOOKUP(D1428,name!A:C,3,1)</f>
        <v>assets/icons/image326.png</v>
      </c>
      <c r="I1428" t="str">
        <f>IF(A1428="","",VLOOKUP(A1428,lng!A:B,2,0))</f>
        <v>fr-FR</v>
      </c>
    </row>
    <row r="1429" spans="1:9" x14ac:dyDescent="0.15">
      <c r="A1429" t="str">
        <f t="shared" ref="A1429:B1429" si="1850">A1428</f>
        <v>フランス語</v>
      </c>
      <c r="B1429">
        <f t="shared" si="1850"/>
        <v>17</v>
      </c>
      <c r="C1429">
        <f t="shared" si="1756"/>
        <v>65</v>
      </c>
      <c r="D1429">
        <v>1</v>
      </c>
      <c r="E1429" t="str">
        <f>VLOOKUP(D1429,name!A:B,2,1)</f>
        <v>Navigator</v>
      </c>
      <c r="F1429" t="str">
        <f>"次の日本語を"&amp;A1429&amp;"に訳して答えてね！"</f>
        <v>次の日本語をフランス語に訳して答えてね！</v>
      </c>
      <c r="G1429" t="str">
        <f t="shared" si="1849"/>
        <v>a</v>
      </c>
      <c r="H1429" t="str">
        <f>VLOOKUP(D1429,name!A:C,3,1)</f>
        <v>assets/icons/image014.png</v>
      </c>
      <c r="I1429" t="s">
        <v>463</v>
      </c>
    </row>
    <row r="1430" spans="1:9" x14ac:dyDescent="0.15">
      <c r="A1430" t="str">
        <f t="shared" ref="A1430:B1430" si="1851">A1429</f>
        <v>フランス語</v>
      </c>
      <c r="B1430">
        <f t="shared" si="1851"/>
        <v>17</v>
      </c>
      <c r="C1430">
        <f t="shared" si="1756"/>
        <v>66</v>
      </c>
      <c r="D1430">
        <f>D1368</f>
        <v>6</v>
      </c>
      <c r="E1430" t="str">
        <f>VLOOKUP(D1430,name!A:B,2,1)</f>
        <v>Céline</v>
      </c>
      <c r="F1430" t="str">
        <f t="shared" ref="F1430:F1453" si="1852">F1368</f>
        <v>美奈子さん、今後はどうするつもりですか?</v>
      </c>
      <c r="G1430" t="str">
        <f t="shared" ref="G1430" si="1853">IF(B1430&lt;&gt;B2371,"e",IF(D1430=0,"q","a"))</f>
        <v>e</v>
      </c>
      <c r="H1430" t="str">
        <f>VLOOKUP(D1430,name!A:C,3,1)</f>
        <v>assets/icons/image078.png</v>
      </c>
      <c r="I1430" t="s">
        <v>463</v>
      </c>
    </row>
    <row r="1431" spans="1:9" x14ac:dyDescent="0.15">
      <c r="A1431" t="str">
        <f t="shared" ref="A1431:B1431" si="1854">A1430</f>
        <v>フランス語</v>
      </c>
      <c r="B1431">
        <f t="shared" si="1854"/>
        <v>17</v>
      </c>
      <c r="C1431">
        <f t="shared" ref="C1431:C1454" si="1855">C1430+1</f>
        <v>67</v>
      </c>
      <c r="D1431">
        <v>0</v>
      </c>
      <c r="E1431" t="str">
        <f>VLOOKUP(D1431,name!A:B,2,1)</f>
        <v>Player</v>
      </c>
      <c r="F1431" t="str">
        <f t="shared" si="1852"/>
        <v>Minako, qu'est-ce que tu penses faire dans l'avenir ?</v>
      </c>
      <c r="G1431" t="str">
        <f t="shared" ref="G1431" si="1856">IF(B1431&lt;&gt;B1841,"e",IF(D1431=0,"q","a"))</f>
        <v>e</v>
      </c>
      <c r="H1431" t="str">
        <f>VLOOKUP(D1431,name!A:C,3,1)</f>
        <v>assets/icons/image326.png</v>
      </c>
      <c r="I1431" t="str">
        <f>IF(A1431="","",VLOOKUP(A1431,lng!A:B,2,0))</f>
        <v>fr-FR</v>
      </c>
    </row>
    <row r="1432" spans="1:9" x14ac:dyDescent="0.15">
      <c r="A1432" t="str">
        <f t="shared" ref="A1432:B1432" si="1857">A1431</f>
        <v>フランス語</v>
      </c>
      <c r="B1432">
        <f t="shared" si="1857"/>
        <v>17</v>
      </c>
      <c r="C1432">
        <f t="shared" si="1855"/>
        <v>68</v>
      </c>
      <c r="D1432">
        <f>D1370</f>
        <v>5</v>
      </c>
      <c r="E1432" t="str">
        <f>VLOOKUP(D1432,name!A:B,2,1)</f>
        <v>Minako</v>
      </c>
      <c r="F1432" t="str">
        <f t="shared" si="1852"/>
        <v>旅行会社で働きたいと思っています。</v>
      </c>
      <c r="G1432" t="str">
        <f t="shared" ref="G1432:G1495" si="1858">IF(B1432&lt;&gt;B1433,"e",IF(D1432=0,"q","a"))</f>
        <v>a</v>
      </c>
      <c r="H1432" t="str">
        <f>VLOOKUP(D1432,name!A:C,3,1)</f>
        <v>assets/icons/image086.png</v>
      </c>
      <c r="I1432" t="s">
        <v>463</v>
      </c>
    </row>
    <row r="1433" spans="1:9" x14ac:dyDescent="0.15">
      <c r="A1433" t="str">
        <f t="shared" ref="A1433:B1433" si="1859">A1432</f>
        <v>フランス語</v>
      </c>
      <c r="B1433">
        <f t="shared" si="1859"/>
        <v>17</v>
      </c>
      <c r="C1433">
        <f t="shared" si="1855"/>
        <v>69</v>
      </c>
      <c r="D1433">
        <v>0</v>
      </c>
      <c r="E1433" t="str">
        <f>VLOOKUP(D1433,name!A:B,2,1)</f>
        <v>Player</v>
      </c>
      <c r="F1433" t="str">
        <f t="shared" si="1852"/>
        <v>J'espère travailler dans une agence de voyages.</v>
      </c>
      <c r="G1433" t="str">
        <f t="shared" ref="G1433" si="1860">IF(B1433&lt;&gt;B2374,"e",IF(D1433=0,"q","a"))</f>
        <v>e</v>
      </c>
      <c r="H1433" t="str">
        <f>VLOOKUP(D1433,name!A:C,3,1)</f>
        <v>assets/icons/image326.png</v>
      </c>
      <c r="I1433" t="str">
        <f>IF(A1433="","",VLOOKUP(A1433,lng!A:B,2,0))</f>
        <v>fr-FR</v>
      </c>
    </row>
    <row r="1434" spans="1:9" x14ac:dyDescent="0.15">
      <c r="A1434" t="str">
        <f t="shared" ref="A1434:B1434" si="1861">A1433</f>
        <v>フランス語</v>
      </c>
      <c r="B1434">
        <f t="shared" si="1861"/>
        <v>17</v>
      </c>
      <c r="C1434">
        <f t="shared" si="1855"/>
        <v>70</v>
      </c>
      <c r="D1434">
        <f>D1372</f>
        <v>5</v>
      </c>
      <c r="E1434" t="str">
        <f>VLOOKUP(D1434,name!A:B,2,1)</f>
        <v>Minako</v>
      </c>
      <c r="F1434" t="str">
        <f t="shared" si="1852"/>
        <v>私は世界中を旅します。</v>
      </c>
      <c r="G1434" t="str">
        <f t="shared" ref="G1434" si="1862">IF(B1434&lt;&gt;B1844,"e",IF(D1434=0,"q","a"))</f>
        <v>e</v>
      </c>
      <c r="H1434" t="str">
        <f>VLOOKUP(D1434,name!A:C,3,1)</f>
        <v>assets/icons/image086.png</v>
      </c>
      <c r="I1434" t="s">
        <v>463</v>
      </c>
    </row>
    <row r="1435" spans="1:9" x14ac:dyDescent="0.15">
      <c r="A1435" t="str">
        <f t="shared" ref="A1435:B1435" si="1863">A1434</f>
        <v>フランス語</v>
      </c>
      <c r="B1435">
        <f t="shared" si="1863"/>
        <v>17</v>
      </c>
      <c r="C1435">
        <f t="shared" si="1855"/>
        <v>71</v>
      </c>
      <c r="D1435">
        <v>0</v>
      </c>
      <c r="E1435" t="str">
        <f>VLOOKUP(D1435,name!A:B,2,1)</f>
        <v>Player</v>
      </c>
      <c r="F1435" t="str">
        <f t="shared" si="1852"/>
        <v>Je voyagerai dans le monde entier.</v>
      </c>
      <c r="G1435" t="str">
        <f t="shared" ref="G1435:G1498" si="1864">IF(B1435&lt;&gt;B1436,"e",IF(D1435=0,"q","a"))</f>
        <v>q</v>
      </c>
      <c r="H1435" t="str">
        <f>VLOOKUP(D1435,name!A:C,3,1)</f>
        <v>assets/icons/image326.png</v>
      </c>
      <c r="I1435" t="str">
        <f>IF(A1435="","",VLOOKUP(A1435,lng!A:B,2,0))</f>
        <v>fr-FR</v>
      </c>
    </row>
    <row r="1436" spans="1:9" x14ac:dyDescent="0.15">
      <c r="A1436" t="str">
        <f t="shared" ref="A1436:B1436" si="1865">A1435</f>
        <v>フランス語</v>
      </c>
      <c r="B1436">
        <f t="shared" si="1865"/>
        <v>17</v>
      </c>
      <c r="C1436">
        <f t="shared" si="1855"/>
        <v>72</v>
      </c>
      <c r="D1436">
        <f>D1374</f>
        <v>7</v>
      </c>
      <c r="E1436" t="str">
        <f>VLOOKUP(D1436,name!A:B,2,1)</f>
        <v>Luigi</v>
      </c>
      <c r="F1436" t="str">
        <f t="shared" si="1852"/>
        <v>あなたはフランス語が上手です。</v>
      </c>
      <c r="G1436" t="str">
        <f t="shared" si="1864"/>
        <v>a</v>
      </c>
      <c r="H1436" t="str">
        <f>VLOOKUP(D1436,name!A:C,3,1)</f>
        <v>assets/icons/image023.png</v>
      </c>
      <c r="I1436" t="s">
        <v>463</v>
      </c>
    </row>
    <row r="1437" spans="1:9" x14ac:dyDescent="0.15">
      <c r="A1437" t="str">
        <f t="shared" ref="A1437:B1437" si="1866">A1436</f>
        <v>フランス語</v>
      </c>
      <c r="B1437">
        <f t="shared" si="1866"/>
        <v>17</v>
      </c>
      <c r="C1437">
        <f t="shared" si="1855"/>
        <v>73</v>
      </c>
      <c r="D1437">
        <v>0</v>
      </c>
      <c r="E1437" t="str">
        <f>VLOOKUP(D1437,name!A:B,2,1)</f>
        <v>Player</v>
      </c>
      <c r="F1437" t="str">
        <f t="shared" si="1852"/>
        <v>Tu parles bien français.</v>
      </c>
      <c r="G1437" t="str">
        <f t="shared" ref="G1437" si="1867">IF(B1437&lt;&gt;B2378,"e",IF(D1437=0,"q","a"))</f>
        <v>e</v>
      </c>
      <c r="H1437" t="str">
        <f>VLOOKUP(D1437,name!A:C,3,1)</f>
        <v>assets/icons/image326.png</v>
      </c>
      <c r="I1437" t="str">
        <f>IF(A1437="","",VLOOKUP(A1437,lng!A:B,2,0))</f>
        <v>fr-FR</v>
      </c>
    </row>
    <row r="1438" spans="1:9" x14ac:dyDescent="0.15">
      <c r="A1438" t="str">
        <f t="shared" ref="A1438:B1438" si="1868">A1437</f>
        <v>フランス語</v>
      </c>
      <c r="B1438">
        <f t="shared" si="1868"/>
        <v>17</v>
      </c>
      <c r="C1438">
        <f t="shared" si="1855"/>
        <v>74</v>
      </c>
      <c r="D1438">
        <f>D1376</f>
        <v>7</v>
      </c>
      <c r="E1438" t="str">
        <f>VLOOKUP(D1438,name!A:B,2,1)</f>
        <v>Luigi</v>
      </c>
      <c r="F1438" t="str">
        <f t="shared" si="1852"/>
        <v>それはあなたにたくさん役立つでしょう。</v>
      </c>
      <c r="G1438" t="str">
        <f t="shared" ref="G1438" si="1869">IF(B1438&lt;&gt;B1848,"e",IF(D1438=0,"q","a"))</f>
        <v>e</v>
      </c>
      <c r="H1438" t="str">
        <f>VLOOKUP(D1438,name!A:C,3,1)</f>
        <v>assets/icons/image023.png</v>
      </c>
      <c r="I1438" t="s">
        <v>463</v>
      </c>
    </row>
    <row r="1439" spans="1:9" x14ac:dyDescent="0.15">
      <c r="A1439" t="str">
        <f t="shared" ref="A1439:B1439" si="1870">A1438</f>
        <v>フランス語</v>
      </c>
      <c r="B1439">
        <f t="shared" si="1870"/>
        <v>17</v>
      </c>
      <c r="C1439">
        <f t="shared" si="1855"/>
        <v>75</v>
      </c>
      <c r="D1439">
        <v>0</v>
      </c>
      <c r="E1439" t="str">
        <f>VLOOKUP(D1439,name!A:B,2,1)</f>
        <v>Player</v>
      </c>
      <c r="F1439" t="str">
        <f t="shared" si="1852"/>
        <v>Ça te servira beaucoup.</v>
      </c>
      <c r="G1439" t="str">
        <f t="shared" ref="G1439:G1502" si="1871">IF(B1439&lt;&gt;B1440,"e",IF(D1439=0,"q","a"))</f>
        <v>q</v>
      </c>
      <c r="H1439" t="str">
        <f>VLOOKUP(D1439,name!A:C,3,1)</f>
        <v>assets/icons/image326.png</v>
      </c>
      <c r="I1439" t="str">
        <f>IF(A1439="","",VLOOKUP(A1439,lng!A:B,2,0))</f>
        <v>fr-FR</v>
      </c>
    </row>
    <row r="1440" spans="1:9" x14ac:dyDescent="0.15">
      <c r="A1440" t="str">
        <f t="shared" ref="A1440:B1440" si="1872">A1439</f>
        <v>フランス語</v>
      </c>
      <c r="B1440">
        <f t="shared" si="1872"/>
        <v>17</v>
      </c>
      <c r="C1440">
        <f t="shared" si="1855"/>
        <v>76</v>
      </c>
      <c r="D1440">
        <f>D1378</f>
        <v>5</v>
      </c>
      <c r="E1440" t="str">
        <f>VLOOKUP(D1440,name!A:B,2,1)</f>
        <v>Minako</v>
      </c>
      <c r="F1440" t="str">
        <f t="shared" si="1852"/>
        <v>それで、あなた、あなたは何をしますか?</v>
      </c>
      <c r="G1440" t="str">
        <f t="shared" ref="G1440" si="1873">IF(B1440&lt;&gt;B2381,"e",IF(D1440=0,"q","a"))</f>
        <v>e</v>
      </c>
      <c r="H1440" t="str">
        <f>VLOOKUP(D1440,name!A:C,3,1)</f>
        <v>assets/icons/image086.png</v>
      </c>
      <c r="I1440" t="s">
        <v>463</v>
      </c>
    </row>
    <row r="1441" spans="1:9" x14ac:dyDescent="0.15">
      <c r="A1441" t="str">
        <f t="shared" ref="A1441:B1441" si="1874">A1440</f>
        <v>フランス語</v>
      </c>
      <c r="B1441">
        <f t="shared" si="1874"/>
        <v>17</v>
      </c>
      <c r="C1441">
        <f t="shared" si="1855"/>
        <v>77</v>
      </c>
      <c r="D1441">
        <v>0</v>
      </c>
      <c r="E1441" t="str">
        <f>VLOOKUP(D1441,name!A:B,2,1)</f>
        <v>Player</v>
      </c>
      <c r="F1441" t="str">
        <f t="shared" si="1852"/>
        <v>Et vous, qu'est-ce que vous ferez ?</v>
      </c>
      <c r="G1441" t="str">
        <f t="shared" ref="G1441" si="1875">IF(B1441&lt;&gt;B1851,"e",IF(D1441=0,"q","a"))</f>
        <v>e</v>
      </c>
      <c r="H1441" t="str">
        <f>VLOOKUP(D1441,name!A:C,3,1)</f>
        <v>assets/icons/image326.png</v>
      </c>
      <c r="I1441" t="str">
        <f>IF(A1441="","",VLOOKUP(A1441,lng!A:B,2,0))</f>
        <v>fr-FR</v>
      </c>
    </row>
    <row r="1442" spans="1:9" x14ac:dyDescent="0.15">
      <c r="A1442" t="str">
        <f t="shared" ref="A1442:B1442" si="1876">A1441</f>
        <v>フランス語</v>
      </c>
      <c r="B1442">
        <f t="shared" si="1876"/>
        <v>17</v>
      </c>
      <c r="C1442">
        <f t="shared" si="1855"/>
        <v>78</v>
      </c>
      <c r="D1442">
        <f>D1380</f>
        <v>6</v>
      </c>
      <c r="E1442" t="str">
        <f>VLOOKUP(D1442,name!A:B,2,1)</f>
        <v>Céline</v>
      </c>
      <c r="F1442" t="str">
        <f t="shared" si="1852"/>
        <v>映画の世界で働きたいです。</v>
      </c>
      <c r="G1442" t="str">
        <f t="shared" ref="G1442:G1505" si="1877">IF(B1442&lt;&gt;B1443,"e",IF(D1442=0,"q","a"))</f>
        <v>a</v>
      </c>
      <c r="H1442" t="str">
        <f>VLOOKUP(D1442,name!A:C,3,1)</f>
        <v>assets/icons/image078.png</v>
      </c>
      <c r="I1442" t="s">
        <v>463</v>
      </c>
    </row>
    <row r="1443" spans="1:9" x14ac:dyDescent="0.15">
      <c r="A1443" t="str">
        <f t="shared" ref="A1443:B1443" si="1878">A1442</f>
        <v>フランス語</v>
      </c>
      <c r="B1443">
        <f t="shared" si="1878"/>
        <v>17</v>
      </c>
      <c r="C1443">
        <f t="shared" si="1855"/>
        <v>79</v>
      </c>
      <c r="D1443">
        <v>0</v>
      </c>
      <c r="E1443" t="str">
        <f>VLOOKUP(D1443,name!A:B,2,1)</f>
        <v>Player</v>
      </c>
      <c r="F1443" t="str">
        <f t="shared" si="1852"/>
        <v>Moi, j'aimerais travailler dans le monde du cinéma.</v>
      </c>
      <c r="G1443" t="str">
        <f t="shared" si="1877"/>
        <v>q</v>
      </c>
      <c r="H1443" t="str">
        <f>VLOOKUP(D1443,name!A:C,3,1)</f>
        <v>assets/icons/image326.png</v>
      </c>
      <c r="I1443" t="str">
        <f>IF(A1443="","",VLOOKUP(A1443,lng!A:B,2,0))</f>
        <v>fr-FR</v>
      </c>
    </row>
    <row r="1444" spans="1:9" x14ac:dyDescent="0.15">
      <c r="A1444" t="str">
        <f t="shared" ref="A1444:B1444" si="1879">A1443</f>
        <v>フランス語</v>
      </c>
      <c r="B1444">
        <f t="shared" si="1879"/>
        <v>17</v>
      </c>
      <c r="C1444">
        <f t="shared" si="1855"/>
        <v>80</v>
      </c>
      <c r="D1444">
        <f>D1382</f>
        <v>6</v>
      </c>
      <c r="E1444" t="str">
        <f>VLOOKUP(D1444,name!A:B,2,1)</f>
        <v>Céline</v>
      </c>
      <c r="F1444" t="str">
        <f t="shared" si="1852"/>
        <v>スターと一緒に仕事するの、なんて素晴らしいことでしょう!</v>
      </c>
      <c r="G1444" t="str">
        <f t="shared" ref="G1444" si="1880">IF(B1444&lt;&gt;B2385,"e",IF(D1444=0,"q","a"))</f>
        <v>e</v>
      </c>
      <c r="H1444" t="str">
        <f>VLOOKUP(D1444,name!A:C,3,1)</f>
        <v>assets/icons/image078.png</v>
      </c>
      <c r="I1444" t="s">
        <v>463</v>
      </c>
    </row>
    <row r="1445" spans="1:9" x14ac:dyDescent="0.15">
      <c r="A1445" t="str">
        <f t="shared" ref="A1445:B1445" si="1881">A1444</f>
        <v>フランス語</v>
      </c>
      <c r="B1445">
        <f t="shared" si="1881"/>
        <v>17</v>
      </c>
      <c r="C1445">
        <f t="shared" si="1855"/>
        <v>81</v>
      </c>
      <c r="D1445">
        <v>0</v>
      </c>
      <c r="E1445" t="str">
        <f>VLOOKUP(D1445,name!A:B,2,1)</f>
        <v>Player</v>
      </c>
      <c r="F1445" t="str">
        <f t="shared" si="1852"/>
        <v>Comme ce sera bien de travailler avec des vedettes!</v>
      </c>
      <c r="G1445" t="str">
        <f t="shared" ref="G1445" si="1882">IF(B1445&lt;&gt;B1855,"e",IF(D1445=0,"q","a"))</f>
        <v>e</v>
      </c>
      <c r="H1445" t="str">
        <f>VLOOKUP(D1445,name!A:C,3,1)</f>
        <v>assets/icons/image326.png</v>
      </c>
      <c r="I1445" t="str">
        <f>IF(A1445="","",VLOOKUP(A1445,lng!A:B,2,0))</f>
        <v>fr-FR</v>
      </c>
    </row>
    <row r="1446" spans="1:9" x14ac:dyDescent="0.15">
      <c r="A1446" t="str">
        <f t="shared" ref="A1446:B1446" si="1883">A1445</f>
        <v>フランス語</v>
      </c>
      <c r="B1446">
        <f t="shared" si="1883"/>
        <v>17</v>
      </c>
      <c r="C1446">
        <f t="shared" si="1855"/>
        <v>82</v>
      </c>
      <c r="D1446">
        <f>D1384</f>
        <v>7</v>
      </c>
      <c r="E1446" t="str">
        <f>VLOOKUP(D1446,name!A:B,2,1)</f>
        <v>Luigi</v>
      </c>
      <c r="F1446" t="str">
        <f t="shared" si="1852"/>
        <v>私はおそらくアルゼンチンに行きます。</v>
      </c>
      <c r="G1446" t="str">
        <f t="shared" ref="G1446:G1509" si="1884">IF(B1446&lt;&gt;B1447,"e",IF(D1446=0,"q","a"))</f>
        <v>a</v>
      </c>
      <c r="H1446" t="str">
        <f>VLOOKUP(D1446,name!A:C,3,1)</f>
        <v>assets/icons/image023.png</v>
      </c>
      <c r="I1446" t="s">
        <v>463</v>
      </c>
    </row>
    <row r="1447" spans="1:9" x14ac:dyDescent="0.15">
      <c r="A1447" t="str">
        <f t="shared" ref="A1447:B1447" si="1885">A1446</f>
        <v>フランス語</v>
      </c>
      <c r="B1447">
        <f t="shared" si="1885"/>
        <v>17</v>
      </c>
      <c r="C1447">
        <f t="shared" si="1855"/>
        <v>83</v>
      </c>
      <c r="D1447">
        <v>0</v>
      </c>
      <c r="E1447" t="str">
        <f>VLOOKUP(D1447,name!A:B,2,1)</f>
        <v>Player</v>
      </c>
      <c r="F1447" t="str">
        <f t="shared" si="1852"/>
        <v>Moi, j'irai sans doute en Argentine.</v>
      </c>
      <c r="G1447" t="str">
        <f t="shared" ref="G1447" si="1886">IF(B1447&lt;&gt;B2388,"e",IF(D1447=0,"q","a"))</f>
        <v>e</v>
      </c>
      <c r="H1447" t="str">
        <f>VLOOKUP(D1447,name!A:C,3,1)</f>
        <v>assets/icons/image326.png</v>
      </c>
      <c r="I1447" t="str">
        <f>IF(A1447="","",VLOOKUP(A1447,lng!A:B,2,0))</f>
        <v>fr-FR</v>
      </c>
    </row>
    <row r="1448" spans="1:9" x14ac:dyDescent="0.15">
      <c r="A1448" t="str">
        <f t="shared" ref="A1448:B1448" si="1887">A1447</f>
        <v>フランス語</v>
      </c>
      <c r="B1448">
        <f t="shared" si="1887"/>
        <v>17</v>
      </c>
      <c r="C1448">
        <f t="shared" si="1855"/>
        <v>84</v>
      </c>
      <c r="D1448">
        <f>D1386</f>
        <v>7</v>
      </c>
      <c r="E1448" t="str">
        <f>VLOOKUP(D1448,name!A:B,2,1)</f>
        <v>Luigi</v>
      </c>
      <c r="F1448" t="str">
        <f t="shared" si="1852"/>
        <v>私にはそこに農場を持っている叔父がいます。</v>
      </c>
      <c r="G1448" t="str">
        <f t="shared" ref="G1448" si="1888">IF(B1448&lt;&gt;B1858,"e",IF(D1448=0,"q","a"))</f>
        <v>e</v>
      </c>
      <c r="H1448" t="str">
        <f>VLOOKUP(D1448,name!A:C,3,1)</f>
        <v>assets/icons/image023.png</v>
      </c>
      <c r="I1448" t="s">
        <v>463</v>
      </c>
    </row>
    <row r="1449" spans="1:9" x14ac:dyDescent="0.15">
      <c r="A1449" t="str">
        <f t="shared" ref="A1449:B1449" si="1889">A1448</f>
        <v>フランス語</v>
      </c>
      <c r="B1449">
        <f t="shared" si="1889"/>
        <v>17</v>
      </c>
      <c r="C1449">
        <f t="shared" si="1855"/>
        <v>85</v>
      </c>
      <c r="D1449">
        <v>0</v>
      </c>
      <c r="E1449" t="str">
        <f>VLOOKUP(D1449,name!A:B,2,1)</f>
        <v>Player</v>
      </c>
      <c r="F1449" t="str">
        <f t="shared" si="1852"/>
        <v>J'ai un oncle qui a une ferme là-bas.</v>
      </c>
      <c r="G1449" t="str">
        <f t="shared" ref="G1449:G1512" si="1890">IF(B1449&lt;&gt;B1450,"e",IF(D1449=0,"q","a"))</f>
        <v>q</v>
      </c>
      <c r="H1449" t="str">
        <f>VLOOKUP(D1449,name!A:C,3,1)</f>
        <v>assets/icons/image326.png</v>
      </c>
      <c r="I1449" t="str">
        <f>IF(A1449="","",VLOOKUP(A1449,lng!A:B,2,0))</f>
        <v>fr-FR</v>
      </c>
    </row>
    <row r="1450" spans="1:9" x14ac:dyDescent="0.15">
      <c r="A1450" t="str">
        <f t="shared" ref="A1450:B1450" si="1891">A1449</f>
        <v>フランス語</v>
      </c>
      <c r="B1450">
        <f t="shared" si="1891"/>
        <v>17</v>
      </c>
      <c r="C1450">
        <f t="shared" si="1855"/>
        <v>86</v>
      </c>
      <c r="D1450">
        <f>D1388</f>
        <v>7</v>
      </c>
      <c r="E1450" t="str">
        <f>VLOOKUP(D1450,name!A:B,2,1)</f>
        <v>Luigi</v>
      </c>
      <c r="F1450" t="str">
        <f t="shared" si="1852"/>
        <v>財産を築いたらイタリアに戻ります。</v>
      </c>
      <c r="G1450" t="str">
        <f t="shared" si="1890"/>
        <v>a</v>
      </c>
      <c r="H1450" t="str">
        <f>VLOOKUP(D1450,name!A:C,3,1)</f>
        <v>assets/icons/image023.png</v>
      </c>
      <c r="I1450" t="s">
        <v>463</v>
      </c>
    </row>
    <row r="1451" spans="1:9" x14ac:dyDescent="0.15">
      <c r="A1451" t="str">
        <f t="shared" ref="A1451:B1451" si="1892">A1450</f>
        <v>フランス語</v>
      </c>
      <c r="B1451">
        <f t="shared" si="1892"/>
        <v>17</v>
      </c>
      <c r="C1451">
        <f t="shared" si="1855"/>
        <v>87</v>
      </c>
      <c r="D1451">
        <v>0</v>
      </c>
      <c r="E1451" t="str">
        <f>VLOOKUP(D1451,name!A:B,2,1)</f>
        <v>Player</v>
      </c>
      <c r="F1451" t="str">
        <f t="shared" si="1852"/>
        <v>Je reviendrai en Italie quand j'aurai fait fortune.</v>
      </c>
      <c r="G1451" t="str">
        <f t="shared" ref="G1451" si="1893">IF(B1451&lt;&gt;B2392,"e",IF(D1451=0,"q","a"))</f>
        <v>e</v>
      </c>
      <c r="H1451" t="str">
        <f>VLOOKUP(D1451,name!A:C,3,1)</f>
        <v>assets/icons/image326.png</v>
      </c>
      <c r="I1451" t="str">
        <f>IF(A1451="","",VLOOKUP(A1451,lng!A:B,2,0))</f>
        <v>fr-FR</v>
      </c>
    </row>
    <row r="1452" spans="1:9" x14ac:dyDescent="0.15">
      <c r="A1452" t="str">
        <f t="shared" ref="A1452:B1452" si="1894">A1451</f>
        <v>フランス語</v>
      </c>
      <c r="B1452">
        <f t="shared" si="1894"/>
        <v>17</v>
      </c>
      <c r="C1452">
        <f t="shared" si="1855"/>
        <v>88</v>
      </c>
      <c r="D1452">
        <f>D1390</f>
        <v>5</v>
      </c>
      <c r="E1452" t="str">
        <f>VLOOKUP(D1452,name!A:B,2,1)</f>
        <v>Minako</v>
      </c>
      <c r="F1452" t="str">
        <f t="shared" si="1852"/>
        <v>あなたは野心的だね。</v>
      </c>
      <c r="G1452" t="str">
        <f t="shared" ref="G1452" si="1895">IF(B1452&lt;&gt;B1862,"e",IF(D1452=0,"q","a"))</f>
        <v>e</v>
      </c>
      <c r="H1452" t="str">
        <f>VLOOKUP(D1452,name!A:C,3,1)</f>
        <v>assets/icons/image086.png</v>
      </c>
      <c r="I1452" t="s">
        <v>463</v>
      </c>
    </row>
    <row r="1453" spans="1:9" x14ac:dyDescent="0.15">
      <c r="A1453" t="str">
        <f t="shared" ref="A1453:B1453" si="1896">A1452</f>
        <v>フランス語</v>
      </c>
      <c r="B1453">
        <f t="shared" si="1896"/>
        <v>17</v>
      </c>
      <c r="C1453">
        <f t="shared" si="1855"/>
        <v>89</v>
      </c>
      <c r="D1453">
        <v>0</v>
      </c>
      <c r="E1453" t="str">
        <f>VLOOKUP(D1453,name!A:B,2,1)</f>
        <v>Player</v>
      </c>
      <c r="F1453" t="str">
        <f t="shared" si="1852"/>
        <v>Tu es ambitieux.</v>
      </c>
      <c r="G1453" t="str">
        <f t="shared" ref="G1453:G1516" si="1897">IF(B1453&lt;&gt;B1454,"e",IF(D1453=0,"q","a"))</f>
        <v>q</v>
      </c>
      <c r="H1453" t="str">
        <f>VLOOKUP(D1453,name!A:C,3,1)</f>
        <v>assets/icons/image326.png</v>
      </c>
      <c r="I1453" t="str">
        <f>IF(A1453="","",VLOOKUP(A1453,lng!A:B,2,0))</f>
        <v>fr-FR</v>
      </c>
    </row>
    <row r="1454" spans="1:9" x14ac:dyDescent="0.15">
      <c r="A1454" t="str">
        <f t="shared" ref="A1454:B1454" si="1898">A1453</f>
        <v>フランス語</v>
      </c>
      <c r="B1454">
        <f t="shared" si="1898"/>
        <v>17</v>
      </c>
      <c r="C1454">
        <f t="shared" si="1855"/>
        <v>90</v>
      </c>
      <c r="D1454">
        <v>1</v>
      </c>
      <c r="E1454" t="str">
        <f>VLOOKUP(D1454,name!A:B,2,1)</f>
        <v>Navigator</v>
      </c>
      <c r="F1454" t="str">
        <f>"とても良くできました。レッスン"&amp;B1454&amp;"はこれで終了です。"</f>
        <v>とても良くできました。レッスン17はこれで終了です。</v>
      </c>
      <c r="G1454" t="str">
        <f t="shared" ref="G1454" si="1899">IF(B1454&lt;&gt;B2395,"e",IF(D1454=0,"q","a"))</f>
        <v>e</v>
      </c>
      <c r="H1454" t="str">
        <f>VLOOKUP(D1454,name!A:C,3,1)</f>
        <v>assets/icons/image014.png</v>
      </c>
      <c r="I1454" t="s">
        <v>463</v>
      </c>
    </row>
    <row r="1455" spans="1:9" x14ac:dyDescent="0.15">
      <c r="A1455" t="str">
        <f>A1454</f>
        <v>フランス語</v>
      </c>
      <c r="B1455">
        <f>B1454+1</f>
        <v>18</v>
      </c>
      <c r="C1455">
        <v>1</v>
      </c>
      <c r="D1455">
        <v>1</v>
      </c>
      <c r="E1455" t="str">
        <f>VLOOKUP(D1455,name!A:B,2,1)</f>
        <v>Navigator</v>
      </c>
      <c r="F1455" t="s">
        <v>824</v>
      </c>
      <c r="G1455" t="str">
        <f t="shared" ref="G1455" si="1900">IF(B1455&lt;&gt;B1865,"e",IF(D1455=0,"q","a"))</f>
        <v>e</v>
      </c>
      <c r="H1455" t="str">
        <f>VLOOKUP(D1455,name!A:C,3,1)</f>
        <v>assets/icons/image014.png</v>
      </c>
      <c r="I1455" t="str">
        <f>IF(A1455="","",VLOOKUP(A1455,lng!A:B,2,0))</f>
        <v>fr-FR</v>
      </c>
    </row>
    <row r="1456" spans="1:9" x14ac:dyDescent="0.15">
      <c r="A1456" t="str">
        <f t="shared" ref="A1456:B1467" si="1901">A1455</f>
        <v>フランス語</v>
      </c>
      <c r="B1456">
        <f>B1455</f>
        <v>18</v>
      </c>
      <c r="C1456">
        <f>C1455+1</f>
        <v>2</v>
      </c>
      <c r="D1456">
        <v>1</v>
      </c>
      <c r="E1456" t="str">
        <f>VLOOKUP(D1456,name!A:B,2,1)</f>
        <v>Navigator</v>
      </c>
      <c r="F1456" t="str">
        <f>"レッスン"&amp;B1456</f>
        <v>レッスン18</v>
      </c>
      <c r="G1456" t="str">
        <f t="shared" ref="G1456:G1519" si="1902">IF(B1456&lt;&gt;B1457,"e",IF(D1456=0,"q","a"))</f>
        <v>a</v>
      </c>
      <c r="H1456" t="str">
        <f>VLOOKUP(D1456,name!A:C,3,1)</f>
        <v>assets/icons/image014.png</v>
      </c>
      <c r="I1456" t="s">
        <v>463</v>
      </c>
    </row>
    <row r="1457" spans="1:12" ht="40.5" x14ac:dyDescent="0.15">
      <c r="A1457" t="str">
        <f t="shared" si="1901"/>
        <v>フランス語</v>
      </c>
      <c r="B1457">
        <f t="shared" si="1901"/>
        <v>18</v>
      </c>
      <c r="C1457">
        <f t="shared" ref="C1457:C1520" si="1903">C1456+1</f>
        <v>3</v>
      </c>
      <c r="D1457">
        <v>1</v>
      </c>
      <c r="E1457" t="str">
        <f>VLOOKUP(D1457,name!A:B,2,1)</f>
        <v>Navigator</v>
      </c>
      <c r="F1457" s="1" t="str">
        <f>"まずは対話文を流します。その後に、日本語と"&amp;A1457&amp;"を一文ずつ流すので"&amp;A1457&amp;"を真似して下さい。最後に日本語のみを流すので、"&amp;A1457&amp;"で答えてください。"</f>
        <v>まずは対話文を流します。その後に、日本語とフランス語を一文ずつ流すのでフランス語を真似して下さい。最後に日本語のみを流すので、フランス語で答えてください。</v>
      </c>
      <c r="G1457" t="str">
        <f t="shared" si="1902"/>
        <v>a</v>
      </c>
      <c r="H1457" t="str">
        <f>VLOOKUP(D1457,name!A:C,3,1)</f>
        <v>assets/icons/image014.png</v>
      </c>
      <c r="I1457" t="s">
        <v>463</v>
      </c>
      <c r="L1457" s="1"/>
    </row>
    <row r="1458" spans="1:12" x14ac:dyDescent="0.15">
      <c r="A1458" t="str">
        <f t="shared" si="1901"/>
        <v>フランス語</v>
      </c>
      <c r="B1458">
        <f t="shared" si="1901"/>
        <v>18</v>
      </c>
      <c r="C1458">
        <f t="shared" si="1903"/>
        <v>4</v>
      </c>
      <c r="D1458">
        <f>D1459</f>
        <v>7</v>
      </c>
      <c r="E1458" t="str">
        <f>VLOOKUP(D1458,name!A:B,2,1)</f>
        <v>Luigi</v>
      </c>
      <c r="F1458" t="s">
        <v>836</v>
      </c>
      <c r="G1458" t="str">
        <f t="shared" ref="G1458" si="1904">IF(B1458&lt;&gt;B2399,"e",IF(D1458=0,"q","a"))</f>
        <v>e</v>
      </c>
      <c r="H1458" t="str">
        <f>VLOOKUP(D1458,name!A:C,3,1)</f>
        <v>assets/icons/image023.png</v>
      </c>
      <c r="I1458" t="s">
        <v>463</v>
      </c>
    </row>
    <row r="1459" spans="1:12" x14ac:dyDescent="0.15">
      <c r="A1459" t="str">
        <f t="shared" si="1901"/>
        <v>フランス語</v>
      </c>
      <c r="B1459">
        <f t="shared" si="1901"/>
        <v>18</v>
      </c>
      <c r="C1459">
        <f t="shared" si="1903"/>
        <v>5</v>
      </c>
      <c r="D1459">
        <f t="shared" ref="D1459:D1484" si="1905">D1460</f>
        <v>7</v>
      </c>
      <c r="E1459" t="str">
        <f>VLOOKUP(D1459,name!A:B,2,1)</f>
        <v>Luigi</v>
      </c>
      <c r="F1459" t="s">
        <v>825</v>
      </c>
      <c r="G1459" t="str">
        <f t="shared" ref="G1459" si="1906">IF(B1459&lt;&gt;B1869,"e",IF(D1459=0,"q","a"))</f>
        <v>e</v>
      </c>
      <c r="H1459" t="str">
        <f>VLOOKUP(D1459,name!A:C,3,1)</f>
        <v>assets/icons/image023.png</v>
      </c>
      <c r="I1459" t="str">
        <f>IF(A1459="","",VLOOKUP(A1459,lng!A:B,2,0))</f>
        <v>fr-FR</v>
      </c>
    </row>
    <row r="1460" spans="1:12" x14ac:dyDescent="0.15">
      <c r="A1460" t="str">
        <f t="shared" si="1901"/>
        <v>フランス語</v>
      </c>
      <c r="B1460">
        <f t="shared" si="1901"/>
        <v>18</v>
      </c>
      <c r="C1460">
        <f t="shared" si="1903"/>
        <v>6</v>
      </c>
      <c r="D1460">
        <f t="shared" si="1905"/>
        <v>7</v>
      </c>
      <c r="E1460" t="str">
        <f>VLOOKUP(D1460,name!A:B,2,1)</f>
        <v>Luigi</v>
      </c>
      <c r="F1460" t="s">
        <v>837</v>
      </c>
      <c r="G1460" t="str">
        <f t="shared" ref="G1460:G1523" si="1907">IF(B1460&lt;&gt;B1461,"e",IF(D1460=0,"q","a"))</f>
        <v>a</v>
      </c>
      <c r="H1460" t="str">
        <f>VLOOKUP(D1460,name!A:C,3,1)</f>
        <v>assets/icons/image023.png</v>
      </c>
      <c r="I1460" t="s">
        <v>463</v>
      </c>
    </row>
    <row r="1461" spans="1:12" x14ac:dyDescent="0.15">
      <c r="A1461" t="str">
        <f t="shared" si="1901"/>
        <v>フランス語</v>
      </c>
      <c r="B1461">
        <f t="shared" si="1901"/>
        <v>18</v>
      </c>
      <c r="C1461">
        <f t="shared" si="1903"/>
        <v>7</v>
      </c>
      <c r="D1461">
        <v>7</v>
      </c>
      <c r="E1461" t="str">
        <f>VLOOKUP(D1461,name!A:B,2,1)</f>
        <v>Luigi</v>
      </c>
      <c r="F1461" t="s">
        <v>826</v>
      </c>
      <c r="G1461" t="str">
        <f t="shared" ref="G1461" si="1908">IF(B1461&lt;&gt;B2402,"e",IF(D1461=0,"q","a"))</f>
        <v>e</v>
      </c>
      <c r="H1461" t="str">
        <f>VLOOKUP(D1461,name!A:C,3,1)</f>
        <v>assets/icons/image023.png</v>
      </c>
      <c r="I1461" t="str">
        <f>IF(A1461="","",VLOOKUP(A1461,lng!A:B,2,0))</f>
        <v>fr-FR</v>
      </c>
    </row>
    <row r="1462" spans="1:12" x14ac:dyDescent="0.15">
      <c r="A1462" t="str">
        <f t="shared" si="1901"/>
        <v>フランス語</v>
      </c>
      <c r="B1462">
        <f t="shared" si="1901"/>
        <v>18</v>
      </c>
      <c r="C1462">
        <f t="shared" si="1903"/>
        <v>8</v>
      </c>
      <c r="D1462">
        <f t="shared" si="1905"/>
        <v>6</v>
      </c>
      <c r="E1462" t="str">
        <f>VLOOKUP(D1462,name!A:B,2,1)</f>
        <v>Céline</v>
      </c>
      <c r="F1462" t="s">
        <v>838</v>
      </c>
      <c r="G1462" t="str">
        <f t="shared" ref="G1462" si="1909">IF(B1462&lt;&gt;B1872,"e",IF(D1462=0,"q","a"))</f>
        <v>e</v>
      </c>
      <c r="H1462" t="str">
        <f>VLOOKUP(D1462,name!A:C,3,1)</f>
        <v>assets/icons/image078.png</v>
      </c>
      <c r="I1462" t="s">
        <v>463</v>
      </c>
    </row>
    <row r="1463" spans="1:12" x14ac:dyDescent="0.15">
      <c r="A1463" t="str">
        <f t="shared" si="1901"/>
        <v>フランス語</v>
      </c>
      <c r="B1463">
        <f t="shared" si="1901"/>
        <v>18</v>
      </c>
      <c r="C1463">
        <f t="shared" si="1903"/>
        <v>9</v>
      </c>
      <c r="D1463">
        <v>6</v>
      </c>
      <c r="E1463" t="str">
        <f>VLOOKUP(D1463,name!A:B,2,1)</f>
        <v>Céline</v>
      </c>
      <c r="F1463" t="s">
        <v>827</v>
      </c>
      <c r="G1463" t="str">
        <f t="shared" ref="G1463:G1526" si="1910">IF(B1463&lt;&gt;B1464,"e",IF(D1463=0,"q","a"))</f>
        <v>a</v>
      </c>
      <c r="H1463" t="str">
        <f>VLOOKUP(D1463,name!A:C,3,1)</f>
        <v>assets/icons/image078.png</v>
      </c>
      <c r="I1463" t="str">
        <f>IF(A1463="","",VLOOKUP(A1463,lng!A:B,2,0))</f>
        <v>fr-FR</v>
      </c>
    </row>
    <row r="1464" spans="1:12" x14ac:dyDescent="0.15">
      <c r="A1464" t="str">
        <f t="shared" si="1901"/>
        <v>フランス語</v>
      </c>
      <c r="B1464">
        <f t="shared" si="1901"/>
        <v>18</v>
      </c>
      <c r="C1464">
        <f t="shared" si="1903"/>
        <v>10</v>
      </c>
      <c r="D1464">
        <f t="shared" si="1905"/>
        <v>7</v>
      </c>
      <c r="E1464" t="str">
        <f>VLOOKUP(D1464,name!A:B,2,1)</f>
        <v>Luigi</v>
      </c>
      <c r="F1464" t="s">
        <v>839</v>
      </c>
      <c r="G1464" t="str">
        <f t="shared" si="1910"/>
        <v>a</v>
      </c>
      <c r="H1464" t="str">
        <f>VLOOKUP(D1464,name!A:C,3,1)</f>
        <v>assets/icons/image023.png</v>
      </c>
      <c r="I1464" t="s">
        <v>463</v>
      </c>
    </row>
    <row r="1465" spans="1:12" x14ac:dyDescent="0.15">
      <c r="A1465" t="str">
        <f t="shared" si="1901"/>
        <v>フランス語</v>
      </c>
      <c r="B1465">
        <f t="shared" si="1901"/>
        <v>18</v>
      </c>
      <c r="C1465">
        <f t="shared" si="1903"/>
        <v>11</v>
      </c>
      <c r="D1465">
        <f t="shared" si="1905"/>
        <v>7</v>
      </c>
      <c r="E1465" t="str">
        <f>VLOOKUP(D1465,name!A:B,2,1)</f>
        <v>Luigi</v>
      </c>
      <c r="F1465" t="s">
        <v>828</v>
      </c>
      <c r="G1465" t="str">
        <f t="shared" ref="G1465" si="1911">IF(B1465&lt;&gt;B2406,"e",IF(D1465=0,"q","a"))</f>
        <v>e</v>
      </c>
      <c r="H1465" t="str">
        <f>VLOOKUP(D1465,name!A:C,3,1)</f>
        <v>assets/icons/image023.png</v>
      </c>
      <c r="I1465" t="str">
        <f>IF(A1465="","",VLOOKUP(A1465,lng!A:B,2,0))</f>
        <v>fr-FR</v>
      </c>
    </row>
    <row r="1466" spans="1:12" x14ac:dyDescent="0.15">
      <c r="A1466" t="str">
        <f t="shared" si="1901"/>
        <v>フランス語</v>
      </c>
      <c r="B1466">
        <f t="shared" si="1901"/>
        <v>18</v>
      </c>
      <c r="C1466">
        <f t="shared" si="1903"/>
        <v>12</v>
      </c>
      <c r="D1466">
        <f t="shared" si="1905"/>
        <v>7</v>
      </c>
      <c r="E1466" t="str">
        <f>VLOOKUP(D1466,name!A:B,2,1)</f>
        <v>Luigi</v>
      </c>
      <c r="F1466" t="s">
        <v>840</v>
      </c>
      <c r="G1466" t="str">
        <f t="shared" ref="G1466" si="1912">IF(B1466&lt;&gt;B1876,"e",IF(D1466=0,"q","a"))</f>
        <v>e</v>
      </c>
      <c r="H1466" t="str">
        <f>VLOOKUP(D1466,name!A:C,3,1)</f>
        <v>assets/icons/image023.png</v>
      </c>
      <c r="I1466" t="s">
        <v>463</v>
      </c>
    </row>
    <row r="1467" spans="1:12" x14ac:dyDescent="0.15">
      <c r="A1467" t="str">
        <f t="shared" si="1901"/>
        <v>フランス語</v>
      </c>
      <c r="B1467">
        <f t="shared" si="1901"/>
        <v>18</v>
      </c>
      <c r="C1467">
        <f t="shared" si="1903"/>
        <v>13</v>
      </c>
      <c r="D1467">
        <v>7</v>
      </c>
      <c r="E1467" t="str">
        <f>VLOOKUP(D1467,name!A:B,2,1)</f>
        <v>Luigi</v>
      </c>
      <c r="F1467" t="s">
        <v>829</v>
      </c>
      <c r="G1467" t="str">
        <f t="shared" ref="G1467:G1530" si="1913">IF(B1467&lt;&gt;B1468,"e",IF(D1467=0,"q","a"))</f>
        <v>a</v>
      </c>
      <c r="H1467" t="str">
        <f>VLOOKUP(D1467,name!A:C,3,1)</f>
        <v>assets/icons/image023.png</v>
      </c>
      <c r="I1467" t="str">
        <f>IF(A1467="","",VLOOKUP(A1467,lng!A:B,2,0))</f>
        <v>fr-FR</v>
      </c>
    </row>
    <row r="1468" spans="1:12" x14ac:dyDescent="0.15">
      <c r="A1468" t="str">
        <f t="shared" ref="A1468:B1468" si="1914">A1467</f>
        <v>フランス語</v>
      </c>
      <c r="B1468">
        <f t="shared" si="1914"/>
        <v>18</v>
      </c>
      <c r="C1468">
        <f t="shared" si="1903"/>
        <v>14</v>
      </c>
      <c r="D1468">
        <v>6</v>
      </c>
      <c r="E1468" t="str">
        <f>VLOOKUP(D1468,name!A:B,2,1)</f>
        <v>Céline</v>
      </c>
      <c r="F1468" t="s">
        <v>844</v>
      </c>
      <c r="G1468" t="str">
        <f t="shared" ref="G1468" si="1915">IF(B1468&lt;&gt;B2409,"e",IF(D1468=0,"q","a"))</f>
        <v>e</v>
      </c>
      <c r="H1468" t="str">
        <f>VLOOKUP(D1468,name!A:C,3,1)</f>
        <v>assets/icons/image078.png</v>
      </c>
      <c r="I1468" t="s">
        <v>463</v>
      </c>
    </row>
    <row r="1469" spans="1:12" x14ac:dyDescent="0.15">
      <c r="A1469" t="str">
        <f t="shared" ref="A1469:B1469" si="1916">A1468</f>
        <v>フランス語</v>
      </c>
      <c r="B1469">
        <f t="shared" si="1916"/>
        <v>18</v>
      </c>
      <c r="C1469">
        <f t="shared" si="1903"/>
        <v>15</v>
      </c>
      <c r="D1469">
        <v>6</v>
      </c>
      <c r="E1469" t="str">
        <f>VLOOKUP(D1469,name!A:B,2,1)</f>
        <v>Céline</v>
      </c>
      <c r="F1469" t="s">
        <v>841</v>
      </c>
      <c r="G1469" t="str">
        <f t="shared" ref="G1469" si="1917">IF(B1469&lt;&gt;B1879,"e",IF(D1469=0,"q","a"))</f>
        <v>e</v>
      </c>
      <c r="H1469" t="str">
        <f>VLOOKUP(D1469,name!A:C,3,1)</f>
        <v>assets/icons/image078.png</v>
      </c>
      <c r="I1469" t="str">
        <f>IF(A1469="","",VLOOKUP(A1469,lng!A:B,2,0))</f>
        <v>fr-FR</v>
      </c>
    </row>
    <row r="1470" spans="1:12" x14ac:dyDescent="0.15">
      <c r="A1470" t="str">
        <f t="shared" ref="A1470:B1470" si="1918">A1469</f>
        <v>フランス語</v>
      </c>
      <c r="B1470">
        <f t="shared" si="1918"/>
        <v>18</v>
      </c>
      <c r="C1470">
        <f t="shared" si="1903"/>
        <v>16</v>
      </c>
      <c r="D1470">
        <f t="shared" si="1905"/>
        <v>6</v>
      </c>
      <c r="E1470" t="str">
        <f>VLOOKUP(D1470,name!A:B,2,1)</f>
        <v>Céline</v>
      </c>
      <c r="F1470" t="s">
        <v>843</v>
      </c>
      <c r="G1470" t="str">
        <f t="shared" ref="G1470:G1533" si="1919">IF(B1470&lt;&gt;B1471,"e",IF(D1470=0,"q","a"))</f>
        <v>a</v>
      </c>
      <c r="H1470" t="str">
        <f>VLOOKUP(D1470,name!A:C,3,1)</f>
        <v>assets/icons/image078.png</v>
      </c>
      <c r="I1470" t="s">
        <v>463</v>
      </c>
    </row>
    <row r="1471" spans="1:12" x14ac:dyDescent="0.15">
      <c r="A1471" t="str">
        <f t="shared" ref="A1471:B1471" si="1920">A1470</f>
        <v>フランス語</v>
      </c>
      <c r="B1471">
        <f t="shared" si="1920"/>
        <v>18</v>
      </c>
      <c r="C1471">
        <f t="shared" si="1903"/>
        <v>17</v>
      </c>
      <c r="D1471">
        <v>6</v>
      </c>
      <c r="E1471" t="str">
        <f>VLOOKUP(D1471,name!A:B,2,1)</f>
        <v>Céline</v>
      </c>
      <c r="F1471" t="s">
        <v>842</v>
      </c>
      <c r="G1471" t="str">
        <f t="shared" si="1919"/>
        <v>a</v>
      </c>
      <c r="H1471" t="str">
        <f>VLOOKUP(D1471,name!A:C,3,1)</f>
        <v>assets/icons/image078.png</v>
      </c>
      <c r="I1471" t="str">
        <f>IF(A1471="","",VLOOKUP(A1471,lng!A:B,2,0))</f>
        <v>fr-FR</v>
      </c>
    </row>
    <row r="1472" spans="1:12" x14ac:dyDescent="0.15">
      <c r="A1472" t="str">
        <f t="shared" ref="A1472:B1472" si="1921">A1471</f>
        <v>フランス語</v>
      </c>
      <c r="B1472">
        <f t="shared" si="1921"/>
        <v>18</v>
      </c>
      <c r="C1472">
        <f t="shared" si="1903"/>
        <v>18</v>
      </c>
      <c r="D1472">
        <f t="shared" si="1905"/>
        <v>5</v>
      </c>
      <c r="E1472" t="str">
        <f>VLOOKUP(D1472,name!A:B,2,1)</f>
        <v>Minako</v>
      </c>
      <c r="F1472" t="s">
        <v>846</v>
      </c>
      <c r="G1472" t="str">
        <f t="shared" ref="G1472" si="1922">IF(B1472&lt;&gt;B2413,"e",IF(D1472=0,"q","a"))</f>
        <v>e</v>
      </c>
      <c r="H1472" t="str">
        <f>VLOOKUP(D1472,name!A:C,3,1)</f>
        <v>assets/icons/image086.png</v>
      </c>
      <c r="I1472" t="s">
        <v>463</v>
      </c>
    </row>
    <row r="1473" spans="1:9" x14ac:dyDescent="0.15">
      <c r="A1473" t="str">
        <f t="shared" ref="A1473:B1473" si="1923">A1472</f>
        <v>フランス語</v>
      </c>
      <c r="B1473">
        <f t="shared" si="1923"/>
        <v>18</v>
      </c>
      <c r="C1473">
        <f t="shared" si="1903"/>
        <v>19</v>
      </c>
      <c r="D1473">
        <f t="shared" si="1905"/>
        <v>5</v>
      </c>
      <c r="E1473" t="str">
        <f>VLOOKUP(D1473,name!A:B,2,1)</f>
        <v>Minako</v>
      </c>
      <c r="F1473" t="s">
        <v>845</v>
      </c>
      <c r="G1473" t="str">
        <f t="shared" ref="G1473" si="1924">IF(B1473&lt;&gt;B1883,"e",IF(D1473=0,"q","a"))</f>
        <v>e</v>
      </c>
      <c r="H1473" t="str">
        <f>VLOOKUP(D1473,name!A:C,3,1)</f>
        <v>assets/icons/image086.png</v>
      </c>
      <c r="I1473" t="str">
        <f>IF(A1473="","",VLOOKUP(A1473,lng!A:B,2,0))</f>
        <v>fr-FR</v>
      </c>
    </row>
    <row r="1474" spans="1:9" x14ac:dyDescent="0.15">
      <c r="A1474" t="str">
        <f t="shared" ref="A1474:B1474" si="1925">A1473</f>
        <v>フランス語</v>
      </c>
      <c r="B1474">
        <f t="shared" si="1925"/>
        <v>18</v>
      </c>
      <c r="C1474">
        <f t="shared" si="1903"/>
        <v>20</v>
      </c>
      <c r="D1474">
        <f t="shared" si="1905"/>
        <v>5</v>
      </c>
      <c r="E1474" t="str">
        <f>VLOOKUP(D1474,name!A:B,2,1)</f>
        <v>Minako</v>
      </c>
      <c r="F1474" t="s">
        <v>847</v>
      </c>
      <c r="G1474" t="str">
        <f t="shared" ref="G1474:G1537" si="1926">IF(B1474&lt;&gt;B1475,"e",IF(D1474=0,"q","a"))</f>
        <v>a</v>
      </c>
      <c r="H1474" t="str">
        <f>VLOOKUP(D1474,name!A:C,3,1)</f>
        <v>assets/icons/image086.png</v>
      </c>
      <c r="I1474" t="s">
        <v>463</v>
      </c>
    </row>
    <row r="1475" spans="1:9" x14ac:dyDescent="0.15">
      <c r="A1475" t="str">
        <f t="shared" ref="A1475:B1475" si="1927">A1474</f>
        <v>フランス語</v>
      </c>
      <c r="B1475">
        <f t="shared" si="1927"/>
        <v>18</v>
      </c>
      <c r="C1475">
        <f t="shared" si="1903"/>
        <v>21</v>
      </c>
      <c r="D1475">
        <v>5</v>
      </c>
      <c r="E1475" t="str">
        <f>VLOOKUP(D1475,name!A:B,2,1)</f>
        <v>Minako</v>
      </c>
      <c r="F1475" t="s">
        <v>830</v>
      </c>
      <c r="G1475" t="str">
        <f t="shared" ref="G1475" si="1928">IF(B1475&lt;&gt;B2416,"e",IF(D1475=0,"q","a"))</f>
        <v>e</v>
      </c>
      <c r="H1475" t="str">
        <f>VLOOKUP(D1475,name!A:C,3,1)</f>
        <v>assets/icons/image086.png</v>
      </c>
      <c r="I1475" t="str">
        <f>IF(A1475="","",VLOOKUP(A1475,lng!A:B,2,0))</f>
        <v>fr-FR</v>
      </c>
    </row>
    <row r="1476" spans="1:9" x14ac:dyDescent="0.15">
      <c r="A1476" t="str">
        <f t="shared" ref="A1476:B1476" si="1929">A1475</f>
        <v>フランス語</v>
      </c>
      <c r="B1476">
        <f t="shared" si="1929"/>
        <v>18</v>
      </c>
      <c r="C1476">
        <f t="shared" si="1903"/>
        <v>22</v>
      </c>
      <c r="D1476">
        <f t="shared" si="1905"/>
        <v>5</v>
      </c>
      <c r="E1476" t="str">
        <f>VLOOKUP(D1476,name!A:B,2,1)</f>
        <v>Minako</v>
      </c>
      <c r="F1476" t="s">
        <v>848</v>
      </c>
      <c r="G1476" t="str">
        <f t="shared" ref="G1476" si="1930">IF(B1476&lt;&gt;B1886,"e",IF(D1476=0,"q","a"))</f>
        <v>e</v>
      </c>
      <c r="H1476" t="str">
        <f>VLOOKUP(D1476,name!A:C,3,1)</f>
        <v>assets/icons/image086.png</v>
      </c>
      <c r="I1476" t="s">
        <v>463</v>
      </c>
    </row>
    <row r="1477" spans="1:9" x14ac:dyDescent="0.15">
      <c r="A1477" t="str">
        <f t="shared" ref="A1477:B1477" si="1931">A1476</f>
        <v>フランス語</v>
      </c>
      <c r="B1477">
        <f t="shared" si="1931"/>
        <v>18</v>
      </c>
      <c r="C1477">
        <f t="shared" si="1903"/>
        <v>23</v>
      </c>
      <c r="D1477">
        <f t="shared" si="1905"/>
        <v>5</v>
      </c>
      <c r="E1477" t="str">
        <f>VLOOKUP(D1477,name!A:B,2,1)</f>
        <v>Minako</v>
      </c>
      <c r="F1477" t="s">
        <v>831</v>
      </c>
      <c r="G1477" t="str">
        <f t="shared" ref="G1477:G1540" si="1932">IF(B1477&lt;&gt;B1478,"e",IF(D1477=0,"q","a"))</f>
        <v>a</v>
      </c>
      <c r="H1477" t="str">
        <f>VLOOKUP(D1477,name!A:C,3,1)</f>
        <v>assets/icons/image086.png</v>
      </c>
      <c r="I1477" t="str">
        <f>IF(A1477="","",VLOOKUP(A1477,lng!A:B,2,0))</f>
        <v>fr-FR</v>
      </c>
    </row>
    <row r="1478" spans="1:9" x14ac:dyDescent="0.15">
      <c r="A1478" t="str">
        <f t="shared" ref="A1478:B1478" si="1933">A1477</f>
        <v>フランス語</v>
      </c>
      <c r="B1478">
        <f t="shared" si="1933"/>
        <v>18</v>
      </c>
      <c r="C1478">
        <f t="shared" si="1903"/>
        <v>24</v>
      </c>
      <c r="D1478">
        <f t="shared" si="1905"/>
        <v>5</v>
      </c>
      <c r="E1478" t="str">
        <f>VLOOKUP(D1478,name!A:B,2,1)</f>
        <v>Minako</v>
      </c>
      <c r="F1478" t="s">
        <v>849</v>
      </c>
      <c r="G1478" t="str">
        <f t="shared" si="1932"/>
        <v>a</v>
      </c>
      <c r="H1478" t="str">
        <f>VLOOKUP(D1478,name!A:C,3,1)</f>
        <v>assets/icons/image086.png</v>
      </c>
      <c r="I1478" t="s">
        <v>463</v>
      </c>
    </row>
    <row r="1479" spans="1:9" x14ac:dyDescent="0.15">
      <c r="A1479" t="str">
        <f t="shared" ref="A1479:B1479" si="1934">A1478</f>
        <v>フランス語</v>
      </c>
      <c r="B1479">
        <f t="shared" si="1934"/>
        <v>18</v>
      </c>
      <c r="C1479">
        <f t="shared" si="1903"/>
        <v>25</v>
      </c>
      <c r="D1479">
        <v>5</v>
      </c>
      <c r="E1479" t="str">
        <f>VLOOKUP(D1479,name!A:B,2,1)</f>
        <v>Minako</v>
      </c>
      <c r="F1479" t="s">
        <v>832</v>
      </c>
      <c r="G1479" t="str">
        <f t="shared" ref="G1479" si="1935">IF(B1479&lt;&gt;B2420,"e",IF(D1479=0,"q","a"))</f>
        <v>e</v>
      </c>
      <c r="H1479" t="str">
        <f>VLOOKUP(D1479,name!A:C,3,1)</f>
        <v>assets/icons/image086.png</v>
      </c>
      <c r="I1479" t="str">
        <f>IF(A1479="","",VLOOKUP(A1479,lng!A:B,2,0))</f>
        <v>fr-FR</v>
      </c>
    </row>
    <row r="1480" spans="1:9" x14ac:dyDescent="0.15">
      <c r="A1480" t="str">
        <f t="shared" ref="A1480:B1480" si="1936">A1479</f>
        <v>フランス語</v>
      </c>
      <c r="B1480">
        <f t="shared" si="1936"/>
        <v>18</v>
      </c>
      <c r="C1480">
        <f t="shared" si="1903"/>
        <v>26</v>
      </c>
      <c r="D1480">
        <f t="shared" si="1905"/>
        <v>6</v>
      </c>
      <c r="E1480" t="str">
        <f>VLOOKUP(D1480,name!A:B,2,1)</f>
        <v>Céline</v>
      </c>
      <c r="F1480" t="s">
        <v>850</v>
      </c>
      <c r="G1480" t="str">
        <f t="shared" ref="G1480" si="1937">IF(B1480&lt;&gt;B1890,"e",IF(D1480=0,"q","a"))</f>
        <v>e</v>
      </c>
      <c r="H1480" t="str">
        <f>VLOOKUP(D1480,name!A:C,3,1)</f>
        <v>assets/icons/image078.png</v>
      </c>
      <c r="I1480" t="s">
        <v>463</v>
      </c>
    </row>
    <row r="1481" spans="1:9" x14ac:dyDescent="0.15">
      <c r="A1481" t="str">
        <f t="shared" ref="A1481:B1481" si="1938">A1480</f>
        <v>フランス語</v>
      </c>
      <c r="B1481">
        <f t="shared" si="1938"/>
        <v>18</v>
      </c>
      <c r="C1481">
        <f t="shared" si="1903"/>
        <v>27</v>
      </c>
      <c r="D1481">
        <f t="shared" si="1905"/>
        <v>6</v>
      </c>
      <c r="E1481" t="str">
        <f>VLOOKUP(D1481,name!A:B,2,1)</f>
        <v>Céline</v>
      </c>
      <c r="F1481" t="s">
        <v>833</v>
      </c>
      <c r="G1481" t="str">
        <f t="shared" ref="G1481:G1544" si="1939">IF(B1481&lt;&gt;B1482,"e",IF(D1481=0,"q","a"))</f>
        <v>a</v>
      </c>
      <c r="H1481" t="str">
        <f>VLOOKUP(D1481,name!A:C,3,1)</f>
        <v>assets/icons/image078.png</v>
      </c>
      <c r="I1481" t="str">
        <f>IF(A1481="","",VLOOKUP(A1481,lng!A:B,2,0))</f>
        <v>fr-FR</v>
      </c>
    </row>
    <row r="1482" spans="1:9" x14ac:dyDescent="0.15">
      <c r="A1482" t="str">
        <f t="shared" ref="A1482:B1482" si="1940">A1481</f>
        <v>フランス語</v>
      </c>
      <c r="B1482">
        <f t="shared" si="1940"/>
        <v>18</v>
      </c>
      <c r="C1482">
        <f t="shared" si="1903"/>
        <v>28</v>
      </c>
      <c r="D1482">
        <f t="shared" si="1905"/>
        <v>6</v>
      </c>
      <c r="E1482" t="str">
        <f>VLOOKUP(D1482,name!A:B,2,1)</f>
        <v>Céline</v>
      </c>
      <c r="F1482" t="s">
        <v>851</v>
      </c>
      <c r="G1482" t="str">
        <f t="shared" ref="G1482" si="1941">IF(B1482&lt;&gt;B2423,"e",IF(D1482=0,"q","a"))</f>
        <v>e</v>
      </c>
      <c r="H1482" t="str">
        <f>VLOOKUP(D1482,name!A:C,3,1)</f>
        <v>assets/icons/image078.png</v>
      </c>
      <c r="I1482" t="s">
        <v>463</v>
      </c>
    </row>
    <row r="1483" spans="1:9" x14ac:dyDescent="0.15">
      <c r="A1483" t="str">
        <f t="shared" ref="A1483:B1483" si="1942">A1482</f>
        <v>フランス語</v>
      </c>
      <c r="B1483">
        <f t="shared" si="1942"/>
        <v>18</v>
      </c>
      <c r="C1483">
        <f t="shared" si="1903"/>
        <v>29</v>
      </c>
      <c r="D1483">
        <v>6</v>
      </c>
      <c r="E1483" t="str">
        <f>VLOOKUP(D1483,name!A:B,2,1)</f>
        <v>Céline</v>
      </c>
      <c r="F1483" t="s">
        <v>834</v>
      </c>
      <c r="G1483" t="str">
        <f t="shared" ref="G1483" si="1943">IF(B1483&lt;&gt;B1893,"e",IF(D1483=0,"q","a"))</f>
        <v>e</v>
      </c>
      <c r="H1483" t="str">
        <f>VLOOKUP(D1483,name!A:C,3,1)</f>
        <v>assets/icons/image078.png</v>
      </c>
      <c r="I1483" t="str">
        <f>IF(A1483="","",VLOOKUP(A1483,lng!A:B,2,0))</f>
        <v>fr-FR</v>
      </c>
    </row>
    <row r="1484" spans="1:9" x14ac:dyDescent="0.15">
      <c r="A1484" t="str">
        <f t="shared" ref="A1484:B1484" si="1944">A1483</f>
        <v>フランス語</v>
      </c>
      <c r="B1484">
        <f t="shared" si="1944"/>
        <v>18</v>
      </c>
      <c r="C1484">
        <f t="shared" si="1903"/>
        <v>30</v>
      </c>
      <c r="D1484">
        <f t="shared" si="1905"/>
        <v>7</v>
      </c>
      <c r="E1484" t="str">
        <f>VLOOKUP(D1484,name!A:B,2,1)</f>
        <v>Luigi</v>
      </c>
      <c r="F1484" t="s">
        <v>852</v>
      </c>
      <c r="G1484" t="str">
        <f t="shared" ref="G1484:G1547" si="1945">IF(B1484&lt;&gt;B1485,"e",IF(D1484=0,"q","a"))</f>
        <v>a</v>
      </c>
      <c r="H1484" t="str">
        <f>VLOOKUP(D1484,name!A:C,3,1)</f>
        <v>assets/icons/image023.png</v>
      </c>
      <c r="I1484" t="s">
        <v>463</v>
      </c>
    </row>
    <row r="1485" spans="1:9" x14ac:dyDescent="0.15">
      <c r="A1485" t="str">
        <f t="shared" ref="A1485:B1485" si="1946">A1484</f>
        <v>フランス語</v>
      </c>
      <c r="B1485">
        <f t="shared" si="1946"/>
        <v>18</v>
      </c>
      <c r="C1485">
        <f t="shared" si="1903"/>
        <v>31</v>
      </c>
      <c r="D1485">
        <v>7</v>
      </c>
      <c r="E1485" t="str">
        <f>VLOOKUP(D1485,name!A:B,2,1)</f>
        <v>Luigi</v>
      </c>
      <c r="F1485" t="s">
        <v>835</v>
      </c>
      <c r="G1485" t="str">
        <f t="shared" si="1945"/>
        <v>a</v>
      </c>
      <c r="H1485" t="str">
        <f>VLOOKUP(D1485,name!A:C,3,1)</f>
        <v>assets/icons/image023.png</v>
      </c>
      <c r="I1485" t="str">
        <f>IF(A1485="","",VLOOKUP(A1485,lng!A:B,2,0))</f>
        <v>fr-FR</v>
      </c>
    </row>
    <row r="1486" spans="1:9" x14ac:dyDescent="0.15">
      <c r="A1486" t="str">
        <f t="shared" ref="A1486:B1486" si="1947">A1485</f>
        <v>フランス語</v>
      </c>
      <c r="B1486">
        <f t="shared" si="1947"/>
        <v>18</v>
      </c>
      <c r="C1486">
        <f t="shared" si="1903"/>
        <v>32</v>
      </c>
      <c r="D1486">
        <v>1</v>
      </c>
      <c r="E1486" t="str">
        <f>VLOOKUP(D1486,name!A:B,2,1)</f>
        <v>Navigator</v>
      </c>
      <c r="F1486" t="str">
        <f>"次の"&amp;A1486&amp;"を真似してね！"</f>
        <v>次のフランス語を真似してね！</v>
      </c>
      <c r="G1486" t="str">
        <f t="shared" ref="G1486" si="1948">IF(B1486&lt;&gt;B2427,"e",IF(D1486=0,"q","a"))</f>
        <v>e</v>
      </c>
      <c r="H1486" t="str">
        <f>VLOOKUP(D1486,name!A:C,3,1)</f>
        <v>assets/icons/image014.png</v>
      </c>
      <c r="I1486" t="s">
        <v>463</v>
      </c>
    </row>
    <row r="1487" spans="1:9" x14ac:dyDescent="0.15">
      <c r="A1487" t="str">
        <f t="shared" ref="A1487:B1487" si="1949">A1486</f>
        <v>フランス語</v>
      </c>
      <c r="B1487">
        <f t="shared" si="1949"/>
        <v>18</v>
      </c>
      <c r="C1487">
        <f t="shared" si="1903"/>
        <v>33</v>
      </c>
      <c r="D1487">
        <f>D1458</f>
        <v>7</v>
      </c>
      <c r="E1487" t="str">
        <f>VLOOKUP(D1487,name!A:B,2,1)</f>
        <v>Luigi</v>
      </c>
      <c r="F1487" t="str">
        <f>F1458</f>
        <v>こんにちは、セリーヌ。</v>
      </c>
      <c r="G1487" t="str">
        <f t="shared" ref="G1487" si="1950">IF(B1487&lt;&gt;B1897,"e",IF(D1487=0,"q","a"))</f>
        <v>e</v>
      </c>
      <c r="H1487" t="str">
        <f>VLOOKUP(D1487,name!A:C,3,1)</f>
        <v>assets/icons/image023.png</v>
      </c>
      <c r="I1487" t="s">
        <v>463</v>
      </c>
    </row>
    <row r="1488" spans="1:9" x14ac:dyDescent="0.15">
      <c r="A1488" t="str">
        <f t="shared" ref="A1488:B1488" si="1951">A1487</f>
        <v>フランス語</v>
      </c>
      <c r="B1488">
        <f t="shared" si="1951"/>
        <v>18</v>
      </c>
      <c r="C1488">
        <f t="shared" si="1903"/>
        <v>34</v>
      </c>
      <c r="D1488">
        <f>D1459</f>
        <v>7</v>
      </c>
      <c r="E1488" t="str">
        <f>VLOOKUP(D1488,name!A:B,2,1)</f>
        <v>Luigi</v>
      </c>
      <c r="F1488" t="str">
        <f>F1459</f>
        <v>Salut, Céline.</v>
      </c>
      <c r="G1488" t="str">
        <f t="shared" ref="G1488:G1547" si="1952">IF(B1488&lt;&gt;B1489,"e",IF(D1488=0,"q","a"))</f>
        <v>a</v>
      </c>
      <c r="H1488" t="str">
        <f>VLOOKUP(D1488,name!A:C,3,1)</f>
        <v>assets/icons/image023.png</v>
      </c>
      <c r="I1488" t="str">
        <f>IF(A1488="","",VLOOKUP(A1488,lng!A:B,2,0))</f>
        <v>fr-FR</v>
      </c>
    </row>
    <row r="1489" spans="1:9" x14ac:dyDescent="0.15">
      <c r="A1489" t="str">
        <f t="shared" ref="A1489:B1489" si="1953">A1488</f>
        <v>フランス語</v>
      </c>
      <c r="B1489">
        <f t="shared" si="1953"/>
        <v>18</v>
      </c>
      <c r="C1489">
        <f t="shared" si="1903"/>
        <v>35</v>
      </c>
      <c r="D1489">
        <v>0</v>
      </c>
      <c r="E1489" t="str">
        <f>VLOOKUP(D1489,name!A:B,2,1)</f>
        <v>Player</v>
      </c>
      <c r="F1489" t="str">
        <f>F1459</f>
        <v>Salut, Céline.</v>
      </c>
      <c r="G1489" t="str">
        <f t="shared" ref="G1489" si="1954">IF(B1489&lt;&gt;B2430,"e",IF(D1489=0,"q","a"))</f>
        <v>e</v>
      </c>
      <c r="H1489" t="str">
        <f>VLOOKUP(D1489,name!A:C,3,1)</f>
        <v>assets/icons/image326.png</v>
      </c>
      <c r="I1489" t="str">
        <f>IF(A1489="","",VLOOKUP(A1489,lng!A:B,2,0))</f>
        <v>fr-FR</v>
      </c>
    </row>
    <row r="1490" spans="1:9" x14ac:dyDescent="0.15">
      <c r="A1490" t="str">
        <f t="shared" ref="A1490:B1490" si="1955">A1489</f>
        <v>フランス語</v>
      </c>
      <c r="B1490">
        <f t="shared" si="1955"/>
        <v>18</v>
      </c>
      <c r="C1490">
        <f t="shared" si="1903"/>
        <v>36</v>
      </c>
      <c r="D1490">
        <f>D1460</f>
        <v>7</v>
      </c>
      <c r="E1490" t="str">
        <f>VLOOKUP(D1490,name!A:B,2,1)</f>
        <v>Luigi</v>
      </c>
      <c r="F1490" t="str">
        <f>F1460</f>
        <v>最近どうですか。</v>
      </c>
      <c r="G1490" t="str">
        <f t="shared" ref="G1490" si="1956">IF(B1490&lt;&gt;B1900,"e",IF(D1490=0,"q","a"))</f>
        <v>e</v>
      </c>
      <c r="H1490" t="str">
        <f>VLOOKUP(D1490,name!A:C,3,1)</f>
        <v>assets/icons/image023.png</v>
      </c>
      <c r="I1490" t="s">
        <v>463</v>
      </c>
    </row>
    <row r="1491" spans="1:9" x14ac:dyDescent="0.15">
      <c r="A1491" t="str">
        <f t="shared" ref="A1491:B1491" si="1957">A1490</f>
        <v>フランス語</v>
      </c>
      <c r="B1491">
        <f t="shared" si="1957"/>
        <v>18</v>
      </c>
      <c r="C1491">
        <f t="shared" si="1903"/>
        <v>37</v>
      </c>
      <c r="D1491">
        <f>D1461</f>
        <v>7</v>
      </c>
      <c r="E1491" t="str">
        <f>VLOOKUP(D1491,name!A:B,2,1)</f>
        <v>Luigi</v>
      </c>
      <c r="F1491" t="str">
        <f>F1461</f>
        <v>Quoi de neuf ?</v>
      </c>
      <c r="G1491" t="str">
        <f t="shared" ref="G1491:G1547" si="1958">IF(B1491&lt;&gt;B1492,"e",IF(D1491=0,"q","a"))</f>
        <v>a</v>
      </c>
      <c r="H1491" t="str">
        <f>VLOOKUP(D1491,name!A:C,3,1)</f>
        <v>assets/icons/image023.png</v>
      </c>
      <c r="I1491" t="str">
        <f>IF(A1491="","",VLOOKUP(A1491,lng!A:B,2,0))</f>
        <v>fr-FR</v>
      </c>
    </row>
    <row r="1492" spans="1:9" x14ac:dyDescent="0.15">
      <c r="A1492" t="str">
        <f t="shared" ref="A1492:B1492" si="1959">A1491</f>
        <v>フランス語</v>
      </c>
      <c r="B1492">
        <f t="shared" si="1959"/>
        <v>18</v>
      </c>
      <c r="C1492">
        <f t="shared" si="1903"/>
        <v>38</v>
      </c>
      <c r="D1492">
        <v>0</v>
      </c>
      <c r="E1492" t="str">
        <f>VLOOKUP(D1492,name!A:B,2,1)</f>
        <v>Player</v>
      </c>
      <c r="F1492" t="str">
        <f>F1461</f>
        <v>Quoi de neuf ?</v>
      </c>
      <c r="G1492" t="str">
        <f t="shared" si="1958"/>
        <v>q</v>
      </c>
      <c r="H1492" t="str">
        <f>VLOOKUP(D1492,name!A:C,3,1)</f>
        <v>assets/icons/image326.png</v>
      </c>
      <c r="I1492" t="str">
        <f>IF(A1492="","",VLOOKUP(A1492,lng!A:B,2,0))</f>
        <v>fr-FR</v>
      </c>
    </row>
    <row r="1493" spans="1:9" x14ac:dyDescent="0.15">
      <c r="A1493" t="str">
        <f t="shared" ref="A1493:B1493" si="1960">A1492</f>
        <v>フランス語</v>
      </c>
      <c r="B1493">
        <f t="shared" si="1960"/>
        <v>18</v>
      </c>
      <c r="C1493">
        <f t="shared" si="1903"/>
        <v>39</v>
      </c>
      <c r="D1493">
        <f>D1462</f>
        <v>6</v>
      </c>
      <c r="E1493" t="str">
        <f>VLOOKUP(D1493,name!A:B,2,1)</f>
        <v>Céline</v>
      </c>
      <c r="F1493" t="str">
        <f>F1462</f>
        <v>先週末引っ越しました。</v>
      </c>
      <c r="G1493" t="str">
        <f t="shared" ref="G1493" si="1961">IF(B1493&lt;&gt;B2434,"e",IF(D1493=0,"q","a"))</f>
        <v>e</v>
      </c>
      <c r="H1493" t="str">
        <f>VLOOKUP(D1493,name!A:C,3,1)</f>
        <v>assets/icons/image078.png</v>
      </c>
      <c r="I1493" t="s">
        <v>463</v>
      </c>
    </row>
    <row r="1494" spans="1:9" x14ac:dyDescent="0.15">
      <c r="A1494" t="str">
        <f t="shared" ref="A1494:B1494" si="1962">A1493</f>
        <v>フランス語</v>
      </c>
      <c r="B1494">
        <f t="shared" si="1962"/>
        <v>18</v>
      </c>
      <c r="C1494">
        <f t="shared" si="1903"/>
        <v>40</v>
      </c>
      <c r="D1494">
        <f>D1463</f>
        <v>6</v>
      </c>
      <c r="E1494" t="str">
        <f>VLOOKUP(D1494,name!A:B,2,1)</f>
        <v>Céline</v>
      </c>
      <c r="F1494" t="str">
        <f>F1463</f>
        <v>J'ai déménagé le week-end dernier.</v>
      </c>
      <c r="G1494" t="str">
        <f t="shared" ref="G1494" si="1963">IF(B1494&lt;&gt;B1904,"e",IF(D1494=0,"q","a"))</f>
        <v>e</v>
      </c>
      <c r="H1494" t="str">
        <f>VLOOKUP(D1494,name!A:C,3,1)</f>
        <v>assets/icons/image078.png</v>
      </c>
      <c r="I1494" t="str">
        <f>IF(A1494="","",VLOOKUP(A1494,lng!A:B,2,0))</f>
        <v>fr-FR</v>
      </c>
    </row>
    <row r="1495" spans="1:9" x14ac:dyDescent="0.15">
      <c r="A1495" t="str">
        <f t="shared" ref="A1495:B1495" si="1964">A1494</f>
        <v>フランス語</v>
      </c>
      <c r="B1495">
        <f t="shared" si="1964"/>
        <v>18</v>
      </c>
      <c r="C1495">
        <f t="shared" si="1903"/>
        <v>41</v>
      </c>
      <c r="D1495">
        <v>0</v>
      </c>
      <c r="E1495" t="str">
        <f>VLOOKUP(D1495,name!A:B,2,1)</f>
        <v>Player</v>
      </c>
      <c r="F1495" t="str">
        <f>F1463</f>
        <v>J'ai déménagé le week-end dernier.</v>
      </c>
      <c r="G1495" t="str">
        <f t="shared" ref="G1495:G1547" si="1965">IF(B1495&lt;&gt;B1496,"e",IF(D1495=0,"q","a"))</f>
        <v>q</v>
      </c>
      <c r="H1495" t="str">
        <f>VLOOKUP(D1495,name!A:C,3,1)</f>
        <v>assets/icons/image326.png</v>
      </c>
      <c r="I1495" t="str">
        <f>IF(A1495="","",VLOOKUP(A1495,lng!A:B,2,0))</f>
        <v>fr-FR</v>
      </c>
    </row>
    <row r="1496" spans="1:9" x14ac:dyDescent="0.15">
      <c r="A1496" t="str">
        <f t="shared" ref="A1496:B1496" si="1966">A1495</f>
        <v>フランス語</v>
      </c>
      <c r="B1496">
        <f t="shared" si="1966"/>
        <v>18</v>
      </c>
      <c r="C1496">
        <f t="shared" si="1903"/>
        <v>42</v>
      </c>
      <c r="D1496">
        <f>D1464</f>
        <v>7</v>
      </c>
      <c r="E1496" t="str">
        <f>VLOOKUP(D1496,name!A:B,2,1)</f>
        <v>Luigi</v>
      </c>
      <c r="F1496" t="str">
        <f>F1464</f>
        <v>ほんとですか。</v>
      </c>
      <c r="G1496" t="str">
        <f t="shared" ref="G1496" si="1967">IF(B1496&lt;&gt;B2437,"e",IF(D1496=0,"q","a"))</f>
        <v>e</v>
      </c>
      <c r="H1496" t="str">
        <f>VLOOKUP(D1496,name!A:C,3,1)</f>
        <v>assets/icons/image023.png</v>
      </c>
      <c r="I1496" t="s">
        <v>463</v>
      </c>
    </row>
    <row r="1497" spans="1:9" x14ac:dyDescent="0.15">
      <c r="A1497" t="str">
        <f t="shared" ref="A1497:B1497" si="1968">A1496</f>
        <v>フランス語</v>
      </c>
      <c r="B1497">
        <f t="shared" si="1968"/>
        <v>18</v>
      </c>
      <c r="C1497">
        <f t="shared" si="1903"/>
        <v>43</v>
      </c>
      <c r="D1497">
        <f>D1465</f>
        <v>7</v>
      </c>
      <c r="E1497" t="str">
        <f>VLOOKUP(D1497,name!A:B,2,1)</f>
        <v>Luigi</v>
      </c>
      <c r="F1497" t="str">
        <f>F1465</f>
        <v>Ah, bon.</v>
      </c>
      <c r="G1497" t="str">
        <f t="shared" ref="G1497" si="1969">IF(B1497&lt;&gt;B1907,"e",IF(D1497=0,"q","a"))</f>
        <v>e</v>
      </c>
      <c r="H1497" t="str">
        <f>VLOOKUP(D1497,name!A:C,3,1)</f>
        <v>assets/icons/image023.png</v>
      </c>
      <c r="I1497" t="str">
        <f>IF(A1497="","",VLOOKUP(A1497,lng!A:B,2,0))</f>
        <v>fr-FR</v>
      </c>
    </row>
    <row r="1498" spans="1:9" x14ac:dyDescent="0.15">
      <c r="A1498" t="str">
        <f t="shared" ref="A1498:B1498" si="1970">A1497</f>
        <v>フランス語</v>
      </c>
      <c r="B1498">
        <f t="shared" si="1970"/>
        <v>18</v>
      </c>
      <c r="C1498">
        <f t="shared" si="1903"/>
        <v>44</v>
      </c>
      <c r="D1498">
        <v>0</v>
      </c>
      <c r="E1498" t="str">
        <f>VLOOKUP(D1498,name!A:B,2,1)</f>
        <v>Player</v>
      </c>
      <c r="F1498" t="str">
        <f>F1465</f>
        <v>Ah, bon.</v>
      </c>
      <c r="G1498" t="str">
        <f t="shared" ref="G1498:G1547" si="1971">IF(B1498&lt;&gt;B1499,"e",IF(D1498=0,"q","a"))</f>
        <v>q</v>
      </c>
      <c r="H1498" t="str">
        <f>VLOOKUP(D1498,name!A:C,3,1)</f>
        <v>assets/icons/image326.png</v>
      </c>
      <c r="I1498" t="str">
        <f>IF(A1498="","",VLOOKUP(A1498,lng!A:B,2,0))</f>
        <v>fr-FR</v>
      </c>
    </row>
    <row r="1499" spans="1:9" x14ac:dyDescent="0.15">
      <c r="A1499" t="str">
        <f t="shared" ref="A1499:B1499" si="1972">A1498</f>
        <v>フランス語</v>
      </c>
      <c r="B1499">
        <f t="shared" si="1972"/>
        <v>18</v>
      </c>
      <c r="C1499">
        <f t="shared" si="1903"/>
        <v>45</v>
      </c>
      <c r="D1499">
        <f>D1466</f>
        <v>7</v>
      </c>
      <c r="E1499" t="str">
        <f>VLOOKUP(D1499,name!A:B,2,1)</f>
        <v>Luigi</v>
      </c>
      <c r="F1499" t="str">
        <f>F1466</f>
        <v>もし知っていたら、あなたを手伝ったのに。</v>
      </c>
      <c r="G1499" t="str">
        <f t="shared" si="1971"/>
        <v>a</v>
      </c>
      <c r="H1499" t="str">
        <f>VLOOKUP(D1499,name!A:C,3,1)</f>
        <v>assets/icons/image023.png</v>
      </c>
      <c r="I1499" t="s">
        <v>463</v>
      </c>
    </row>
    <row r="1500" spans="1:9" x14ac:dyDescent="0.15">
      <c r="A1500" t="str">
        <f t="shared" ref="A1500:B1500" si="1973">A1499</f>
        <v>フランス語</v>
      </c>
      <c r="B1500">
        <f t="shared" si="1973"/>
        <v>18</v>
      </c>
      <c r="C1500">
        <f t="shared" si="1903"/>
        <v>46</v>
      </c>
      <c r="D1500">
        <f>D1467</f>
        <v>7</v>
      </c>
      <c r="E1500" t="str">
        <f>VLOOKUP(D1500,name!A:B,2,1)</f>
        <v>Luigi</v>
      </c>
      <c r="F1500" t="str">
        <f>F1467</f>
        <v>Si j'avais su, je t'aurais aidée.</v>
      </c>
      <c r="G1500" t="str">
        <f t="shared" ref="G1500" si="1974">IF(B1500&lt;&gt;B2441,"e",IF(D1500=0,"q","a"))</f>
        <v>e</v>
      </c>
      <c r="H1500" t="str">
        <f>VLOOKUP(D1500,name!A:C,3,1)</f>
        <v>assets/icons/image023.png</v>
      </c>
      <c r="I1500" t="str">
        <f>IF(A1500="","",VLOOKUP(A1500,lng!A:B,2,0))</f>
        <v>fr-FR</v>
      </c>
    </row>
    <row r="1501" spans="1:9" x14ac:dyDescent="0.15">
      <c r="A1501" t="str">
        <f t="shared" ref="A1501:B1501" si="1975">A1500</f>
        <v>フランス語</v>
      </c>
      <c r="B1501">
        <f t="shared" si="1975"/>
        <v>18</v>
      </c>
      <c r="C1501">
        <f t="shared" si="1903"/>
        <v>47</v>
      </c>
      <c r="D1501">
        <v>0</v>
      </c>
      <c r="E1501" t="str">
        <f>VLOOKUP(D1501,name!A:B,2,1)</f>
        <v>Player</v>
      </c>
      <c r="F1501" t="str">
        <f>F1467</f>
        <v>Si j'avais su, je t'aurais aidée.</v>
      </c>
      <c r="G1501" t="str">
        <f t="shared" ref="G1501" si="1976">IF(B1501&lt;&gt;B1911,"e",IF(D1501=0,"q","a"))</f>
        <v>e</v>
      </c>
      <c r="H1501" t="str">
        <f>VLOOKUP(D1501,name!A:C,3,1)</f>
        <v>assets/icons/image326.png</v>
      </c>
      <c r="I1501" t="str">
        <f>IF(A1501="","",VLOOKUP(A1501,lng!A:B,2,0))</f>
        <v>fr-FR</v>
      </c>
    </row>
    <row r="1502" spans="1:9" x14ac:dyDescent="0.15">
      <c r="A1502" t="str">
        <f t="shared" ref="A1502:B1502" si="1977">A1501</f>
        <v>フランス語</v>
      </c>
      <c r="B1502">
        <f t="shared" si="1977"/>
        <v>18</v>
      </c>
      <c r="C1502">
        <f t="shared" si="1903"/>
        <v>48</v>
      </c>
      <c r="D1502">
        <f>D1468</f>
        <v>6</v>
      </c>
      <c r="E1502" t="str">
        <f>VLOOKUP(D1502,name!A:B,2,1)</f>
        <v>Céline</v>
      </c>
      <c r="F1502" t="str">
        <f>F1468</f>
        <v>ありがとう、あなたは親切ですね。</v>
      </c>
      <c r="G1502" t="str">
        <f t="shared" ref="G1502:G1547" si="1978">IF(B1502&lt;&gt;B1503,"e",IF(D1502=0,"q","a"))</f>
        <v>a</v>
      </c>
      <c r="H1502" t="str">
        <f>VLOOKUP(D1502,name!A:C,3,1)</f>
        <v>assets/icons/image078.png</v>
      </c>
      <c r="I1502" t="s">
        <v>463</v>
      </c>
    </row>
    <row r="1503" spans="1:9" x14ac:dyDescent="0.15">
      <c r="A1503" t="str">
        <f t="shared" ref="A1503:B1503" si="1979">A1502</f>
        <v>フランス語</v>
      </c>
      <c r="B1503">
        <f t="shared" si="1979"/>
        <v>18</v>
      </c>
      <c r="C1503">
        <f t="shared" si="1903"/>
        <v>49</v>
      </c>
      <c r="D1503">
        <f>D1469</f>
        <v>6</v>
      </c>
      <c r="E1503" t="str">
        <f>VLOOKUP(D1503,name!A:B,2,1)</f>
        <v>Céline</v>
      </c>
      <c r="F1503" t="str">
        <f>F1469</f>
        <v xml:space="preserve">Merci, tu es gentil. </v>
      </c>
      <c r="G1503" t="str">
        <f t="shared" ref="G1503" si="1980">IF(B1503&lt;&gt;B2444,"e",IF(D1503=0,"q","a"))</f>
        <v>e</v>
      </c>
      <c r="H1503" t="str">
        <f>VLOOKUP(D1503,name!A:C,3,1)</f>
        <v>assets/icons/image078.png</v>
      </c>
      <c r="I1503" t="str">
        <f>IF(A1503="","",VLOOKUP(A1503,lng!A:B,2,0))</f>
        <v>fr-FR</v>
      </c>
    </row>
    <row r="1504" spans="1:9" x14ac:dyDescent="0.15">
      <c r="A1504" t="str">
        <f t="shared" ref="A1504:B1504" si="1981">A1503</f>
        <v>フランス語</v>
      </c>
      <c r="B1504">
        <f t="shared" si="1981"/>
        <v>18</v>
      </c>
      <c r="C1504">
        <f t="shared" si="1903"/>
        <v>50</v>
      </c>
      <c r="D1504">
        <v>0</v>
      </c>
      <c r="E1504" t="str">
        <f>VLOOKUP(D1504,name!A:B,2,1)</f>
        <v>Player</v>
      </c>
      <c r="F1504" t="str">
        <f>F1469</f>
        <v xml:space="preserve">Merci, tu es gentil. </v>
      </c>
      <c r="G1504" t="str">
        <f t="shared" ref="G1504" si="1982">IF(B1504&lt;&gt;B1914,"e",IF(D1504=0,"q","a"))</f>
        <v>e</v>
      </c>
      <c r="H1504" t="str">
        <f>VLOOKUP(D1504,name!A:C,3,1)</f>
        <v>assets/icons/image326.png</v>
      </c>
      <c r="I1504" t="str">
        <f>IF(A1504="","",VLOOKUP(A1504,lng!A:B,2,0))</f>
        <v>fr-FR</v>
      </c>
    </row>
    <row r="1505" spans="1:9" x14ac:dyDescent="0.15">
      <c r="A1505" t="str">
        <f t="shared" ref="A1505:B1505" si="1983">A1504</f>
        <v>フランス語</v>
      </c>
      <c r="B1505">
        <f t="shared" si="1983"/>
        <v>18</v>
      </c>
      <c r="C1505">
        <f t="shared" si="1903"/>
        <v>51</v>
      </c>
      <c r="D1505">
        <f>D1470</f>
        <v>6</v>
      </c>
      <c r="E1505" t="str">
        <f>VLOOKUP(D1505,name!A:B,2,1)</f>
        <v>Céline</v>
      </c>
      <c r="F1505" t="str">
        <f>F1470</f>
        <v>美奈子が私を手伝ってくれました。</v>
      </c>
      <c r="G1505" t="str">
        <f t="shared" ref="G1505:G1547" si="1984">IF(B1505&lt;&gt;B1506,"e",IF(D1505=0,"q","a"))</f>
        <v>a</v>
      </c>
      <c r="H1505" t="str">
        <f>VLOOKUP(D1505,name!A:C,3,1)</f>
        <v>assets/icons/image078.png</v>
      </c>
      <c r="I1505" t="s">
        <v>463</v>
      </c>
    </row>
    <row r="1506" spans="1:9" x14ac:dyDescent="0.15">
      <c r="A1506" t="str">
        <f t="shared" ref="A1506:B1506" si="1985">A1505</f>
        <v>フランス語</v>
      </c>
      <c r="B1506">
        <f t="shared" si="1985"/>
        <v>18</v>
      </c>
      <c r="C1506">
        <f t="shared" si="1903"/>
        <v>52</v>
      </c>
      <c r="D1506">
        <f>D1471</f>
        <v>6</v>
      </c>
      <c r="E1506" t="str">
        <f>VLOOKUP(D1506,name!A:B,2,1)</f>
        <v>Céline</v>
      </c>
      <c r="F1506" t="str">
        <f>F1471</f>
        <v>Minako m'a donné un coup de main.</v>
      </c>
      <c r="G1506" t="str">
        <f t="shared" si="1984"/>
        <v>a</v>
      </c>
      <c r="H1506" t="str">
        <f>VLOOKUP(D1506,name!A:C,3,1)</f>
        <v>assets/icons/image078.png</v>
      </c>
      <c r="I1506" t="str">
        <f>IF(A1506="","",VLOOKUP(A1506,lng!A:B,2,0))</f>
        <v>fr-FR</v>
      </c>
    </row>
    <row r="1507" spans="1:9" x14ac:dyDescent="0.15">
      <c r="A1507" t="str">
        <f t="shared" ref="A1507:B1507" si="1986">A1506</f>
        <v>フランス語</v>
      </c>
      <c r="B1507">
        <f t="shared" si="1986"/>
        <v>18</v>
      </c>
      <c r="C1507">
        <f t="shared" si="1903"/>
        <v>53</v>
      </c>
      <c r="D1507">
        <v>0</v>
      </c>
      <c r="E1507" t="str">
        <f>VLOOKUP(D1507,name!A:B,2,1)</f>
        <v>Player</v>
      </c>
      <c r="F1507" t="str">
        <f>F1471</f>
        <v>Minako m'a donné un coup de main.</v>
      </c>
      <c r="G1507" t="str">
        <f t="shared" ref="G1507" si="1987">IF(B1507&lt;&gt;B2448,"e",IF(D1507=0,"q","a"))</f>
        <v>e</v>
      </c>
      <c r="H1507" t="str">
        <f>VLOOKUP(D1507,name!A:C,3,1)</f>
        <v>assets/icons/image326.png</v>
      </c>
      <c r="I1507" t="str">
        <f>IF(A1507="","",VLOOKUP(A1507,lng!A:B,2,0))</f>
        <v>fr-FR</v>
      </c>
    </row>
    <row r="1508" spans="1:9" x14ac:dyDescent="0.15">
      <c r="A1508" t="str">
        <f t="shared" ref="A1508:B1508" si="1988">A1507</f>
        <v>フランス語</v>
      </c>
      <c r="B1508">
        <f t="shared" si="1988"/>
        <v>18</v>
      </c>
      <c r="C1508">
        <f t="shared" si="1903"/>
        <v>54</v>
      </c>
      <c r="D1508">
        <f>D1472</f>
        <v>5</v>
      </c>
      <c r="E1508" t="str">
        <f>VLOOKUP(D1508,name!A:B,2,1)</f>
        <v>Minako</v>
      </c>
      <c r="F1508" t="str">
        <f>F1472</f>
        <v>セリーヌの新しいワンルームマンションは素晴らしいです。</v>
      </c>
      <c r="G1508" t="str">
        <f t="shared" ref="G1508" si="1989">IF(B1508&lt;&gt;B1918,"e",IF(D1508=0,"q","a"))</f>
        <v>e</v>
      </c>
      <c r="H1508" t="str">
        <f>VLOOKUP(D1508,name!A:C,3,1)</f>
        <v>assets/icons/image086.png</v>
      </c>
      <c r="I1508" t="s">
        <v>463</v>
      </c>
    </row>
    <row r="1509" spans="1:9" x14ac:dyDescent="0.15">
      <c r="A1509" t="str">
        <f t="shared" ref="A1509:B1509" si="1990">A1508</f>
        <v>フランス語</v>
      </c>
      <c r="B1509">
        <f t="shared" si="1990"/>
        <v>18</v>
      </c>
      <c r="C1509">
        <f t="shared" si="1903"/>
        <v>55</v>
      </c>
      <c r="D1509">
        <f>D1473</f>
        <v>5</v>
      </c>
      <c r="E1509" t="str">
        <f>VLOOKUP(D1509,name!A:B,2,1)</f>
        <v>Minako</v>
      </c>
      <c r="F1509" t="str">
        <f>F1473</f>
        <v>Le nouveau studio de Céline est super.</v>
      </c>
      <c r="G1509" t="str">
        <f t="shared" ref="G1509:G1547" si="1991">IF(B1509&lt;&gt;B1510,"e",IF(D1509=0,"q","a"))</f>
        <v>a</v>
      </c>
      <c r="H1509" t="str">
        <f>VLOOKUP(D1509,name!A:C,3,1)</f>
        <v>assets/icons/image086.png</v>
      </c>
      <c r="I1509" t="str">
        <f>IF(A1509="","",VLOOKUP(A1509,lng!A:B,2,0))</f>
        <v>fr-FR</v>
      </c>
    </row>
    <row r="1510" spans="1:9" x14ac:dyDescent="0.15">
      <c r="A1510" t="str">
        <f t="shared" ref="A1510:B1510" si="1992">A1509</f>
        <v>フランス語</v>
      </c>
      <c r="B1510">
        <f t="shared" si="1992"/>
        <v>18</v>
      </c>
      <c r="C1510">
        <f t="shared" si="1903"/>
        <v>56</v>
      </c>
      <c r="D1510">
        <v>0</v>
      </c>
      <c r="E1510" t="str">
        <f>VLOOKUP(D1510,name!A:B,2,1)</f>
        <v>Player</v>
      </c>
      <c r="F1510" t="str">
        <f>F1473</f>
        <v>Le nouveau studio de Céline est super.</v>
      </c>
      <c r="G1510" t="str">
        <f t="shared" ref="G1510" si="1993">IF(B1510&lt;&gt;B2451,"e",IF(D1510=0,"q","a"))</f>
        <v>e</v>
      </c>
      <c r="H1510" t="str">
        <f>VLOOKUP(D1510,name!A:C,3,1)</f>
        <v>assets/icons/image326.png</v>
      </c>
      <c r="I1510" t="str">
        <f>IF(A1510="","",VLOOKUP(A1510,lng!A:B,2,0))</f>
        <v>fr-FR</v>
      </c>
    </row>
    <row r="1511" spans="1:9" x14ac:dyDescent="0.15">
      <c r="A1511" t="str">
        <f t="shared" ref="A1511:B1511" si="1994">A1510</f>
        <v>フランス語</v>
      </c>
      <c r="B1511">
        <f t="shared" si="1994"/>
        <v>18</v>
      </c>
      <c r="C1511">
        <f t="shared" si="1903"/>
        <v>57</v>
      </c>
      <c r="D1511">
        <f>D1474</f>
        <v>5</v>
      </c>
      <c r="E1511" t="str">
        <f>VLOOKUP(D1511,name!A:B,2,1)</f>
        <v>Minako</v>
      </c>
      <c r="F1511" t="str">
        <f>F1474</f>
        <v>広々としており、木々でいっぱいの中庭を見渡せます。</v>
      </c>
      <c r="G1511" t="str">
        <f t="shared" ref="G1511" si="1995">IF(B1511&lt;&gt;B1921,"e",IF(D1511=0,"q","a"))</f>
        <v>e</v>
      </c>
      <c r="H1511" t="str">
        <f>VLOOKUP(D1511,name!A:C,3,1)</f>
        <v>assets/icons/image086.png</v>
      </c>
      <c r="I1511" t="s">
        <v>463</v>
      </c>
    </row>
    <row r="1512" spans="1:9" x14ac:dyDescent="0.15">
      <c r="A1512" t="str">
        <f t="shared" ref="A1512:B1512" si="1996">A1511</f>
        <v>フランス語</v>
      </c>
      <c r="B1512">
        <f t="shared" si="1996"/>
        <v>18</v>
      </c>
      <c r="C1512">
        <f t="shared" si="1903"/>
        <v>58</v>
      </c>
      <c r="D1512">
        <f>D1475</f>
        <v>5</v>
      </c>
      <c r="E1512" t="str">
        <f>VLOOKUP(D1512,name!A:B,2,1)</f>
        <v>Minako</v>
      </c>
      <c r="F1512" t="str">
        <f>F1475</f>
        <v>Il est spacieux et il donne sur une cour pleine d'arbres.</v>
      </c>
      <c r="G1512" t="str">
        <f t="shared" ref="G1512:G1547" si="1997">IF(B1512&lt;&gt;B1513,"e",IF(D1512=0,"q","a"))</f>
        <v>a</v>
      </c>
      <c r="H1512" t="str">
        <f>VLOOKUP(D1512,name!A:C,3,1)</f>
        <v>assets/icons/image086.png</v>
      </c>
      <c r="I1512" t="str">
        <f>IF(A1512="","",VLOOKUP(A1512,lng!A:B,2,0))</f>
        <v>fr-FR</v>
      </c>
    </row>
    <row r="1513" spans="1:9" x14ac:dyDescent="0.15">
      <c r="A1513" t="str">
        <f t="shared" ref="A1513:B1513" si="1998">A1512</f>
        <v>フランス語</v>
      </c>
      <c r="B1513">
        <f t="shared" si="1998"/>
        <v>18</v>
      </c>
      <c r="C1513">
        <f t="shared" si="1903"/>
        <v>59</v>
      </c>
      <c r="D1513">
        <v>0</v>
      </c>
      <c r="E1513" t="str">
        <f>VLOOKUP(D1513,name!A:B,2,1)</f>
        <v>Player</v>
      </c>
      <c r="F1513" t="str">
        <f>F1475</f>
        <v>Il est spacieux et il donne sur une cour pleine d'arbres.</v>
      </c>
      <c r="G1513" t="str">
        <f t="shared" si="1997"/>
        <v>q</v>
      </c>
      <c r="H1513" t="str">
        <f>VLOOKUP(D1513,name!A:C,3,1)</f>
        <v>assets/icons/image326.png</v>
      </c>
      <c r="I1513" t="str">
        <f>IF(A1513="","",VLOOKUP(A1513,lng!A:B,2,0))</f>
        <v>fr-FR</v>
      </c>
    </row>
    <row r="1514" spans="1:9" x14ac:dyDescent="0.15">
      <c r="A1514" t="str">
        <f t="shared" ref="A1514:B1514" si="1999">A1513</f>
        <v>フランス語</v>
      </c>
      <c r="B1514">
        <f t="shared" si="1999"/>
        <v>18</v>
      </c>
      <c r="C1514">
        <f t="shared" si="1903"/>
        <v>60</v>
      </c>
      <c r="D1514">
        <f>D1476</f>
        <v>5</v>
      </c>
      <c r="E1514" t="str">
        <f>VLOOKUP(D1514,name!A:B,2,1)</f>
        <v>Minako</v>
      </c>
      <c r="F1514" t="str">
        <f>F1476</f>
        <v>もし私があなたの立場にいたら、</v>
      </c>
      <c r="G1514" t="str">
        <f t="shared" ref="G1514" si="2000">IF(B1514&lt;&gt;B2455,"e",IF(D1514=0,"q","a"))</f>
        <v>e</v>
      </c>
      <c r="H1514" t="str">
        <f>VLOOKUP(D1514,name!A:C,3,1)</f>
        <v>assets/icons/image086.png</v>
      </c>
      <c r="I1514" t="s">
        <v>463</v>
      </c>
    </row>
    <row r="1515" spans="1:9" x14ac:dyDescent="0.15">
      <c r="A1515" t="str">
        <f t="shared" ref="A1515:B1515" si="2001">A1514</f>
        <v>フランス語</v>
      </c>
      <c r="B1515">
        <f t="shared" si="2001"/>
        <v>18</v>
      </c>
      <c r="C1515">
        <f t="shared" si="1903"/>
        <v>61</v>
      </c>
      <c r="D1515">
        <f>D1477</f>
        <v>5</v>
      </c>
      <c r="E1515" t="str">
        <f>VLOOKUP(D1515,name!A:B,2,1)</f>
        <v>Minako</v>
      </c>
      <c r="F1515" t="str">
        <f>F1477</f>
        <v>Si j'étais à ta place,</v>
      </c>
      <c r="G1515" t="str">
        <f t="shared" ref="G1515" si="2002">IF(B1515&lt;&gt;B1925,"e",IF(D1515=0,"q","a"))</f>
        <v>e</v>
      </c>
      <c r="H1515" t="str">
        <f>VLOOKUP(D1515,name!A:C,3,1)</f>
        <v>assets/icons/image086.png</v>
      </c>
      <c r="I1515" t="str">
        <f>IF(A1515="","",VLOOKUP(A1515,lng!A:B,2,0))</f>
        <v>fr-FR</v>
      </c>
    </row>
    <row r="1516" spans="1:9" x14ac:dyDescent="0.15">
      <c r="A1516" t="str">
        <f t="shared" ref="A1516:B1516" si="2003">A1515</f>
        <v>フランス語</v>
      </c>
      <c r="B1516">
        <f t="shared" si="2003"/>
        <v>18</v>
      </c>
      <c r="C1516">
        <f t="shared" si="1903"/>
        <v>62</v>
      </c>
      <c r="D1516">
        <v>0</v>
      </c>
      <c r="E1516" t="str">
        <f>VLOOKUP(D1516,name!A:B,2,1)</f>
        <v>Player</v>
      </c>
      <c r="F1516" t="str">
        <f>F1477</f>
        <v>Si j'étais à ta place,</v>
      </c>
      <c r="G1516" t="str">
        <f t="shared" ref="G1516:G1547" si="2004">IF(B1516&lt;&gt;B1517,"e",IF(D1516=0,"q","a"))</f>
        <v>q</v>
      </c>
      <c r="H1516" t="str">
        <f>VLOOKUP(D1516,name!A:C,3,1)</f>
        <v>assets/icons/image326.png</v>
      </c>
      <c r="I1516" t="str">
        <f>IF(A1516="","",VLOOKUP(A1516,lng!A:B,2,0))</f>
        <v>fr-FR</v>
      </c>
    </row>
    <row r="1517" spans="1:9" x14ac:dyDescent="0.15">
      <c r="A1517" t="str">
        <f t="shared" ref="A1517:B1517" si="2005">A1516</f>
        <v>フランス語</v>
      </c>
      <c r="B1517">
        <f t="shared" si="2005"/>
        <v>18</v>
      </c>
      <c r="C1517">
        <f t="shared" si="1903"/>
        <v>63</v>
      </c>
      <c r="D1517">
        <f>D1478</f>
        <v>5</v>
      </c>
      <c r="E1517" t="str">
        <f>VLOOKUP(D1517,name!A:B,2,1)</f>
        <v>Minako</v>
      </c>
      <c r="F1517" t="str">
        <f>F1478</f>
        <v>私は友達と共有します。</v>
      </c>
      <c r="G1517" t="str">
        <f t="shared" ref="G1517" si="2006">IF(B1517&lt;&gt;B2458,"e",IF(D1517=0,"q","a"))</f>
        <v>e</v>
      </c>
      <c r="H1517" t="str">
        <f>VLOOKUP(D1517,name!A:C,3,1)</f>
        <v>assets/icons/image086.png</v>
      </c>
      <c r="I1517" t="s">
        <v>463</v>
      </c>
    </row>
    <row r="1518" spans="1:9" x14ac:dyDescent="0.15">
      <c r="A1518" t="str">
        <f t="shared" ref="A1518:B1518" si="2007">A1517</f>
        <v>フランス語</v>
      </c>
      <c r="B1518">
        <f t="shared" si="2007"/>
        <v>18</v>
      </c>
      <c r="C1518">
        <f t="shared" si="1903"/>
        <v>64</v>
      </c>
      <c r="D1518">
        <f>D1479</f>
        <v>5</v>
      </c>
      <c r="E1518" t="str">
        <f>VLOOKUP(D1518,name!A:B,2,1)</f>
        <v>Minako</v>
      </c>
      <c r="F1518" t="str">
        <f>F1479</f>
        <v>je le partagerais avec une copine.</v>
      </c>
      <c r="G1518" t="str">
        <f t="shared" ref="G1518" si="2008">IF(B1518&lt;&gt;B1928,"e",IF(D1518=0,"q","a"))</f>
        <v>e</v>
      </c>
      <c r="H1518" t="str">
        <f>VLOOKUP(D1518,name!A:C,3,1)</f>
        <v>assets/icons/image086.png</v>
      </c>
      <c r="I1518" t="str">
        <f>IF(A1518="","",VLOOKUP(A1518,lng!A:B,2,0))</f>
        <v>fr-FR</v>
      </c>
    </row>
    <row r="1519" spans="1:9" x14ac:dyDescent="0.15">
      <c r="A1519" t="str">
        <f t="shared" ref="A1519:B1519" si="2009">A1518</f>
        <v>フランス語</v>
      </c>
      <c r="B1519">
        <f t="shared" si="2009"/>
        <v>18</v>
      </c>
      <c r="C1519">
        <f t="shared" si="1903"/>
        <v>65</v>
      </c>
      <c r="D1519">
        <v>0</v>
      </c>
      <c r="E1519" t="str">
        <f>VLOOKUP(D1519,name!A:B,2,1)</f>
        <v>Player</v>
      </c>
      <c r="F1519" t="str">
        <f>F1479</f>
        <v>je le partagerais avec une copine.</v>
      </c>
      <c r="G1519" t="str">
        <f t="shared" ref="G1519:G1547" si="2010">IF(B1519&lt;&gt;B1520,"e",IF(D1519=0,"q","a"))</f>
        <v>q</v>
      </c>
      <c r="H1519" t="str">
        <f>VLOOKUP(D1519,name!A:C,3,1)</f>
        <v>assets/icons/image326.png</v>
      </c>
      <c r="I1519" t="str">
        <f>IF(A1519="","",VLOOKUP(A1519,lng!A:B,2,0))</f>
        <v>fr-FR</v>
      </c>
    </row>
    <row r="1520" spans="1:9" x14ac:dyDescent="0.15">
      <c r="A1520" t="str">
        <f t="shared" ref="A1520:B1520" si="2011">A1519</f>
        <v>フランス語</v>
      </c>
      <c r="B1520">
        <f t="shared" si="2011"/>
        <v>18</v>
      </c>
      <c r="C1520">
        <f t="shared" si="1903"/>
        <v>66</v>
      </c>
      <c r="D1520">
        <f>D1480</f>
        <v>6</v>
      </c>
      <c r="E1520" t="str">
        <f>VLOOKUP(D1520,name!A:B,2,1)</f>
        <v>Céline</v>
      </c>
      <c r="F1520" t="str">
        <f>F1480</f>
        <v>絵を描いているから、</v>
      </c>
      <c r="G1520" t="str">
        <f t="shared" si="2010"/>
        <v>a</v>
      </c>
      <c r="H1520" t="str">
        <f>VLOOKUP(D1520,name!A:C,3,1)</f>
        <v>assets/icons/image078.png</v>
      </c>
      <c r="I1520" t="s">
        <v>463</v>
      </c>
    </row>
    <row r="1521" spans="1:9" x14ac:dyDescent="0.15">
      <c r="A1521" t="str">
        <f t="shared" ref="A1521:B1521" si="2012">A1520</f>
        <v>フランス語</v>
      </c>
      <c r="B1521">
        <f t="shared" si="2012"/>
        <v>18</v>
      </c>
      <c r="C1521">
        <f t="shared" ref="C1521:C1558" si="2013">C1520+1</f>
        <v>67</v>
      </c>
      <c r="D1521">
        <f>D1481</f>
        <v>6</v>
      </c>
      <c r="E1521" t="str">
        <f>VLOOKUP(D1521,name!A:B,2,1)</f>
        <v>Céline</v>
      </c>
      <c r="F1521" t="str">
        <f>F1481</f>
        <v>Comme je peins des tableaux,</v>
      </c>
      <c r="G1521" t="str">
        <f t="shared" ref="G1521" si="2014">IF(B1521&lt;&gt;B2462,"e",IF(D1521=0,"q","a"))</f>
        <v>e</v>
      </c>
      <c r="H1521" t="str">
        <f>VLOOKUP(D1521,name!A:C,3,1)</f>
        <v>assets/icons/image078.png</v>
      </c>
      <c r="I1521" t="str">
        <f>IF(A1521="","",VLOOKUP(A1521,lng!A:B,2,0))</f>
        <v>fr-FR</v>
      </c>
    </row>
    <row r="1522" spans="1:9" x14ac:dyDescent="0.15">
      <c r="A1522" t="str">
        <f t="shared" ref="A1522:B1522" si="2015">A1521</f>
        <v>フランス語</v>
      </c>
      <c r="B1522">
        <f t="shared" si="2015"/>
        <v>18</v>
      </c>
      <c r="C1522">
        <f t="shared" si="2013"/>
        <v>68</v>
      </c>
      <c r="D1522">
        <v>0</v>
      </c>
      <c r="E1522" t="str">
        <f>VLOOKUP(D1522,name!A:B,2,1)</f>
        <v>Player</v>
      </c>
      <c r="F1522" t="str">
        <f>F1481</f>
        <v>Comme je peins des tableaux,</v>
      </c>
      <c r="G1522" t="str">
        <f t="shared" ref="G1522" si="2016">IF(B1522&lt;&gt;B1932,"e",IF(D1522=0,"q","a"))</f>
        <v>e</v>
      </c>
      <c r="H1522" t="str">
        <f>VLOOKUP(D1522,name!A:C,3,1)</f>
        <v>assets/icons/image326.png</v>
      </c>
      <c r="I1522" t="str">
        <f>IF(A1522="","",VLOOKUP(A1522,lng!A:B,2,0))</f>
        <v>fr-FR</v>
      </c>
    </row>
    <row r="1523" spans="1:9" x14ac:dyDescent="0.15">
      <c r="A1523" t="str">
        <f t="shared" ref="A1523:B1523" si="2017">A1522</f>
        <v>フランス語</v>
      </c>
      <c r="B1523">
        <f t="shared" si="2017"/>
        <v>18</v>
      </c>
      <c r="C1523">
        <f t="shared" si="2013"/>
        <v>69</v>
      </c>
      <c r="D1523">
        <f>D1482</f>
        <v>6</v>
      </c>
      <c r="E1523" t="str">
        <f>VLOOKUP(D1523,name!A:B,2,1)</f>
        <v>Céline</v>
      </c>
      <c r="F1523" t="str">
        <f>F1482</f>
        <v>スペースが必要なのです。</v>
      </c>
      <c r="G1523" t="str">
        <f t="shared" ref="G1523:G1547" si="2018">IF(B1523&lt;&gt;B1524,"e",IF(D1523=0,"q","a"))</f>
        <v>a</v>
      </c>
      <c r="H1523" t="str">
        <f>VLOOKUP(D1523,name!A:C,3,1)</f>
        <v>assets/icons/image078.png</v>
      </c>
      <c r="I1523" t="s">
        <v>463</v>
      </c>
    </row>
    <row r="1524" spans="1:9" x14ac:dyDescent="0.15">
      <c r="A1524" t="str">
        <f t="shared" ref="A1524:B1524" si="2019">A1523</f>
        <v>フランス語</v>
      </c>
      <c r="B1524">
        <f t="shared" si="2019"/>
        <v>18</v>
      </c>
      <c r="C1524">
        <f t="shared" si="2013"/>
        <v>70</v>
      </c>
      <c r="D1524">
        <f>D1483</f>
        <v>6</v>
      </c>
      <c r="E1524" t="str">
        <f>VLOOKUP(D1524,name!A:B,2,1)</f>
        <v>Céline</v>
      </c>
      <c r="F1524" t="str">
        <f>F1483</f>
        <v>j'ai besoin d'espace.</v>
      </c>
      <c r="G1524" t="str">
        <f t="shared" ref="G1524" si="2020">IF(B1524&lt;&gt;B2465,"e",IF(D1524=0,"q","a"))</f>
        <v>e</v>
      </c>
      <c r="H1524" t="str">
        <f>VLOOKUP(D1524,name!A:C,3,1)</f>
        <v>assets/icons/image078.png</v>
      </c>
      <c r="I1524" t="str">
        <f>IF(A1524="","",VLOOKUP(A1524,lng!A:B,2,0))</f>
        <v>fr-FR</v>
      </c>
    </row>
    <row r="1525" spans="1:9" x14ac:dyDescent="0.15">
      <c r="A1525" t="str">
        <f t="shared" ref="A1525:B1525" si="2021">A1524</f>
        <v>フランス語</v>
      </c>
      <c r="B1525">
        <f t="shared" si="2021"/>
        <v>18</v>
      </c>
      <c r="C1525">
        <f t="shared" si="2013"/>
        <v>71</v>
      </c>
      <c r="D1525">
        <v>0</v>
      </c>
      <c r="E1525" t="str">
        <f>VLOOKUP(D1525,name!A:B,2,1)</f>
        <v>Player</v>
      </c>
      <c r="F1525" t="str">
        <f>F1483</f>
        <v>j'ai besoin d'espace.</v>
      </c>
      <c r="G1525" t="str">
        <f t="shared" ref="G1525" si="2022">IF(B1525&lt;&gt;B1935,"e",IF(D1525=0,"q","a"))</f>
        <v>e</v>
      </c>
      <c r="H1525" t="str">
        <f>VLOOKUP(D1525,name!A:C,3,1)</f>
        <v>assets/icons/image326.png</v>
      </c>
      <c r="I1525" t="str">
        <f>IF(A1525="","",VLOOKUP(A1525,lng!A:B,2,0))</f>
        <v>fr-FR</v>
      </c>
    </row>
    <row r="1526" spans="1:9" x14ac:dyDescent="0.15">
      <c r="A1526" t="str">
        <f t="shared" ref="A1526:B1526" si="2023">A1525</f>
        <v>フランス語</v>
      </c>
      <c r="B1526">
        <f t="shared" si="2023"/>
        <v>18</v>
      </c>
      <c r="C1526">
        <f t="shared" si="2013"/>
        <v>72</v>
      </c>
      <c r="D1526">
        <f>D1484</f>
        <v>7</v>
      </c>
      <c r="E1526" t="str">
        <f>VLOOKUP(D1526,name!A:B,2,1)</f>
        <v>Luigi</v>
      </c>
      <c r="F1526" t="str">
        <f>F1484</f>
        <v>いつかあなたの絵を見たいです。</v>
      </c>
      <c r="G1526" t="str">
        <f t="shared" ref="G1526:G1547" si="2024">IF(B1526&lt;&gt;B1527,"e",IF(D1526=0,"q","a"))</f>
        <v>a</v>
      </c>
      <c r="H1526" t="str">
        <f>VLOOKUP(D1526,name!A:C,3,1)</f>
        <v>assets/icons/image023.png</v>
      </c>
      <c r="I1526" t="s">
        <v>463</v>
      </c>
    </row>
    <row r="1527" spans="1:9" x14ac:dyDescent="0.15">
      <c r="A1527" t="str">
        <f t="shared" ref="A1527:B1527" si="2025">A1526</f>
        <v>フランス語</v>
      </c>
      <c r="B1527">
        <f t="shared" si="2025"/>
        <v>18</v>
      </c>
      <c r="C1527">
        <f t="shared" si="2013"/>
        <v>73</v>
      </c>
      <c r="D1527">
        <f>D1485</f>
        <v>7</v>
      </c>
      <c r="E1527" t="str">
        <f>VLOOKUP(D1527,name!A:B,2,1)</f>
        <v>Luigi</v>
      </c>
      <c r="F1527" t="str">
        <f>F1485</f>
        <v>J'aimerais bien voir tes tableaux un jour.</v>
      </c>
      <c r="G1527" t="str">
        <f t="shared" si="2024"/>
        <v>a</v>
      </c>
      <c r="H1527" t="str">
        <f>VLOOKUP(D1527,name!A:C,3,1)</f>
        <v>assets/icons/image023.png</v>
      </c>
      <c r="I1527" t="str">
        <f>IF(A1527="","",VLOOKUP(A1527,lng!A:B,2,0))</f>
        <v>fr-FR</v>
      </c>
    </row>
    <row r="1528" spans="1:9" x14ac:dyDescent="0.15">
      <c r="A1528" t="str">
        <f t="shared" ref="A1528:B1528" si="2026">A1527</f>
        <v>フランス語</v>
      </c>
      <c r="B1528">
        <f t="shared" si="2026"/>
        <v>18</v>
      </c>
      <c r="C1528">
        <f t="shared" si="2013"/>
        <v>74</v>
      </c>
      <c r="D1528">
        <v>0</v>
      </c>
      <c r="E1528" t="str">
        <f>VLOOKUP(D1528,name!A:B,2,1)</f>
        <v>Player</v>
      </c>
      <c r="F1528" t="str">
        <f>F1485</f>
        <v>J'aimerais bien voir tes tableaux un jour.</v>
      </c>
      <c r="G1528" t="str">
        <f t="shared" ref="G1528" si="2027">IF(B1528&lt;&gt;B2469,"e",IF(D1528=0,"q","a"))</f>
        <v>e</v>
      </c>
      <c r="H1528" t="str">
        <f>VLOOKUP(D1528,name!A:C,3,1)</f>
        <v>assets/icons/image326.png</v>
      </c>
      <c r="I1528" t="str">
        <f>IF(A1528="","",VLOOKUP(A1528,lng!A:B,2,0))</f>
        <v>fr-FR</v>
      </c>
    </row>
    <row r="1529" spans="1:9" x14ac:dyDescent="0.15">
      <c r="A1529" t="str">
        <f t="shared" ref="A1529:B1529" si="2028">A1528</f>
        <v>フランス語</v>
      </c>
      <c r="B1529">
        <f t="shared" si="2028"/>
        <v>18</v>
      </c>
      <c r="C1529">
        <f t="shared" si="2013"/>
        <v>75</v>
      </c>
      <c r="D1529">
        <v>1</v>
      </c>
      <c r="E1529" t="str">
        <f>VLOOKUP(D1529,name!A:B,2,1)</f>
        <v>Navigator</v>
      </c>
      <c r="F1529" t="str">
        <f>"次の日本語を"&amp;A1529&amp;"に訳して答えてね！"</f>
        <v>次の日本語をフランス語に訳して答えてね！</v>
      </c>
      <c r="G1529" t="str">
        <f t="shared" ref="G1529" si="2029">IF(B1529&lt;&gt;B1939,"e",IF(D1529=0,"q","a"))</f>
        <v>e</v>
      </c>
      <c r="H1529" t="str">
        <f>VLOOKUP(D1529,name!A:C,3,1)</f>
        <v>assets/icons/image014.png</v>
      </c>
      <c r="I1529" t="s">
        <v>463</v>
      </c>
    </row>
    <row r="1530" spans="1:9" x14ac:dyDescent="0.15">
      <c r="A1530" t="str">
        <f t="shared" ref="A1530:B1530" si="2030">A1529</f>
        <v>フランス語</v>
      </c>
      <c r="B1530">
        <f t="shared" si="2030"/>
        <v>18</v>
      </c>
      <c r="C1530">
        <f t="shared" si="2013"/>
        <v>76</v>
      </c>
      <c r="D1530">
        <f>D1458</f>
        <v>7</v>
      </c>
      <c r="E1530" t="str">
        <f>VLOOKUP(D1530,name!A:B,2,1)</f>
        <v>Luigi</v>
      </c>
      <c r="F1530" t="str">
        <f>F1458</f>
        <v>こんにちは、セリーヌ。</v>
      </c>
      <c r="G1530" t="str">
        <f t="shared" ref="G1530:G1547" si="2031">IF(B1530&lt;&gt;B1531,"e",IF(D1530=0,"q","a"))</f>
        <v>a</v>
      </c>
      <c r="H1530" t="str">
        <f>VLOOKUP(D1530,name!A:C,3,1)</f>
        <v>assets/icons/image023.png</v>
      </c>
      <c r="I1530" t="s">
        <v>463</v>
      </c>
    </row>
    <row r="1531" spans="1:9" x14ac:dyDescent="0.15">
      <c r="A1531" t="str">
        <f t="shared" ref="A1531:B1531" si="2032">A1530</f>
        <v>フランス語</v>
      </c>
      <c r="B1531">
        <f t="shared" si="2032"/>
        <v>18</v>
      </c>
      <c r="C1531">
        <f t="shared" si="2013"/>
        <v>77</v>
      </c>
      <c r="D1531">
        <v>0</v>
      </c>
      <c r="E1531" t="str">
        <f>VLOOKUP(D1531,name!A:B,2,1)</f>
        <v>Player</v>
      </c>
      <c r="F1531" t="str">
        <f>F1459</f>
        <v>Salut, Céline.</v>
      </c>
      <c r="G1531" t="str">
        <f t="shared" ref="G1531" si="2033">IF(B1531&lt;&gt;B2472,"e",IF(D1531=0,"q","a"))</f>
        <v>e</v>
      </c>
      <c r="H1531" t="str">
        <f>VLOOKUP(D1531,name!A:C,3,1)</f>
        <v>assets/icons/image326.png</v>
      </c>
      <c r="I1531" t="str">
        <f>IF(A1531="","",VLOOKUP(A1531,lng!A:B,2,0))</f>
        <v>fr-FR</v>
      </c>
    </row>
    <row r="1532" spans="1:9" x14ac:dyDescent="0.15">
      <c r="A1532" t="str">
        <f t="shared" ref="A1532:B1532" si="2034">A1531</f>
        <v>フランス語</v>
      </c>
      <c r="B1532">
        <f t="shared" si="2034"/>
        <v>18</v>
      </c>
      <c r="C1532">
        <f t="shared" si="2013"/>
        <v>78</v>
      </c>
      <c r="D1532">
        <f>D1460</f>
        <v>7</v>
      </c>
      <c r="E1532" t="str">
        <f>VLOOKUP(D1532,name!A:B,2,1)</f>
        <v>Luigi</v>
      </c>
      <c r="F1532" t="str">
        <f>F1460</f>
        <v>最近どうですか。</v>
      </c>
      <c r="G1532" t="str">
        <f t="shared" ref="G1532" si="2035">IF(B1532&lt;&gt;B1942,"e",IF(D1532=0,"q","a"))</f>
        <v>e</v>
      </c>
      <c r="H1532" t="str">
        <f>VLOOKUP(D1532,name!A:C,3,1)</f>
        <v>assets/icons/image023.png</v>
      </c>
      <c r="I1532" t="s">
        <v>463</v>
      </c>
    </row>
    <row r="1533" spans="1:9" x14ac:dyDescent="0.15">
      <c r="A1533" t="str">
        <f t="shared" ref="A1533:B1533" si="2036">A1532</f>
        <v>フランス語</v>
      </c>
      <c r="B1533">
        <f t="shared" si="2036"/>
        <v>18</v>
      </c>
      <c r="C1533">
        <f t="shared" si="2013"/>
        <v>79</v>
      </c>
      <c r="D1533">
        <v>0</v>
      </c>
      <c r="E1533" t="str">
        <f>VLOOKUP(D1533,name!A:B,2,1)</f>
        <v>Player</v>
      </c>
      <c r="F1533" t="str">
        <f>F1461</f>
        <v>Quoi de neuf ?</v>
      </c>
      <c r="G1533" t="str">
        <f t="shared" ref="G1533:G1547" si="2037">IF(B1533&lt;&gt;B1534,"e",IF(D1533=0,"q","a"))</f>
        <v>q</v>
      </c>
      <c r="H1533" t="str">
        <f>VLOOKUP(D1533,name!A:C,3,1)</f>
        <v>assets/icons/image326.png</v>
      </c>
      <c r="I1533" t="str">
        <f>IF(A1533="","",VLOOKUP(A1533,lng!A:B,2,0))</f>
        <v>fr-FR</v>
      </c>
    </row>
    <row r="1534" spans="1:9" x14ac:dyDescent="0.15">
      <c r="A1534" t="str">
        <f t="shared" ref="A1534:B1534" si="2038">A1533</f>
        <v>フランス語</v>
      </c>
      <c r="B1534">
        <f t="shared" si="2038"/>
        <v>18</v>
      </c>
      <c r="C1534">
        <f t="shared" si="2013"/>
        <v>80</v>
      </c>
      <c r="D1534">
        <f>D1462</f>
        <v>6</v>
      </c>
      <c r="E1534" t="str">
        <f>VLOOKUP(D1534,name!A:B,2,1)</f>
        <v>Céline</v>
      </c>
      <c r="F1534" t="str">
        <f>F1462</f>
        <v>先週末引っ越しました。</v>
      </c>
      <c r="G1534" t="str">
        <f t="shared" si="2037"/>
        <v>a</v>
      </c>
      <c r="H1534" t="str">
        <f>VLOOKUP(D1534,name!A:C,3,1)</f>
        <v>assets/icons/image078.png</v>
      </c>
      <c r="I1534" t="s">
        <v>463</v>
      </c>
    </row>
    <row r="1535" spans="1:9" x14ac:dyDescent="0.15">
      <c r="A1535" t="str">
        <f t="shared" ref="A1535:B1535" si="2039">A1534</f>
        <v>フランス語</v>
      </c>
      <c r="B1535">
        <f t="shared" si="2039"/>
        <v>18</v>
      </c>
      <c r="C1535">
        <f t="shared" si="2013"/>
        <v>81</v>
      </c>
      <c r="D1535">
        <v>0</v>
      </c>
      <c r="E1535" t="str">
        <f>VLOOKUP(D1535,name!A:B,2,1)</f>
        <v>Player</v>
      </c>
      <c r="F1535" t="str">
        <f>F1463</f>
        <v>J'ai déménagé le week-end dernier.</v>
      </c>
      <c r="G1535" t="str">
        <f t="shared" ref="G1535" si="2040">IF(B1535&lt;&gt;B2476,"e",IF(D1535=0,"q","a"))</f>
        <v>e</v>
      </c>
      <c r="H1535" t="str">
        <f>VLOOKUP(D1535,name!A:C,3,1)</f>
        <v>assets/icons/image326.png</v>
      </c>
      <c r="I1535" t="str">
        <f>IF(A1535="","",VLOOKUP(A1535,lng!A:B,2,0))</f>
        <v>fr-FR</v>
      </c>
    </row>
    <row r="1536" spans="1:9" x14ac:dyDescent="0.15">
      <c r="A1536" t="str">
        <f t="shared" ref="A1536:B1536" si="2041">A1535</f>
        <v>フランス語</v>
      </c>
      <c r="B1536">
        <f t="shared" si="2041"/>
        <v>18</v>
      </c>
      <c r="C1536">
        <f t="shared" si="2013"/>
        <v>82</v>
      </c>
      <c r="D1536">
        <f>D1464</f>
        <v>7</v>
      </c>
      <c r="E1536" t="str">
        <f>VLOOKUP(D1536,name!A:B,2,1)</f>
        <v>Luigi</v>
      </c>
      <c r="F1536" t="str">
        <f>F1464</f>
        <v>ほんとですか。</v>
      </c>
      <c r="G1536" t="str">
        <f t="shared" ref="G1536" si="2042">IF(B1536&lt;&gt;B1946,"e",IF(D1536=0,"q","a"))</f>
        <v>e</v>
      </c>
      <c r="H1536" t="str">
        <f>VLOOKUP(D1536,name!A:C,3,1)</f>
        <v>assets/icons/image023.png</v>
      </c>
      <c r="I1536" t="s">
        <v>463</v>
      </c>
    </row>
    <row r="1537" spans="1:9" x14ac:dyDescent="0.15">
      <c r="A1537" t="str">
        <f t="shared" ref="A1537:B1537" si="2043">A1536</f>
        <v>フランス語</v>
      </c>
      <c r="B1537">
        <f t="shared" si="2043"/>
        <v>18</v>
      </c>
      <c r="C1537">
        <f t="shared" si="2013"/>
        <v>83</v>
      </c>
      <c r="D1537">
        <v>0</v>
      </c>
      <c r="E1537" t="str">
        <f>VLOOKUP(D1537,name!A:B,2,1)</f>
        <v>Player</v>
      </c>
      <c r="F1537" t="str">
        <f>F1465</f>
        <v>Ah, bon.</v>
      </c>
      <c r="G1537" t="str">
        <f t="shared" ref="G1537:G1547" si="2044">IF(B1537&lt;&gt;B1538,"e",IF(D1537=0,"q","a"))</f>
        <v>q</v>
      </c>
      <c r="H1537" t="str">
        <f>VLOOKUP(D1537,name!A:C,3,1)</f>
        <v>assets/icons/image326.png</v>
      </c>
      <c r="I1537" t="str">
        <f>IF(A1537="","",VLOOKUP(A1537,lng!A:B,2,0))</f>
        <v>fr-FR</v>
      </c>
    </row>
    <row r="1538" spans="1:9" x14ac:dyDescent="0.15">
      <c r="A1538" t="str">
        <f t="shared" ref="A1538:B1538" si="2045">A1537</f>
        <v>フランス語</v>
      </c>
      <c r="B1538">
        <f t="shared" si="2045"/>
        <v>18</v>
      </c>
      <c r="C1538">
        <f t="shared" si="2013"/>
        <v>84</v>
      </c>
      <c r="D1538">
        <f>D1466</f>
        <v>7</v>
      </c>
      <c r="E1538" t="str">
        <f>VLOOKUP(D1538,name!A:B,2,1)</f>
        <v>Luigi</v>
      </c>
      <c r="F1538" t="str">
        <f>F1466</f>
        <v>もし知っていたら、あなたを手伝ったのに。</v>
      </c>
      <c r="G1538" t="str">
        <f t="shared" ref="G1538" si="2046">IF(B1538&lt;&gt;B2479,"e",IF(D1538=0,"q","a"))</f>
        <v>e</v>
      </c>
      <c r="H1538" t="str">
        <f>VLOOKUP(D1538,name!A:C,3,1)</f>
        <v>assets/icons/image023.png</v>
      </c>
      <c r="I1538" t="s">
        <v>463</v>
      </c>
    </row>
    <row r="1539" spans="1:9" x14ac:dyDescent="0.15">
      <c r="A1539" t="str">
        <f t="shared" ref="A1539:B1539" si="2047">A1538</f>
        <v>フランス語</v>
      </c>
      <c r="B1539">
        <f t="shared" si="2047"/>
        <v>18</v>
      </c>
      <c r="C1539">
        <f t="shared" si="2013"/>
        <v>85</v>
      </c>
      <c r="D1539">
        <v>0</v>
      </c>
      <c r="E1539" t="str">
        <f>VLOOKUP(D1539,name!A:B,2,1)</f>
        <v>Player</v>
      </c>
      <c r="F1539" t="str">
        <f>F1467</f>
        <v>Si j'avais su, je t'aurais aidée.</v>
      </c>
      <c r="G1539" t="str">
        <f t="shared" ref="G1539" si="2048">IF(B1539&lt;&gt;B1949,"e",IF(D1539=0,"q","a"))</f>
        <v>e</v>
      </c>
      <c r="H1539" t="str">
        <f>VLOOKUP(D1539,name!A:C,3,1)</f>
        <v>assets/icons/image326.png</v>
      </c>
      <c r="I1539" t="str">
        <f>IF(A1539="","",VLOOKUP(A1539,lng!A:B,2,0))</f>
        <v>fr-FR</v>
      </c>
    </row>
    <row r="1540" spans="1:9" x14ac:dyDescent="0.15">
      <c r="A1540" t="str">
        <f t="shared" ref="A1540:B1540" si="2049">A1539</f>
        <v>フランス語</v>
      </c>
      <c r="B1540">
        <f t="shared" si="2049"/>
        <v>18</v>
      </c>
      <c r="C1540">
        <f t="shared" si="2013"/>
        <v>86</v>
      </c>
      <c r="D1540">
        <f>D1468</f>
        <v>6</v>
      </c>
      <c r="E1540" t="str">
        <f>VLOOKUP(D1540,name!A:B,2,1)</f>
        <v>Céline</v>
      </c>
      <c r="F1540" t="str">
        <f>F1468</f>
        <v>ありがとう、あなたは親切ですね。</v>
      </c>
      <c r="G1540" t="str">
        <f t="shared" ref="G1540:G1547" si="2050">IF(B1540&lt;&gt;B1541,"e",IF(D1540=0,"q","a"))</f>
        <v>a</v>
      </c>
      <c r="H1540" t="str">
        <f>VLOOKUP(D1540,name!A:C,3,1)</f>
        <v>assets/icons/image078.png</v>
      </c>
      <c r="I1540" t="s">
        <v>463</v>
      </c>
    </row>
    <row r="1541" spans="1:9" x14ac:dyDescent="0.15">
      <c r="A1541" t="str">
        <f t="shared" ref="A1541:B1541" si="2051">A1540</f>
        <v>フランス語</v>
      </c>
      <c r="B1541">
        <f t="shared" si="2051"/>
        <v>18</v>
      </c>
      <c r="C1541">
        <f t="shared" si="2013"/>
        <v>87</v>
      </c>
      <c r="D1541">
        <v>0</v>
      </c>
      <c r="E1541" t="str">
        <f>VLOOKUP(D1541,name!A:B,2,1)</f>
        <v>Player</v>
      </c>
      <c r="F1541" t="str">
        <f>F1469</f>
        <v xml:space="preserve">Merci, tu es gentil. </v>
      </c>
      <c r="G1541" t="str">
        <f t="shared" si="2050"/>
        <v>q</v>
      </c>
      <c r="H1541" t="str">
        <f>VLOOKUP(D1541,name!A:C,3,1)</f>
        <v>assets/icons/image326.png</v>
      </c>
      <c r="I1541" t="str">
        <f>IF(A1541="","",VLOOKUP(A1541,lng!A:B,2,0))</f>
        <v>fr-FR</v>
      </c>
    </row>
    <row r="1542" spans="1:9" x14ac:dyDescent="0.15">
      <c r="A1542" t="str">
        <f t="shared" ref="A1542:B1542" si="2052">A1541</f>
        <v>フランス語</v>
      </c>
      <c r="B1542">
        <f t="shared" si="2052"/>
        <v>18</v>
      </c>
      <c r="C1542">
        <f t="shared" si="2013"/>
        <v>88</v>
      </c>
      <c r="D1542">
        <f>D1470</f>
        <v>6</v>
      </c>
      <c r="E1542" t="str">
        <f>VLOOKUP(D1542,name!A:B,2,1)</f>
        <v>Céline</v>
      </c>
      <c r="F1542" t="str">
        <f>F1470</f>
        <v>美奈子が私を手伝ってくれました。</v>
      </c>
      <c r="G1542" t="str">
        <f t="shared" ref="G1542" si="2053">IF(B1542&lt;&gt;B2483,"e",IF(D1542=0,"q","a"))</f>
        <v>e</v>
      </c>
      <c r="H1542" t="str">
        <f>VLOOKUP(D1542,name!A:C,3,1)</f>
        <v>assets/icons/image078.png</v>
      </c>
      <c r="I1542" t="s">
        <v>463</v>
      </c>
    </row>
    <row r="1543" spans="1:9" x14ac:dyDescent="0.15">
      <c r="A1543" t="str">
        <f t="shared" ref="A1543:B1543" si="2054">A1542</f>
        <v>フランス語</v>
      </c>
      <c r="B1543">
        <f t="shared" si="2054"/>
        <v>18</v>
      </c>
      <c r="C1543">
        <f t="shared" si="2013"/>
        <v>89</v>
      </c>
      <c r="D1543">
        <v>0</v>
      </c>
      <c r="E1543" t="str">
        <f>VLOOKUP(D1543,name!A:B,2,1)</f>
        <v>Player</v>
      </c>
      <c r="F1543" t="str">
        <f>F1471</f>
        <v>Minako m'a donné un coup de main.</v>
      </c>
      <c r="G1543" t="str">
        <f t="shared" ref="G1543" si="2055">IF(B1543&lt;&gt;B1953,"e",IF(D1543=0,"q","a"))</f>
        <v>e</v>
      </c>
      <c r="H1543" t="str">
        <f>VLOOKUP(D1543,name!A:C,3,1)</f>
        <v>assets/icons/image326.png</v>
      </c>
      <c r="I1543" t="str">
        <f>IF(A1543="","",VLOOKUP(A1543,lng!A:B,2,0))</f>
        <v>fr-FR</v>
      </c>
    </row>
    <row r="1544" spans="1:9" x14ac:dyDescent="0.15">
      <c r="A1544" t="str">
        <f t="shared" ref="A1544:B1544" si="2056">A1543</f>
        <v>フランス語</v>
      </c>
      <c r="B1544">
        <f t="shared" si="2056"/>
        <v>18</v>
      </c>
      <c r="C1544">
        <f t="shared" si="2013"/>
        <v>90</v>
      </c>
      <c r="D1544">
        <f>D1472</f>
        <v>5</v>
      </c>
      <c r="E1544" t="str">
        <f>VLOOKUP(D1544,name!A:B,2,1)</f>
        <v>Minako</v>
      </c>
      <c r="F1544" t="str">
        <f>F1472</f>
        <v>セリーヌの新しいワンルームマンションは素晴らしいです。</v>
      </c>
      <c r="G1544" t="str">
        <f t="shared" ref="G1544:G1547" si="2057">IF(B1544&lt;&gt;B1545,"e",IF(D1544=0,"q","a"))</f>
        <v>a</v>
      </c>
      <c r="H1544" t="str">
        <f>VLOOKUP(D1544,name!A:C,3,1)</f>
        <v>assets/icons/image086.png</v>
      </c>
      <c r="I1544" t="s">
        <v>463</v>
      </c>
    </row>
    <row r="1545" spans="1:9" x14ac:dyDescent="0.15">
      <c r="A1545" t="str">
        <f t="shared" ref="A1545:B1545" si="2058">A1544</f>
        <v>フランス語</v>
      </c>
      <c r="B1545">
        <f t="shared" si="2058"/>
        <v>18</v>
      </c>
      <c r="C1545">
        <f t="shared" si="2013"/>
        <v>91</v>
      </c>
      <c r="D1545">
        <v>0</v>
      </c>
      <c r="E1545" t="str">
        <f>VLOOKUP(D1545,name!A:B,2,1)</f>
        <v>Player</v>
      </c>
      <c r="F1545" t="str">
        <f>F1473</f>
        <v>Le nouveau studio de Céline est super.</v>
      </c>
      <c r="G1545" t="str">
        <f t="shared" ref="G1545" si="2059">IF(B1545&lt;&gt;B2486,"e",IF(D1545=0,"q","a"))</f>
        <v>e</v>
      </c>
      <c r="H1545" t="str">
        <f>VLOOKUP(D1545,name!A:C,3,1)</f>
        <v>assets/icons/image326.png</v>
      </c>
      <c r="I1545" t="str">
        <f>IF(A1545="","",VLOOKUP(A1545,lng!A:B,2,0))</f>
        <v>fr-FR</v>
      </c>
    </row>
    <row r="1546" spans="1:9" x14ac:dyDescent="0.15">
      <c r="A1546" t="str">
        <f t="shared" ref="A1546:B1546" si="2060">A1545</f>
        <v>フランス語</v>
      </c>
      <c r="B1546">
        <f t="shared" si="2060"/>
        <v>18</v>
      </c>
      <c r="C1546">
        <f t="shared" si="2013"/>
        <v>92</v>
      </c>
      <c r="D1546">
        <f>D1474</f>
        <v>5</v>
      </c>
      <c r="E1546" t="str">
        <f>VLOOKUP(D1546,name!A:B,2,1)</f>
        <v>Minako</v>
      </c>
      <c r="F1546" t="str">
        <f>F1474</f>
        <v>広々としており、木々でいっぱいの中庭を見渡せます。</v>
      </c>
      <c r="G1546" t="str">
        <f t="shared" ref="G1546" si="2061">IF(B1546&lt;&gt;B1956,"e",IF(D1546=0,"q","a"))</f>
        <v>e</v>
      </c>
      <c r="H1546" t="str">
        <f>VLOOKUP(D1546,name!A:C,3,1)</f>
        <v>assets/icons/image086.png</v>
      </c>
      <c r="I1546" t="s">
        <v>463</v>
      </c>
    </row>
    <row r="1547" spans="1:9" x14ac:dyDescent="0.15">
      <c r="A1547" t="str">
        <f t="shared" ref="A1547:B1547" si="2062">A1546</f>
        <v>フランス語</v>
      </c>
      <c r="B1547">
        <f t="shared" si="2062"/>
        <v>18</v>
      </c>
      <c r="C1547">
        <f t="shared" si="2013"/>
        <v>93</v>
      </c>
      <c r="D1547">
        <v>0</v>
      </c>
      <c r="E1547" t="str">
        <f>VLOOKUP(D1547,name!A:B,2,1)</f>
        <v>Player</v>
      </c>
      <c r="F1547" t="str">
        <f>F1475</f>
        <v>Il est spacieux et il donne sur une cour pleine d'arbres.</v>
      </c>
      <c r="G1547" t="str">
        <f t="shared" ref="G1547" si="2063">IF(B1547&lt;&gt;B1548,"e",IF(D1547=0,"q","a"))</f>
        <v>q</v>
      </c>
      <c r="H1547" t="str">
        <f>VLOOKUP(D1547,name!A:C,3,1)</f>
        <v>assets/icons/image326.png</v>
      </c>
      <c r="I1547" t="str">
        <f>IF(A1547="","",VLOOKUP(A1547,lng!A:B,2,0))</f>
        <v>fr-FR</v>
      </c>
    </row>
    <row r="1548" spans="1:9" x14ac:dyDescent="0.15">
      <c r="A1548" t="str">
        <f t="shared" ref="A1548:B1548" si="2064">A1547</f>
        <v>フランス語</v>
      </c>
      <c r="B1548">
        <f t="shared" si="2064"/>
        <v>18</v>
      </c>
      <c r="C1548">
        <f t="shared" si="2013"/>
        <v>94</v>
      </c>
      <c r="D1548">
        <f>D1476</f>
        <v>5</v>
      </c>
      <c r="E1548" t="str">
        <f>VLOOKUP(D1548,name!A:B,2,1)</f>
        <v>Minako</v>
      </c>
      <c r="F1548" t="str">
        <f>F1476</f>
        <v>もし私があなたの立場にいたら、</v>
      </c>
      <c r="G1548" t="str">
        <f t="shared" ref="G1548" si="2065">IF(B1548&lt;&gt;B1549,"e",IF(D1548=0,"q","a"))</f>
        <v>a</v>
      </c>
      <c r="H1548" t="str">
        <f>VLOOKUP(D1548,name!A:C,3,1)</f>
        <v>assets/icons/image086.png</v>
      </c>
      <c r="I1548" t="s">
        <v>463</v>
      </c>
    </row>
    <row r="1549" spans="1:9" x14ac:dyDescent="0.15">
      <c r="A1549" t="str">
        <f t="shared" ref="A1549:B1549" si="2066">A1548</f>
        <v>フランス語</v>
      </c>
      <c r="B1549">
        <f t="shared" si="2066"/>
        <v>18</v>
      </c>
      <c r="C1549">
        <f t="shared" si="2013"/>
        <v>95</v>
      </c>
      <c r="D1549">
        <v>0</v>
      </c>
      <c r="E1549" t="str">
        <f>VLOOKUP(D1549,name!A:B,2,1)</f>
        <v>Player</v>
      </c>
      <c r="F1549" t="str">
        <f>F1477</f>
        <v>Si j'étais à ta place,</v>
      </c>
      <c r="G1549" t="str">
        <f>IF(B1549&lt;&gt;B2490,"e",IF(D1549=0,"q","a"))</f>
        <v>e</v>
      </c>
      <c r="H1549" t="str">
        <f>VLOOKUP(D1549,name!A:C,3,1)</f>
        <v>assets/icons/image326.png</v>
      </c>
      <c r="I1549" t="str">
        <f>IF(A1549="","",VLOOKUP(A1549,lng!A:B,2,0))</f>
        <v>fr-FR</v>
      </c>
    </row>
    <row r="1550" spans="1:9" x14ac:dyDescent="0.15">
      <c r="A1550" t="str">
        <f t="shared" ref="A1550:B1550" si="2067">A1549</f>
        <v>フランス語</v>
      </c>
      <c r="B1550">
        <f t="shared" si="2067"/>
        <v>18</v>
      </c>
      <c r="C1550">
        <f t="shared" si="2013"/>
        <v>96</v>
      </c>
      <c r="D1550">
        <f>D1478</f>
        <v>5</v>
      </c>
      <c r="E1550" t="str">
        <f>VLOOKUP(D1550,name!A:B,2,1)</f>
        <v>Minako</v>
      </c>
      <c r="F1550" t="str">
        <f>F1478</f>
        <v>私は友達と共有します。</v>
      </c>
      <c r="G1550" t="str">
        <f t="shared" ref="G1550:G1551" si="2068">IF(B1550&lt;&gt;B1551,"e",IF(D1550=0,"q","a"))</f>
        <v>a</v>
      </c>
      <c r="H1550" t="str">
        <f>VLOOKUP(D1550,name!A:C,3,1)</f>
        <v>assets/icons/image086.png</v>
      </c>
      <c r="I1550" t="s">
        <v>463</v>
      </c>
    </row>
    <row r="1551" spans="1:9" x14ac:dyDescent="0.15">
      <c r="A1551" t="str">
        <f t="shared" ref="A1551:B1551" si="2069">A1550</f>
        <v>フランス語</v>
      </c>
      <c r="B1551">
        <f t="shared" si="2069"/>
        <v>18</v>
      </c>
      <c r="C1551">
        <f t="shared" si="2013"/>
        <v>97</v>
      </c>
      <c r="D1551">
        <v>0</v>
      </c>
      <c r="E1551" t="str">
        <f>VLOOKUP(D1551,name!A:B,2,1)</f>
        <v>Player</v>
      </c>
      <c r="F1551" t="str">
        <f>F1479</f>
        <v>je le partagerais avec une copine.</v>
      </c>
      <c r="G1551" t="str">
        <f t="shared" si="2068"/>
        <v>q</v>
      </c>
      <c r="H1551" t="str">
        <f>VLOOKUP(D1551,name!A:C,3,1)</f>
        <v>assets/icons/image326.png</v>
      </c>
      <c r="I1551" t="str">
        <f>IF(A1551="","",VLOOKUP(A1551,lng!A:B,2,0))</f>
        <v>fr-FR</v>
      </c>
    </row>
    <row r="1552" spans="1:9" x14ac:dyDescent="0.15">
      <c r="A1552" t="str">
        <f t="shared" ref="A1552:B1552" si="2070">A1551</f>
        <v>フランス語</v>
      </c>
      <c r="B1552">
        <f t="shared" si="2070"/>
        <v>18</v>
      </c>
      <c r="C1552">
        <f t="shared" si="2013"/>
        <v>98</v>
      </c>
      <c r="D1552">
        <f>D1480</f>
        <v>6</v>
      </c>
      <c r="E1552" t="str">
        <f>VLOOKUP(D1552,name!A:B,2,1)</f>
        <v>Céline</v>
      </c>
      <c r="F1552" t="str">
        <f>F1480</f>
        <v>絵を描いているから、</v>
      </c>
      <c r="G1552" t="str">
        <f>IF(B1552&lt;&gt;B1835,"e",IF(D1552=0,"q","a"))</f>
        <v>e</v>
      </c>
      <c r="H1552" t="str">
        <f>VLOOKUP(D1552,name!A:C,3,1)</f>
        <v>assets/icons/image078.png</v>
      </c>
      <c r="I1552" t="s">
        <v>463</v>
      </c>
    </row>
    <row r="1553" spans="1:12" x14ac:dyDescent="0.15">
      <c r="A1553" t="str">
        <f t="shared" ref="A1553:B1553" si="2071">A1552</f>
        <v>フランス語</v>
      </c>
      <c r="B1553">
        <f t="shared" si="2071"/>
        <v>18</v>
      </c>
      <c r="C1553">
        <f t="shared" si="2013"/>
        <v>99</v>
      </c>
      <c r="D1553">
        <v>0</v>
      </c>
      <c r="E1553" t="str">
        <f>VLOOKUP(D1553,name!A:B,2,1)</f>
        <v>Player</v>
      </c>
      <c r="F1553" t="str">
        <f>F1481</f>
        <v>Comme je peins des tableaux,</v>
      </c>
      <c r="G1553" t="str">
        <f t="shared" ref="G1553" si="2072">IF(B1553&lt;&gt;B1554,"e",IF(D1553=0,"q","a"))</f>
        <v>q</v>
      </c>
      <c r="H1553" t="str">
        <f>VLOOKUP(D1553,name!A:C,3,1)</f>
        <v>assets/icons/image326.png</v>
      </c>
      <c r="I1553" t="str">
        <f>IF(A1553="","",VLOOKUP(A1553,lng!A:B,2,0))</f>
        <v>fr-FR</v>
      </c>
    </row>
    <row r="1554" spans="1:12" x14ac:dyDescent="0.15">
      <c r="A1554" t="str">
        <f t="shared" ref="A1554:B1554" si="2073">A1553</f>
        <v>フランス語</v>
      </c>
      <c r="B1554">
        <f t="shared" si="2073"/>
        <v>18</v>
      </c>
      <c r="C1554">
        <f t="shared" si="2013"/>
        <v>100</v>
      </c>
      <c r="D1554">
        <f>D1482</f>
        <v>6</v>
      </c>
      <c r="E1554" t="str">
        <f>VLOOKUP(D1554,name!A:B,2,1)</f>
        <v>Céline</v>
      </c>
      <c r="F1554" t="str">
        <f>F1482</f>
        <v>スペースが必要なのです。</v>
      </c>
      <c r="G1554" t="str">
        <f>IF(B1554&lt;&gt;B2495,"e",IF(D1554=0,"q","a"))</f>
        <v>e</v>
      </c>
      <c r="H1554" t="str">
        <f>VLOOKUP(D1554,name!A:C,3,1)</f>
        <v>assets/icons/image078.png</v>
      </c>
      <c r="I1554" t="s">
        <v>463</v>
      </c>
    </row>
    <row r="1555" spans="1:12" x14ac:dyDescent="0.15">
      <c r="A1555" t="str">
        <f t="shared" ref="A1555:B1555" si="2074">A1554</f>
        <v>フランス語</v>
      </c>
      <c r="B1555">
        <f t="shared" si="2074"/>
        <v>18</v>
      </c>
      <c r="C1555">
        <f t="shared" si="2013"/>
        <v>101</v>
      </c>
      <c r="D1555">
        <v>0</v>
      </c>
      <c r="E1555" t="str">
        <f>VLOOKUP(D1555,name!A:B,2,1)</f>
        <v>Player</v>
      </c>
      <c r="F1555" t="str">
        <f>F1483</f>
        <v>j'ai besoin d'espace.</v>
      </c>
      <c r="G1555" t="str">
        <f t="shared" ref="G1555:G1556" si="2075">IF(B1555&lt;&gt;B1556,"e",IF(D1555=0,"q","a"))</f>
        <v>q</v>
      </c>
      <c r="H1555" t="str">
        <f>VLOOKUP(D1555,name!A:C,3,1)</f>
        <v>assets/icons/image326.png</v>
      </c>
      <c r="I1555" t="str">
        <f>IF(A1555="","",VLOOKUP(A1555,lng!A:B,2,0))</f>
        <v>fr-FR</v>
      </c>
    </row>
    <row r="1556" spans="1:12" x14ac:dyDescent="0.15">
      <c r="A1556" t="str">
        <f t="shared" ref="A1556:B1556" si="2076">A1555</f>
        <v>フランス語</v>
      </c>
      <c r="B1556">
        <f t="shared" si="2076"/>
        <v>18</v>
      </c>
      <c r="C1556">
        <f t="shared" si="2013"/>
        <v>102</v>
      </c>
      <c r="D1556">
        <f>D1484</f>
        <v>7</v>
      </c>
      <c r="E1556" t="str">
        <f>VLOOKUP(D1556,name!A:B,2,1)</f>
        <v>Luigi</v>
      </c>
      <c r="F1556" t="str">
        <f>F1484</f>
        <v>いつかあなたの絵を見たいです。</v>
      </c>
      <c r="G1556" t="str">
        <f t="shared" si="2075"/>
        <v>a</v>
      </c>
      <c r="H1556" t="str">
        <f>VLOOKUP(D1556,name!A:C,3,1)</f>
        <v>assets/icons/image023.png</v>
      </c>
      <c r="I1556" t="s">
        <v>463</v>
      </c>
    </row>
    <row r="1557" spans="1:12" x14ac:dyDescent="0.15">
      <c r="A1557" t="str">
        <f t="shared" ref="A1557:B1557" si="2077">A1556</f>
        <v>フランス語</v>
      </c>
      <c r="B1557">
        <f t="shared" si="2077"/>
        <v>18</v>
      </c>
      <c r="C1557">
        <f t="shared" si="2013"/>
        <v>103</v>
      </c>
      <c r="D1557">
        <v>0</v>
      </c>
      <c r="E1557" t="str">
        <f>VLOOKUP(D1557,name!A:B,2,1)</f>
        <v>Player</v>
      </c>
      <c r="F1557" t="str">
        <f>F1485</f>
        <v>J'aimerais bien voir tes tableaux un jour.</v>
      </c>
      <c r="G1557" t="str">
        <f>IF(B1557&lt;&gt;B1840,"e",IF(D1557=0,"q","a"))</f>
        <v>e</v>
      </c>
      <c r="H1557" t="str">
        <f>VLOOKUP(D1557,name!A:C,3,1)</f>
        <v>assets/icons/image326.png</v>
      </c>
      <c r="I1557" t="str">
        <f>IF(A1557="","",VLOOKUP(A1557,lng!A:B,2,0))</f>
        <v>fr-FR</v>
      </c>
    </row>
    <row r="1558" spans="1:12" x14ac:dyDescent="0.15">
      <c r="A1558" t="str">
        <f t="shared" ref="A1558:B1558" si="2078">A1557</f>
        <v>フランス語</v>
      </c>
      <c r="B1558">
        <f t="shared" si="2078"/>
        <v>18</v>
      </c>
      <c r="C1558">
        <f t="shared" si="2013"/>
        <v>104</v>
      </c>
      <c r="D1558">
        <v>1</v>
      </c>
      <c r="E1558" t="str">
        <f>VLOOKUP(D1558,name!A:B,2,1)</f>
        <v>Navigator</v>
      </c>
      <c r="F1558" t="str">
        <f>"とても良くできました。レッスン"&amp;B1558&amp;"はこれで終了です。"</f>
        <v>とても良くできました。レッスン18はこれで終了です。</v>
      </c>
      <c r="G1558" t="str">
        <f t="shared" ref="G1558" si="2079">IF(B1558&lt;&gt;B1559,"e",IF(D1558=0,"q","a"))</f>
        <v>e</v>
      </c>
      <c r="H1558" t="str">
        <f>VLOOKUP(D1558,name!A:C,3,1)</f>
        <v>assets/icons/image014.png</v>
      </c>
      <c r="I1558" t="s">
        <v>463</v>
      </c>
    </row>
    <row r="1559" spans="1:12" x14ac:dyDescent="0.15">
      <c r="A1559" t="str">
        <f>A1558</f>
        <v>フランス語</v>
      </c>
      <c r="B1559">
        <f>B1558+1</f>
        <v>19</v>
      </c>
      <c r="C1559">
        <v>1</v>
      </c>
      <c r="D1559">
        <v>1</v>
      </c>
      <c r="E1559" t="str">
        <f>VLOOKUP(D1559,name!A:B,2,1)</f>
        <v>Navigator</v>
      </c>
      <c r="F1559" t="s">
        <v>853</v>
      </c>
      <c r="G1559" t="str">
        <f>IF(B1559&lt;&gt;B1560,"e",IF(D1559=0,"q","a"))</f>
        <v>a</v>
      </c>
      <c r="H1559" t="str">
        <f>VLOOKUP(D1559,name!A:C,3,1)</f>
        <v>assets/icons/image014.png</v>
      </c>
      <c r="I1559" t="str">
        <f>IF(A1559="","",VLOOKUP(A1559,lng!A:B,2,0))</f>
        <v>fr-FR</v>
      </c>
    </row>
    <row r="1560" spans="1:12" x14ac:dyDescent="0.15">
      <c r="A1560" t="str">
        <f t="shared" ref="A1560:B1575" si="2080">A1559</f>
        <v>フランス語</v>
      </c>
      <c r="B1560">
        <f>B1559</f>
        <v>19</v>
      </c>
      <c r="C1560">
        <f>C1559+1</f>
        <v>2</v>
      </c>
      <c r="D1560">
        <v>1</v>
      </c>
      <c r="E1560" t="str">
        <f>VLOOKUP(D1560,name!A:B,2,1)</f>
        <v>Navigator</v>
      </c>
      <c r="F1560" t="str">
        <f>"レッスン"&amp;B1560</f>
        <v>レッスン19</v>
      </c>
      <c r="G1560" t="str">
        <f>IF(B1560&lt;&gt;B1561,"e",IF(D1560=0,"q","a"))</f>
        <v>a</v>
      </c>
      <c r="H1560" t="str">
        <f>VLOOKUP(D1560,name!A:C,3,1)</f>
        <v>assets/icons/image014.png</v>
      </c>
      <c r="I1560" t="s">
        <v>463</v>
      </c>
    </row>
    <row r="1561" spans="1:12" ht="40.5" x14ac:dyDescent="0.15">
      <c r="A1561" t="str">
        <f t="shared" si="2080"/>
        <v>フランス語</v>
      </c>
      <c r="B1561">
        <f t="shared" si="2080"/>
        <v>19</v>
      </c>
      <c r="C1561">
        <f t="shared" ref="C1561:C1624" si="2081">C1560+1</f>
        <v>3</v>
      </c>
      <c r="D1561">
        <v>1</v>
      </c>
      <c r="E1561" t="str">
        <f>VLOOKUP(D1561,name!A:B,2,1)</f>
        <v>Navigator</v>
      </c>
      <c r="F1561" s="1" t="str">
        <f>"まずは対話文を流します。その後に、日本語と"&amp;A1561&amp;"を一文ずつ流すので"&amp;A1561&amp;"を真似して下さい。最後に日本語のみを流すので、"&amp;A1561&amp;"で答えてください。"</f>
        <v>まずは対話文を流します。その後に、日本語とフランス語を一文ずつ流すのでフランス語を真似して下さい。最後に日本語のみを流すので、フランス語で答えてください。</v>
      </c>
      <c r="G1561" t="str">
        <f t="shared" ref="G1561:G1624" si="2082">IF(B1561&lt;&gt;B1562,"e",IF(D1561=0,"q","a"))</f>
        <v>a</v>
      </c>
      <c r="H1561" t="str">
        <f>VLOOKUP(D1561,name!A:C,3,1)</f>
        <v>assets/icons/image014.png</v>
      </c>
      <c r="I1561" t="s">
        <v>463</v>
      </c>
      <c r="L1561" s="1"/>
    </row>
    <row r="1562" spans="1:12" x14ac:dyDescent="0.15">
      <c r="A1562" t="str">
        <f t="shared" si="2080"/>
        <v>フランス語</v>
      </c>
      <c r="B1562">
        <f t="shared" si="2080"/>
        <v>19</v>
      </c>
      <c r="C1562">
        <f t="shared" si="2081"/>
        <v>4</v>
      </c>
      <c r="D1562">
        <f>D1563</f>
        <v>6</v>
      </c>
      <c r="E1562" t="str">
        <f>VLOOKUP(D1562,name!A:B,2,1)</f>
        <v>Céline</v>
      </c>
      <c r="F1562" t="s">
        <v>863</v>
      </c>
      <c r="G1562" t="str">
        <f t="shared" si="2082"/>
        <v>a</v>
      </c>
      <c r="H1562" t="str">
        <f>VLOOKUP(D1562,name!A:C,3,1)</f>
        <v>assets/icons/image078.png</v>
      </c>
      <c r="I1562" t="s">
        <v>463</v>
      </c>
    </row>
    <row r="1563" spans="1:12" x14ac:dyDescent="0.15">
      <c r="A1563" t="str">
        <f t="shared" si="2080"/>
        <v>フランス語</v>
      </c>
      <c r="B1563">
        <f t="shared" si="2080"/>
        <v>19</v>
      </c>
      <c r="C1563">
        <f t="shared" si="2081"/>
        <v>5</v>
      </c>
      <c r="D1563">
        <v>6</v>
      </c>
      <c r="E1563" t="str">
        <f>VLOOKUP(D1563,name!A:B,2,1)</f>
        <v>Céline</v>
      </c>
      <c r="F1563" t="s">
        <v>854</v>
      </c>
      <c r="G1563" t="str">
        <f t="shared" si="2082"/>
        <v>a</v>
      </c>
      <c r="H1563" t="str">
        <f>VLOOKUP(D1563,name!A:C,3,1)</f>
        <v>assets/icons/image078.png</v>
      </c>
      <c r="I1563" t="str">
        <f>IF(A1563="","",VLOOKUP(A1563,lng!A:B,2,0))</f>
        <v>fr-FR</v>
      </c>
    </row>
    <row r="1564" spans="1:12" x14ac:dyDescent="0.15">
      <c r="A1564" t="str">
        <f t="shared" si="2080"/>
        <v>フランス語</v>
      </c>
      <c r="B1564">
        <f t="shared" si="2080"/>
        <v>19</v>
      </c>
      <c r="C1564">
        <f t="shared" si="2081"/>
        <v>6</v>
      </c>
      <c r="D1564">
        <f t="shared" ref="D1564:D1578" si="2083">D1565</f>
        <v>7</v>
      </c>
      <c r="E1564" t="str">
        <f>VLOOKUP(D1564,name!A:B,2,1)</f>
        <v>Luigi</v>
      </c>
      <c r="F1564" t="s">
        <v>865</v>
      </c>
      <c r="G1564" t="str">
        <f t="shared" si="2082"/>
        <v>a</v>
      </c>
      <c r="H1564" t="str">
        <f>VLOOKUP(D1564,name!A:C,3,1)</f>
        <v>assets/icons/image023.png</v>
      </c>
      <c r="I1564" t="s">
        <v>463</v>
      </c>
    </row>
    <row r="1565" spans="1:12" x14ac:dyDescent="0.15">
      <c r="A1565" t="str">
        <f t="shared" si="2080"/>
        <v>フランス語</v>
      </c>
      <c r="B1565">
        <f t="shared" si="2080"/>
        <v>19</v>
      </c>
      <c r="C1565">
        <f t="shared" si="2081"/>
        <v>7</v>
      </c>
      <c r="D1565">
        <v>7</v>
      </c>
      <c r="E1565" t="str">
        <f>VLOOKUP(D1565,name!A:B,2,1)</f>
        <v>Luigi</v>
      </c>
      <c r="F1565" t="s">
        <v>855</v>
      </c>
      <c r="G1565" t="str">
        <f t="shared" si="2082"/>
        <v>a</v>
      </c>
      <c r="H1565" t="str">
        <f>VLOOKUP(D1565,name!A:C,3,1)</f>
        <v>assets/icons/image023.png</v>
      </c>
      <c r="I1565" t="str">
        <f>IF(A1565="","",VLOOKUP(A1565,lng!A:B,2,0))</f>
        <v>fr-FR</v>
      </c>
    </row>
    <row r="1566" spans="1:12" x14ac:dyDescent="0.15">
      <c r="A1566" t="str">
        <f t="shared" si="2080"/>
        <v>フランス語</v>
      </c>
      <c r="B1566">
        <f t="shared" si="2080"/>
        <v>19</v>
      </c>
      <c r="C1566">
        <f t="shared" si="2081"/>
        <v>8</v>
      </c>
      <c r="D1566">
        <f t="shared" si="2083"/>
        <v>5</v>
      </c>
      <c r="E1566" t="str">
        <f>VLOOKUP(D1566,name!A:B,2,1)</f>
        <v>Minako</v>
      </c>
      <c r="F1566" t="s">
        <v>864</v>
      </c>
      <c r="G1566" t="str">
        <f t="shared" si="2082"/>
        <v>a</v>
      </c>
      <c r="H1566" t="str">
        <f>VLOOKUP(D1566,name!A:C,3,1)</f>
        <v>assets/icons/image086.png</v>
      </c>
      <c r="I1566" t="s">
        <v>463</v>
      </c>
    </row>
    <row r="1567" spans="1:12" x14ac:dyDescent="0.15">
      <c r="A1567" t="str">
        <f t="shared" si="2080"/>
        <v>フランス語</v>
      </c>
      <c r="B1567">
        <f t="shared" si="2080"/>
        <v>19</v>
      </c>
      <c r="C1567">
        <f t="shared" si="2081"/>
        <v>9</v>
      </c>
      <c r="D1567">
        <v>5</v>
      </c>
      <c r="E1567" t="str">
        <f>VLOOKUP(D1567,name!A:B,2,1)</f>
        <v>Minako</v>
      </c>
      <c r="F1567" t="s">
        <v>856</v>
      </c>
      <c r="G1567" t="str">
        <f t="shared" si="2082"/>
        <v>a</v>
      </c>
      <c r="H1567" t="str">
        <f>VLOOKUP(D1567,name!A:C,3,1)</f>
        <v>assets/icons/image086.png</v>
      </c>
      <c r="I1567" t="str">
        <f>IF(A1567="","",VLOOKUP(A1567,lng!A:B,2,0))</f>
        <v>fr-FR</v>
      </c>
    </row>
    <row r="1568" spans="1:12" x14ac:dyDescent="0.15">
      <c r="A1568" t="str">
        <f t="shared" si="2080"/>
        <v>フランス語</v>
      </c>
      <c r="B1568">
        <f t="shared" si="2080"/>
        <v>19</v>
      </c>
      <c r="C1568">
        <f t="shared" si="2081"/>
        <v>10</v>
      </c>
      <c r="D1568">
        <f t="shared" si="2083"/>
        <v>7</v>
      </c>
      <c r="E1568" t="str">
        <f>VLOOKUP(D1568,name!A:B,2,1)</f>
        <v>Luigi</v>
      </c>
      <c r="F1568" t="s">
        <v>866</v>
      </c>
      <c r="G1568" t="str">
        <f t="shared" si="2082"/>
        <v>a</v>
      </c>
      <c r="H1568" t="str">
        <f>VLOOKUP(D1568,name!A:C,3,1)</f>
        <v>assets/icons/image023.png</v>
      </c>
      <c r="I1568" t="s">
        <v>463</v>
      </c>
    </row>
    <row r="1569" spans="1:9" x14ac:dyDescent="0.15">
      <c r="A1569" t="str">
        <f t="shared" si="2080"/>
        <v>フランス語</v>
      </c>
      <c r="B1569">
        <f t="shared" si="2080"/>
        <v>19</v>
      </c>
      <c r="C1569">
        <f t="shared" si="2081"/>
        <v>11</v>
      </c>
      <c r="D1569">
        <v>7</v>
      </c>
      <c r="E1569" t="str">
        <f>VLOOKUP(D1569,name!A:B,2,1)</f>
        <v>Luigi</v>
      </c>
      <c r="F1569" t="s">
        <v>857</v>
      </c>
      <c r="G1569" t="str">
        <f t="shared" si="2082"/>
        <v>a</v>
      </c>
      <c r="H1569" t="str">
        <f>VLOOKUP(D1569,name!A:C,3,1)</f>
        <v>assets/icons/image023.png</v>
      </c>
      <c r="I1569" t="str">
        <f>IF(A1569="","",VLOOKUP(A1569,lng!A:B,2,0))</f>
        <v>fr-FR</v>
      </c>
    </row>
    <row r="1570" spans="1:9" x14ac:dyDescent="0.15">
      <c r="A1570" t="str">
        <f t="shared" si="2080"/>
        <v>フランス語</v>
      </c>
      <c r="B1570">
        <f t="shared" si="2080"/>
        <v>19</v>
      </c>
      <c r="C1570">
        <f t="shared" si="2081"/>
        <v>12</v>
      </c>
      <c r="D1570">
        <f t="shared" si="2083"/>
        <v>6</v>
      </c>
      <c r="E1570" t="str">
        <f>VLOOKUP(D1570,name!A:B,2,1)</f>
        <v>Céline</v>
      </c>
      <c r="F1570" t="s">
        <v>867</v>
      </c>
      <c r="G1570" t="str">
        <f t="shared" si="2082"/>
        <v>a</v>
      </c>
      <c r="H1570" t="str">
        <f>VLOOKUP(D1570,name!A:C,3,1)</f>
        <v>assets/icons/image078.png</v>
      </c>
      <c r="I1570" t="s">
        <v>463</v>
      </c>
    </row>
    <row r="1571" spans="1:9" x14ac:dyDescent="0.15">
      <c r="A1571" t="str">
        <f t="shared" si="2080"/>
        <v>フランス語</v>
      </c>
      <c r="B1571">
        <f t="shared" si="2080"/>
        <v>19</v>
      </c>
      <c r="C1571">
        <f t="shared" si="2081"/>
        <v>13</v>
      </c>
      <c r="D1571">
        <v>6</v>
      </c>
      <c r="E1571" t="str">
        <f>VLOOKUP(D1571,name!A:B,2,1)</f>
        <v>Céline</v>
      </c>
      <c r="F1571" t="s">
        <v>858</v>
      </c>
      <c r="G1571" t="str">
        <f t="shared" si="2082"/>
        <v>a</v>
      </c>
      <c r="H1571" t="str">
        <f>VLOOKUP(D1571,name!A:C,3,1)</f>
        <v>assets/icons/image078.png</v>
      </c>
      <c r="I1571" t="str">
        <f>IF(A1571="","",VLOOKUP(A1571,lng!A:B,2,0))</f>
        <v>fr-FR</v>
      </c>
    </row>
    <row r="1572" spans="1:9" x14ac:dyDescent="0.15">
      <c r="A1572" t="str">
        <f t="shared" si="2080"/>
        <v>フランス語</v>
      </c>
      <c r="B1572">
        <f t="shared" si="2080"/>
        <v>19</v>
      </c>
      <c r="C1572">
        <f t="shared" si="2081"/>
        <v>14</v>
      </c>
      <c r="D1572">
        <f t="shared" si="2083"/>
        <v>7</v>
      </c>
      <c r="E1572" t="str">
        <f>VLOOKUP(D1572,name!A:B,2,1)</f>
        <v>Luigi</v>
      </c>
      <c r="F1572" t="s">
        <v>868</v>
      </c>
      <c r="G1572" t="str">
        <f t="shared" si="2082"/>
        <v>a</v>
      </c>
      <c r="H1572" t="str">
        <f>VLOOKUP(D1572,name!A:C,3,1)</f>
        <v>assets/icons/image023.png</v>
      </c>
      <c r="I1572" t="s">
        <v>463</v>
      </c>
    </row>
    <row r="1573" spans="1:9" x14ac:dyDescent="0.15">
      <c r="A1573" t="str">
        <f t="shared" si="2080"/>
        <v>フランス語</v>
      </c>
      <c r="B1573">
        <f t="shared" si="2080"/>
        <v>19</v>
      </c>
      <c r="C1573">
        <f t="shared" si="2081"/>
        <v>15</v>
      </c>
      <c r="D1573">
        <v>7</v>
      </c>
      <c r="E1573" t="str">
        <f>VLOOKUP(D1573,name!A:B,2,1)</f>
        <v>Luigi</v>
      </c>
      <c r="F1573" t="s">
        <v>859</v>
      </c>
      <c r="G1573" t="str">
        <f t="shared" si="2082"/>
        <v>a</v>
      </c>
      <c r="H1573" t="str">
        <f>VLOOKUP(D1573,name!A:C,3,1)</f>
        <v>assets/icons/image023.png</v>
      </c>
      <c r="I1573" t="str">
        <f>IF(A1573="","",VLOOKUP(A1573,lng!A:B,2,0))</f>
        <v>fr-FR</v>
      </c>
    </row>
    <row r="1574" spans="1:9" x14ac:dyDescent="0.15">
      <c r="A1574" t="str">
        <f t="shared" si="2080"/>
        <v>フランス語</v>
      </c>
      <c r="B1574">
        <f t="shared" si="2080"/>
        <v>19</v>
      </c>
      <c r="C1574">
        <f t="shared" si="2081"/>
        <v>16</v>
      </c>
      <c r="D1574">
        <f t="shared" si="2083"/>
        <v>6</v>
      </c>
      <c r="E1574" t="str">
        <f>VLOOKUP(D1574,name!A:B,2,1)</f>
        <v>Céline</v>
      </c>
      <c r="F1574" t="s">
        <v>869</v>
      </c>
      <c r="G1574" t="str">
        <f t="shared" si="2082"/>
        <v>a</v>
      </c>
      <c r="H1574" t="str">
        <f>VLOOKUP(D1574,name!A:C,3,1)</f>
        <v>assets/icons/image078.png</v>
      </c>
      <c r="I1574" t="s">
        <v>463</v>
      </c>
    </row>
    <row r="1575" spans="1:9" x14ac:dyDescent="0.15">
      <c r="A1575" t="str">
        <f t="shared" si="2080"/>
        <v>フランス語</v>
      </c>
      <c r="B1575">
        <f t="shared" si="2080"/>
        <v>19</v>
      </c>
      <c r="C1575">
        <f t="shared" si="2081"/>
        <v>17</v>
      </c>
      <c r="D1575">
        <f t="shared" si="2083"/>
        <v>6</v>
      </c>
      <c r="E1575" t="str">
        <f>VLOOKUP(D1575,name!A:B,2,1)</f>
        <v>Céline</v>
      </c>
      <c r="F1575" t="s">
        <v>860</v>
      </c>
      <c r="G1575" t="str">
        <f t="shared" si="2082"/>
        <v>a</v>
      </c>
      <c r="H1575" t="str">
        <f>VLOOKUP(D1575,name!A:C,3,1)</f>
        <v>assets/icons/image078.png</v>
      </c>
      <c r="I1575" t="str">
        <f>IF(A1575="","",VLOOKUP(A1575,lng!A:B,2,0))</f>
        <v>fr-FR</v>
      </c>
    </row>
    <row r="1576" spans="1:9" x14ac:dyDescent="0.15">
      <c r="A1576" t="str">
        <f t="shared" ref="A1576:B1576" si="2084">A1575</f>
        <v>フランス語</v>
      </c>
      <c r="B1576">
        <f t="shared" si="2084"/>
        <v>19</v>
      </c>
      <c r="C1576">
        <f t="shared" si="2081"/>
        <v>18</v>
      </c>
      <c r="D1576">
        <f t="shared" si="2083"/>
        <v>6</v>
      </c>
      <c r="E1576" t="str">
        <f>VLOOKUP(D1576,name!A:B,2,1)</f>
        <v>Céline</v>
      </c>
      <c r="F1576" t="s">
        <v>870</v>
      </c>
      <c r="G1576" t="str">
        <f t="shared" si="2082"/>
        <v>a</v>
      </c>
      <c r="H1576" t="str">
        <f>VLOOKUP(D1576,name!A:C,3,1)</f>
        <v>assets/icons/image078.png</v>
      </c>
      <c r="I1576" t="s">
        <v>463</v>
      </c>
    </row>
    <row r="1577" spans="1:9" x14ac:dyDescent="0.15">
      <c r="A1577" t="str">
        <f t="shared" ref="A1577:B1577" si="2085">A1576</f>
        <v>フランス語</v>
      </c>
      <c r="B1577">
        <f t="shared" si="2085"/>
        <v>19</v>
      </c>
      <c r="C1577">
        <f t="shared" si="2081"/>
        <v>19</v>
      </c>
      <c r="D1577">
        <v>6</v>
      </c>
      <c r="E1577" t="str">
        <f>VLOOKUP(D1577,name!A:B,2,1)</f>
        <v>Céline</v>
      </c>
      <c r="F1577" t="s">
        <v>861</v>
      </c>
      <c r="G1577" t="str">
        <f t="shared" si="2082"/>
        <v>a</v>
      </c>
      <c r="H1577" t="str">
        <f>VLOOKUP(D1577,name!A:C,3,1)</f>
        <v>assets/icons/image078.png</v>
      </c>
      <c r="I1577" t="str">
        <f>IF(A1577="","",VLOOKUP(A1577,lng!A:B,2,0))</f>
        <v>fr-FR</v>
      </c>
    </row>
    <row r="1578" spans="1:9" x14ac:dyDescent="0.15">
      <c r="A1578" t="str">
        <f t="shared" ref="A1578:B1578" si="2086">A1577</f>
        <v>フランス語</v>
      </c>
      <c r="B1578">
        <f t="shared" si="2086"/>
        <v>19</v>
      </c>
      <c r="C1578">
        <f t="shared" si="2081"/>
        <v>20</v>
      </c>
      <c r="D1578">
        <f t="shared" si="2083"/>
        <v>5</v>
      </c>
      <c r="E1578" t="str">
        <f>VLOOKUP(D1578,name!A:B,2,1)</f>
        <v>Minako</v>
      </c>
      <c r="F1578" t="s">
        <v>871</v>
      </c>
      <c r="G1578" t="str">
        <f t="shared" si="2082"/>
        <v>a</v>
      </c>
      <c r="H1578" t="str">
        <f>VLOOKUP(D1578,name!A:C,3,1)</f>
        <v>assets/icons/image086.png</v>
      </c>
      <c r="I1578" t="s">
        <v>463</v>
      </c>
    </row>
    <row r="1579" spans="1:9" x14ac:dyDescent="0.15">
      <c r="A1579" t="str">
        <f t="shared" ref="A1579:B1579" si="2087">A1578</f>
        <v>フランス語</v>
      </c>
      <c r="B1579">
        <f t="shared" si="2087"/>
        <v>19</v>
      </c>
      <c r="C1579">
        <f t="shared" si="2081"/>
        <v>21</v>
      </c>
      <c r="D1579">
        <v>5</v>
      </c>
      <c r="E1579" t="str">
        <f>VLOOKUP(D1579,name!A:B,2,1)</f>
        <v>Minako</v>
      </c>
      <c r="F1579" t="s">
        <v>862</v>
      </c>
      <c r="G1579" t="str">
        <f t="shared" si="2082"/>
        <v>a</v>
      </c>
      <c r="H1579" t="str">
        <f>VLOOKUP(D1579,name!A:C,3,1)</f>
        <v>assets/icons/image086.png</v>
      </c>
      <c r="I1579" t="str">
        <f>IF(A1579="","",VLOOKUP(A1579,lng!A:B,2,0))</f>
        <v>fr-FR</v>
      </c>
    </row>
    <row r="1580" spans="1:9" x14ac:dyDescent="0.15">
      <c r="A1580" t="str">
        <f t="shared" ref="A1580:B1580" si="2088">A1579</f>
        <v>フランス語</v>
      </c>
      <c r="B1580">
        <f t="shared" si="2088"/>
        <v>19</v>
      </c>
      <c r="C1580">
        <f t="shared" si="2081"/>
        <v>22</v>
      </c>
      <c r="D1580">
        <v>1</v>
      </c>
      <c r="E1580" t="str">
        <f>VLOOKUP(D1580,name!A:B,2,1)</f>
        <v>Navigator</v>
      </c>
      <c r="F1580" t="str">
        <f>"次の"&amp;A1580&amp;"を真似してね！"</f>
        <v>次のフランス語を真似してね！</v>
      </c>
      <c r="G1580" t="str">
        <f t="shared" si="2082"/>
        <v>a</v>
      </c>
      <c r="H1580" t="str">
        <f>VLOOKUP(D1580,name!A:C,3,1)</f>
        <v>assets/icons/image014.png</v>
      </c>
      <c r="I1580" t="s">
        <v>463</v>
      </c>
    </row>
    <row r="1581" spans="1:9" x14ac:dyDescent="0.15">
      <c r="A1581" t="str">
        <f t="shared" ref="A1581:B1581" si="2089">A1580</f>
        <v>フランス語</v>
      </c>
      <c r="B1581">
        <f t="shared" si="2089"/>
        <v>19</v>
      </c>
      <c r="C1581">
        <f t="shared" si="2081"/>
        <v>23</v>
      </c>
      <c r="D1581">
        <f>D1562</f>
        <v>6</v>
      </c>
      <c r="E1581" t="str">
        <f>VLOOKUP(D1581,name!A:B,2,1)</f>
        <v>Céline</v>
      </c>
      <c r="F1581" t="str">
        <f>F1562</f>
        <v>これが私の新しいワンルームです。</v>
      </c>
      <c r="G1581" t="str">
        <f t="shared" si="2082"/>
        <v>a</v>
      </c>
      <c r="H1581" t="str">
        <f>VLOOKUP(D1581,name!A:C,3,1)</f>
        <v>assets/icons/image078.png</v>
      </c>
      <c r="I1581" t="s">
        <v>463</v>
      </c>
    </row>
    <row r="1582" spans="1:9" x14ac:dyDescent="0.15">
      <c r="A1582" t="str">
        <f t="shared" ref="A1582:B1582" si="2090">A1581</f>
        <v>フランス語</v>
      </c>
      <c r="B1582">
        <f t="shared" si="2090"/>
        <v>19</v>
      </c>
      <c r="C1582">
        <f t="shared" si="2081"/>
        <v>24</v>
      </c>
      <c r="D1582">
        <f>D1563</f>
        <v>6</v>
      </c>
      <c r="E1582" t="str">
        <f>VLOOKUP(D1582,name!A:B,2,1)</f>
        <v>Céline</v>
      </c>
      <c r="F1582" t="str">
        <f>F1563</f>
        <v>Voilà mon nouveau studio.</v>
      </c>
      <c r="G1582" t="str">
        <f t="shared" si="2082"/>
        <v>a</v>
      </c>
      <c r="H1582" t="str">
        <f>VLOOKUP(D1582,name!A:C,3,1)</f>
        <v>assets/icons/image078.png</v>
      </c>
      <c r="I1582" t="str">
        <f>IF(A1582="","",VLOOKUP(A1582,lng!A:B,2,0))</f>
        <v>fr-FR</v>
      </c>
    </row>
    <row r="1583" spans="1:9" x14ac:dyDescent="0.15">
      <c r="A1583" t="str">
        <f t="shared" ref="A1583:B1583" si="2091">A1582</f>
        <v>フランス語</v>
      </c>
      <c r="B1583">
        <f t="shared" si="2091"/>
        <v>19</v>
      </c>
      <c r="C1583">
        <f t="shared" si="2081"/>
        <v>25</v>
      </c>
      <c r="D1583">
        <v>0</v>
      </c>
      <c r="E1583" t="str">
        <f>VLOOKUP(D1583,name!A:B,2,1)</f>
        <v>Player</v>
      </c>
      <c r="F1583" t="str">
        <f>F1563</f>
        <v>Voilà mon nouveau studio.</v>
      </c>
      <c r="G1583" t="str">
        <f t="shared" si="2082"/>
        <v>q</v>
      </c>
      <c r="H1583" t="str">
        <f>VLOOKUP(D1583,name!A:C,3,1)</f>
        <v>assets/icons/image326.png</v>
      </c>
      <c r="I1583" t="str">
        <f>IF(A1583="","",VLOOKUP(A1583,lng!A:B,2,0))</f>
        <v>fr-FR</v>
      </c>
    </row>
    <row r="1584" spans="1:9" x14ac:dyDescent="0.15">
      <c r="A1584" t="str">
        <f t="shared" ref="A1584:B1584" si="2092">A1583</f>
        <v>フランス語</v>
      </c>
      <c r="B1584">
        <f t="shared" si="2092"/>
        <v>19</v>
      </c>
      <c r="C1584">
        <f t="shared" si="2081"/>
        <v>26</v>
      </c>
      <c r="D1584">
        <f>D1564</f>
        <v>7</v>
      </c>
      <c r="E1584" t="str">
        <f>VLOOKUP(D1584,name!A:B,2,1)</f>
        <v>Luigi</v>
      </c>
      <c r="F1584" t="str">
        <f>F1564</f>
        <v>ようやくあなたの家に招待されました。</v>
      </c>
      <c r="G1584" t="str">
        <f t="shared" si="2082"/>
        <v>a</v>
      </c>
      <c r="H1584" t="str">
        <f>VLOOKUP(D1584,name!A:C,3,1)</f>
        <v>assets/icons/image023.png</v>
      </c>
      <c r="I1584" t="s">
        <v>463</v>
      </c>
    </row>
    <row r="1585" spans="1:9" x14ac:dyDescent="0.15">
      <c r="A1585" t="str">
        <f t="shared" ref="A1585:B1585" si="2093">A1584</f>
        <v>フランス語</v>
      </c>
      <c r="B1585">
        <f t="shared" si="2093"/>
        <v>19</v>
      </c>
      <c r="C1585">
        <f t="shared" si="2081"/>
        <v>27</v>
      </c>
      <c r="D1585">
        <f>D1565</f>
        <v>7</v>
      </c>
      <c r="E1585" t="str">
        <f>VLOOKUP(D1585,name!A:B,2,1)</f>
        <v>Luigi</v>
      </c>
      <c r="F1585" t="str">
        <f>F1565</f>
        <v>Nous sommes enfin invités chez toi.</v>
      </c>
      <c r="G1585" t="str">
        <f t="shared" si="2082"/>
        <v>a</v>
      </c>
      <c r="H1585" t="str">
        <f>VLOOKUP(D1585,name!A:C,3,1)</f>
        <v>assets/icons/image023.png</v>
      </c>
      <c r="I1585" t="str">
        <f>IF(A1585="","",VLOOKUP(A1585,lng!A:B,2,0))</f>
        <v>fr-FR</v>
      </c>
    </row>
    <row r="1586" spans="1:9" x14ac:dyDescent="0.15">
      <c r="A1586" t="str">
        <f t="shared" ref="A1586:B1586" si="2094">A1585</f>
        <v>フランス語</v>
      </c>
      <c r="B1586">
        <f t="shared" si="2094"/>
        <v>19</v>
      </c>
      <c r="C1586">
        <f t="shared" si="2081"/>
        <v>28</v>
      </c>
      <c r="D1586">
        <v>0</v>
      </c>
      <c r="E1586" t="str">
        <f>VLOOKUP(D1586,name!A:B,2,1)</f>
        <v>Player</v>
      </c>
      <c r="F1586" t="str">
        <f>F1565</f>
        <v>Nous sommes enfin invités chez toi.</v>
      </c>
      <c r="G1586" t="str">
        <f t="shared" si="2082"/>
        <v>q</v>
      </c>
      <c r="H1586" t="str">
        <f>VLOOKUP(D1586,name!A:C,3,1)</f>
        <v>assets/icons/image326.png</v>
      </c>
      <c r="I1586" t="str">
        <f>IF(A1586="","",VLOOKUP(A1586,lng!A:B,2,0))</f>
        <v>fr-FR</v>
      </c>
    </row>
    <row r="1587" spans="1:9" x14ac:dyDescent="0.15">
      <c r="A1587" t="str">
        <f t="shared" ref="A1587:B1587" si="2095">A1586</f>
        <v>フランス語</v>
      </c>
      <c r="B1587">
        <f t="shared" si="2095"/>
        <v>19</v>
      </c>
      <c r="C1587">
        <f t="shared" si="2081"/>
        <v>29</v>
      </c>
      <c r="D1587">
        <f>D1566</f>
        <v>5</v>
      </c>
      <c r="E1587" t="str">
        <f>VLOOKUP(D1587,name!A:B,2,1)</f>
        <v>Minako</v>
      </c>
      <c r="F1587" t="str">
        <f>F1566</f>
        <v>なんてかわいいのでしょう、猫!</v>
      </c>
      <c r="G1587" t="str">
        <f t="shared" si="2082"/>
        <v>a</v>
      </c>
      <c r="H1587" t="str">
        <f>VLOOKUP(D1587,name!A:C,3,1)</f>
        <v>assets/icons/image086.png</v>
      </c>
      <c r="I1587" t="s">
        <v>463</v>
      </c>
    </row>
    <row r="1588" spans="1:9" x14ac:dyDescent="0.15">
      <c r="A1588" t="str">
        <f t="shared" ref="A1588:B1588" si="2096">A1587</f>
        <v>フランス語</v>
      </c>
      <c r="B1588">
        <f t="shared" si="2096"/>
        <v>19</v>
      </c>
      <c r="C1588">
        <f t="shared" si="2081"/>
        <v>30</v>
      </c>
      <c r="D1588">
        <f>D1567</f>
        <v>5</v>
      </c>
      <c r="E1588" t="str">
        <f>VLOOKUP(D1588,name!A:B,2,1)</f>
        <v>Minako</v>
      </c>
      <c r="F1588" t="str">
        <f>F1567</f>
        <v>Comme il est mignon, le chat!</v>
      </c>
      <c r="G1588" t="str">
        <f t="shared" si="2082"/>
        <v>a</v>
      </c>
      <c r="H1588" t="str">
        <f>VLOOKUP(D1588,name!A:C,3,1)</f>
        <v>assets/icons/image086.png</v>
      </c>
      <c r="I1588" t="str">
        <f>IF(A1588="","",VLOOKUP(A1588,lng!A:B,2,0))</f>
        <v>fr-FR</v>
      </c>
    </row>
    <row r="1589" spans="1:9" x14ac:dyDescent="0.15">
      <c r="A1589" t="str">
        <f t="shared" ref="A1589:B1589" si="2097">A1588</f>
        <v>フランス語</v>
      </c>
      <c r="B1589">
        <f t="shared" si="2097"/>
        <v>19</v>
      </c>
      <c r="C1589">
        <f t="shared" si="2081"/>
        <v>31</v>
      </c>
      <c r="D1589">
        <v>0</v>
      </c>
      <c r="E1589" t="str">
        <f>VLOOKUP(D1589,name!A:B,2,1)</f>
        <v>Player</v>
      </c>
      <c r="F1589" t="str">
        <f>F1567</f>
        <v>Comme il est mignon, le chat!</v>
      </c>
      <c r="G1589" t="str">
        <f t="shared" si="2082"/>
        <v>q</v>
      </c>
      <c r="H1589" t="str">
        <f>VLOOKUP(D1589,name!A:C,3,1)</f>
        <v>assets/icons/image326.png</v>
      </c>
      <c r="I1589" t="str">
        <f>IF(A1589="","",VLOOKUP(A1589,lng!A:B,2,0))</f>
        <v>fr-FR</v>
      </c>
    </row>
    <row r="1590" spans="1:9" x14ac:dyDescent="0.15">
      <c r="A1590" t="str">
        <f t="shared" ref="A1590:B1590" si="2098">A1589</f>
        <v>フランス語</v>
      </c>
      <c r="B1590">
        <f t="shared" si="2098"/>
        <v>19</v>
      </c>
      <c r="C1590">
        <f t="shared" si="2081"/>
        <v>32</v>
      </c>
      <c r="D1590">
        <f>D1568</f>
        <v>7</v>
      </c>
      <c r="E1590" t="str">
        <f>VLOOKUP(D1590,name!A:B,2,1)</f>
        <v>Luigi</v>
      </c>
      <c r="F1590" t="str">
        <f>F1568</f>
        <v>それで、これらはあなたが描いた絵ですか?</v>
      </c>
      <c r="G1590" t="str">
        <f t="shared" si="2082"/>
        <v>a</v>
      </c>
      <c r="H1590" t="str">
        <f>VLOOKUP(D1590,name!A:C,3,1)</f>
        <v>assets/icons/image023.png</v>
      </c>
      <c r="I1590" t="s">
        <v>463</v>
      </c>
    </row>
    <row r="1591" spans="1:9" x14ac:dyDescent="0.15">
      <c r="A1591" t="str">
        <f t="shared" ref="A1591:B1591" si="2099">A1590</f>
        <v>フランス語</v>
      </c>
      <c r="B1591">
        <f t="shared" si="2099"/>
        <v>19</v>
      </c>
      <c r="C1591">
        <f t="shared" si="2081"/>
        <v>33</v>
      </c>
      <c r="D1591">
        <f>D1569</f>
        <v>7</v>
      </c>
      <c r="E1591" t="str">
        <f>VLOOKUP(D1591,name!A:B,2,1)</f>
        <v>Luigi</v>
      </c>
      <c r="F1591" t="str">
        <f>F1569</f>
        <v>Et ce sont des tableaux que tu as peints?</v>
      </c>
      <c r="G1591" t="str">
        <f t="shared" si="2082"/>
        <v>a</v>
      </c>
      <c r="H1591" t="str">
        <f>VLOOKUP(D1591,name!A:C,3,1)</f>
        <v>assets/icons/image023.png</v>
      </c>
      <c r="I1591" t="str">
        <f>IF(A1591="","",VLOOKUP(A1591,lng!A:B,2,0))</f>
        <v>fr-FR</v>
      </c>
    </row>
    <row r="1592" spans="1:9" x14ac:dyDescent="0.15">
      <c r="A1592" t="str">
        <f t="shared" ref="A1592:B1592" si="2100">A1591</f>
        <v>フランス語</v>
      </c>
      <c r="B1592">
        <f t="shared" si="2100"/>
        <v>19</v>
      </c>
      <c r="C1592">
        <f t="shared" si="2081"/>
        <v>34</v>
      </c>
      <c r="D1592">
        <v>0</v>
      </c>
      <c r="E1592" t="str">
        <f>VLOOKUP(D1592,name!A:B,2,1)</f>
        <v>Player</v>
      </c>
      <c r="F1592" t="str">
        <f>F1569</f>
        <v>Et ce sont des tableaux que tu as peints?</v>
      </c>
      <c r="G1592" t="str">
        <f t="shared" si="2082"/>
        <v>q</v>
      </c>
      <c r="H1592" t="str">
        <f>VLOOKUP(D1592,name!A:C,3,1)</f>
        <v>assets/icons/image326.png</v>
      </c>
      <c r="I1592" t="str">
        <f>IF(A1592="","",VLOOKUP(A1592,lng!A:B,2,0))</f>
        <v>fr-FR</v>
      </c>
    </row>
    <row r="1593" spans="1:9" x14ac:dyDescent="0.15">
      <c r="A1593" t="str">
        <f t="shared" ref="A1593:B1593" si="2101">A1592</f>
        <v>フランス語</v>
      </c>
      <c r="B1593">
        <f t="shared" si="2101"/>
        <v>19</v>
      </c>
      <c r="C1593">
        <f t="shared" si="2081"/>
        <v>35</v>
      </c>
      <c r="D1593">
        <f>D1570</f>
        <v>6</v>
      </c>
      <c r="E1593" t="str">
        <f>VLOOKUP(D1593,name!A:B,2,1)</f>
        <v>Céline</v>
      </c>
      <c r="F1593" t="str">
        <f>F1570</f>
        <v>はい</v>
      </c>
      <c r="G1593" t="str">
        <f t="shared" si="2082"/>
        <v>a</v>
      </c>
      <c r="H1593" t="str">
        <f>VLOOKUP(D1593,name!A:C,3,1)</f>
        <v>assets/icons/image078.png</v>
      </c>
      <c r="I1593" t="s">
        <v>463</v>
      </c>
    </row>
    <row r="1594" spans="1:9" x14ac:dyDescent="0.15">
      <c r="A1594" t="str">
        <f t="shared" ref="A1594:B1594" si="2102">A1593</f>
        <v>フランス語</v>
      </c>
      <c r="B1594">
        <f t="shared" si="2102"/>
        <v>19</v>
      </c>
      <c r="C1594">
        <f t="shared" si="2081"/>
        <v>36</v>
      </c>
      <c r="D1594">
        <f>D1571</f>
        <v>6</v>
      </c>
      <c r="E1594" t="str">
        <f>VLOOKUP(D1594,name!A:B,2,1)</f>
        <v>Céline</v>
      </c>
      <c r="F1594" t="str">
        <f>F1571</f>
        <v>Oui.</v>
      </c>
      <c r="G1594" t="str">
        <f t="shared" si="2082"/>
        <v>a</v>
      </c>
      <c r="H1594" t="str">
        <f>VLOOKUP(D1594,name!A:C,3,1)</f>
        <v>assets/icons/image078.png</v>
      </c>
      <c r="I1594" t="str">
        <f>IF(A1594="","",VLOOKUP(A1594,lng!A:B,2,0))</f>
        <v>fr-FR</v>
      </c>
    </row>
    <row r="1595" spans="1:9" x14ac:dyDescent="0.15">
      <c r="A1595" t="str">
        <f t="shared" ref="A1595:B1595" si="2103">A1594</f>
        <v>フランス語</v>
      </c>
      <c r="B1595">
        <f t="shared" si="2103"/>
        <v>19</v>
      </c>
      <c r="C1595">
        <f t="shared" si="2081"/>
        <v>37</v>
      </c>
      <c r="D1595">
        <v>0</v>
      </c>
      <c r="E1595" t="str">
        <f>VLOOKUP(D1595,name!A:B,2,1)</f>
        <v>Player</v>
      </c>
      <c r="F1595" t="str">
        <f>F1571</f>
        <v>Oui.</v>
      </c>
      <c r="G1595" t="str">
        <f t="shared" si="2082"/>
        <v>q</v>
      </c>
      <c r="H1595" t="str">
        <f>VLOOKUP(D1595,name!A:C,3,1)</f>
        <v>assets/icons/image326.png</v>
      </c>
      <c r="I1595" t="str">
        <f>IF(A1595="","",VLOOKUP(A1595,lng!A:B,2,0))</f>
        <v>fr-FR</v>
      </c>
    </row>
    <row r="1596" spans="1:9" x14ac:dyDescent="0.15">
      <c r="A1596" t="str">
        <f t="shared" ref="A1596:B1596" si="2104">A1595</f>
        <v>フランス語</v>
      </c>
      <c r="B1596">
        <f t="shared" si="2104"/>
        <v>19</v>
      </c>
      <c r="C1596">
        <f t="shared" si="2081"/>
        <v>38</v>
      </c>
      <c r="D1596">
        <f>D1572</f>
        <v>7</v>
      </c>
      <c r="E1596" t="str">
        <f>VLOOKUP(D1596,name!A:B,2,1)</f>
        <v>Luigi</v>
      </c>
      <c r="F1596" t="str">
        <f>F1572</f>
        <v>どのように働いていますか?</v>
      </c>
      <c r="G1596" t="str">
        <f t="shared" si="2082"/>
        <v>a</v>
      </c>
      <c r="H1596" t="str">
        <f>VLOOKUP(D1596,name!A:C,3,1)</f>
        <v>assets/icons/image023.png</v>
      </c>
      <c r="I1596" t="s">
        <v>463</v>
      </c>
    </row>
    <row r="1597" spans="1:9" x14ac:dyDescent="0.15">
      <c r="A1597" t="str">
        <f t="shared" ref="A1597:B1597" si="2105">A1596</f>
        <v>フランス語</v>
      </c>
      <c r="B1597">
        <f t="shared" si="2105"/>
        <v>19</v>
      </c>
      <c r="C1597">
        <f t="shared" si="2081"/>
        <v>39</v>
      </c>
      <c r="D1597">
        <f>D1573</f>
        <v>7</v>
      </c>
      <c r="E1597" t="str">
        <f>VLOOKUP(D1597,name!A:B,2,1)</f>
        <v>Luigi</v>
      </c>
      <c r="F1597" t="str">
        <f>F1573</f>
        <v>Tu travailles comment ?</v>
      </c>
      <c r="G1597" t="str">
        <f t="shared" si="2082"/>
        <v>a</v>
      </c>
      <c r="H1597" t="str">
        <f>VLOOKUP(D1597,name!A:C,3,1)</f>
        <v>assets/icons/image023.png</v>
      </c>
      <c r="I1597" t="str">
        <f>IF(A1597="","",VLOOKUP(A1597,lng!A:B,2,0))</f>
        <v>fr-FR</v>
      </c>
    </row>
    <row r="1598" spans="1:9" x14ac:dyDescent="0.15">
      <c r="A1598" t="str">
        <f t="shared" ref="A1598:B1598" si="2106">A1597</f>
        <v>フランス語</v>
      </c>
      <c r="B1598">
        <f t="shared" si="2106"/>
        <v>19</v>
      </c>
      <c r="C1598">
        <f t="shared" si="2081"/>
        <v>40</v>
      </c>
      <c r="D1598">
        <v>0</v>
      </c>
      <c r="E1598" t="str">
        <f>VLOOKUP(D1598,name!A:B,2,1)</f>
        <v>Player</v>
      </c>
      <c r="F1598" t="str">
        <f>F1573</f>
        <v>Tu travailles comment ?</v>
      </c>
      <c r="G1598" t="str">
        <f t="shared" si="2082"/>
        <v>q</v>
      </c>
      <c r="H1598" t="str">
        <f>VLOOKUP(D1598,name!A:C,3,1)</f>
        <v>assets/icons/image326.png</v>
      </c>
      <c r="I1598" t="str">
        <f>IF(A1598="","",VLOOKUP(A1598,lng!A:B,2,0))</f>
        <v>fr-FR</v>
      </c>
    </row>
    <row r="1599" spans="1:9" x14ac:dyDescent="0.15">
      <c r="A1599" t="str">
        <f t="shared" ref="A1599:B1599" si="2107">A1598</f>
        <v>フランス語</v>
      </c>
      <c r="B1599">
        <f t="shared" si="2107"/>
        <v>19</v>
      </c>
      <c r="C1599">
        <f t="shared" si="2081"/>
        <v>41</v>
      </c>
      <c r="D1599">
        <f>D1574</f>
        <v>6</v>
      </c>
      <c r="E1599" t="str">
        <f>VLOOKUP(D1599,name!A:B,2,1)</f>
        <v>Céline</v>
      </c>
      <c r="F1599" t="str">
        <f>F1574</f>
        <v>普段は音楽を聴きながら絵を描いています。</v>
      </c>
      <c r="G1599" t="str">
        <f t="shared" si="2082"/>
        <v>a</v>
      </c>
      <c r="H1599" t="str">
        <f>VLOOKUP(D1599,name!A:C,3,1)</f>
        <v>assets/icons/image078.png</v>
      </c>
      <c r="I1599" t="s">
        <v>463</v>
      </c>
    </row>
    <row r="1600" spans="1:9" x14ac:dyDescent="0.15">
      <c r="A1600" t="str">
        <f t="shared" ref="A1600:B1600" si="2108">A1599</f>
        <v>フランス語</v>
      </c>
      <c r="B1600">
        <f t="shared" si="2108"/>
        <v>19</v>
      </c>
      <c r="C1600">
        <f t="shared" si="2081"/>
        <v>42</v>
      </c>
      <c r="D1600">
        <f>D1575</f>
        <v>6</v>
      </c>
      <c r="E1600" t="str">
        <f>VLOOKUP(D1600,name!A:B,2,1)</f>
        <v>Céline</v>
      </c>
      <c r="F1600" t="str">
        <f>F1575</f>
        <v>D'habitude, je peins en écoutant de la musique.</v>
      </c>
      <c r="G1600" t="str">
        <f t="shared" si="2082"/>
        <v>a</v>
      </c>
      <c r="H1600" t="str">
        <f>VLOOKUP(D1600,name!A:C,3,1)</f>
        <v>assets/icons/image078.png</v>
      </c>
      <c r="I1600" t="str">
        <f>IF(A1600="","",VLOOKUP(A1600,lng!A:B,2,0))</f>
        <v>fr-FR</v>
      </c>
    </row>
    <row r="1601" spans="1:9" x14ac:dyDescent="0.15">
      <c r="A1601" t="str">
        <f t="shared" ref="A1601:B1601" si="2109">A1600</f>
        <v>フランス語</v>
      </c>
      <c r="B1601">
        <f t="shared" si="2109"/>
        <v>19</v>
      </c>
      <c r="C1601">
        <f t="shared" si="2081"/>
        <v>43</v>
      </c>
      <c r="D1601">
        <v>0</v>
      </c>
      <c r="E1601" t="str">
        <f>VLOOKUP(D1601,name!A:B,2,1)</f>
        <v>Player</v>
      </c>
      <c r="F1601" t="str">
        <f>F1575</f>
        <v>D'habitude, je peins en écoutant de la musique.</v>
      </c>
      <c r="G1601" t="str">
        <f t="shared" si="2082"/>
        <v>q</v>
      </c>
      <c r="H1601" t="str">
        <f>VLOOKUP(D1601,name!A:C,3,1)</f>
        <v>assets/icons/image326.png</v>
      </c>
      <c r="I1601" t="str">
        <f>IF(A1601="","",VLOOKUP(A1601,lng!A:B,2,0))</f>
        <v>fr-FR</v>
      </c>
    </row>
    <row r="1602" spans="1:9" x14ac:dyDescent="0.15">
      <c r="A1602" t="str">
        <f t="shared" ref="A1602:B1602" si="2110">A1601</f>
        <v>フランス語</v>
      </c>
      <c r="B1602">
        <f t="shared" si="2110"/>
        <v>19</v>
      </c>
      <c r="C1602">
        <f t="shared" si="2081"/>
        <v>44</v>
      </c>
      <c r="D1602">
        <f>D1576</f>
        <v>6</v>
      </c>
      <c r="E1602" t="str">
        <f>VLOOKUP(D1602,name!A:B,2,1)</f>
        <v>Céline</v>
      </c>
      <c r="F1602" t="str">
        <f>F1576</f>
        <v>私は自分の絵のことだけを考え、それに関係のないことはすべて忘れます。</v>
      </c>
      <c r="G1602" t="str">
        <f t="shared" si="2082"/>
        <v>a</v>
      </c>
      <c r="H1602" t="str">
        <f>VLOOKUP(D1602,name!A:C,3,1)</f>
        <v>assets/icons/image078.png</v>
      </c>
      <c r="I1602" t="s">
        <v>463</v>
      </c>
    </row>
    <row r="1603" spans="1:9" x14ac:dyDescent="0.15">
      <c r="A1603" t="str">
        <f t="shared" ref="A1603:B1603" si="2111">A1602</f>
        <v>フランス語</v>
      </c>
      <c r="B1603">
        <f t="shared" si="2111"/>
        <v>19</v>
      </c>
      <c r="C1603">
        <f t="shared" si="2081"/>
        <v>45</v>
      </c>
      <c r="D1603">
        <f>D1577</f>
        <v>6</v>
      </c>
      <c r="E1603" t="str">
        <f>VLOOKUP(D1603,name!A:B,2,1)</f>
        <v>Céline</v>
      </c>
      <c r="F1603" t="str">
        <f>F1577</f>
        <v>Je ne pense qu'à mon tableau et j'oublie tout ce qui ne le regarde pas.</v>
      </c>
      <c r="G1603" t="str">
        <f t="shared" si="2082"/>
        <v>a</v>
      </c>
      <c r="H1603" t="str">
        <f>VLOOKUP(D1603,name!A:C,3,1)</f>
        <v>assets/icons/image078.png</v>
      </c>
      <c r="I1603" t="str">
        <f>IF(A1603="","",VLOOKUP(A1603,lng!A:B,2,0))</f>
        <v>fr-FR</v>
      </c>
    </row>
    <row r="1604" spans="1:9" x14ac:dyDescent="0.15">
      <c r="A1604" t="str">
        <f t="shared" ref="A1604:B1604" si="2112">A1603</f>
        <v>フランス語</v>
      </c>
      <c r="B1604">
        <f t="shared" si="2112"/>
        <v>19</v>
      </c>
      <c r="C1604">
        <f t="shared" si="2081"/>
        <v>46</v>
      </c>
      <c r="D1604">
        <v>0</v>
      </c>
      <c r="E1604" t="str">
        <f>VLOOKUP(D1604,name!A:B,2,1)</f>
        <v>Player</v>
      </c>
      <c r="F1604" t="str">
        <f>F1577</f>
        <v>Je ne pense qu'à mon tableau et j'oublie tout ce qui ne le regarde pas.</v>
      </c>
      <c r="G1604" t="str">
        <f t="shared" si="2082"/>
        <v>q</v>
      </c>
      <c r="H1604" t="str">
        <f>VLOOKUP(D1604,name!A:C,3,1)</f>
        <v>assets/icons/image326.png</v>
      </c>
      <c r="I1604" t="str">
        <f>IF(A1604="","",VLOOKUP(A1604,lng!A:B,2,0))</f>
        <v>fr-FR</v>
      </c>
    </row>
    <row r="1605" spans="1:9" x14ac:dyDescent="0.15">
      <c r="A1605" t="str">
        <f t="shared" ref="A1605:B1605" si="2113">A1604</f>
        <v>フランス語</v>
      </c>
      <c r="B1605">
        <f t="shared" si="2113"/>
        <v>19</v>
      </c>
      <c r="C1605">
        <f t="shared" si="2081"/>
        <v>47</v>
      </c>
      <c r="D1605">
        <f>D1578</f>
        <v>5</v>
      </c>
      <c r="E1605" t="str">
        <f>VLOOKUP(D1605,name!A:B,2,1)</f>
        <v>Minako</v>
      </c>
      <c r="F1605" t="str">
        <f>F1578</f>
        <v>あなたは真のアーティストです。</v>
      </c>
      <c r="G1605" t="str">
        <f t="shared" si="2082"/>
        <v>a</v>
      </c>
      <c r="H1605" t="str">
        <f>VLOOKUP(D1605,name!A:C,3,1)</f>
        <v>assets/icons/image086.png</v>
      </c>
      <c r="I1605" t="s">
        <v>463</v>
      </c>
    </row>
    <row r="1606" spans="1:9" x14ac:dyDescent="0.15">
      <c r="A1606" t="str">
        <f t="shared" ref="A1606:B1606" si="2114">A1605</f>
        <v>フランス語</v>
      </c>
      <c r="B1606">
        <f t="shared" si="2114"/>
        <v>19</v>
      </c>
      <c r="C1606">
        <f t="shared" si="2081"/>
        <v>48</v>
      </c>
      <c r="D1606">
        <f>D1579</f>
        <v>5</v>
      </c>
      <c r="E1606" t="str">
        <f>VLOOKUP(D1606,name!A:B,2,1)</f>
        <v>Minako</v>
      </c>
      <c r="F1606" t="str">
        <f>F1579</f>
        <v>Tu es une vraie artiste.</v>
      </c>
      <c r="G1606" t="str">
        <f t="shared" si="2082"/>
        <v>a</v>
      </c>
      <c r="H1606" t="str">
        <f>VLOOKUP(D1606,name!A:C,3,1)</f>
        <v>assets/icons/image086.png</v>
      </c>
      <c r="I1606" t="str">
        <f>IF(A1606="","",VLOOKUP(A1606,lng!A:B,2,0))</f>
        <v>fr-FR</v>
      </c>
    </row>
    <row r="1607" spans="1:9" x14ac:dyDescent="0.15">
      <c r="A1607" t="str">
        <f t="shared" ref="A1607:B1607" si="2115">A1606</f>
        <v>フランス語</v>
      </c>
      <c r="B1607">
        <f t="shared" si="2115"/>
        <v>19</v>
      </c>
      <c r="C1607">
        <f t="shared" si="2081"/>
        <v>49</v>
      </c>
      <c r="D1607">
        <v>0</v>
      </c>
      <c r="E1607" t="str">
        <f>VLOOKUP(D1607,name!A:B,2,1)</f>
        <v>Player</v>
      </c>
      <c r="F1607" t="str">
        <f>F1579</f>
        <v>Tu es une vraie artiste.</v>
      </c>
      <c r="G1607" t="str">
        <f t="shared" si="2082"/>
        <v>q</v>
      </c>
      <c r="H1607" t="str">
        <f>VLOOKUP(D1607,name!A:C,3,1)</f>
        <v>assets/icons/image326.png</v>
      </c>
      <c r="I1607" t="str">
        <f>IF(A1607="","",VLOOKUP(A1607,lng!A:B,2,0))</f>
        <v>fr-FR</v>
      </c>
    </row>
    <row r="1608" spans="1:9" x14ac:dyDescent="0.15">
      <c r="A1608" t="str">
        <f t="shared" ref="A1608:B1608" si="2116">A1607</f>
        <v>フランス語</v>
      </c>
      <c r="B1608">
        <f t="shared" si="2116"/>
        <v>19</v>
      </c>
      <c r="C1608">
        <f t="shared" si="2081"/>
        <v>50</v>
      </c>
      <c r="D1608">
        <v>1</v>
      </c>
      <c r="E1608" t="str">
        <f>VLOOKUP(D1608,name!A:B,2,1)</f>
        <v>Navigator</v>
      </c>
      <c r="F1608" t="str">
        <f>"次の日本語を"&amp;A1608&amp;"に訳して答えてね！"</f>
        <v>次の日本語をフランス語に訳して答えてね！</v>
      </c>
      <c r="G1608" t="str">
        <f t="shared" si="2082"/>
        <v>a</v>
      </c>
      <c r="H1608" t="str">
        <f>VLOOKUP(D1608,name!A:C,3,1)</f>
        <v>assets/icons/image014.png</v>
      </c>
      <c r="I1608" t="s">
        <v>463</v>
      </c>
    </row>
    <row r="1609" spans="1:9" x14ac:dyDescent="0.15">
      <c r="A1609" t="str">
        <f t="shared" ref="A1609:B1609" si="2117">A1608</f>
        <v>フランス語</v>
      </c>
      <c r="B1609">
        <f t="shared" si="2117"/>
        <v>19</v>
      </c>
      <c r="C1609">
        <f t="shared" si="2081"/>
        <v>51</v>
      </c>
      <c r="D1609">
        <f>D1562</f>
        <v>6</v>
      </c>
      <c r="E1609" t="str">
        <f>VLOOKUP(D1609,name!A:B,2,1)</f>
        <v>Céline</v>
      </c>
      <c r="F1609" t="str">
        <f>F1562</f>
        <v>これが私の新しいワンルームです。</v>
      </c>
      <c r="G1609" t="str">
        <f t="shared" si="2082"/>
        <v>a</v>
      </c>
      <c r="H1609" t="str">
        <f>VLOOKUP(D1609,name!A:C,3,1)</f>
        <v>assets/icons/image078.png</v>
      </c>
      <c r="I1609" t="s">
        <v>463</v>
      </c>
    </row>
    <row r="1610" spans="1:9" x14ac:dyDescent="0.15">
      <c r="A1610" t="str">
        <f t="shared" ref="A1610:B1610" si="2118">A1609</f>
        <v>フランス語</v>
      </c>
      <c r="B1610">
        <f t="shared" si="2118"/>
        <v>19</v>
      </c>
      <c r="C1610">
        <f t="shared" si="2081"/>
        <v>52</v>
      </c>
      <c r="D1610">
        <v>0</v>
      </c>
      <c r="E1610" t="str">
        <f>VLOOKUP(D1610,name!A:B,2,1)</f>
        <v>Player</v>
      </c>
      <c r="F1610" t="str">
        <f>F1563</f>
        <v>Voilà mon nouveau studio.</v>
      </c>
      <c r="G1610" t="str">
        <f t="shared" si="2082"/>
        <v>q</v>
      </c>
      <c r="H1610" t="str">
        <f>VLOOKUP(D1610,name!A:C,3,1)</f>
        <v>assets/icons/image326.png</v>
      </c>
      <c r="I1610" t="str">
        <f>IF(A1610="","",VLOOKUP(A1610,lng!A:B,2,0))</f>
        <v>fr-FR</v>
      </c>
    </row>
    <row r="1611" spans="1:9" x14ac:dyDescent="0.15">
      <c r="A1611" t="str">
        <f t="shared" ref="A1611:B1611" si="2119">A1610</f>
        <v>フランス語</v>
      </c>
      <c r="B1611">
        <f t="shared" si="2119"/>
        <v>19</v>
      </c>
      <c r="C1611">
        <f t="shared" si="2081"/>
        <v>53</v>
      </c>
      <c r="D1611">
        <f>D1564</f>
        <v>7</v>
      </c>
      <c r="E1611" t="str">
        <f>VLOOKUP(D1611,name!A:B,2,1)</f>
        <v>Luigi</v>
      </c>
      <c r="F1611" t="str">
        <f>F1564</f>
        <v>ようやくあなたの家に招待されました。</v>
      </c>
      <c r="G1611" t="str">
        <f t="shared" si="2082"/>
        <v>a</v>
      </c>
      <c r="H1611" t="str">
        <f>VLOOKUP(D1611,name!A:C,3,1)</f>
        <v>assets/icons/image023.png</v>
      </c>
      <c r="I1611" t="s">
        <v>463</v>
      </c>
    </row>
    <row r="1612" spans="1:9" x14ac:dyDescent="0.15">
      <c r="A1612" t="str">
        <f t="shared" ref="A1612:B1612" si="2120">A1611</f>
        <v>フランス語</v>
      </c>
      <c r="B1612">
        <f t="shared" si="2120"/>
        <v>19</v>
      </c>
      <c r="C1612">
        <f t="shared" si="2081"/>
        <v>54</v>
      </c>
      <c r="D1612">
        <v>0</v>
      </c>
      <c r="E1612" t="str">
        <f>VLOOKUP(D1612,name!A:B,2,1)</f>
        <v>Player</v>
      </c>
      <c r="F1612" t="str">
        <f>F1565</f>
        <v>Nous sommes enfin invités chez toi.</v>
      </c>
      <c r="G1612" t="str">
        <f t="shared" si="2082"/>
        <v>q</v>
      </c>
      <c r="H1612" t="str">
        <f>VLOOKUP(D1612,name!A:C,3,1)</f>
        <v>assets/icons/image326.png</v>
      </c>
      <c r="I1612" t="str">
        <f>IF(A1612="","",VLOOKUP(A1612,lng!A:B,2,0))</f>
        <v>fr-FR</v>
      </c>
    </row>
    <row r="1613" spans="1:9" x14ac:dyDescent="0.15">
      <c r="A1613" t="str">
        <f t="shared" ref="A1613:B1613" si="2121">A1612</f>
        <v>フランス語</v>
      </c>
      <c r="B1613">
        <f t="shared" si="2121"/>
        <v>19</v>
      </c>
      <c r="C1613">
        <f t="shared" si="2081"/>
        <v>55</v>
      </c>
      <c r="D1613">
        <f>D1566</f>
        <v>5</v>
      </c>
      <c r="E1613" t="str">
        <f>VLOOKUP(D1613,name!A:B,2,1)</f>
        <v>Minako</v>
      </c>
      <c r="F1613" t="str">
        <f>F1566</f>
        <v>なんてかわいいのでしょう、猫!</v>
      </c>
      <c r="G1613" t="str">
        <f t="shared" si="2082"/>
        <v>a</v>
      </c>
      <c r="H1613" t="str">
        <f>VLOOKUP(D1613,name!A:C,3,1)</f>
        <v>assets/icons/image086.png</v>
      </c>
      <c r="I1613" t="s">
        <v>463</v>
      </c>
    </row>
    <row r="1614" spans="1:9" x14ac:dyDescent="0.15">
      <c r="A1614" t="str">
        <f t="shared" ref="A1614:B1614" si="2122">A1613</f>
        <v>フランス語</v>
      </c>
      <c r="B1614">
        <f t="shared" si="2122"/>
        <v>19</v>
      </c>
      <c r="C1614">
        <f t="shared" si="2081"/>
        <v>56</v>
      </c>
      <c r="D1614">
        <v>0</v>
      </c>
      <c r="E1614" t="str">
        <f>VLOOKUP(D1614,name!A:B,2,1)</f>
        <v>Player</v>
      </c>
      <c r="F1614" t="str">
        <f>F1567</f>
        <v>Comme il est mignon, le chat!</v>
      </c>
      <c r="G1614" t="str">
        <f t="shared" si="2082"/>
        <v>q</v>
      </c>
      <c r="H1614" t="str">
        <f>VLOOKUP(D1614,name!A:C,3,1)</f>
        <v>assets/icons/image326.png</v>
      </c>
      <c r="I1614" t="str">
        <f>IF(A1614="","",VLOOKUP(A1614,lng!A:B,2,0))</f>
        <v>fr-FR</v>
      </c>
    </row>
    <row r="1615" spans="1:9" x14ac:dyDescent="0.15">
      <c r="A1615" t="str">
        <f t="shared" ref="A1615:B1615" si="2123">A1614</f>
        <v>フランス語</v>
      </c>
      <c r="B1615">
        <f t="shared" si="2123"/>
        <v>19</v>
      </c>
      <c r="C1615">
        <f t="shared" si="2081"/>
        <v>57</v>
      </c>
      <c r="D1615">
        <f>D1568</f>
        <v>7</v>
      </c>
      <c r="E1615" t="str">
        <f>VLOOKUP(D1615,name!A:B,2,1)</f>
        <v>Luigi</v>
      </c>
      <c r="F1615" t="str">
        <f>F1568</f>
        <v>それで、これらはあなたが描いた絵ですか?</v>
      </c>
      <c r="G1615" t="str">
        <f t="shared" si="2082"/>
        <v>a</v>
      </c>
      <c r="H1615" t="str">
        <f>VLOOKUP(D1615,name!A:C,3,1)</f>
        <v>assets/icons/image023.png</v>
      </c>
      <c r="I1615" t="s">
        <v>463</v>
      </c>
    </row>
    <row r="1616" spans="1:9" x14ac:dyDescent="0.15">
      <c r="A1616" t="str">
        <f t="shared" ref="A1616:B1616" si="2124">A1615</f>
        <v>フランス語</v>
      </c>
      <c r="B1616">
        <f t="shared" si="2124"/>
        <v>19</v>
      </c>
      <c r="C1616">
        <f t="shared" si="2081"/>
        <v>58</v>
      </c>
      <c r="D1616">
        <v>0</v>
      </c>
      <c r="E1616" t="str">
        <f>VLOOKUP(D1616,name!A:B,2,1)</f>
        <v>Player</v>
      </c>
      <c r="F1616" t="str">
        <f>F1569</f>
        <v>Et ce sont des tableaux que tu as peints?</v>
      </c>
      <c r="G1616" t="str">
        <f t="shared" si="2082"/>
        <v>q</v>
      </c>
      <c r="H1616" t="str">
        <f>VLOOKUP(D1616,name!A:C,3,1)</f>
        <v>assets/icons/image326.png</v>
      </c>
      <c r="I1616" t="str">
        <f>IF(A1616="","",VLOOKUP(A1616,lng!A:B,2,0))</f>
        <v>fr-FR</v>
      </c>
    </row>
    <row r="1617" spans="1:12" x14ac:dyDescent="0.15">
      <c r="A1617" t="str">
        <f t="shared" ref="A1617:B1617" si="2125">A1616</f>
        <v>フランス語</v>
      </c>
      <c r="B1617">
        <f t="shared" si="2125"/>
        <v>19</v>
      </c>
      <c r="C1617">
        <f t="shared" si="2081"/>
        <v>59</v>
      </c>
      <c r="D1617">
        <f>D1570</f>
        <v>6</v>
      </c>
      <c r="E1617" t="str">
        <f>VLOOKUP(D1617,name!A:B,2,1)</f>
        <v>Céline</v>
      </c>
      <c r="F1617" t="str">
        <f>F1570</f>
        <v>はい</v>
      </c>
      <c r="G1617" t="str">
        <f t="shared" si="2082"/>
        <v>a</v>
      </c>
      <c r="H1617" t="str">
        <f>VLOOKUP(D1617,name!A:C,3,1)</f>
        <v>assets/icons/image078.png</v>
      </c>
      <c r="I1617" t="s">
        <v>463</v>
      </c>
    </row>
    <row r="1618" spans="1:12" x14ac:dyDescent="0.15">
      <c r="A1618" t="str">
        <f t="shared" ref="A1618:B1618" si="2126">A1617</f>
        <v>フランス語</v>
      </c>
      <c r="B1618">
        <f t="shared" si="2126"/>
        <v>19</v>
      </c>
      <c r="C1618">
        <f t="shared" si="2081"/>
        <v>60</v>
      </c>
      <c r="D1618">
        <v>0</v>
      </c>
      <c r="E1618" t="str">
        <f>VLOOKUP(D1618,name!A:B,2,1)</f>
        <v>Player</v>
      </c>
      <c r="F1618" t="str">
        <f>F1571</f>
        <v>Oui.</v>
      </c>
      <c r="G1618" t="str">
        <f t="shared" si="2082"/>
        <v>q</v>
      </c>
      <c r="H1618" t="str">
        <f>VLOOKUP(D1618,name!A:C,3,1)</f>
        <v>assets/icons/image326.png</v>
      </c>
      <c r="I1618" t="str">
        <f>IF(A1618="","",VLOOKUP(A1618,lng!A:B,2,0))</f>
        <v>fr-FR</v>
      </c>
    </row>
    <row r="1619" spans="1:12" x14ac:dyDescent="0.15">
      <c r="A1619" t="str">
        <f t="shared" ref="A1619:B1619" si="2127">A1618</f>
        <v>フランス語</v>
      </c>
      <c r="B1619">
        <f t="shared" si="2127"/>
        <v>19</v>
      </c>
      <c r="C1619">
        <f t="shared" si="2081"/>
        <v>61</v>
      </c>
      <c r="D1619">
        <f>D1572</f>
        <v>7</v>
      </c>
      <c r="E1619" t="str">
        <f>VLOOKUP(D1619,name!A:B,2,1)</f>
        <v>Luigi</v>
      </c>
      <c r="F1619" t="str">
        <f>F1572</f>
        <v>どのように働いていますか?</v>
      </c>
      <c r="G1619" t="str">
        <f t="shared" si="2082"/>
        <v>a</v>
      </c>
      <c r="H1619" t="str">
        <f>VLOOKUP(D1619,name!A:C,3,1)</f>
        <v>assets/icons/image023.png</v>
      </c>
      <c r="I1619" t="s">
        <v>463</v>
      </c>
    </row>
    <row r="1620" spans="1:12" x14ac:dyDescent="0.15">
      <c r="A1620" t="str">
        <f t="shared" ref="A1620:B1620" si="2128">A1619</f>
        <v>フランス語</v>
      </c>
      <c r="B1620">
        <f t="shared" si="2128"/>
        <v>19</v>
      </c>
      <c r="C1620">
        <f t="shared" si="2081"/>
        <v>62</v>
      </c>
      <c r="D1620">
        <v>0</v>
      </c>
      <c r="E1620" t="str">
        <f>VLOOKUP(D1620,name!A:B,2,1)</f>
        <v>Player</v>
      </c>
      <c r="F1620" t="str">
        <f>F1573</f>
        <v>Tu travailles comment ?</v>
      </c>
      <c r="G1620" t="str">
        <f t="shared" si="2082"/>
        <v>q</v>
      </c>
      <c r="H1620" t="str">
        <f>VLOOKUP(D1620,name!A:C,3,1)</f>
        <v>assets/icons/image326.png</v>
      </c>
      <c r="I1620" t="str">
        <f>IF(A1620="","",VLOOKUP(A1620,lng!A:B,2,0))</f>
        <v>fr-FR</v>
      </c>
    </row>
    <row r="1621" spans="1:12" x14ac:dyDescent="0.15">
      <c r="A1621" t="str">
        <f t="shared" ref="A1621:B1621" si="2129">A1620</f>
        <v>フランス語</v>
      </c>
      <c r="B1621">
        <f t="shared" si="2129"/>
        <v>19</v>
      </c>
      <c r="C1621">
        <f t="shared" si="2081"/>
        <v>63</v>
      </c>
      <c r="D1621">
        <f>D1574</f>
        <v>6</v>
      </c>
      <c r="E1621" t="str">
        <f>VLOOKUP(D1621,name!A:B,2,1)</f>
        <v>Céline</v>
      </c>
      <c r="F1621" t="str">
        <f>F1574</f>
        <v>普段は音楽を聴きながら絵を描いています。</v>
      </c>
      <c r="G1621" t="str">
        <f t="shared" si="2082"/>
        <v>a</v>
      </c>
      <c r="H1621" t="str">
        <f>VLOOKUP(D1621,name!A:C,3,1)</f>
        <v>assets/icons/image078.png</v>
      </c>
      <c r="I1621" t="s">
        <v>463</v>
      </c>
    </row>
    <row r="1622" spans="1:12" x14ac:dyDescent="0.15">
      <c r="A1622" t="str">
        <f t="shared" ref="A1622:B1622" si="2130">A1621</f>
        <v>フランス語</v>
      </c>
      <c r="B1622">
        <f t="shared" si="2130"/>
        <v>19</v>
      </c>
      <c r="C1622">
        <f t="shared" si="2081"/>
        <v>64</v>
      </c>
      <c r="D1622">
        <v>0</v>
      </c>
      <c r="E1622" t="str">
        <f>VLOOKUP(D1622,name!A:B,2,1)</f>
        <v>Player</v>
      </c>
      <c r="F1622" t="str">
        <f>F1575</f>
        <v>D'habitude, je peins en écoutant de la musique.</v>
      </c>
      <c r="G1622" t="str">
        <f t="shared" si="2082"/>
        <v>q</v>
      </c>
      <c r="H1622" t="str">
        <f>VLOOKUP(D1622,name!A:C,3,1)</f>
        <v>assets/icons/image326.png</v>
      </c>
      <c r="I1622" t="str">
        <f>IF(A1622="","",VLOOKUP(A1622,lng!A:B,2,0))</f>
        <v>fr-FR</v>
      </c>
    </row>
    <row r="1623" spans="1:12" x14ac:dyDescent="0.15">
      <c r="A1623" t="str">
        <f t="shared" ref="A1623:B1623" si="2131">A1622</f>
        <v>フランス語</v>
      </c>
      <c r="B1623">
        <f t="shared" si="2131"/>
        <v>19</v>
      </c>
      <c r="C1623">
        <f t="shared" si="2081"/>
        <v>65</v>
      </c>
      <c r="D1623">
        <f>D1576</f>
        <v>6</v>
      </c>
      <c r="E1623" t="str">
        <f>VLOOKUP(D1623,name!A:B,2,1)</f>
        <v>Céline</v>
      </c>
      <c r="F1623" t="str">
        <f>F1576</f>
        <v>私は自分の絵のことだけを考え、それに関係のないことはすべて忘れます。</v>
      </c>
      <c r="G1623" t="str">
        <f t="shared" si="2082"/>
        <v>a</v>
      </c>
      <c r="H1623" t="str">
        <f>VLOOKUP(D1623,name!A:C,3,1)</f>
        <v>assets/icons/image078.png</v>
      </c>
      <c r="I1623" t="s">
        <v>463</v>
      </c>
    </row>
    <row r="1624" spans="1:12" x14ac:dyDescent="0.15">
      <c r="A1624" t="str">
        <f t="shared" ref="A1624:B1624" si="2132">A1623</f>
        <v>フランス語</v>
      </c>
      <c r="B1624">
        <f t="shared" si="2132"/>
        <v>19</v>
      </c>
      <c r="C1624">
        <f t="shared" si="2081"/>
        <v>66</v>
      </c>
      <c r="D1624">
        <v>0</v>
      </c>
      <c r="E1624" t="str">
        <f>VLOOKUP(D1624,name!A:B,2,1)</f>
        <v>Player</v>
      </c>
      <c r="F1624" t="str">
        <f>F1577</f>
        <v>Je ne pense qu'à mon tableau et j'oublie tout ce qui ne le regarde pas.</v>
      </c>
      <c r="G1624" t="str">
        <f t="shared" si="2082"/>
        <v>q</v>
      </c>
      <c r="H1624" t="str">
        <f>VLOOKUP(D1624,name!A:C,3,1)</f>
        <v>assets/icons/image326.png</v>
      </c>
      <c r="I1624" t="str">
        <f>IF(A1624="","",VLOOKUP(A1624,lng!A:B,2,0))</f>
        <v>fr-FR</v>
      </c>
    </row>
    <row r="1625" spans="1:12" x14ac:dyDescent="0.15">
      <c r="A1625" t="str">
        <f t="shared" ref="A1625:B1625" si="2133">A1624</f>
        <v>フランス語</v>
      </c>
      <c r="B1625">
        <f t="shared" si="2133"/>
        <v>19</v>
      </c>
      <c r="C1625">
        <f t="shared" ref="C1625:C1627" si="2134">C1624+1</f>
        <v>67</v>
      </c>
      <c r="D1625">
        <f>D1578</f>
        <v>5</v>
      </c>
      <c r="E1625" t="str">
        <f>VLOOKUP(D1625,name!A:B,2,1)</f>
        <v>Minako</v>
      </c>
      <c r="F1625" t="str">
        <f>F1578</f>
        <v>あなたは真のアーティストです。</v>
      </c>
      <c r="G1625" t="str">
        <f t="shared" ref="G1625:G1626" si="2135">IF(B1625&lt;&gt;B1626,"e",IF(D1625=0,"q","a"))</f>
        <v>a</v>
      </c>
      <c r="H1625" t="str">
        <f>VLOOKUP(D1625,name!A:C,3,1)</f>
        <v>assets/icons/image086.png</v>
      </c>
      <c r="I1625" t="s">
        <v>463</v>
      </c>
    </row>
    <row r="1626" spans="1:12" x14ac:dyDescent="0.15">
      <c r="A1626" t="str">
        <f t="shared" ref="A1626:B1626" si="2136">A1625</f>
        <v>フランス語</v>
      </c>
      <c r="B1626">
        <f t="shared" si="2136"/>
        <v>19</v>
      </c>
      <c r="C1626">
        <f t="shared" si="2134"/>
        <v>68</v>
      </c>
      <c r="D1626">
        <v>0</v>
      </c>
      <c r="E1626" t="str">
        <f>VLOOKUP(D1626,name!A:B,2,1)</f>
        <v>Player</v>
      </c>
      <c r="F1626" t="str">
        <f>F1579</f>
        <v>Tu es une vraie artiste.</v>
      </c>
      <c r="G1626" t="str">
        <f t="shared" si="2135"/>
        <v>q</v>
      </c>
      <c r="H1626" t="str">
        <f>VLOOKUP(D1626,name!A:C,3,1)</f>
        <v>assets/icons/image326.png</v>
      </c>
      <c r="I1626" t="str">
        <f>IF(A1626="","",VLOOKUP(A1626,lng!A:B,2,0))</f>
        <v>fr-FR</v>
      </c>
    </row>
    <row r="1627" spans="1:12" x14ac:dyDescent="0.15">
      <c r="A1627" t="str">
        <f t="shared" ref="A1627:B1627" si="2137">A1626</f>
        <v>フランス語</v>
      </c>
      <c r="B1627">
        <f t="shared" si="2137"/>
        <v>19</v>
      </c>
      <c r="C1627">
        <f t="shared" si="2134"/>
        <v>69</v>
      </c>
      <c r="D1627">
        <v>1</v>
      </c>
      <c r="E1627" t="str">
        <f>VLOOKUP(D1627,name!A:B,2,1)</f>
        <v>Navigator</v>
      </c>
      <c r="F1627" t="str">
        <f>"とても良くできました。レッスン"&amp;B1627&amp;"はこれで終了です。"</f>
        <v>とても良くできました。レッスン19はこれで終了です。</v>
      </c>
      <c r="G1627" t="str">
        <f>IF(B1627&lt;&gt;B1718,"e",IF(D1627=0,"q","a"))</f>
        <v>e</v>
      </c>
      <c r="H1627" t="str">
        <f>VLOOKUP(D1627,name!A:C,3,1)</f>
        <v>assets/icons/image014.png</v>
      </c>
      <c r="I1627" t="s">
        <v>463</v>
      </c>
    </row>
    <row r="1628" spans="1:12" x14ac:dyDescent="0.15">
      <c r="A1628" t="str">
        <f>A1627</f>
        <v>フランス語</v>
      </c>
      <c r="B1628">
        <f>B1627+1</f>
        <v>20</v>
      </c>
      <c r="C1628">
        <v>1</v>
      </c>
      <c r="D1628">
        <v>1</v>
      </c>
      <c r="E1628" t="str">
        <f>VLOOKUP(D1628,name!A:B,2,1)</f>
        <v>Navigator</v>
      </c>
      <c r="F1628" t="s">
        <v>872</v>
      </c>
      <c r="G1628" t="str">
        <f>IF(B1628&lt;&gt;B1629,"e",IF(D1628=0,"q","a"))</f>
        <v>a</v>
      </c>
      <c r="H1628" t="str">
        <f>VLOOKUP(D1628,name!A:C,3,1)</f>
        <v>assets/icons/image014.png</v>
      </c>
      <c r="I1628" t="str">
        <f>IF(A1628="","",VLOOKUP(A1628,lng!A:B,2,0))</f>
        <v>fr-FR</v>
      </c>
    </row>
    <row r="1629" spans="1:12" x14ac:dyDescent="0.15">
      <c r="A1629" t="str">
        <f t="shared" ref="A1629:B1644" si="2138">A1628</f>
        <v>フランス語</v>
      </c>
      <c r="B1629">
        <f>B1628</f>
        <v>20</v>
      </c>
      <c r="C1629">
        <f>C1628+1</f>
        <v>2</v>
      </c>
      <c r="D1629">
        <v>1</v>
      </c>
      <c r="E1629" t="str">
        <f>VLOOKUP(D1629,name!A:B,2,1)</f>
        <v>Navigator</v>
      </c>
      <c r="F1629" t="str">
        <f>"レッスン"&amp;B1629</f>
        <v>レッスン20</v>
      </c>
      <c r="G1629" t="str">
        <f t="shared" ref="G1629:G1692" si="2139">IF(B1629&lt;&gt;B1630,"e",IF(D1629=0,"q","a"))</f>
        <v>a</v>
      </c>
      <c r="H1629" t="str">
        <f>VLOOKUP(D1629,name!A:C,3,1)</f>
        <v>assets/icons/image014.png</v>
      </c>
      <c r="I1629" t="s">
        <v>463</v>
      </c>
    </row>
    <row r="1630" spans="1:12" ht="40.5" x14ac:dyDescent="0.15">
      <c r="A1630" t="str">
        <f t="shared" si="2138"/>
        <v>フランス語</v>
      </c>
      <c r="B1630">
        <f t="shared" si="2138"/>
        <v>20</v>
      </c>
      <c r="C1630">
        <f t="shared" ref="C1630:C1693" si="2140">C1629+1</f>
        <v>3</v>
      </c>
      <c r="D1630">
        <v>1</v>
      </c>
      <c r="E1630" t="str">
        <f>VLOOKUP(D1630,name!A:B,2,1)</f>
        <v>Navigator</v>
      </c>
      <c r="F1630" s="1" t="str">
        <f>"まずは対話文を流します。その後に、日本語と"&amp;A1630&amp;"を一文ずつ流すので"&amp;A1630&amp;"を真似して下さい。最後に日本語のみを流すので、"&amp;A1630&amp;"で答えてください。"</f>
        <v>まずは対話文を流します。その後に、日本語とフランス語を一文ずつ流すのでフランス語を真似して下さい。最後に日本語のみを流すので、フランス語で答えてください。</v>
      </c>
      <c r="G1630" t="str">
        <f t="shared" ref="G1630" si="2141">IF(B1630&lt;&gt;B1721,"e",IF(D1630=0,"q","a"))</f>
        <v>e</v>
      </c>
      <c r="H1630" t="str">
        <f>VLOOKUP(D1630,name!A:C,3,1)</f>
        <v>assets/icons/image014.png</v>
      </c>
      <c r="I1630" t="s">
        <v>463</v>
      </c>
      <c r="L1630" s="1"/>
    </row>
    <row r="1631" spans="1:12" x14ac:dyDescent="0.15">
      <c r="A1631" t="str">
        <f t="shared" si="2138"/>
        <v>フランス語</v>
      </c>
      <c r="B1631">
        <f t="shared" si="2138"/>
        <v>20</v>
      </c>
      <c r="C1631">
        <f t="shared" si="2140"/>
        <v>4</v>
      </c>
      <c r="D1631">
        <f>D1632</f>
        <v>7</v>
      </c>
      <c r="E1631" t="str">
        <f>VLOOKUP(D1631,name!A:B,2,1)</f>
        <v>Luigi</v>
      </c>
      <c r="F1631" t="s">
        <v>885</v>
      </c>
      <c r="G1631" t="str">
        <f t="shared" ref="G1631:G1662" si="2142">IF(B1631&lt;&gt;B1632,"e",IF(D1631=0,"q","a"))</f>
        <v>a</v>
      </c>
      <c r="H1631" t="str">
        <f>VLOOKUP(D1631,name!A:C,3,1)</f>
        <v>assets/icons/image023.png</v>
      </c>
      <c r="I1631" t="s">
        <v>463</v>
      </c>
    </row>
    <row r="1632" spans="1:12" x14ac:dyDescent="0.15">
      <c r="A1632" t="str">
        <f t="shared" si="2138"/>
        <v>フランス語</v>
      </c>
      <c r="B1632">
        <f t="shared" si="2138"/>
        <v>20</v>
      </c>
      <c r="C1632">
        <f t="shared" si="2140"/>
        <v>5</v>
      </c>
      <c r="D1632">
        <v>7</v>
      </c>
      <c r="E1632" t="str">
        <f>VLOOKUP(D1632,name!A:B,2,1)</f>
        <v>Luigi</v>
      </c>
      <c r="F1632" t="s">
        <v>873</v>
      </c>
      <c r="G1632" t="str">
        <f t="shared" si="2142"/>
        <v>a</v>
      </c>
      <c r="H1632" t="str">
        <f>VLOOKUP(D1632,name!A:C,3,1)</f>
        <v>assets/icons/image023.png</v>
      </c>
      <c r="I1632" t="str">
        <f>IF(A1632="","",VLOOKUP(A1632,lng!A:B,2,0))</f>
        <v>fr-FR</v>
      </c>
    </row>
    <row r="1633" spans="1:9" x14ac:dyDescent="0.15">
      <c r="A1633" t="str">
        <f t="shared" si="2138"/>
        <v>フランス語</v>
      </c>
      <c r="B1633">
        <f t="shared" si="2138"/>
        <v>20</v>
      </c>
      <c r="C1633">
        <f t="shared" si="2140"/>
        <v>6</v>
      </c>
      <c r="D1633">
        <f t="shared" ref="D1633:D1653" si="2143">D1634</f>
        <v>5</v>
      </c>
      <c r="E1633" t="str">
        <f>VLOOKUP(D1633,name!A:B,2,1)</f>
        <v>Minako</v>
      </c>
      <c r="F1633" t="s">
        <v>886</v>
      </c>
      <c r="G1633" t="str">
        <f t="shared" ref="G1633" si="2144">IF(B1633&lt;&gt;B1724,"e",IF(D1633=0,"q","a"))</f>
        <v>e</v>
      </c>
      <c r="H1633" t="str">
        <f>VLOOKUP(D1633,name!A:C,3,1)</f>
        <v>assets/icons/image086.png</v>
      </c>
      <c r="I1633" t="s">
        <v>463</v>
      </c>
    </row>
    <row r="1634" spans="1:9" x14ac:dyDescent="0.15">
      <c r="A1634" t="str">
        <f t="shared" si="2138"/>
        <v>フランス語</v>
      </c>
      <c r="B1634">
        <f t="shared" si="2138"/>
        <v>20</v>
      </c>
      <c r="C1634">
        <f t="shared" si="2140"/>
        <v>7</v>
      </c>
      <c r="D1634">
        <v>5</v>
      </c>
      <c r="E1634" t="str">
        <f>VLOOKUP(D1634,name!A:B,2,1)</f>
        <v>Minako</v>
      </c>
      <c r="F1634" t="s">
        <v>874</v>
      </c>
      <c r="G1634" t="str">
        <f t="shared" ref="G1634:G1665" si="2145">IF(B1634&lt;&gt;B1635,"e",IF(D1634=0,"q","a"))</f>
        <v>a</v>
      </c>
      <c r="H1634" t="str">
        <f>VLOOKUP(D1634,name!A:C,3,1)</f>
        <v>assets/icons/image086.png</v>
      </c>
      <c r="I1634" t="str">
        <f>IF(A1634="","",VLOOKUP(A1634,lng!A:B,2,0))</f>
        <v>fr-FR</v>
      </c>
    </row>
    <row r="1635" spans="1:9" x14ac:dyDescent="0.15">
      <c r="A1635" t="str">
        <f t="shared" si="2138"/>
        <v>フランス語</v>
      </c>
      <c r="B1635">
        <f t="shared" si="2138"/>
        <v>20</v>
      </c>
      <c r="C1635">
        <f t="shared" si="2140"/>
        <v>8</v>
      </c>
      <c r="D1635">
        <f t="shared" si="2143"/>
        <v>6</v>
      </c>
      <c r="E1635" t="str">
        <f>VLOOKUP(D1635,name!A:B,2,1)</f>
        <v>Céline</v>
      </c>
      <c r="F1635" t="s">
        <v>887</v>
      </c>
      <c r="G1635" t="str">
        <f t="shared" si="2145"/>
        <v>a</v>
      </c>
      <c r="H1635" t="str">
        <f>VLOOKUP(D1635,name!A:C,3,1)</f>
        <v>assets/icons/image078.png</v>
      </c>
      <c r="I1635" t="s">
        <v>463</v>
      </c>
    </row>
    <row r="1636" spans="1:9" x14ac:dyDescent="0.15">
      <c r="A1636" t="str">
        <f t="shared" si="2138"/>
        <v>フランス語</v>
      </c>
      <c r="B1636">
        <f t="shared" si="2138"/>
        <v>20</v>
      </c>
      <c r="C1636">
        <f t="shared" si="2140"/>
        <v>9</v>
      </c>
      <c r="D1636">
        <v>6</v>
      </c>
      <c r="E1636" t="str">
        <f>VLOOKUP(D1636,name!A:B,2,1)</f>
        <v>Céline</v>
      </c>
      <c r="F1636" t="s">
        <v>875</v>
      </c>
      <c r="G1636" t="str">
        <f t="shared" ref="G1636" si="2146">IF(B1636&lt;&gt;B1727,"e",IF(D1636=0,"q","a"))</f>
        <v>e</v>
      </c>
      <c r="H1636" t="str">
        <f>VLOOKUP(D1636,name!A:C,3,1)</f>
        <v>assets/icons/image078.png</v>
      </c>
      <c r="I1636" t="str">
        <f>IF(A1636="","",VLOOKUP(A1636,lng!A:B,2,0))</f>
        <v>fr-FR</v>
      </c>
    </row>
    <row r="1637" spans="1:9" x14ac:dyDescent="0.15">
      <c r="A1637" t="str">
        <f t="shared" si="2138"/>
        <v>フランス語</v>
      </c>
      <c r="B1637">
        <f t="shared" si="2138"/>
        <v>20</v>
      </c>
      <c r="C1637">
        <f t="shared" si="2140"/>
        <v>10</v>
      </c>
      <c r="D1637">
        <f t="shared" si="2143"/>
        <v>5</v>
      </c>
      <c r="E1637" t="str">
        <f>VLOOKUP(D1637,name!A:B,2,1)</f>
        <v>Minako</v>
      </c>
      <c r="F1637" t="s">
        <v>764</v>
      </c>
      <c r="G1637" t="str">
        <f t="shared" ref="G1637:G1668" si="2147">IF(B1637&lt;&gt;B1638,"e",IF(D1637=0,"q","a"))</f>
        <v>a</v>
      </c>
      <c r="H1637" t="str">
        <f>VLOOKUP(D1637,name!A:C,3,1)</f>
        <v>assets/icons/image086.png</v>
      </c>
      <c r="I1637" t="s">
        <v>463</v>
      </c>
    </row>
    <row r="1638" spans="1:9" x14ac:dyDescent="0.15">
      <c r="A1638" t="str">
        <f t="shared" si="2138"/>
        <v>フランス語</v>
      </c>
      <c r="B1638">
        <f t="shared" si="2138"/>
        <v>20</v>
      </c>
      <c r="C1638">
        <f t="shared" si="2140"/>
        <v>11</v>
      </c>
      <c r="D1638">
        <f t="shared" si="2143"/>
        <v>5</v>
      </c>
      <c r="E1638" t="str">
        <f>VLOOKUP(D1638,name!A:B,2,1)</f>
        <v>Minako</v>
      </c>
      <c r="F1638" t="s">
        <v>876</v>
      </c>
      <c r="G1638" t="str">
        <f t="shared" si="2147"/>
        <v>a</v>
      </c>
      <c r="H1638" t="str">
        <f>VLOOKUP(D1638,name!A:C,3,1)</f>
        <v>assets/icons/image086.png</v>
      </c>
      <c r="I1638" t="str">
        <f>IF(A1638="","",VLOOKUP(A1638,lng!A:B,2,0))</f>
        <v>fr-FR</v>
      </c>
    </row>
    <row r="1639" spans="1:9" x14ac:dyDescent="0.15">
      <c r="A1639" t="str">
        <f t="shared" si="2138"/>
        <v>フランス語</v>
      </c>
      <c r="B1639">
        <f t="shared" si="2138"/>
        <v>20</v>
      </c>
      <c r="C1639">
        <f t="shared" si="2140"/>
        <v>12</v>
      </c>
      <c r="D1639">
        <f t="shared" si="2143"/>
        <v>5</v>
      </c>
      <c r="E1639" t="str">
        <f>VLOOKUP(D1639,name!A:B,2,1)</f>
        <v>Minako</v>
      </c>
      <c r="F1639" t="s">
        <v>888</v>
      </c>
      <c r="G1639" t="str">
        <f t="shared" ref="G1639" si="2148">IF(B1639&lt;&gt;B1730,"e",IF(D1639=0,"q","a"))</f>
        <v>e</v>
      </c>
      <c r="H1639" t="str">
        <f>VLOOKUP(D1639,name!A:C,3,1)</f>
        <v>assets/icons/image086.png</v>
      </c>
      <c r="I1639" t="s">
        <v>463</v>
      </c>
    </row>
    <row r="1640" spans="1:9" x14ac:dyDescent="0.15">
      <c r="A1640" t="str">
        <f t="shared" si="2138"/>
        <v>フランス語</v>
      </c>
      <c r="B1640">
        <f t="shared" si="2138"/>
        <v>20</v>
      </c>
      <c r="C1640">
        <f t="shared" si="2140"/>
        <v>13</v>
      </c>
      <c r="D1640">
        <v>5</v>
      </c>
      <c r="E1640" t="str">
        <f>VLOOKUP(D1640,name!A:B,2,1)</f>
        <v>Minako</v>
      </c>
      <c r="F1640" t="s">
        <v>877</v>
      </c>
      <c r="G1640" t="str">
        <f t="shared" ref="G1640:G1671" si="2149">IF(B1640&lt;&gt;B1641,"e",IF(D1640=0,"q","a"))</f>
        <v>a</v>
      </c>
      <c r="H1640" t="str">
        <f>VLOOKUP(D1640,name!A:C,3,1)</f>
        <v>assets/icons/image086.png</v>
      </c>
      <c r="I1640" t="str">
        <f>IF(A1640="","",VLOOKUP(A1640,lng!A:B,2,0))</f>
        <v>fr-FR</v>
      </c>
    </row>
    <row r="1641" spans="1:9" x14ac:dyDescent="0.15">
      <c r="A1641" t="str">
        <f t="shared" si="2138"/>
        <v>フランス語</v>
      </c>
      <c r="B1641">
        <f t="shared" si="2138"/>
        <v>20</v>
      </c>
      <c r="C1641">
        <f t="shared" si="2140"/>
        <v>14</v>
      </c>
      <c r="D1641">
        <f t="shared" si="2143"/>
        <v>7</v>
      </c>
      <c r="E1641" t="str">
        <f>VLOOKUP(D1641,name!A:B,2,1)</f>
        <v>Luigi</v>
      </c>
      <c r="F1641" t="s">
        <v>889</v>
      </c>
      <c r="G1641" t="str">
        <f t="shared" si="2149"/>
        <v>a</v>
      </c>
      <c r="H1641" t="str">
        <f>VLOOKUP(D1641,name!A:C,3,1)</f>
        <v>assets/icons/image023.png</v>
      </c>
      <c r="I1641" t="s">
        <v>463</v>
      </c>
    </row>
    <row r="1642" spans="1:9" x14ac:dyDescent="0.15">
      <c r="A1642" t="str">
        <f t="shared" si="2138"/>
        <v>フランス語</v>
      </c>
      <c r="B1642">
        <f t="shared" si="2138"/>
        <v>20</v>
      </c>
      <c r="C1642">
        <f t="shared" si="2140"/>
        <v>15</v>
      </c>
      <c r="D1642">
        <f t="shared" si="2143"/>
        <v>7</v>
      </c>
      <c r="E1642" t="str">
        <f>VLOOKUP(D1642,name!A:B,2,1)</f>
        <v>Luigi</v>
      </c>
      <c r="F1642" t="s">
        <v>878</v>
      </c>
      <c r="G1642" t="str">
        <f t="shared" ref="G1642" si="2150">IF(B1642&lt;&gt;B1733,"e",IF(D1642=0,"q","a"))</f>
        <v>e</v>
      </c>
      <c r="H1642" t="str">
        <f>VLOOKUP(D1642,name!A:C,3,1)</f>
        <v>assets/icons/image023.png</v>
      </c>
      <c r="I1642" t="str">
        <f>IF(A1642="","",VLOOKUP(A1642,lng!A:B,2,0))</f>
        <v>fr-FR</v>
      </c>
    </row>
    <row r="1643" spans="1:9" x14ac:dyDescent="0.15">
      <c r="A1643" t="str">
        <f t="shared" si="2138"/>
        <v>フランス語</v>
      </c>
      <c r="B1643">
        <f t="shared" si="2138"/>
        <v>20</v>
      </c>
      <c r="C1643">
        <f t="shared" si="2140"/>
        <v>16</v>
      </c>
      <c r="D1643">
        <f t="shared" si="2143"/>
        <v>7</v>
      </c>
      <c r="E1643" t="str">
        <f>VLOOKUP(D1643,name!A:B,2,1)</f>
        <v>Luigi</v>
      </c>
      <c r="F1643" t="s">
        <v>890</v>
      </c>
      <c r="G1643" t="str">
        <f t="shared" ref="G1643:G1674" si="2151">IF(B1643&lt;&gt;B1644,"e",IF(D1643=0,"q","a"))</f>
        <v>a</v>
      </c>
      <c r="H1643" t="str">
        <f>VLOOKUP(D1643,name!A:C,3,1)</f>
        <v>assets/icons/image023.png</v>
      </c>
      <c r="I1643" t="s">
        <v>463</v>
      </c>
    </row>
    <row r="1644" spans="1:9" x14ac:dyDescent="0.15">
      <c r="A1644" t="str">
        <f t="shared" si="2138"/>
        <v>フランス語</v>
      </c>
      <c r="B1644">
        <f t="shared" si="2138"/>
        <v>20</v>
      </c>
      <c r="C1644">
        <f t="shared" si="2140"/>
        <v>17</v>
      </c>
      <c r="D1644">
        <v>7</v>
      </c>
      <c r="E1644" t="str">
        <f>VLOOKUP(D1644,name!A:B,2,1)</f>
        <v>Luigi</v>
      </c>
      <c r="F1644" t="s">
        <v>879</v>
      </c>
      <c r="G1644" t="str">
        <f t="shared" si="2151"/>
        <v>a</v>
      </c>
      <c r="H1644" t="str">
        <f>VLOOKUP(D1644,name!A:C,3,1)</f>
        <v>assets/icons/image023.png</v>
      </c>
      <c r="I1644" t="str">
        <f>IF(A1644="","",VLOOKUP(A1644,lng!A:B,2,0))</f>
        <v>fr-FR</v>
      </c>
    </row>
    <row r="1645" spans="1:9" x14ac:dyDescent="0.15">
      <c r="A1645" t="str">
        <f t="shared" ref="A1645:B1654" si="2152">A1644</f>
        <v>フランス語</v>
      </c>
      <c r="B1645">
        <f t="shared" si="2152"/>
        <v>20</v>
      </c>
      <c r="C1645">
        <f t="shared" si="2140"/>
        <v>18</v>
      </c>
      <c r="D1645">
        <f t="shared" si="2143"/>
        <v>5</v>
      </c>
      <c r="E1645" t="str">
        <f>VLOOKUP(D1645,name!A:B,2,1)</f>
        <v>Minako</v>
      </c>
      <c r="F1645" t="s">
        <v>891</v>
      </c>
      <c r="G1645" t="str">
        <f t="shared" ref="G1645" si="2153">IF(B1645&lt;&gt;B1736,"e",IF(D1645=0,"q","a"))</f>
        <v>e</v>
      </c>
      <c r="H1645" t="str">
        <f>VLOOKUP(D1645,name!A:C,3,1)</f>
        <v>assets/icons/image086.png</v>
      </c>
      <c r="I1645" t="s">
        <v>463</v>
      </c>
    </row>
    <row r="1646" spans="1:9" x14ac:dyDescent="0.15">
      <c r="A1646" t="str">
        <f t="shared" si="2152"/>
        <v>フランス語</v>
      </c>
      <c r="B1646">
        <f t="shared" si="2152"/>
        <v>20</v>
      </c>
      <c r="C1646">
        <f t="shared" si="2140"/>
        <v>19</v>
      </c>
      <c r="D1646">
        <f t="shared" si="2143"/>
        <v>5</v>
      </c>
      <c r="E1646" t="str">
        <f>VLOOKUP(D1646,name!A:B,2,1)</f>
        <v>Minako</v>
      </c>
      <c r="F1646" t="s">
        <v>880</v>
      </c>
      <c r="G1646" t="str">
        <f t="shared" ref="G1646:G1677" si="2154">IF(B1646&lt;&gt;B1647,"e",IF(D1646=0,"q","a"))</f>
        <v>a</v>
      </c>
      <c r="H1646" t="str">
        <f>VLOOKUP(D1646,name!A:C,3,1)</f>
        <v>assets/icons/image086.png</v>
      </c>
      <c r="I1646" t="str">
        <f>IF(A1646="","",VLOOKUP(A1646,lng!A:B,2,0))</f>
        <v>fr-FR</v>
      </c>
    </row>
    <row r="1647" spans="1:9" x14ac:dyDescent="0.15">
      <c r="A1647" t="str">
        <f t="shared" si="2152"/>
        <v>フランス語</v>
      </c>
      <c r="B1647">
        <f t="shared" si="2152"/>
        <v>20</v>
      </c>
      <c r="C1647">
        <f t="shared" si="2140"/>
        <v>20</v>
      </c>
      <c r="D1647">
        <f t="shared" si="2143"/>
        <v>5</v>
      </c>
      <c r="E1647" t="str">
        <f>VLOOKUP(D1647,name!A:B,2,1)</f>
        <v>Minako</v>
      </c>
      <c r="F1647" t="s">
        <v>892</v>
      </c>
      <c r="G1647" t="str">
        <f t="shared" si="2154"/>
        <v>a</v>
      </c>
      <c r="H1647" t="str">
        <f>VLOOKUP(D1647,name!A:C,3,1)</f>
        <v>assets/icons/image086.png</v>
      </c>
      <c r="I1647" t="s">
        <v>463</v>
      </c>
    </row>
    <row r="1648" spans="1:9" x14ac:dyDescent="0.15">
      <c r="A1648" t="str">
        <f t="shared" si="2152"/>
        <v>フランス語</v>
      </c>
      <c r="B1648">
        <f t="shared" si="2152"/>
        <v>20</v>
      </c>
      <c r="C1648">
        <f t="shared" si="2140"/>
        <v>21</v>
      </c>
      <c r="D1648">
        <v>5</v>
      </c>
      <c r="E1648" t="str">
        <f>VLOOKUP(D1648,name!A:B,2,1)</f>
        <v>Minako</v>
      </c>
      <c r="F1648" t="s">
        <v>881</v>
      </c>
      <c r="G1648" t="str">
        <f t="shared" ref="G1648" si="2155">IF(B1648&lt;&gt;B1739,"e",IF(D1648=0,"q","a"))</f>
        <v>e</v>
      </c>
      <c r="H1648" t="str">
        <f>VLOOKUP(D1648,name!A:C,3,1)</f>
        <v>assets/icons/image086.png</v>
      </c>
      <c r="I1648" t="str">
        <f>IF(A1648="","",VLOOKUP(A1648,lng!A:B,2,0))</f>
        <v>fr-FR</v>
      </c>
    </row>
    <row r="1649" spans="1:9" x14ac:dyDescent="0.15">
      <c r="A1649" t="str">
        <f t="shared" si="2152"/>
        <v>フランス語</v>
      </c>
      <c r="B1649">
        <f t="shared" si="2152"/>
        <v>20</v>
      </c>
      <c r="C1649">
        <f t="shared" si="2140"/>
        <v>22</v>
      </c>
      <c r="D1649">
        <f t="shared" si="2143"/>
        <v>6</v>
      </c>
      <c r="E1649" t="str">
        <f>VLOOKUP(D1649,name!A:B,2,1)</f>
        <v>Céline</v>
      </c>
      <c r="F1649" t="s">
        <v>893</v>
      </c>
      <c r="G1649" t="str">
        <f t="shared" ref="G1649:G1680" si="2156">IF(B1649&lt;&gt;B1650,"e",IF(D1649=0,"q","a"))</f>
        <v>a</v>
      </c>
      <c r="H1649" t="str">
        <f>VLOOKUP(D1649,name!A:C,3,1)</f>
        <v>assets/icons/image078.png</v>
      </c>
      <c r="I1649" t="s">
        <v>463</v>
      </c>
    </row>
    <row r="1650" spans="1:9" x14ac:dyDescent="0.15">
      <c r="A1650" t="str">
        <f t="shared" si="2152"/>
        <v>フランス語</v>
      </c>
      <c r="B1650">
        <f t="shared" si="2152"/>
        <v>20</v>
      </c>
      <c r="C1650">
        <f t="shared" si="2140"/>
        <v>23</v>
      </c>
      <c r="D1650">
        <f t="shared" si="2143"/>
        <v>6</v>
      </c>
      <c r="E1650" t="str">
        <f>VLOOKUP(D1650,name!A:B,2,1)</f>
        <v>Céline</v>
      </c>
      <c r="F1650" t="s">
        <v>882</v>
      </c>
      <c r="G1650" t="str">
        <f t="shared" si="2156"/>
        <v>a</v>
      </c>
      <c r="H1650" t="str">
        <f>VLOOKUP(D1650,name!A:C,3,1)</f>
        <v>assets/icons/image078.png</v>
      </c>
      <c r="I1650" t="str">
        <f>IF(A1650="","",VLOOKUP(A1650,lng!A:B,2,0))</f>
        <v>fr-FR</v>
      </c>
    </row>
    <row r="1651" spans="1:9" x14ac:dyDescent="0.15">
      <c r="A1651" t="str">
        <f t="shared" si="2152"/>
        <v>フランス語</v>
      </c>
      <c r="B1651">
        <f t="shared" si="2152"/>
        <v>20</v>
      </c>
      <c r="C1651">
        <f t="shared" si="2140"/>
        <v>24</v>
      </c>
      <c r="D1651">
        <f t="shared" si="2143"/>
        <v>6</v>
      </c>
      <c r="E1651" t="str">
        <f>VLOOKUP(D1651,name!A:B,2,1)</f>
        <v>Céline</v>
      </c>
      <c r="F1651" t="s">
        <v>894</v>
      </c>
      <c r="G1651" t="str">
        <f t="shared" ref="G1651" si="2157">IF(B1651&lt;&gt;B1742,"e",IF(D1651=0,"q","a"))</f>
        <v>e</v>
      </c>
      <c r="H1651" t="str">
        <f>VLOOKUP(D1651,name!A:C,3,1)</f>
        <v>assets/icons/image078.png</v>
      </c>
      <c r="I1651" t="s">
        <v>463</v>
      </c>
    </row>
    <row r="1652" spans="1:9" x14ac:dyDescent="0.15">
      <c r="A1652" t="str">
        <f t="shared" ref="A1652:B1652" si="2158">A1651</f>
        <v>フランス語</v>
      </c>
      <c r="B1652">
        <f t="shared" si="2158"/>
        <v>20</v>
      </c>
      <c r="C1652">
        <f t="shared" si="2140"/>
        <v>25</v>
      </c>
      <c r="D1652">
        <v>6</v>
      </c>
      <c r="E1652" t="str">
        <f>VLOOKUP(D1652,name!A:B,2,1)</f>
        <v>Céline</v>
      </c>
      <c r="F1652" t="s">
        <v>883</v>
      </c>
      <c r="G1652" t="str">
        <f t="shared" ref="G1652:G1683" si="2159">IF(B1652&lt;&gt;B1653,"e",IF(D1652=0,"q","a"))</f>
        <v>a</v>
      </c>
      <c r="H1652" t="str">
        <f>VLOOKUP(D1652,name!A:C,3,1)</f>
        <v>assets/icons/image078.png</v>
      </c>
      <c r="I1652" t="str">
        <f>IF(A1652="","",VLOOKUP(A1652,lng!A:B,2,0))</f>
        <v>fr-FR</v>
      </c>
    </row>
    <row r="1653" spans="1:9" x14ac:dyDescent="0.15">
      <c r="A1653" t="str">
        <f t="shared" ref="A1653:B1653" si="2160">A1652</f>
        <v>フランス語</v>
      </c>
      <c r="B1653">
        <f t="shared" si="2160"/>
        <v>20</v>
      </c>
      <c r="C1653">
        <f t="shared" si="2140"/>
        <v>26</v>
      </c>
      <c r="D1653">
        <f t="shared" si="2143"/>
        <v>5</v>
      </c>
      <c r="E1653" t="str">
        <f>VLOOKUP(D1653,name!A:B,2,1)</f>
        <v>Minako</v>
      </c>
      <c r="F1653" t="s">
        <v>895</v>
      </c>
      <c r="G1653" t="str">
        <f t="shared" si="2159"/>
        <v>a</v>
      </c>
      <c r="H1653" t="str">
        <f>VLOOKUP(D1653,name!A:C,3,1)</f>
        <v>assets/icons/image086.png</v>
      </c>
      <c r="I1653" t="s">
        <v>463</v>
      </c>
    </row>
    <row r="1654" spans="1:9" x14ac:dyDescent="0.15">
      <c r="A1654" t="str">
        <f t="shared" ref="A1654:B1654" si="2161">A1653</f>
        <v>フランス語</v>
      </c>
      <c r="B1654">
        <f t="shared" si="2161"/>
        <v>20</v>
      </c>
      <c r="C1654">
        <f t="shared" si="2140"/>
        <v>27</v>
      </c>
      <c r="D1654">
        <v>5</v>
      </c>
      <c r="E1654" t="str">
        <f>VLOOKUP(D1654,name!A:B,2,1)</f>
        <v>Minako</v>
      </c>
      <c r="F1654" t="s">
        <v>884</v>
      </c>
      <c r="G1654" t="str">
        <f t="shared" ref="G1654" si="2162">IF(B1654&lt;&gt;B1745,"e",IF(D1654=0,"q","a"))</f>
        <v>e</v>
      </c>
      <c r="H1654" t="str">
        <f>VLOOKUP(D1654,name!A:C,3,1)</f>
        <v>assets/icons/image086.png</v>
      </c>
      <c r="I1654" t="str">
        <f>IF(A1654="","",VLOOKUP(A1654,lng!A:B,2,0))</f>
        <v>fr-FR</v>
      </c>
    </row>
    <row r="1655" spans="1:9" x14ac:dyDescent="0.15">
      <c r="A1655" t="str">
        <f t="shared" ref="A1655:B1655" si="2163">A1654</f>
        <v>フランス語</v>
      </c>
      <c r="B1655">
        <f t="shared" si="2163"/>
        <v>20</v>
      </c>
      <c r="C1655">
        <f t="shared" si="2140"/>
        <v>28</v>
      </c>
      <c r="D1655">
        <v>1</v>
      </c>
      <c r="E1655" t="str">
        <f>VLOOKUP(D1655,name!A:B,2,1)</f>
        <v>Navigator</v>
      </c>
      <c r="F1655" t="str">
        <f>"次の"&amp;A1655&amp;"を真似してね！"</f>
        <v>次のフランス語を真似してね！</v>
      </c>
      <c r="G1655" t="str">
        <f t="shared" ref="G1655:G1686" si="2164">IF(B1655&lt;&gt;B1656,"e",IF(D1655=0,"q","a"))</f>
        <v>a</v>
      </c>
      <c r="H1655" t="str">
        <f>VLOOKUP(D1655,name!A:C,3,1)</f>
        <v>assets/icons/image014.png</v>
      </c>
      <c r="I1655" t="s">
        <v>463</v>
      </c>
    </row>
    <row r="1656" spans="1:9" x14ac:dyDescent="0.15">
      <c r="A1656" t="str">
        <f t="shared" ref="A1656:B1656" si="2165">A1655</f>
        <v>フランス語</v>
      </c>
      <c r="B1656">
        <f t="shared" si="2165"/>
        <v>20</v>
      </c>
      <c r="C1656">
        <f t="shared" si="2140"/>
        <v>29</v>
      </c>
      <c r="D1656">
        <f>D1631</f>
        <v>7</v>
      </c>
      <c r="E1656" t="str">
        <f>VLOOKUP(D1656,name!A:B,2,1)</f>
        <v>Luigi</v>
      </c>
      <c r="F1656" t="str">
        <f>F1631</f>
        <v>あなたは数日で帰る予定ですね。</v>
      </c>
      <c r="G1656" t="str">
        <f t="shared" si="2164"/>
        <v>a</v>
      </c>
      <c r="H1656" t="str">
        <f>VLOOKUP(D1656,name!A:C,3,1)</f>
        <v>assets/icons/image023.png</v>
      </c>
      <c r="I1656" t="s">
        <v>463</v>
      </c>
    </row>
    <row r="1657" spans="1:9" x14ac:dyDescent="0.15">
      <c r="A1657" t="str">
        <f t="shared" ref="A1657:B1657" si="2166">A1656</f>
        <v>フランス語</v>
      </c>
      <c r="B1657">
        <f t="shared" si="2166"/>
        <v>20</v>
      </c>
      <c r="C1657">
        <f t="shared" si="2140"/>
        <v>30</v>
      </c>
      <c r="D1657">
        <f>D1632</f>
        <v>7</v>
      </c>
      <c r="E1657" t="str">
        <f>VLOOKUP(D1657,name!A:B,2,1)</f>
        <v>Luigi</v>
      </c>
      <c r="F1657" t="str">
        <f>F1632</f>
        <v>Tu vas nous quitter dans quelques jours.</v>
      </c>
      <c r="G1657" t="str">
        <f t="shared" ref="G1657" si="2167">IF(B1657&lt;&gt;B1748,"e",IF(D1657=0,"q","a"))</f>
        <v>e</v>
      </c>
      <c r="H1657" t="str">
        <f>VLOOKUP(D1657,name!A:C,3,1)</f>
        <v>assets/icons/image023.png</v>
      </c>
      <c r="I1657" t="str">
        <f>IF(A1657="","",VLOOKUP(A1657,lng!A:B,2,0))</f>
        <v>fr-FR</v>
      </c>
    </row>
    <row r="1658" spans="1:9" x14ac:dyDescent="0.15">
      <c r="A1658" t="str">
        <f t="shared" ref="A1658:B1658" si="2168">A1657</f>
        <v>フランス語</v>
      </c>
      <c r="B1658">
        <f t="shared" si="2168"/>
        <v>20</v>
      </c>
      <c r="C1658">
        <f t="shared" si="2140"/>
        <v>31</v>
      </c>
      <c r="D1658">
        <v>0</v>
      </c>
      <c r="E1658" t="str">
        <f>VLOOKUP(D1658,name!A:B,2,1)</f>
        <v>Player</v>
      </c>
      <c r="F1658" t="str">
        <f>F1632</f>
        <v>Tu vas nous quitter dans quelques jours.</v>
      </c>
      <c r="G1658" t="str">
        <f t="shared" ref="G1658:G1689" si="2169">IF(B1658&lt;&gt;B1659,"e",IF(D1658=0,"q","a"))</f>
        <v>q</v>
      </c>
      <c r="H1658" t="str">
        <f>VLOOKUP(D1658,name!A:C,3,1)</f>
        <v>assets/icons/image326.png</v>
      </c>
      <c r="I1658" t="str">
        <f>IF(A1658="","",VLOOKUP(A1658,lng!A:B,2,0))</f>
        <v>fr-FR</v>
      </c>
    </row>
    <row r="1659" spans="1:9" x14ac:dyDescent="0.15">
      <c r="A1659" t="str">
        <f t="shared" ref="A1659:B1659" si="2170">A1658</f>
        <v>フランス語</v>
      </c>
      <c r="B1659">
        <f t="shared" si="2170"/>
        <v>20</v>
      </c>
      <c r="C1659">
        <f t="shared" si="2140"/>
        <v>32</v>
      </c>
      <c r="D1659">
        <f>D1633</f>
        <v>5</v>
      </c>
      <c r="E1659" t="str">
        <f>VLOOKUP(D1659,name!A:B,2,1)</f>
        <v>Minako</v>
      </c>
      <c r="F1659" t="str">
        <f>F1633</f>
        <v>はい、あなたたちが私のためにしてくれたすべてに感謝します。</v>
      </c>
      <c r="G1659" t="str">
        <f t="shared" si="2169"/>
        <v>a</v>
      </c>
      <c r="H1659" t="str">
        <f>VLOOKUP(D1659,name!A:C,3,1)</f>
        <v>assets/icons/image086.png</v>
      </c>
      <c r="I1659" t="s">
        <v>463</v>
      </c>
    </row>
    <row r="1660" spans="1:9" x14ac:dyDescent="0.15">
      <c r="A1660" t="str">
        <f t="shared" ref="A1660:B1660" si="2171">A1659</f>
        <v>フランス語</v>
      </c>
      <c r="B1660">
        <f t="shared" si="2171"/>
        <v>20</v>
      </c>
      <c r="C1660">
        <f t="shared" si="2140"/>
        <v>33</v>
      </c>
      <c r="D1660">
        <f>D1634</f>
        <v>5</v>
      </c>
      <c r="E1660" t="str">
        <f>VLOOKUP(D1660,name!A:B,2,1)</f>
        <v>Minako</v>
      </c>
      <c r="F1660" t="str">
        <f>F1634</f>
        <v>Oui, merci pour tout ce que vous avez fait pour moi.</v>
      </c>
      <c r="G1660" t="str">
        <f t="shared" ref="G1660" si="2172">IF(B1660&lt;&gt;B1751,"e",IF(D1660=0,"q","a"))</f>
        <v>e</v>
      </c>
      <c r="H1660" t="str">
        <f>VLOOKUP(D1660,name!A:C,3,1)</f>
        <v>assets/icons/image086.png</v>
      </c>
      <c r="I1660" t="str">
        <f>IF(A1660="","",VLOOKUP(A1660,lng!A:B,2,0))</f>
        <v>fr-FR</v>
      </c>
    </row>
    <row r="1661" spans="1:9" x14ac:dyDescent="0.15">
      <c r="A1661" t="str">
        <f t="shared" ref="A1661:B1661" si="2173">A1660</f>
        <v>フランス語</v>
      </c>
      <c r="B1661">
        <f t="shared" si="2173"/>
        <v>20</v>
      </c>
      <c r="C1661">
        <f t="shared" si="2140"/>
        <v>34</v>
      </c>
      <c r="D1661">
        <v>0</v>
      </c>
      <c r="E1661" t="str">
        <f>VLOOKUP(D1661,name!A:B,2,1)</f>
        <v>Player</v>
      </c>
      <c r="F1661" t="str">
        <f>F1634</f>
        <v>Oui, merci pour tout ce que vous avez fait pour moi.</v>
      </c>
      <c r="G1661" t="str">
        <f t="shared" ref="G1661:G1692" si="2174">IF(B1661&lt;&gt;B1662,"e",IF(D1661=0,"q","a"))</f>
        <v>q</v>
      </c>
      <c r="H1661" t="str">
        <f>VLOOKUP(D1661,name!A:C,3,1)</f>
        <v>assets/icons/image326.png</v>
      </c>
      <c r="I1661" t="str">
        <f>IF(A1661="","",VLOOKUP(A1661,lng!A:B,2,0))</f>
        <v>fr-FR</v>
      </c>
    </row>
    <row r="1662" spans="1:9" x14ac:dyDescent="0.15">
      <c r="A1662" t="str">
        <f t="shared" ref="A1662:B1662" si="2175">A1661</f>
        <v>フランス語</v>
      </c>
      <c r="B1662">
        <f t="shared" si="2175"/>
        <v>20</v>
      </c>
      <c r="C1662">
        <f t="shared" si="2140"/>
        <v>35</v>
      </c>
      <c r="D1662">
        <f>D1635</f>
        <v>6</v>
      </c>
      <c r="E1662" t="str">
        <f>VLOOKUP(D1662,name!A:B,2,1)</f>
        <v>Céline</v>
      </c>
      <c r="F1662" t="str">
        <f>F1635</f>
        <v>こんなに早く日本に帰らなくてはならないのは、残念です。</v>
      </c>
      <c r="G1662" t="str">
        <f t="shared" si="2174"/>
        <v>a</v>
      </c>
      <c r="H1662" t="str">
        <f>VLOOKUP(D1662,name!A:C,3,1)</f>
        <v>assets/icons/image078.png</v>
      </c>
      <c r="I1662" t="s">
        <v>463</v>
      </c>
    </row>
    <row r="1663" spans="1:9" x14ac:dyDescent="0.15">
      <c r="A1663" t="str">
        <f t="shared" ref="A1663:B1663" si="2176">A1662</f>
        <v>フランス語</v>
      </c>
      <c r="B1663">
        <f t="shared" si="2176"/>
        <v>20</v>
      </c>
      <c r="C1663">
        <f t="shared" si="2140"/>
        <v>36</v>
      </c>
      <c r="D1663">
        <f>D1636</f>
        <v>6</v>
      </c>
      <c r="E1663" t="str">
        <f>VLOOKUP(D1663,name!A:B,2,1)</f>
        <v>Céline</v>
      </c>
      <c r="F1663" t="str">
        <f>F1636</f>
        <v>Je regrette que tu doives retourner au Japon si tôt.</v>
      </c>
      <c r="G1663" t="str">
        <f t="shared" ref="G1663" si="2177">IF(B1663&lt;&gt;B1754,"e",IF(D1663=0,"q","a"))</f>
        <v>e</v>
      </c>
      <c r="H1663" t="str">
        <f>VLOOKUP(D1663,name!A:C,3,1)</f>
        <v>assets/icons/image078.png</v>
      </c>
      <c r="I1663" t="str">
        <f>IF(A1663="","",VLOOKUP(A1663,lng!A:B,2,0))</f>
        <v>fr-FR</v>
      </c>
    </row>
    <row r="1664" spans="1:9" x14ac:dyDescent="0.15">
      <c r="A1664" t="str">
        <f t="shared" ref="A1664:B1664" si="2178">A1663</f>
        <v>フランス語</v>
      </c>
      <c r="B1664">
        <f t="shared" si="2178"/>
        <v>20</v>
      </c>
      <c r="C1664">
        <f t="shared" si="2140"/>
        <v>37</v>
      </c>
      <c r="D1664">
        <v>0</v>
      </c>
      <c r="E1664" t="str">
        <f>VLOOKUP(D1664,name!A:B,2,1)</f>
        <v>Player</v>
      </c>
      <c r="F1664" t="str">
        <f>F1636</f>
        <v>Je regrette que tu doives retourner au Japon si tôt.</v>
      </c>
      <c r="G1664" t="str">
        <f t="shared" ref="G1664:G1695" si="2179">IF(B1664&lt;&gt;B1665,"e",IF(D1664=0,"q","a"))</f>
        <v>q</v>
      </c>
      <c r="H1664" t="str">
        <f>VLOOKUP(D1664,name!A:C,3,1)</f>
        <v>assets/icons/image326.png</v>
      </c>
      <c r="I1664" t="str">
        <f>IF(A1664="","",VLOOKUP(A1664,lng!A:B,2,0))</f>
        <v>fr-FR</v>
      </c>
    </row>
    <row r="1665" spans="1:9" x14ac:dyDescent="0.15">
      <c r="A1665" t="str">
        <f t="shared" ref="A1665:B1665" si="2180">A1664</f>
        <v>フランス語</v>
      </c>
      <c r="B1665">
        <f t="shared" si="2180"/>
        <v>20</v>
      </c>
      <c r="C1665">
        <f t="shared" si="2140"/>
        <v>38</v>
      </c>
      <c r="D1665">
        <f>D1637</f>
        <v>5</v>
      </c>
      <c r="E1665" t="str">
        <f>VLOOKUP(D1665,name!A:B,2,1)</f>
        <v>Minako</v>
      </c>
      <c r="F1665" t="str">
        <f>F1637</f>
        <v>私もそうです。</v>
      </c>
      <c r="G1665" t="str">
        <f t="shared" si="2179"/>
        <v>a</v>
      </c>
      <c r="H1665" t="str">
        <f>VLOOKUP(D1665,name!A:C,3,1)</f>
        <v>assets/icons/image086.png</v>
      </c>
      <c r="I1665" t="s">
        <v>463</v>
      </c>
    </row>
    <row r="1666" spans="1:9" x14ac:dyDescent="0.15">
      <c r="A1666" t="str">
        <f t="shared" ref="A1666:B1666" si="2181">A1665</f>
        <v>フランス語</v>
      </c>
      <c r="B1666">
        <f t="shared" si="2181"/>
        <v>20</v>
      </c>
      <c r="C1666">
        <f t="shared" si="2140"/>
        <v>39</v>
      </c>
      <c r="D1666">
        <f>D1638</f>
        <v>5</v>
      </c>
      <c r="E1666" t="str">
        <f>VLOOKUP(D1666,name!A:B,2,1)</f>
        <v>Minako</v>
      </c>
      <c r="F1666" t="str">
        <f>F1638</f>
        <v xml:space="preserve">Moi aussi. </v>
      </c>
      <c r="G1666" t="str">
        <f t="shared" ref="G1666" si="2182">IF(B1666&lt;&gt;B1757,"e",IF(D1666=0,"q","a"))</f>
        <v>e</v>
      </c>
      <c r="H1666" t="str">
        <f>VLOOKUP(D1666,name!A:C,3,1)</f>
        <v>assets/icons/image086.png</v>
      </c>
      <c r="I1666" t="str">
        <f>IF(A1666="","",VLOOKUP(A1666,lng!A:B,2,0))</f>
        <v>fr-FR</v>
      </c>
    </row>
    <row r="1667" spans="1:9" x14ac:dyDescent="0.15">
      <c r="A1667" t="str">
        <f t="shared" ref="A1667:B1667" si="2183">A1666</f>
        <v>フランス語</v>
      </c>
      <c r="B1667">
        <f t="shared" si="2183"/>
        <v>20</v>
      </c>
      <c r="C1667">
        <f t="shared" si="2140"/>
        <v>40</v>
      </c>
      <c r="D1667">
        <v>0</v>
      </c>
      <c r="E1667" t="str">
        <f>VLOOKUP(D1667,name!A:B,2,1)</f>
        <v>Player</v>
      </c>
      <c r="F1667" t="str">
        <f>F1638</f>
        <v xml:space="preserve">Moi aussi. </v>
      </c>
      <c r="G1667" t="str">
        <f t="shared" ref="G1667:G1698" si="2184">IF(B1667&lt;&gt;B1668,"e",IF(D1667=0,"q","a"))</f>
        <v>q</v>
      </c>
      <c r="H1667" t="str">
        <f>VLOOKUP(D1667,name!A:C,3,1)</f>
        <v>assets/icons/image326.png</v>
      </c>
      <c r="I1667" t="str">
        <f>IF(A1667="","",VLOOKUP(A1667,lng!A:B,2,0))</f>
        <v>fr-FR</v>
      </c>
    </row>
    <row r="1668" spans="1:9" x14ac:dyDescent="0.15">
      <c r="A1668" t="str">
        <f t="shared" ref="A1668:B1668" si="2185">A1667</f>
        <v>フランス語</v>
      </c>
      <c r="B1668">
        <f t="shared" si="2185"/>
        <v>20</v>
      </c>
      <c r="C1668">
        <f t="shared" si="2140"/>
        <v>41</v>
      </c>
      <c r="D1668">
        <f>D1639</f>
        <v>5</v>
      </c>
      <c r="E1668" t="str">
        <f>VLOOKUP(D1668,name!A:B,2,1)</f>
        <v>Minako</v>
      </c>
      <c r="F1668" t="str">
        <f>F1639</f>
        <v>いつか日本に来てほしいです。</v>
      </c>
      <c r="G1668" t="str">
        <f t="shared" si="2184"/>
        <v>a</v>
      </c>
      <c r="H1668" t="str">
        <f>VLOOKUP(D1668,name!A:C,3,1)</f>
        <v>assets/icons/image086.png</v>
      </c>
      <c r="I1668" t="s">
        <v>463</v>
      </c>
    </row>
    <row r="1669" spans="1:9" x14ac:dyDescent="0.15">
      <c r="A1669" t="str">
        <f t="shared" ref="A1669:B1669" si="2186">A1668</f>
        <v>フランス語</v>
      </c>
      <c r="B1669">
        <f t="shared" si="2186"/>
        <v>20</v>
      </c>
      <c r="C1669">
        <f t="shared" si="2140"/>
        <v>42</v>
      </c>
      <c r="D1669">
        <f>D1640</f>
        <v>5</v>
      </c>
      <c r="E1669" t="str">
        <f>VLOOKUP(D1669,name!A:B,2,1)</f>
        <v>Minako</v>
      </c>
      <c r="F1669" t="str">
        <f>F1640</f>
        <v>Je souhaite que vous veniez au Japon un jour.</v>
      </c>
      <c r="G1669" t="str">
        <f t="shared" ref="G1669" si="2187">IF(B1669&lt;&gt;B1760,"e",IF(D1669=0,"q","a"))</f>
        <v>e</v>
      </c>
      <c r="H1669" t="str">
        <f>VLOOKUP(D1669,name!A:C,3,1)</f>
        <v>assets/icons/image086.png</v>
      </c>
      <c r="I1669" t="str">
        <f>IF(A1669="","",VLOOKUP(A1669,lng!A:B,2,0))</f>
        <v>fr-FR</v>
      </c>
    </row>
    <row r="1670" spans="1:9" x14ac:dyDescent="0.15">
      <c r="A1670" t="str">
        <f t="shared" ref="A1670:B1670" si="2188">A1669</f>
        <v>フランス語</v>
      </c>
      <c r="B1670">
        <f t="shared" si="2188"/>
        <v>20</v>
      </c>
      <c r="C1670">
        <f t="shared" si="2140"/>
        <v>43</v>
      </c>
      <c r="D1670">
        <v>0</v>
      </c>
      <c r="E1670" t="str">
        <f>VLOOKUP(D1670,name!A:B,2,1)</f>
        <v>Player</v>
      </c>
      <c r="F1670" t="str">
        <f>F1640</f>
        <v>Je souhaite que vous veniez au Japon un jour.</v>
      </c>
      <c r="G1670" t="str">
        <f t="shared" ref="G1670:G1717" si="2189">IF(B1670&lt;&gt;B1671,"e",IF(D1670=0,"q","a"))</f>
        <v>q</v>
      </c>
      <c r="H1670" t="str">
        <f>VLOOKUP(D1670,name!A:C,3,1)</f>
        <v>assets/icons/image326.png</v>
      </c>
      <c r="I1670" t="str">
        <f>IF(A1670="","",VLOOKUP(A1670,lng!A:B,2,0))</f>
        <v>fr-FR</v>
      </c>
    </row>
    <row r="1671" spans="1:9" x14ac:dyDescent="0.15">
      <c r="A1671" t="str">
        <f t="shared" ref="A1671:B1671" si="2190">A1670</f>
        <v>フランス語</v>
      </c>
      <c r="B1671">
        <f t="shared" si="2190"/>
        <v>20</v>
      </c>
      <c r="C1671">
        <f t="shared" si="2140"/>
        <v>44</v>
      </c>
      <c r="D1671">
        <f>D1641</f>
        <v>7</v>
      </c>
      <c r="E1671" t="str">
        <f>VLOOKUP(D1671,name!A:B,2,1)</f>
        <v>Luigi</v>
      </c>
      <c r="F1671" t="str">
        <f>F1641</f>
        <v>ぜひぜひ。</v>
      </c>
      <c r="G1671" t="str">
        <f t="shared" si="2189"/>
        <v>a</v>
      </c>
      <c r="H1671" t="str">
        <f>VLOOKUP(D1671,name!A:C,3,1)</f>
        <v>assets/icons/image023.png</v>
      </c>
      <c r="I1671" t="s">
        <v>463</v>
      </c>
    </row>
    <row r="1672" spans="1:9" x14ac:dyDescent="0.15">
      <c r="A1672" t="str">
        <f t="shared" ref="A1672:B1672" si="2191">A1671</f>
        <v>フランス語</v>
      </c>
      <c r="B1672">
        <f t="shared" si="2191"/>
        <v>20</v>
      </c>
      <c r="C1672">
        <f t="shared" si="2140"/>
        <v>45</v>
      </c>
      <c r="D1672">
        <f>D1642</f>
        <v>7</v>
      </c>
      <c r="E1672" t="str">
        <f>VLOOKUP(D1672,name!A:B,2,1)</f>
        <v>Luigi</v>
      </c>
      <c r="F1672" t="str">
        <f>F1642</f>
        <v xml:space="preserve">Oui, oui. </v>
      </c>
      <c r="G1672" t="str">
        <f t="shared" ref="G1672" si="2192">IF(B1672&lt;&gt;B1763,"e",IF(D1672=0,"q","a"))</f>
        <v>e</v>
      </c>
      <c r="H1672" t="str">
        <f>VLOOKUP(D1672,name!A:C,3,1)</f>
        <v>assets/icons/image023.png</v>
      </c>
      <c r="I1672" t="str">
        <f>IF(A1672="","",VLOOKUP(A1672,lng!A:B,2,0))</f>
        <v>fr-FR</v>
      </c>
    </row>
    <row r="1673" spans="1:9" x14ac:dyDescent="0.15">
      <c r="A1673" t="str">
        <f t="shared" ref="A1673:B1673" si="2193">A1672</f>
        <v>フランス語</v>
      </c>
      <c r="B1673">
        <f t="shared" si="2193"/>
        <v>20</v>
      </c>
      <c r="C1673">
        <f t="shared" si="2140"/>
        <v>46</v>
      </c>
      <c r="D1673">
        <v>0</v>
      </c>
      <c r="E1673" t="str">
        <f>VLOOKUP(D1673,name!A:B,2,1)</f>
        <v>Player</v>
      </c>
      <c r="F1673" t="str">
        <f>F1642</f>
        <v xml:space="preserve">Oui, oui. </v>
      </c>
      <c r="G1673" t="str">
        <f t="shared" ref="G1673:G1717" si="2194">IF(B1673&lt;&gt;B1674,"e",IF(D1673=0,"q","a"))</f>
        <v>q</v>
      </c>
      <c r="H1673" t="str">
        <f>VLOOKUP(D1673,name!A:C,3,1)</f>
        <v>assets/icons/image326.png</v>
      </c>
      <c r="I1673" t="str">
        <f>IF(A1673="","",VLOOKUP(A1673,lng!A:B,2,0))</f>
        <v>fr-FR</v>
      </c>
    </row>
    <row r="1674" spans="1:9" x14ac:dyDescent="0.15">
      <c r="A1674" t="str">
        <f t="shared" ref="A1674:B1674" si="2195">A1673</f>
        <v>フランス語</v>
      </c>
      <c r="B1674">
        <f t="shared" si="2195"/>
        <v>20</v>
      </c>
      <c r="C1674">
        <f t="shared" si="2140"/>
        <v>47</v>
      </c>
      <c r="D1674">
        <f>D1643</f>
        <v>7</v>
      </c>
      <c r="E1674" t="str">
        <f>VLOOKUP(D1674,name!A:B,2,1)</f>
        <v>Luigi</v>
      </c>
      <c r="F1674" t="str">
        <f>F1643</f>
        <v>美奈子にまた会うために一緒に日本に行きますよ。</v>
      </c>
      <c r="G1674" t="str">
        <f t="shared" si="2194"/>
        <v>a</v>
      </c>
      <c r="H1674" t="str">
        <f>VLOOKUP(D1674,name!A:C,3,1)</f>
        <v>assets/icons/image023.png</v>
      </c>
      <c r="I1674" t="s">
        <v>463</v>
      </c>
    </row>
    <row r="1675" spans="1:9" x14ac:dyDescent="0.15">
      <c r="A1675" t="str">
        <f t="shared" ref="A1675:B1675" si="2196">A1674</f>
        <v>フランス語</v>
      </c>
      <c r="B1675">
        <f t="shared" si="2196"/>
        <v>20</v>
      </c>
      <c r="C1675">
        <f t="shared" si="2140"/>
        <v>48</v>
      </c>
      <c r="D1675">
        <f>D1644</f>
        <v>7</v>
      </c>
      <c r="E1675" t="str">
        <f>VLOOKUP(D1675,name!A:B,2,1)</f>
        <v>Luigi</v>
      </c>
      <c r="F1675" t="str">
        <f>F1644</f>
        <v>Nous irons ensemble au Japon pour revoir Minako.</v>
      </c>
      <c r="G1675" t="str">
        <f t="shared" ref="G1675" si="2197">IF(B1675&lt;&gt;B1766,"e",IF(D1675=0,"q","a"))</f>
        <v>e</v>
      </c>
      <c r="H1675" t="str">
        <f>VLOOKUP(D1675,name!A:C,3,1)</f>
        <v>assets/icons/image023.png</v>
      </c>
      <c r="I1675" t="str">
        <f>IF(A1675="","",VLOOKUP(A1675,lng!A:B,2,0))</f>
        <v>fr-FR</v>
      </c>
    </row>
    <row r="1676" spans="1:9" x14ac:dyDescent="0.15">
      <c r="A1676" t="str">
        <f t="shared" ref="A1676:B1676" si="2198">A1675</f>
        <v>フランス語</v>
      </c>
      <c r="B1676">
        <f t="shared" si="2198"/>
        <v>20</v>
      </c>
      <c r="C1676">
        <f t="shared" si="2140"/>
        <v>49</v>
      </c>
      <c r="D1676">
        <v>0</v>
      </c>
      <c r="E1676" t="str">
        <f>VLOOKUP(D1676,name!A:B,2,1)</f>
        <v>Player</v>
      </c>
      <c r="F1676" t="str">
        <f>F1644</f>
        <v>Nous irons ensemble au Japon pour revoir Minako.</v>
      </c>
      <c r="G1676" t="str">
        <f t="shared" ref="G1676:G1717" si="2199">IF(B1676&lt;&gt;B1677,"e",IF(D1676=0,"q","a"))</f>
        <v>q</v>
      </c>
      <c r="H1676" t="str">
        <f>VLOOKUP(D1676,name!A:C,3,1)</f>
        <v>assets/icons/image326.png</v>
      </c>
      <c r="I1676" t="str">
        <f>IF(A1676="","",VLOOKUP(A1676,lng!A:B,2,0))</f>
        <v>fr-FR</v>
      </c>
    </row>
    <row r="1677" spans="1:9" x14ac:dyDescent="0.15">
      <c r="A1677" t="str">
        <f t="shared" ref="A1677:B1677" si="2200">A1676</f>
        <v>フランス語</v>
      </c>
      <c r="B1677">
        <f t="shared" si="2200"/>
        <v>20</v>
      </c>
      <c r="C1677">
        <f t="shared" si="2140"/>
        <v>50</v>
      </c>
      <c r="D1677">
        <f>D1645</f>
        <v>5</v>
      </c>
      <c r="E1677" t="str">
        <f>VLOOKUP(D1677,name!A:B,2,1)</f>
        <v>Minako</v>
      </c>
      <c r="F1677" t="str">
        <f>F1645</f>
        <v>約束ですよ。</v>
      </c>
      <c r="G1677" t="str">
        <f t="shared" si="2199"/>
        <v>a</v>
      </c>
      <c r="H1677" t="str">
        <f>VLOOKUP(D1677,name!A:C,3,1)</f>
        <v>assets/icons/image086.png</v>
      </c>
      <c r="I1677" t="s">
        <v>463</v>
      </c>
    </row>
    <row r="1678" spans="1:9" x14ac:dyDescent="0.15">
      <c r="A1678" t="str">
        <f t="shared" ref="A1678:B1678" si="2201">A1677</f>
        <v>フランス語</v>
      </c>
      <c r="B1678">
        <f t="shared" si="2201"/>
        <v>20</v>
      </c>
      <c r="C1678">
        <f t="shared" si="2140"/>
        <v>51</v>
      </c>
      <c r="D1678">
        <f>D1646</f>
        <v>5</v>
      </c>
      <c r="E1678" t="str">
        <f>VLOOKUP(D1678,name!A:B,2,1)</f>
        <v>Minako</v>
      </c>
      <c r="F1678" t="str">
        <f>F1646</f>
        <v xml:space="preserve">C'est promis. </v>
      </c>
      <c r="G1678" t="str">
        <f t="shared" ref="G1678" si="2202">IF(B1678&lt;&gt;B1769,"e",IF(D1678=0,"q","a"))</f>
        <v>e</v>
      </c>
      <c r="H1678" t="str">
        <f>VLOOKUP(D1678,name!A:C,3,1)</f>
        <v>assets/icons/image086.png</v>
      </c>
      <c r="I1678" t="str">
        <f>IF(A1678="","",VLOOKUP(A1678,lng!A:B,2,0))</f>
        <v>fr-FR</v>
      </c>
    </row>
    <row r="1679" spans="1:9" x14ac:dyDescent="0.15">
      <c r="A1679" t="str">
        <f t="shared" ref="A1679:B1679" si="2203">A1678</f>
        <v>フランス語</v>
      </c>
      <c r="B1679">
        <f t="shared" si="2203"/>
        <v>20</v>
      </c>
      <c r="C1679">
        <f t="shared" si="2140"/>
        <v>52</v>
      </c>
      <c r="D1679">
        <v>0</v>
      </c>
      <c r="E1679" t="str">
        <f>VLOOKUP(D1679,name!A:B,2,1)</f>
        <v>Player</v>
      </c>
      <c r="F1679" t="str">
        <f>F1646</f>
        <v xml:space="preserve">C'est promis. </v>
      </c>
      <c r="G1679" t="str">
        <f t="shared" ref="G1679:G1717" si="2204">IF(B1679&lt;&gt;B1680,"e",IF(D1679=0,"q","a"))</f>
        <v>q</v>
      </c>
      <c r="H1679" t="str">
        <f>VLOOKUP(D1679,name!A:C,3,1)</f>
        <v>assets/icons/image326.png</v>
      </c>
      <c r="I1679" t="str">
        <f>IF(A1679="","",VLOOKUP(A1679,lng!A:B,2,0))</f>
        <v>fr-FR</v>
      </c>
    </row>
    <row r="1680" spans="1:9" x14ac:dyDescent="0.15">
      <c r="A1680" t="str">
        <f t="shared" ref="A1680:B1680" si="2205">A1679</f>
        <v>フランス語</v>
      </c>
      <c r="B1680">
        <f t="shared" si="2205"/>
        <v>20</v>
      </c>
      <c r="C1680">
        <f t="shared" si="2140"/>
        <v>53</v>
      </c>
      <c r="D1680">
        <f>D1647</f>
        <v>5</v>
      </c>
      <c r="E1680" t="str">
        <f>VLOOKUP(D1680,name!A:B,2,1)</f>
        <v>Minako</v>
      </c>
      <c r="F1680" t="str">
        <f>F1647</f>
        <v>日本の美しさを見せてあげます。</v>
      </c>
      <c r="G1680" t="str">
        <f t="shared" si="2204"/>
        <v>a</v>
      </c>
      <c r="H1680" t="str">
        <f>VLOOKUP(D1680,name!A:C,3,1)</f>
        <v>assets/icons/image086.png</v>
      </c>
      <c r="I1680" t="s">
        <v>463</v>
      </c>
    </row>
    <row r="1681" spans="1:9" x14ac:dyDescent="0.15">
      <c r="A1681" t="str">
        <f t="shared" ref="A1681:B1681" si="2206">A1680</f>
        <v>フランス語</v>
      </c>
      <c r="B1681">
        <f t="shared" si="2206"/>
        <v>20</v>
      </c>
      <c r="C1681">
        <f t="shared" si="2140"/>
        <v>54</v>
      </c>
      <c r="D1681">
        <f>D1648</f>
        <v>5</v>
      </c>
      <c r="E1681" t="str">
        <f>VLOOKUP(D1681,name!A:B,2,1)</f>
        <v>Minako</v>
      </c>
      <c r="F1681" t="str">
        <f>F1648</f>
        <v>Je vous ferai découvrir les beautés du Japon.</v>
      </c>
      <c r="G1681" t="str">
        <f t="shared" ref="G1681" si="2207">IF(B1681&lt;&gt;B1772,"e",IF(D1681=0,"q","a"))</f>
        <v>e</v>
      </c>
      <c r="H1681" t="str">
        <f>VLOOKUP(D1681,name!A:C,3,1)</f>
        <v>assets/icons/image086.png</v>
      </c>
      <c r="I1681" t="str">
        <f>IF(A1681="","",VLOOKUP(A1681,lng!A:B,2,0))</f>
        <v>fr-FR</v>
      </c>
    </row>
    <row r="1682" spans="1:9" x14ac:dyDescent="0.15">
      <c r="A1682" t="str">
        <f t="shared" ref="A1682:B1682" si="2208">A1681</f>
        <v>フランス語</v>
      </c>
      <c r="B1682">
        <f t="shared" si="2208"/>
        <v>20</v>
      </c>
      <c r="C1682">
        <f t="shared" si="2140"/>
        <v>55</v>
      </c>
      <c r="D1682">
        <v>0</v>
      </c>
      <c r="E1682" t="str">
        <f>VLOOKUP(D1682,name!A:B,2,1)</f>
        <v>Player</v>
      </c>
      <c r="F1682" t="str">
        <f>F1648</f>
        <v>Je vous ferai découvrir les beautés du Japon.</v>
      </c>
      <c r="G1682" t="str">
        <f t="shared" ref="G1682:G1717" si="2209">IF(B1682&lt;&gt;B1683,"e",IF(D1682=0,"q","a"))</f>
        <v>q</v>
      </c>
      <c r="H1682" t="str">
        <f>VLOOKUP(D1682,name!A:C,3,1)</f>
        <v>assets/icons/image326.png</v>
      </c>
      <c r="I1682" t="str">
        <f>IF(A1682="","",VLOOKUP(A1682,lng!A:B,2,0))</f>
        <v>fr-FR</v>
      </c>
    </row>
    <row r="1683" spans="1:9" x14ac:dyDescent="0.15">
      <c r="A1683" t="str">
        <f t="shared" ref="A1683:B1683" si="2210">A1682</f>
        <v>フランス語</v>
      </c>
      <c r="B1683">
        <f t="shared" si="2210"/>
        <v>20</v>
      </c>
      <c r="C1683">
        <f t="shared" si="2140"/>
        <v>56</v>
      </c>
      <c r="D1683">
        <f>D1649</f>
        <v>6</v>
      </c>
      <c r="E1683" t="str">
        <f>VLOOKUP(D1683,name!A:B,2,1)</f>
        <v>Céline</v>
      </c>
      <c r="F1683" t="str">
        <f>F1649</f>
        <v>インターネットのおかげで、世界は近くなりました。</v>
      </c>
      <c r="G1683" t="str">
        <f t="shared" si="2209"/>
        <v>a</v>
      </c>
      <c r="H1683" t="str">
        <f>VLOOKUP(D1683,name!A:C,3,1)</f>
        <v>assets/icons/image078.png</v>
      </c>
      <c r="I1683" t="s">
        <v>463</v>
      </c>
    </row>
    <row r="1684" spans="1:9" x14ac:dyDescent="0.15">
      <c r="A1684" t="str">
        <f t="shared" ref="A1684:B1684" si="2211">A1683</f>
        <v>フランス語</v>
      </c>
      <c r="B1684">
        <f t="shared" si="2211"/>
        <v>20</v>
      </c>
      <c r="C1684">
        <f t="shared" si="2140"/>
        <v>57</v>
      </c>
      <c r="D1684">
        <f>D1650</f>
        <v>6</v>
      </c>
      <c r="E1684" t="str">
        <f>VLOOKUP(D1684,name!A:B,2,1)</f>
        <v>Céline</v>
      </c>
      <c r="F1684" t="str">
        <f>F1650</f>
        <v>Grâce à Internet, le monde est devenu petit.</v>
      </c>
      <c r="G1684" t="str">
        <f t="shared" ref="G1684" si="2212">IF(B1684&lt;&gt;B1775,"e",IF(D1684=0,"q","a"))</f>
        <v>e</v>
      </c>
      <c r="H1684" t="str">
        <f>VLOOKUP(D1684,name!A:C,3,1)</f>
        <v>assets/icons/image078.png</v>
      </c>
      <c r="I1684" t="str">
        <f>IF(A1684="","",VLOOKUP(A1684,lng!A:B,2,0))</f>
        <v>fr-FR</v>
      </c>
    </row>
    <row r="1685" spans="1:9" x14ac:dyDescent="0.15">
      <c r="A1685" t="str">
        <f t="shared" ref="A1685:B1685" si="2213">A1684</f>
        <v>フランス語</v>
      </c>
      <c r="B1685">
        <f t="shared" si="2213"/>
        <v>20</v>
      </c>
      <c r="C1685">
        <f t="shared" si="2140"/>
        <v>58</v>
      </c>
      <c r="D1685">
        <v>0</v>
      </c>
      <c r="E1685" t="str">
        <f>VLOOKUP(D1685,name!A:B,2,1)</f>
        <v>Player</v>
      </c>
      <c r="F1685" t="str">
        <f>F1650</f>
        <v>Grâce à Internet, le monde est devenu petit.</v>
      </c>
      <c r="G1685" t="str">
        <f t="shared" ref="G1685:G1717" si="2214">IF(B1685&lt;&gt;B1686,"e",IF(D1685=0,"q","a"))</f>
        <v>q</v>
      </c>
      <c r="H1685" t="str">
        <f>VLOOKUP(D1685,name!A:C,3,1)</f>
        <v>assets/icons/image326.png</v>
      </c>
      <c r="I1685" t="str">
        <f>IF(A1685="","",VLOOKUP(A1685,lng!A:B,2,0))</f>
        <v>fr-FR</v>
      </c>
    </row>
    <row r="1686" spans="1:9" x14ac:dyDescent="0.15">
      <c r="A1686" t="str">
        <f t="shared" ref="A1686:B1686" si="2215">A1685</f>
        <v>フランス語</v>
      </c>
      <c r="B1686">
        <f t="shared" si="2215"/>
        <v>20</v>
      </c>
      <c r="C1686">
        <f t="shared" si="2140"/>
        <v>59</v>
      </c>
      <c r="D1686">
        <f>D1651</f>
        <v>6</v>
      </c>
      <c r="E1686" t="str">
        <f>VLOOKUP(D1686,name!A:B,2,1)</f>
        <v>Céline</v>
      </c>
      <c r="F1686" t="str">
        <f>F1651</f>
        <v>私達に電子メールを送ってください。</v>
      </c>
      <c r="G1686" t="str">
        <f t="shared" si="2214"/>
        <v>a</v>
      </c>
      <c r="H1686" t="str">
        <f>VLOOKUP(D1686,name!A:C,3,1)</f>
        <v>assets/icons/image078.png</v>
      </c>
      <c r="I1686" t="s">
        <v>463</v>
      </c>
    </row>
    <row r="1687" spans="1:9" x14ac:dyDescent="0.15">
      <c r="A1687" t="str">
        <f t="shared" ref="A1687:B1687" si="2216">A1686</f>
        <v>フランス語</v>
      </c>
      <c r="B1687">
        <f t="shared" si="2216"/>
        <v>20</v>
      </c>
      <c r="C1687">
        <f t="shared" si="2140"/>
        <v>60</v>
      </c>
      <c r="D1687">
        <f>D1652</f>
        <v>6</v>
      </c>
      <c r="E1687" t="str">
        <f>VLOOKUP(D1687,name!A:B,2,1)</f>
        <v>Céline</v>
      </c>
      <c r="F1687" t="str">
        <f>F1652</f>
        <v>Envoie-nous des e-mails.</v>
      </c>
      <c r="G1687" t="str">
        <f t="shared" ref="G1687" si="2217">IF(B1687&lt;&gt;B1778,"e",IF(D1687=0,"q","a"))</f>
        <v>e</v>
      </c>
      <c r="H1687" t="str">
        <f>VLOOKUP(D1687,name!A:C,3,1)</f>
        <v>assets/icons/image078.png</v>
      </c>
      <c r="I1687" t="str">
        <f>IF(A1687="","",VLOOKUP(A1687,lng!A:B,2,0))</f>
        <v>fr-FR</v>
      </c>
    </row>
    <row r="1688" spans="1:9" x14ac:dyDescent="0.15">
      <c r="A1688" t="str">
        <f t="shared" ref="A1688:B1688" si="2218">A1687</f>
        <v>フランス語</v>
      </c>
      <c r="B1688">
        <f t="shared" si="2218"/>
        <v>20</v>
      </c>
      <c r="C1688">
        <f t="shared" si="2140"/>
        <v>61</v>
      </c>
      <c r="D1688">
        <v>0</v>
      </c>
      <c r="E1688" t="str">
        <f>VLOOKUP(D1688,name!A:B,2,1)</f>
        <v>Player</v>
      </c>
      <c r="F1688" t="str">
        <f>F1652</f>
        <v>Envoie-nous des e-mails.</v>
      </c>
      <c r="G1688" t="str">
        <f t="shared" ref="G1688:G1717" si="2219">IF(B1688&lt;&gt;B1689,"e",IF(D1688=0,"q","a"))</f>
        <v>q</v>
      </c>
      <c r="H1688" t="str">
        <f>VLOOKUP(D1688,name!A:C,3,1)</f>
        <v>assets/icons/image326.png</v>
      </c>
      <c r="I1688" t="str">
        <f>IF(A1688="","",VLOOKUP(A1688,lng!A:B,2,0))</f>
        <v>fr-FR</v>
      </c>
    </row>
    <row r="1689" spans="1:9" x14ac:dyDescent="0.15">
      <c r="A1689" t="str">
        <f t="shared" ref="A1689:B1689" si="2220">A1688</f>
        <v>フランス語</v>
      </c>
      <c r="B1689">
        <f t="shared" si="2220"/>
        <v>20</v>
      </c>
      <c r="C1689">
        <f t="shared" si="2140"/>
        <v>62</v>
      </c>
      <c r="D1689">
        <f>D1653</f>
        <v>5</v>
      </c>
      <c r="E1689" t="str">
        <f>VLOOKUP(D1689,name!A:B,2,1)</f>
        <v>Minako</v>
      </c>
      <c r="F1689" t="str">
        <f>F1653</f>
        <v>必ず送ります。</v>
      </c>
      <c r="G1689" t="str">
        <f t="shared" si="2219"/>
        <v>a</v>
      </c>
      <c r="H1689" t="str">
        <f>VLOOKUP(D1689,name!A:C,3,1)</f>
        <v>assets/icons/image086.png</v>
      </c>
      <c r="I1689" t="s">
        <v>463</v>
      </c>
    </row>
    <row r="1690" spans="1:9" x14ac:dyDescent="0.15">
      <c r="A1690" t="str">
        <f t="shared" ref="A1690:B1690" si="2221">A1689</f>
        <v>フランス語</v>
      </c>
      <c r="B1690">
        <f t="shared" si="2221"/>
        <v>20</v>
      </c>
      <c r="C1690">
        <f t="shared" si="2140"/>
        <v>63</v>
      </c>
      <c r="D1690">
        <f>D1654</f>
        <v>5</v>
      </c>
      <c r="E1690" t="str">
        <f>VLOOKUP(D1690,name!A:B,2,1)</f>
        <v>Minako</v>
      </c>
      <c r="F1690" t="str">
        <f>F1654</f>
        <v>Je n'y manquerai pas.</v>
      </c>
      <c r="G1690" t="str">
        <f t="shared" ref="G1690" si="2222">IF(B1690&lt;&gt;B1781,"e",IF(D1690=0,"q","a"))</f>
        <v>e</v>
      </c>
      <c r="H1690" t="str">
        <f>VLOOKUP(D1690,name!A:C,3,1)</f>
        <v>assets/icons/image086.png</v>
      </c>
      <c r="I1690" t="str">
        <f>IF(A1690="","",VLOOKUP(A1690,lng!A:B,2,0))</f>
        <v>fr-FR</v>
      </c>
    </row>
    <row r="1691" spans="1:9" x14ac:dyDescent="0.15">
      <c r="A1691" t="str">
        <f t="shared" ref="A1691:B1691" si="2223">A1690</f>
        <v>フランス語</v>
      </c>
      <c r="B1691">
        <f t="shared" si="2223"/>
        <v>20</v>
      </c>
      <c r="C1691">
        <f t="shared" si="2140"/>
        <v>64</v>
      </c>
      <c r="D1691">
        <v>0</v>
      </c>
      <c r="E1691" t="str">
        <f>VLOOKUP(D1691,name!A:B,2,1)</f>
        <v>Player</v>
      </c>
      <c r="F1691" t="str">
        <f>F1654</f>
        <v>Je n'y manquerai pas.</v>
      </c>
      <c r="G1691" t="str">
        <f t="shared" ref="G1691:G1717" si="2224">IF(B1691&lt;&gt;B1692,"e",IF(D1691=0,"q","a"))</f>
        <v>q</v>
      </c>
      <c r="H1691" t="str">
        <f>VLOOKUP(D1691,name!A:C,3,1)</f>
        <v>assets/icons/image326.png</v>
      </c>
      <c r="I1691" t="str">
        <f>IF(A1691="","",VLOOKUP(A1691,lng!A:B,2,0))</f>
        <v>fr-FR</v>
      </c>
    </row>
    <row r="1692" spans="1:9" x14ac:dyDescent="0.15">
      <c r="A1692" t="str">
        <f t="shared" ref="A1692:B1692" si="2225">A1691</f>
        <v>フランス語</v>
      </c>
      <c r="B1692">
        <f t="shared" si="2225"/>
        <v>20</v>
      </c>
      <c r="C1692">
        <f t="shared" si="2140"/>
        <v>65</v>
      </c>
      <c r="D1692">
        <v>1</v>
      </c>
      <c r="E1692" t="str">
        <f>VLOOKUP(D1692,name!A:B,2,1)</f>
        <v>Navigator</v>
      </c>
      <c r="F1692" t="str">
        <f>"次の日本語を"&amp;A1692&amp;"に訳して答えてね！"</f>
        <v>次の日本語をフランス語に訳して答えてね！</v>
      </c>
      <c r="G1692" t="str">
        <f t="shared" si="2224"/>
        <v>a</v>
      </c>
      <c r="H1692" t="str">
        <f>VLOOKUP(D1692,name!A:C,3,1)</f>
        <v>assets/icons/image014.png</v>
      </c>
      <c r="I1692" t="s">
        <v>463</v>
      </c>
    </row>
    <row r="1693" spans="1:9" x14ac:dyDescent="0.15">
      <c r="A1693" t="str">
        <f t="shared" ref="A1693:B1693" si="2226">A1692</f>
        <v>フランス語</v>
      </c>
      <c r="B1693">
        <f t="shared" si="2226"/>
        <v>20</v>
      </c>
      <c r="C1693">
        <f t="shared" si="2140"/>
        <v>66</v>
      </c>
      <c r="D1693">
        <f>D1631</f>
        <v>7</v>
      </c>
      <c r="E1693" t="str">
        <f>VLOOKUP(D1693,name!A:B,2,1)</f>
        <v>Luigi</v>
      </c>
      <c r="F1693" t="str">
        <f>F1631</f>
        <v>あなたは数日で帰る予定ですね。</v>
      </c>
      <c r="G1693" t="str">
        <f t="shared" ref="G1693" si="2227">IF(B1693&lt;&gt;B1784,"e",IF(D1693=0,"q","a"))</f>
        <v>e</v>
      </c>
      <c r="H1693" t="str">
        <f>VLOOKUP(D1693,name!A:C,3,1)</f>
        <v>assets/icons/image023.png</v>
      </c>
      <c r="I1693" t="s">
        <v>463</v>
      </c>
    </row>
    <row r="1694" spans="1:9" x14ac:dyDescent="0.15">
      <c r="A1694" t="str">
        <f t="shared" ref="A1694:B1694" si="2228">A1693</f>
        <v>フランス語</v>
      </c>
      <c r="B1694">
        <f t="shared" si="2228"/>
        <v>20</v>
      </c>
      <c r="C1694">
        <f t="shared" ref="C1694:C1717" si="2229">C1693+1</f>
        <v>67</v>
      </c>
      <c r="D1694">
        <v>0</v>
      </c>
      <c r="E1694" t="str">
        <f>VLOOKUP(D1694,name!A:B,2,1)</f>
        <v>Player</v>
      </c>
      <c r="F1694" t="str">
        <f>F1632</f>
        <v>Tu vas nous quitter dans quelques jours.</v>
      </c>
      <c r="G1694" t="str">
        <f t="shared" ref="G1694:G1717" si="2230">IF(B1694&lt;&gt;B1695,"e",IF(D1694=0,"q","a"))</f>
        <v>q</v>
      </c>
      <c r="H1694" t="str">
        <f>VLOOKUP(D1694,name!A:C,3,1)</f>
        <v>assets/icons/image326.png</v>
      </c>
      <c r="I1694" t="str">
        <f>IF(A1694="","",VLOOKUP(A1694,lng!A:B,2,0))</f>
        <v>fr-FR</v>
      </c>
    </row>
    <row r="1695" spans="1:9" x14ac:dyDescent="0.15">
      <c r="A1695" t="str">
        <f t="shared" ref="A1695:B1695" si="2231">A1694</f>
        <v>フランス語</v>
      </c>
      <c r="B1695">
        <f t="shared" si="2231"/>
        <v>20</v>
      </c>
      <c r="C1695">
        <f t="shared" si="2229"/>
        <v>68</v>
      </c>
      <c r="D1695">
        <f>D1633</f>
        <v>5</v>
      </c>
      <c r="E1695" t="str">
        <f>VLOOKUP(D1695,name!A:B,2,1)</f>
        <v>Minako</v>
      </c>
      <c r="F1695" t="str">
        <f>F1633</f>
        <v>はい、あなたたちが私のためにしてくれたすべてに感謝します。</v>
      </c>
      <c r="G1695" t="str">
        <f t="shared" si="2230"/>
        <v>a</v>
      </c>
      <c r="H1695" t="str">
        <f>VLOOKUP(D1695,name!A:C,3,1)</f>
        <v>assets/icons/image086.png</v>
      </c>
      <c r="I1695" t="s">
        <v>463</v>
      </c>
    </row>
    <row r="1696" spans="1:9" x14ac:dyDescent="0.15">
      <c r="A1696" t="str">
        <f t="shared" ref="A1696:B1696" si="2232">A1695</f>
        <v>フランス語</v>
      </c>
      <c r="B1696">
        <f t="shared" si="2232"/>
        <v>20</v>
      </c>
      <c r="C1696">
        <f t="shared" si="2229"/>
        <v>69</v>
      </c>
      <c r="D1696">
        <v>0</v>
      </c>
      <c r="E1696" t="str">
        <f>VLOOKUP(D1696,name!A:B,2,1)</f>
        <v>Player</v>
      </c>
      <c r="F1696" t="str">
        <f>F1634</f>
        <v>Oui, merci pour tout ce que vous avez fait pour moi.</v>
      </c>
      <c r="G1696" t="str">
        <f t="shared" ref="G1696" si="2233">IF(B1696&lt;&gt;B1787,"e",IF(D1696=0,"q","a"))</f>
        <v>e</v>
      </c>
      <c r="H1696" t="str">
        <f>VLOOKUP(D1696,name!A:C,3,1)</f>
        <v>assets/icons/image326.png</v>
      </c>
      <c r="I1696" t="str">
        <f>IF(A1696="","",VLOOKUP(A1696,lng!A:B,2,0))</f>
        <v>fr-FR</v>
      </c>
    </row>
    <row r="1697" spans="1:9" x14ac:dyDescent="0.15">
      <c r="A1697" t="str">
        <f t="shared" ref="A1697:B1697" si="2234">A1696</f>
        <v>フランス語</v>
      </c>
      <c r="B1697">
        <f t="shared" si="2234"/>
        <v>20</v>
      </c>
      <c r="C1697">
        <f t="shared" si="2229"/>
        <v>70</v>
      </c>
      <c r="D1697">
        <f>D1635</f>
        <v>6</v>
      </c>
      <c r="E1697" t="str">
        <f>VLOOKUP(D1697,name!A:B,2,1)</f>
        <v>Céline</v>
      </c>
      <c r="F1697" t="str">
        <f>F1635</f>
        <v>こんなに早く日本に帰らなくてはならないのは、残念です。</v>
      </c>
      <c r="G1697" t="str">
        <f t="shared" ref="G1697:G1717" si="2235">IF(B1697&lt;&gt;B1698,"e",IF(D1697=0,"q","a"))</f>
        <v>a</v>
      </c>
      <c r="H1697" t="str">
        <f>VLOOKUP(D1697,name!A:C,3,1)</f>
        <v>assets/icons/image078.png</v>
      </c>
      <c r="I1697" t="s">
        <v>463</v>
      </c>
    </row>
    <row r="1698" spans="1:9" x14ac:dyDescent="0.15">
      <c r="A1698" t="str">
        <f t="shared" ref="A1698:B1698" si="2236">A1697</f>
        <v>フランス語</v>
      </c>
      <c r="B1698">
        <f t="shared" si="2236"/>
        <v>20</v>
      </c>
      <c r="C1698">
        <f t="shared" si="2229"/>
        <v>71</v>
      </c>
      <c r="D1698">
        <v>0</v>
      </c>
      <c r="E1698" t="str">
        <f>VLOOKUP(D1698,name!A:B,2,1)</f>
        <v>Player</v>
      </c>
      <c r="F1698" t="str">
        <f>F1636</f>
        <v>Je regrette que tu doives retourner au Japon si tôt.</v>
      </c>
      <c r="G1698" t="str">
        <f t="shared" si="2235"/>
        <v>q</v>
      </c>
      <c r="H1698" t="str">
        <f>VLOOKUP(D1698,name!A:C,3,1)</f>
        <v>assets/icons/image326.png</v>
      </c>
      <c r="I1698" t="str">
        <f>IF(A1698="","",VLOOKUP(A1698,lng!A:B,2,0))</f>
        <v>fr-FR</v>
      </c>
    </row>
    <row r="1699" spans="1:9" x14ac:dyDescent="0.15">
      <c r="A1699" t="str">
        <f t="shared" ref="A1699:B1699" si="2237">A1698</f>
        <v>フランス語</v>
      </c>
      <c r="B1699">
        <f t="shared" si="2237"/>
        <v>20</v>
      </c>
      <c r="C1699">
        <f t="shared" si="2229"/>
        <v>72</v>
      </c>
      <c r="D1699">
        <f>D1637</f>
        <v>5</v>
      </c>
      <c r="E1699" t="str">
        <f>VLOOKUP(D1699,name!A:B,2,1)</f>
        <v>Minako</v>
      </c>
      <c r="F1699" t="str">
        <f>F1637</f>
        <v>私もそうです。</v>
      </c>
      <c r="G1699" t="str">
        <f t="shared" ref="G1699" si="2238">IF(B1699&lt;&gt;B1790,"e",IF(D1699=0,"q","a"))</f>
        <v>e</v>
      </c>
      <c r="H1699" t="str">
        <f>VLOOKUP(D1699,name!A:C,3,1)</f>
        <v>assets/icons/image086.png</v>
      </c>
      <c r="I1699" t="s">
        <v>463</v>
      </c>
    </row>
    <row r="1700" spans="1:9" x14ac:dyDescent="0.15">
      <c r="A1700" t="str">
        <f t="shared" ref="A1700:B1700" si="2239">A1699</f>
        <v>フランス語</v>
      </c>
      <c r="B1700">
        <f t="shared" si="2239"/>
        <v>20</v>
      </c>
      <c r="C1700">
        <f t="shared" si="2229"/>
        <v>73</v>
      </c>
      <c r="D1700">
        <v>0</v>
      </c>
      <c r="E1700" t="str">
        <f>VLOOKUP(D1700,name!A:B,2,1)</f>
        <v>Player</v>
      </c>
      <c r="F1700" t="str">
        <f>F1638</f>
        <v xml:space="preserve">Moi aussi. </v>
      </c>
      <c r="G1700" t="str">
        <f t="shared" ref="G1700:G1717" si="2240">IF(B1700&lt;&gt;B1701,"e",IF(D1700=0,"q","a"))</f>
        <v>q</v>
      </c>
      <c r="H1700" t="str">
        <f>VLOOKUP(D1700,name!A:C,3,1)</f>
        <v>assets/icons/image326.png</v>
      </c>
      <c r="I1700" t="str">
        <f>IF(A1700="","",VLOOKUP(A1700,lng!A:B,2,0))</f>
        <v>fr-FR</v>
      </c>
    </row>
    <row r="1701" spans="1:9" x14ac:dyDescent="0.15">
      <c r="A1701" t="str">
        <f t="shared" ref="A1701:B1701" si="2241">A1700</f>
        <v>フランス語</v>
      </c>
      <c r="B1701">
        <f t="shared" si="2241"/>
        <v>20</v>
      </c>
      <c r="C1701">
        <f t="shared" si="2229"/>
        <v>74</v>
      </c>
      <c r="D1701">
        <f>D1639</f>
        <v>5</v>
      </c>
      <c r="E1701" t="str">
        <f>VLOOKUP(D1701,name!A:B,2,1)</f>
        <v>Minako</v>
      </c>
      <c r="F1701" t="str">
        <f>F1639</f>
        <v>いつか日本に来てほしいです。</v>
      </c>
      <c r="G1701" t="str">
        <f t="shared" si="2240"/>
        <v>a</v>
      </c>
      <c r="H1701" t="str">
        <f>VLOOKUP(D1701,name!A:C,3,1)</f>
        <v>assets/icons/image086.png</v>
      </c>
      <c r="I1701" t="s">
        <v>463</v>
      </c>
    </row>
    <row r="1702" spans="1:9" x14ac:dyDescent="0.15">
      <c r="A1702" t="str">
        <f t="shared" ref="A1702:B1702" si="2242">A1701</f>
        <v>フランス語</v>
      </c>
      <c r="B1702">
        <f t="shared" si="2242"/>
        <v>20</v>
      </c>
      <c r="C1702">
        <f t="shared" si="2229"/>
        <v>75</v>
      </c>
      <c r="D1702">
        <v>0</v>
      </c>
      <c r="E1702" t="str">
        <f>VLOOKUP(D1702,name!A:B,2,1)</f>
        <v>Player</v>
      </c>
      <c r="F1702" t="str">
        <f>F1640</f>
        <v>Je souhaite que vous veniez au Japon un jour.</v>
      </c>
      <c r="G1702" t="str">
        <f t="shared" ref="G1702" si="2243">IF(B1702&lt;&gt;B1793,"e",IF(D1702=0,"q","a"))</f>
        <v>e</v>
      </c>
      <c r="H1702" t="str">
        <f>VLOOKUP(D1702,name!A:C,3,1)</f>
        <v>assets/icons/image326.png</v>
      </c>
      <c r="I1702" t="str">
        <f>IF(A1702="","",VLOOKUP(A1702,lng!A:B,2,0))</f>
        <v>fr-FR</v>
      </c>
    </row>
    <row r="1703" spans="1:9" x14ac:dyDescent="0.15">
      <c r="A1703" t="str">
        <f t="shared" ref="A1703:B1703" si="2244">A1702</f>
        <v>フランス語</v>
      </c>
      <c r="B1703">
        <f t="shared" si="2244"/>
        <v>20</v>
      </c>
      <c r="C1703">
        <f t="shared" si="2229"/>
        <v>76</v>
      </c>
      <c r="D1703">
        <f>D1641</f>
        <v>7</v>
      </c>
      <c r="E1703" t="str">
        <f>VLOOKUP(D1703,name!A:B,2,1)</f>
        <v>Luigi</v>
      </c>
      <c r="F1703" t="str">
        <f>F1641</f>
        <v>ぜひぜひ。</v>
      </c>
      <c r="G1703" t="str">
        <f t="shared" ref="G1703:G1717" si="2245">IF(B1703&lt;&gt;B1704,"e",IF(D1703=0,"q","a"))</f>
        <v>a</v>
      </c>
      <c r="H1703" t="str">
        <f>VLOOKUP(D1703,name!A:C,3,1)</f>
        <v>assets/icons/image023.png</v>
      </c>
      <c r="I1703" t="s">
        <v>463</v>
      </c>
    </row>
    <row r="1704" spans="1:9" x14ac:dyDescent="0.15">
      <c r="A1704" t="str">
        <f t="shared" ref="A1704:B1704" si="2246">A1703</f>
        <v>フランス語</v>
      </c>
      <c r="B1704">
        <f t="shared" si="2246"/>
        <v>20</v>
      </c>
      <c r="C1704">
        <f t="shared" si="2229"/>
        <v>77</v>
      </c>
      <c r="D1704">
        <v>0</v>
      </c>
      <c r="E1704" t="str">
        <f>VLOOKUP(D1704,name!A:B,2,1)</f>
        <v>Player</v>
      </c>
      <c r="F1704" t="str">
        <f>F1642</f>
        <v xml:space="preserve">Oui, oui. </v>
      </c>
      <c r="G1704" t="str">
        <f t="shared" si="2245"/>
        <v>q</v>
      </c>
      <c r="H1704" t="str">
        <f>VLOOKUP(D1704,name!A:C,3,1)</f>
        <v>assets/icons/image326.png</v>
      </c>
      <c r="I1704" t="str">
        <f>IF(A1704="","",VLOOKUP(A1704,lng!A:B,2,0))</f>
        <v>fr-FR</v>
      </c>
    </row>
    <row r="1705" spans="1:9" x14ac:dyDescent="0.15">
      <c r="A1705" t="str">
        <f t="shared" ref="A1705:B1705" si="2247">A1704</f>
        <v>フランス語</v>
      </c>
      <c r="B1705">
        <f t="shared" si="2247"/>
        <v>20</v>
      </c>
      <c r="C1705">
        <f t="shared" si="2229"/>
        <v>78</v>
      </c>
      <c r="D1705">
        <f>D1643</f>
        <v>7</v>
      </c>
      <c r="E1705" t="str">
        <f>VLOOKUP(D1705,name!A:B,2,1)</f>
        <v>Luigi</v>
      </c>
      <c r="F1705" t="str">
        <f>F1643</f>
        <v>美奈子にまた会うために一緒に日本に行きますよ。</v>
      </c>
      <c r="G1705" t="str">
        <f t="shared" ref="G1705" si="2248">IF(B1705&lt;&gt;B1796,"e",IF(D1705=0,"q","a"))</f>
        <v>e</v>
      </c>
      <c r="H1705" t="str">
        <f>VLOOKUP(D1705,name!A:C,3,1)</f>
        <v>assets/icons/image023.png</v>
      </c>
      <c r="I1705" t="s">
        <v>463</v>
      </c>
    </row>
    <row r="1706" spans="1:9" x14ac:dyDescent="0.15">
      <c r="A1706" t="str">
        <f t="shared" ref="A1706:B1706" si="2249">A1705</f>
        <v>フランス語</v>
      </c>
      <c r="B1706">
        <f t="shared" si="2249"/>
        <v>20</v>
      </c>
      <c r="C1706">
        <f t="shared" si="2229"/>
        <v>79</v>
      </c>
      <c r="D1706">
        <v>0</v>
      </c>
      <c r="E1706" t="str">
        <f>VLOOKUP(D1706,name!A:B,2,1)</f>
        <v>Player</v>
      </c>
      <c r="F1706" t="str">
        <f>F1644</f>
        <v>Nous irons ensemble au Japon pour revoir Minako.</v>
      </c>
      <c r="G1706" t="str">
        <f t="shared" ref="G1706:G1717" si="2250">IF(B1706&lt;&gt;B1707,"e",IF(D1706=0,"q","a"))</f>
        <v>q</v>
      </c>
      <c r="H1706" t="str">
        <f>VLOOKUP(D1706,name!A:C,3,1)</f>
        <v>assets/icons/image326.png</v>
      </c>
      <c r="I1706" t="str">
        <f>IF(A1706="","",VLOOKUP(A1706,lng!A:B,2,0))</f>
        <v>fr-FR</v>
      </c>
    </row>
    <row r="1707" spans="1:9" x14ac:dyDescent="0.15">
      <c r="A1707" t="str">
        <f t="shared" ref="A1707:B1707" si="2251">A1706</f>
        <v>フランス語</v>
      </c>
      <c r="B1707">
        <f t="shared" si="2251"/>
        <v>20</v>
      </c>
      <c r="C1707">
        <f t="shared" si="2229"/>
        <v>80</v>
      </c>
      <c r="D1707">
        <f>D1645</f>
        <v>5</v>
      </c>
      <c r="E1707" t="str">
        <f>VLOOKUP(D1707,name!A:B,2,1)</f>
        <v>Minako</v>
      </c>
      <c r="F1707" t="str">
        <f>F1645</f>
        <v>約束ですよ。</v>
      </c>
      <c r="G1707" t="str">
        <f t="shared" si="2250"/>
        <v>a</v>
      </c>
      <c r="H1707" t="str">
        <f>VLOOKUP(D1707,name!A:C,3,1)</f>
        <v>assets/icons/image086.png</v>
      </c>
      <c r="I1707" t="s">
        <v>463</v>
      </c>
    </row>
    <row r="1708" spans="1:9" x14ac:dyDescent="0.15">
      <c r="A1708" t="str">
        <f t="shared" ref="A1708:B1708" si="2252">A1707</f>
        <v>フランス語</v>
      </c>
      <c r="B1708">
        <f t="shared" si="2252"/>
        <v>20</v>
      </c>
      <c r="C1708">
        <f t="shared" si="2229"/>
        <v>81</v>
      </c>
      <c r="D1708">
        <v>0</v>
      </c>
      <c r="E1708" t="str">
        <f>VLOOKUP(D1708,name!A:B,2,1)</f>
        <v>Player</v>
      </c>
      <c r="F1708" t="str">
        <f>F1646</f>
        <v xml:space="preserve">C'est promis. </v>
      </c>
      <c r="G1708" t="str">
        <f t="shared" ref="G1708" si="2253">IF(B1708&lt;&gt;B1799,"e",IF(D1708=0,"q","a"))</f>
        <v>e</v>
      </c>
      <c r="H1708" t="str">
        <f>VLOOKUP(D1708,name!A:C,3,1)</f>
        <v>assets/icons/image326.png</v>
      </c>
      <c r="I1708" t="str">
        <f>IF(A1708="","",VLOOKUP(A1708,lng!A:B,2,0))</f>
        <v>fr-FR</v>
      </c>
    </row>
    <row r="1709" spans="1:9" x14ac:dyDescent="0.15">
      <c r="A1709" t="str">
        <f t="shared" ref="A1709:B1709" si="2254">A1708</f>
        <v>フランス語</v>
      </c>
      <c r="B1709">
        <f t="shared" si="2254"/>
        <v>20</v>
      </c>
      <c r="C1709">
        <f t="shared" si="2229"/>
        <v>82</v>
      </c>
      <c r="D1709">
        <f>D1647</f>
        <v>5</v>
      </c>
      <c r="E1709" t="str">
        <f>VLOOKUP(D1709,name!A:B,2,1)</f>
        <v>Minako</v>
      </c>
      <c r="F1709" t="str">
        <f>F1647</f>
        <v>日本の美しさを見せてあげます。</v>
      </c>
      <c r="G1709" t="str">
        <f t="shared" ref="G1709:G1717" si="2255">IF(B1709&lt;&gt;B1710,"e",IF(D1709=0,"q","a"))</f>
        <v>a</v>
      </c>
      <c r="H1709" t="str">
        <f>VLOOKUP(D1709,name!A:C,3,1)</f>
        <v>assets/icons/image086.png</v>
      </c>
      <c r="I1709" t="s">
        <v>463</v>
      </c>
    </row>
    <row r="1710" spans="1:9" x14ac:dyDescent="0.15">
      <c r="A1710" t="str">
        <f t="shared" ref="A1710:B1710" si="2256">A1709</f>
        <v>フランス語</v>
      </c>
      <c r="B1710">
        <f t="shared" si="2256"/>
        <v>20</v>
      </c>
      <c r="C1710">
        <f t="shared" si="2229"/>
        <v>83</v>
      </c>
      <c r="D1710">
        <v>0</v>
      </c>
      <c r="E1710" t="str">
        <f>VLOOKUP(D1710,name!A:B,2,1)</f>
        <v>Player</v>
      </c>
      <c r="F1710" t="str">
        <f>F1648</f>
        <v>Je vous ferai découvrir les beautés du Japon.</v>
      </c>
      <c r="G1710" t="str">
        <f t="shared" si="2255"/>
        <v>q</v>
      </c>
      <c r="H1710" t="str">
        <f>VLOOKUP(D1710,name!A:C,3,1)</f>
        <v>assets/icons/image326.png</v>
      </c>
      <c r="I1710" t="str">
        <f>IF(A1710="","",VLOOKUP(A1710,lng!A:B,2,0))</f>
        <v>fr-FR</v>
      </c>
    </row>
    <row r="1711" spans="1:9" x14ac:dyDescent="0.15">
      <c r="A1711" t="str">
        <f t="shared" ref="A1711:B1711" si="2257">A1710</f>
        <v>フランス語</v>
      </c>
      <c r="B1711">
        <f t="shared" si="2257"/>
        <v>20</v>
      </c>
      <c r="C1711">
        <f t="shared" si="2229"/>
        <v>84</v>
      </c>
      <c r="D1711">
        <f>D1649</f>
        <v>6</v>
      </c>
      <c r="E1711" t="str">
        <f>VLOOKUP(D1711,name!A:B,2,1)</f>
        <v>Céline</v>
      </c>
      <c r="F1711" t="str">
        <f>F1649</f>
        <v>インターネットのおかげで、世界は近くなりました。</v>
      </c>
      <c r="G1711" t="str">
        <f t="shared" ref="G1711" si="2258">IF(B1711&lt;&gt;B1802,"e",IF(D1711=0,"q","a"))</f>
        <v>e</v>
      </c>
      <c r="H1711" t="str">
        <f>VLOOKUP(D1711,name!A:C,3,1)</f>
        <v>assets/icons/image078.png</v>
      </c>
      <c r="I1711" t="s">
        <v>463</v>
      </c>
    </row>
    <row r="1712" spans="1:9" x14ac:dyDescent="0.15">
      <c r="A1712" t="str">
        <f t="shared" ref="A1712:B1712" si="2259">A1711</f>
        <v>フランス語</v>
      </c>
      <c r="B1712">
        <f t="shared" si="2259"/>
        <v>20</v>
      </c>
      <c r="C1712">
        <f t="shared" si="2229"/>
        <v>85</v>
      </c>
      <c r="D1712">
        <v>0</v>
      </c>
      <c r="E1712" t="str">
        <f>VLOOKUP(D1712,name!A:B,2,1)</f>
        <v>Player</v>
      </c>
      <c r="F1712" t="str">
        <f>F1650</f>
        <v>Grâce à Internet, le monde est devenu petit.</v>
      </c>
      <c r="G1712" t="str">
        <f t="shared" ref="G1712:G1717" si="2260">IF(B1712&lt;&gt;B1713,"e",IF(D1712=0,"q","a"))</f>
        <v>q</v>
      </c>
      <c r="H1712" t="str">
        <f>VLOOKUP(D1712,name!A:C,3,1)</f>
        <v>assets/icons/image326.png</v>
      </c>
      <c r="I1712" t="str">
        <f>IF(A1712="","",VLOOKUP(A1712,lng!A:B,2,0))</f>
        <v>fr-FR</v>
      </c>
    </row>
    <row r="1713" spans="1:9" x14ac:dyDescent="0.15">
      <c r="A1713" t="str">
        <f t="shared" ref="A1713:B1713" si="2261">A1712</f>
        <v>フランス語</v>
      </c>
      <c r="B1713">
        <f t="shared" si="2261"/>
        <v>20</v>
      </c>
      <c r="C1713">
        <f t="shared" si="2229"/>
        <v>86</v>
      </c>
      <c r="D1713">
        <f>D1651</f>
        <v>6</v>
      </c>
      <c r="E1713" t="str">
        <f>VLOOKUP(D1713,name!A:B,2,1)</f>
        <v>Céline</v>
      </c>
      <c r="F1713" t="str">
        <f>F1651</f>
        <v>私達に電子メールを送ってください。</v>
      </c>
      <c r="G1713" t="str">
        <f t="shared" si="2260"/>
        <v>a</v>
      </c>
      <c r="H1713" t="str">
        <f>VLOOKUP(D1713,name!A:C,3,1)</f>
        <v>assets/icons/image078.png</v>
      </c>
      <c r="I1713" t="s">
        <v>463</v>
      </c>
    </row>
    <row r="1714" spans="1:9" x14ac:dyDescent="0.15">
      <c r="A1714" t="str">
        <f t="shared" ref="A1714:B1714" si="2262">A1713</f>
        <v>フランス語</v>
      </c>
      <c r="B1714">
        <f t="shared" si="2262"/>
        <v>20</v>
      </c>
      <c r="C1714">
        <f t="shared" si="2229"/>
        <v>87</v>
      </c>
      <c r="D1714">
        <v>0</v>
      </c>
      <c r="E1714" t="str">
        <f>VLOOKUP(D1714,name!A:B,2,1)</f>
        <v>Player</v>
      </c>
      <c r="F1714" t="str">
        <f>F1652</f>
        <v>Envoie-nous des e-mails.</v>
      </c>
      <c r="G1714" t="str">
        <f t="shared" ref="G1714" si="2263">IF(B1714&lt;&gt;B1805,"e",IF(D1714=0,"q","a"))</f>
        <v>e</v>
      </c>
      <c r="H1714" t="str">
        <f>VLOOKUP(D1714,name!A:C,3,1)</f>
        <v>assets/icons/image326.png</v>
      </c>
      <c r="I1714" t="str">
        <f>IF(A1714="","",VLOOKUP(A1714,lng!A:B,2,0))</f>
        <v>fr-FR</v>
      </c>
    </row>
    <row r="1715" spans="1:9" x14ac:dyDescent="0.15">
      <c r="A1715" t="str">
        <f t="shared" ref="A1715:B1715" si="2264">A1714</f>
        <v>フランス語</v>
      </c>
      <c r="B1715">
        <f t="shared" si="2264"/>
        <v>20</v>
      </c>
      <c r="C1715">
        <f t="shared" si="2229"/>
        <v>88</v>
      </c>
      <c r="D1715">
        <f>D1653</f>
        <v>5</v>
      </c>
      <c r="E1715" t="str">
        <f>VLOOKUP(D1715,name!A:B,2,1)</f>
        <v>Minako</v>
      </c>
      <c r="F1715" t="str">
        <f>F1653</f>
        <v>必ず送ります。</v>
      </c>
      <c r="G1715" t="str">
        <f t="shared" ref="G1715:G1717" si="2265">IF(B1715&lt;&gt;B1716,"e",IF(D1715=0,"q","a"))</f>
        <v>a</v>
      </c>
      <c r="H1715" t="str">
        <f>VLOOKUP(D1715,name!A:C,3,1)</f>
        <v>assets/icons/image086.png</v>
      </c>
      <c r="I1715" t="s">
        <v>463</v>
      </c>
    </row>
    <row r="1716" spans="1:9" x14ac:dyDescent="0.15">
      <c r="A1716" t="str">
        <f t="shared" ref="A1716:B1716" si="2266">A1715</f>
        <v>フランス語</v>
      </c>
      <c r="B1716">
        <f t="shared" si="2266"/>
        <v>20</v>
      </c>
      <c r="C1716">
        <f t="shared" si="2229"/>
        <v>89</v>
      </c>
      <c r="D1716">
        <v>0</v>
      </c>
      <c r="E1716" t="str">
        <f>VLOOKUP(D1716,name!A:B,2,1)</f>
        <v>Player</v>
      </c>
      <c r="F1716" t="str">
        <f>F1654</f>
        <v>Je n'y manquerai pas.</v>
      </c>
      <c r="G1716" t="str">
        <f t="shared" si="2265"/>
        <v>q</v>
      </c>
      <c r="H1716" t="str">
        <f>VLOOKUP(D1716,name!A:C,3,1)</f>
        <v>assets/icons/image326.png</v>
      </c>
      <c r="I1716" t="str">
        <f>IF(A1716="","",VLOOKUP(A1716,lng!A:B,2,0))</f>
        <v>fr-FR</v>
      </c>
    </row>
    <row r="1717" spans="1:9" x14ac:dyDescent="0.15">
      <c r="A1717" t="str">
        <f t="shared" ref="A1717:B1717" si="2267">A1716</f>
        <v>フランス語</v>
      </c>
      <c r="B1717">
        <f t="shared" si="2267"/>
        <v>20</v>
      </c>
      <c r="C1717">
        <f t="shared" si="2229"/>
        <v>90</v>
      </c>
      <c r="D1717">
        <v>1</v>
      </c>
      <c r="E1717" t="str">
        <f>VLOOKUP(D1717,name!A:B,2,1)</f>
        <v>Navigator</v>
      </c>
      <c r="F1717" t="str">
        <f>"とても良くできました。レッスン"&amp;B1717&amp;"はこれで終了です。"</f>
        <v>とても良くできました。レッスン20はこれで終了です。</v>
      </c>
      <c r="G1717" t="str">
        <f t="shared" ref="G1717" si="2268">IF(B1717&lt;&gt;B1808,"e",IF(D1717=0,"q","a"))</f>
        <v>e</v>
      </c>
      <c r="H1717" t="str">
        <f>VLOOKUP(D1717,name!A:C,3,1)</f>
        <v>assets/icons/image014.png</v>
      </c>
      <c r="I1717" t="s">
        <v>463</v>
      </c>
    </row>
  </sheetData>
  <autoFilter ref="A1:L1"/>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597" operator="containsText" id="{354324D1-2780-4CFA-8138-08D349C6EA0B}">
            <xm:f>NOT(ISERROR(SEARCH(#REF!,G1)))</xm:f>
            <xm:f>#REF!</xm:f>
            <x14:dxf>
              <font>
                <color auto="1"/>
              </font>
              <fill>
                <patternFill>
                  <bgColor rgb="FFFFC000"/>
                </patternFill>
              </fill>
            </x14:dxf>
          </x14:cfRule>
          <xm:sqref>G1:I1 G1718:G1048576</xm:sqref>
        </x14:conditionalFormatting>
        <x14:conditionalFormatting xmlns:xm="http://schemas.microsoft.com/office/excel/2006/main">
          <x14:cfRule type="containsText" priority="21" operator="containsText" id="{8977EB25-31E2-4366-86AD-3C963B907965}">
            <xm:f>NOT(ISERROR(SEARCH($G$4,G2)))</xm:f>
            <xm:f>$G$4</xm:f>
            <x14:dxf>
              <font>
                <color auto="1"/>
              </font>
              <fill>
                <patternFill>
                  <bgColor rgb="FFFFC000"/>
                </patternFill>
              </fill>
            </x14:dxf>
          </x14:cfRule>
          <xm:sqref>G2:G111</xm:sqref>
        </x14:conditionalFormatting>
        <x14:conditionalFormatting xmlns:xm="http://schemas.microsoft.com/office/excel/2006/main">
          <x14:cfRule type="containsText" priority="19" operator="containsText" id="{E3D6C012-D238-4D51-90A5-3A19A2DAFB0D}">
            <xm:f>NOT(ISERROR(SEARCH($G$84,G112)))</xm:f>
            <xm:f>$G$84</xm:f>
            <x14:dxf>
              <font>
                <color auto="1"/>
              </font>
              <fill>
                <patternFill>
                  <bgColor rgb="FFFFC000"/>
                </patternFill>
              </fill>
            </x14:dxf>
          </x14:cfRule>
          <xm:sqref>G112:G173 G1559:G1627 G1629:G1630 G1632:G1633 G1635:G1636 G1638:G1639 G1641:G1642 G1644:G1645 G1647:G1648 G1650:G1651 G1653:G1654 G1656:G1657 G1659:G1660 G1662:G1663 G1665:G1666 G1668:G1669 G1671:G1672 G1674:G1675 G1677:G1678 G1680:G1681 G1683:G1684 G1686:G1687 G1689:G1690 G1692:G1693 G1695:G1696 G1698:G1699 G1701:G1702 G1704:G1705 G1707:G1708 G1710:G1711 G1713:G1714 G1716:G1717</xm:sqref>
        </x14:conditionalFormatting>
        <x14:conditionalFormatting xmlns:xm="http://schemas.microsoft.com/office/excel/2006/main">
          <x14:cfRule type="containsText" priority="18" operator="containsText" id="{E24369F3-822E-4091-9709-26F3F3E1ADF2}">
            <xm:f>NOT(ISERROR(SEARCH(templete!$G$84,templete!G174)))</xm:f>
            <xm:f>templete!$G$84</xm:f>
            <x14:dxf>
              <font>
                <color auto="1"/>
              </font>
              <fill>
                <patternFill>
                  <bgColor rgb="FFFFC000"/>
                </patternFill>
              </fill>
            </x14:dxf>
          </x14:cfRule>
          <xm:sqref>G174:G237 G1628 G1631 G1634 G1637 G1640 G1643 G1646 G1649 G1652 G1655 G1658 G1661 G1664 G1667 G1670 G1673 G1676 G1679 G1682 G1685 G1688 G1691 G1694 G1697 G1700 G1703 G1706 G1709 G1712 G1715 G250:G1558</xm:sqref>
        </x14:conditionalFormatting>
        <x14:conditionalFormatting xmlns:xm="http://schemas.microsoft.com/office/excel/2006/main">
          <x14:cfRule type="containsText" priority="602" operator="containsText" id="{E24369F3-822E-4091-9709-26F3F3E1ADF2}">
            <xm:f>NOT(ISERROR(SEARCH(templete!$G$84,templete!G388)))</xm:f>
            <xm:f>templete!$G$84</xm:f>
            <x14:dxf>
              <font>
                <color auto="1"/>
              </font>
              <fill>
                <patternFill>
                  <bgColor rgb="FFFFC000"/>
                </patternFill>
              </fill>
            </x14:dxf>
          </x14:cfRule>
          <xm:sqref>G238:G249</xm:sqref>
        </x14:conditionalFormatting>
        <x14:conditionalFormatting xmlns:xm="http://schemas.microsoft.com/office/excel/2006/main">
          <x14:cfRule type="containsText" priority="3" operator="containsText" id="{1ADDA1D0-B9B7-4C21-A8D1-E47BD19B79A3}">
            <xm:f>NOT(ISERROR(SEARCH($I$2,I1)))</xm:f>
            <xm:f>$I$2</xm:f>
            <x14:dxf>
              <fill>
                <patternFill>
                  <bgColor rgb="FFFFC000"/>
                </patternFill>
              </fill>
            </x14:dxf>
          </x14:cfRule>
          <xm:sqref>I1:I1558 I1718:I1048576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H134"/>
  <sheetViews>
    <sheetView workbookViewId="0">
      <selection activeCell="C15" sqref="C15"/>
    </sheetView>
  </sheetViews>
  <sheetFormatPr defaultRowHeight="13.5" x14ac:dyDescent="0.15"/>
  <sheetData>
    <row r="2" spans="1:8" x14ac:dyDescent="0.15">
      <c r="A2" t="s">
        <v>83</v>
      </c>
      <c r="B2" t="s">
        <v>444</v>
      </c>
      <c r="F2" t="s">
        <v>95</v>
      </c>
      <c r="G2" t="s">
        <v>96</v>
      </c>
      <c r="H2" t="s">
        <v>97</v>
      </c>
    </row>
    <row r="3" spans="1:8" x14ac:dyDescent="0.15">
      <c r="A3" t="s">
        <v>82</v>
      </c>
      <c r="B3" t="s">
        <v>445</v>
      </c>
      <c r="F3" t="s">
        <v>98</v>
      </c>
      <c r="G3" t="s">
        <v>99</v>
      </c>
      <c r="H3" t="s">
        <v>100</v>
      </c>
    </row>
    <row r="4" spans="1:8" x14ac:dyDescent="0.15">
      <c r="A4" t="s">
        <v>84</v>
      </c>
      <c r="B4" t="s">
        <v>446</v>
      </c>
      <c r="F4" t="s">
        <v>101</v>
      </c>
      <c r="G4" t="s">
        <v>102</v>
      </c>
      <c r="H4" t="s">
        <v>103</v>
      </c>
    </row>
    <row r="5" spans="1:8" x14ac:dyDescent="0.15">
      <c r="A5" t="s">
        <v>85</v>
      </c>
      <c r="B5" t="s">
        <v>143</v>
      </c>
      <c r="F5" t="s">
        <v>88</v>
      </c>
      <c r="G5" t="s">
        <v>104</v>
      </c>
      <c r="H5" t="s">
        <v>105</v>
      </c>
    </row>
    <row r="6" spans="1:8" x14ac:dyDescent="0.15">
      <c r="A6" t="s">
        <v>86</v>
      </c>
      <c r="B6" t="s">
        <v>447</v>
      </c>
      <c r="F6" t="s">
        <v>106</v>
      </c>
      <c r="G6" t="s">
        <v>107</v>
      </c>
      <c r="H6" t="s">
        <v>108</v>
      </c>
    </row>
    <row r="7" spans="1:8" x14ac:dyDescent="0.15">
      <c r="A7" t="s">
        <v>87</v>
      </c>
      <c r="B7" t="s">
        <v>391</v>
      </c>
      <c r="F7" t="s">
        <v>109</v>
      </c>
      <c r="G7" t="s">
        <v>110</v>
      </c>
      <c r="H7" t="s">
        <v>113</v>
      </c>
    </row>
    <row r="8" spans="1:8" x14ac:dyDescent="0.15">
      <c r="A8" t="s">
        <v>88</v>
      </c>
      <c r="B8" t="s">
        <v>105</v>
      </c>
      <c r="G8" t="s">
        <v>111</v>
      </c>
    </row>
    <row r="9" spans="1:8" x14ac:dyDescent="0.15">
      <c r="A9" t="s">
        <v>89</v>
      </c>
      <c r="B9" t="s">
        <v>448</v>
      </c>
      <c r="G9" t="s">
        <v>112</v>
      </c>
    </row>
    <row r="10" spans="1:8" x14ac:dyDescent="0.15">
      <c r="A10" t="s">
        <v>90</v>
      </c>
      <c r="B10" t="s">
        <v>250</v>
      </c>
      <c r="F10" t="s">
        <v>421</v>
      </c>
      <c r="G10" t="s">
        <v>114</v>
      </c>
      <c r="H10" t="s">
        <v>115</v>
      </c>
    </row>
    <row r="11" spans="1:8" x14ac:dyDescent="0.15">
      <c r="F11" t="s">
        <v>116</v>
      </c>
      <c r="G11" t="s">
        <v>117</v>
      </c>
      <c r="H11" t="s">
        <v>118</v>
      </c>
    </row>
    <row r="12" spans="1:8" x14ac:dyDescent="0.15">
      <c r="F12" t="s">
        <v>119</v>
      </c>
      <c r="G12" t="s">
        <v>120</v>
      </c>
      <c r="H12" t="s">
        <v>121</v>
      </c>
    </row>
    <row r="13" spans="1:8" x14ac:dyDescent="0.15">
      <c r="F13" t="s">
        <v>122</v>
      </c>
      <c r="G13" t="s">
        <v>123</v>
      </c>
      <c r="H13" t="s">
        <v>124</v>
      </c>
    </row>
    <row r="14" spans="1:8" x14ac:dyDescent="0.15">
      <c r="F14" t="s">
        <v>125</v>
      </c>
      <c r="G14" t="s">
        <v>126</v>
      </c>
      <c r="H14" t="s">
        <v>127</v>
      </c>
    </row>
    <row r="15" spans="1:8" x14ac:dyDescent="0.15">
      <c r="F15" t="s">
        <v>128</v>
      </c>
      <c r="G15" t="s">
        <v>129</v>
      </c>
      <c r="H15" t="s">
        <v>130</v>
      </c>
    </row>
    <row r="16" spans="1:8" x14ac:dyDescent="0.15">
      <c r="F16" t="s">
        <v>131</v>
      </c>
      <c r="G16" t="s">
        <v>133</v>
      </c>
      <c r="H16" t="s">
        <v>135</v>
      </c>
    </row>
    <row r="17" spans="6:8" x14ac:dyDescent="0.15">
      <c r="F17" t="s">
        <v>132</v>
      </c>
      <c r="G17" t="s">
        <v>134</v>
      </c>
    </row>
    <row r="18" spans="6:8" x14ac:dyDescent="0.15">
      <c r="F18" t="s">
        <v>136</v>
      </c>
      <c r="G18" t="s">
        <v>137</v>
      </c>
      <c r="H18" t="s">
        <v>139</v>
      </c>
    </row>
    <row r="19" spans="6:8" x14ac:dyDescent="0.15">
      <c r="G19" t="s">
        <v>138</v>
      </c>
    </row>
    <row r="20" spans="6:8" x14ac:dyDescent="0.15">
      <c r="F20" t="s">
        <v>85</v>
      </c>
      <c r="G20" t="s">
        <v>140</v>
      </c>
      <c r="H20" t="s">
        <v>94</v>
      </c>
    </row>
    <row r="21" spans="6:8" x14ac:dyDescent="0.15">
      <c r="F21" t="s">
        <v>141</v>
      </c>
      <c r="G21" t="s">
        <v>142</v>
      </c>
      <c r="H21" t="s">
        <v>143</v>
      </c>
    </row>
    <row r="22" spans="6:8" x14ac:dyDescent="0.15">
      <c r="F22" t="s">
        <v>144</v>
      </c>
      <c r="G22" t="s">
        <v>145</v>
      </c>
      <c r="H22" t="s">
        <v>146</v>
      </c>
    </row>
    <row r="23" spans="6:8" x14ac:dyDescent="0.15">
      <c r="F23" t="s">
        <v>147</v>
      </c>
      <c r="G23" t="s">
        <v>148</v>
      </c>
      <c r="H23" t="s">
        <v>150</v>
      </c>
    </row>
    <row r="24" spans="6:8" x14ac:dyDescent="0.15">
      <c r="G24" t="s">
        <v>149</v>
      </c>
    </row>
    <row r="25" spans="6:8" x14ac:dyDescent="0.15">
      <c r="F25" t="s">
        <v>151</v>
      </c>
      <c r="G25" t="s">
        <v>152</v>
      </c>
      <c r="H25" t="s">
        <v>153</v>
      </c>
    </row>
    <row r="26" spans="6:8" x14ac:dyDescent="0.15">
      <c r="F26" t="s">
        <v>154</v>
      </c>
      <c r="G26" t="s">
        <v>155</v>
      </c>
      <c r="H26" t="s">
        <v>157</v>
      </c>
    </row>
    <row r="27" spans="6:8" x14ac:dyDescent="0.15">
      <c r="G27" t="s">
        <v>156</v>
      </c>
    </row>
    <row r="28" spans="6:8" x14ac:dyDescent="0.15">
      <c r="F28" t="s">
        <v>158</v>
      </c>
      <c r="G28" t="s">
        <v>159</v>
      </c>
      <c r="H28" t="s">
        <v>160</v>
      </c>
    </row>
    <row r="29" spans="6:8" x14ac:dyDescent="0.15">
      <c r="F29" t="s">
        <v>161</v>
      </c>
      <c r="G29" t="s">
        <v>162</v>
      </c>
      <c r="H29" t="s">
        <v>163</v>
      </c>
    </row>
    <row r="30" spans="6:8" x14ac:dyDescent="0.15">
      <c r="F30" t="s">
        <v>83</v>
      </c>
      <c r="G30" t="s">
        <v>164</v>
      </c>
      <c r="H30" t="s">
        <v>91</v>
      </c>
    </row>
    <row r="31" spans="6:8" x14ac:dyDescent="0.15">
      <c r="F31" t="s">
        <v>165</v>
      </c>
      <c r="G31" t="s">
        <v>166</v>
      </c>
      <c r="H31" t="s">
        <v>167</v>
      </c>
    </row>
    <row r="32" spans="6:8" x14ac:dyDescent="0.15">
      <c r="F32" t="s">
        <v>168</v>
      </c>
      <c r="G32" t="s">
        <v>169</v>
      </c>
      <c r="H32" t="s">
        <v>170</v>
      </c>
    </row>
    <row r="33" spans="6:8" x14ac:dyDescent="0.15">
      <c r="F33" t="s">
        <v>89</v>
      </c>
      <c r="G33" t="s">
        <v>171</v>
      </c>
      <c r="H33" t="s">
        <v>173</v>
      </c>
    </row>
    <row r="34" spans="6:8" x14ac:dyDescent="0.15">
      <c r="G34" t="s">
        <v>172</v>
      </c>
    </row>
    <row r="35" spans="6:8" x14ac:dyDescent="0.15">
      <c r="F35" t="s">
        <v>84</v>
      </c>
      <c r="G35" t="s">
        <v>174</v>
      </c>
      <c r="H35" t="s">
        <v>93</v>
      </c>
    </row>
    <row r="36" spans="6:8" x14ac:dyDescent="0.15">
      <c r="F36" t="s">
        <v>175</v>
      </c>
      <c r="G36" t="s">
        <v>176</v>
      </c>
      <c r="H36" t="s">
        <v>177</v>
      </c>
    </row>
    <row r="37" spans="6:8" x14ac:dyDescent="0.15">
      <c r="F37" t="s">
        <v>178</v>
      </c>
      <c r="G37" t="s">
        <v>179</v>
      </c>
      <c r="H37" t="s">
        <v>180</v>
      </c>
    </row>
    <row r="38" spans="6:8" x14ac:dyDescent="0.15">
      <c r="F38" t="s">
        <v>82</v>
      </c>
      <c r="G38" t="s">
        <v>181</v>
      </c>
      <c r="H38" t="s">
        <v>92</v>
      </c>
    </row>
    <row r="39" spans="6:8" x14ac:dyDescent="0.15">
      <c r="F39" t="s">
        <v>182</v>
      </c>
      <c r="G39" t="s">
        <v>183</v>
      </c>
      <c r="H39" t="s">
        <v>184</v>
      </c>
    </row>
    <row r="40" spans="6:8" x14ac:dyDescent="0.15">
      <c r="F40" t="s">
        <v>185</v>
      </c>
      <c r="G40" t="s">
        <v>186</v>
      </c>
      <c r="H40" t="s">
        <v>187</v>
      </c>
    </row>
    <row r="41" spans="6:8" x14ac:dyDescent="0.15">
      <c r="F41" t="s">
        <v>188</v>
      </c>
      <c r="G41" t="s">
        <v>189</v>
      </c>
      <c r="H41" t="s">
        <v>190</v>
      </c>
    </row>
    <row r="42" spans="6:8" x14ac:dyDescent="0.15">
      <c r="F42" t="s">
        <v>191</v>
      </c>
      <c r="G42" t="s">
        <v>192</v>
      </c>
      <c r="H42" t="s">
        <v>194</v>
      </c>
    </row>
    <row r="43" spans="6:8" x14ac:dyDescent="0.15">
      <c r="G43" t="s">
        <v>193</v>
      </c>
    </row>
    <row r="44" spans="6:8" x14ac:dyDescent="0.15">
      <c r="F44" t="s">
        <v>195</v>
      </c>
      <c r="G44" t="s">
        <v>196</v>
      </c>
      <c r="H44" t="s">
        <v>197</v>
      </c>
    </row>
    <row r="45" spans="6:8" x14ac:dyDescent="0.15">
      <c r="F45" t="s">
        <v>198</v>
      </c>
      <c r="G45" t="s">
        <v>199</v>
      </c>
      <c r="H45" t="s">
        <v>200</v>
      </c>
    </row>
    <row r="46" spans="6:8" x14ac:dyDescent="0.15">
      <c r="F46" t="s">
        <v>201</v>
      </c>
      <c r="G46" t="s">
        <v>202</v>
      </c>
      <c r="H46" t="s">
        <v>203</v>
      </c>
    </row>
    <row r="47" spans="6:8" x14ac:dyDescent="0.15">
      <c r="F47" t="s">
        <v>204</v>
      </c>
      <c r="G47" t="s">
        <v>205</v>
      </c>
      <c r="H47" t="s">
        <v>206</v>
      </c>
    </row>
    <row r="48" spans="6:8" x14ac:dyDescent="0.15">
      <c r="F48" t="s">
        <v>207</v>
      </c>
      <c r="G48" t="s">
        <v>208</v>
      </c>
      <c r="H48" t="s">
        <v>209</v>
      </c>
    </row>
    <row r="49" spans="6:8" x14ac:dyDescent="0.15">
      <c r="F49" t="s">
        <v>210</v>
      </c>
      <c r="G49" t="s">
        <v>211</v>
      </c>
      <c r="H49" t="s">
        <v>212</v>
      </c>
    </row>
    <row r="50" spans="6:8" x14ac:dyDescent="0.15">
      <c r="F50" t="s">
        <v>213</v>
      </c>
      <c r="G50" t="s">
        <v>214</v>
      </c>
      <c r="H50" t="s">
        <v>215</v>
      </c>
    </row>
    <row r="51" spans="6:8" x14ac:dyDescent="0.15">
      <c r="F51" t="s">
        <v>216</v>
      </c>
      <c r="G51" t="s">
        <v>217</v>
      </c>
      <c r="H51" t="s">
        <v>218</v>
      </c>
    </row>
    <row r="52" spans="6:8" x14ac:dyDescent="0.15">
      <c r="F52" t="s">
        <v>219</v>
      </c>
      <c r="G52" t="s">
        <v>219</v>
      </c>
      <c r="H52" t="s">
        <v>220</v>
      </c>
    </row>
    <row r="53" spans="6:8" x14ac:dyDescent="0.15">
      <c r="F53" t="s">
        <v>221</v>
      </c>
      <c r="G53" t="s">
        <v>222</v>
      </c>
      <c r="H53" t="s">
        <v>224</v>
      </c>
    </row>
    <row r="54" spans="6:8" x14ac:dyDescent="0.15">
      <c r="G54" t="s">
        <v>223</v>
      </c>
    </row>
    <row r="55" spans="6:8" x14ac:dyDescent="0.15">
      <c r="F55" t="s">
        <v>225</v>
      </c>
      <c r="G55" t="s">
        <v>226</v>
      </c>
      <c r="H55" t="s">
        <v>227</v>
      </c>
    </row>
    <row r="56" spans="6:8" x14ac:dyDescent="0.15">
      <c r="F56" t="s">
        <v>228</v>
      </c>
      <c r="G56" t="s">
        <v>229</v>
      </c>
      <c r="H56" t="s">
        <v>232</v>
      </c>
    </row>
    <row r="57" spans="6:8" x14ac:dyDescent="0.15">
      <c r="G57" t="s">
        <v>230</v>
      </c>
    </row>
    <row r="58" spans="6:8" x14ac:dyDescent="0.15">
      <c r="G58" t="s">
        <v>231</v>
      </c>
    </row>
    <row r="59" spans="6:8" x14ac:dyDescent="0.15">
      <c r="F59" t="s">
        <v>233</v>
      </c>
      <c r="G59" t="s">
        <v>234</v>
      </c>
      <c r="H59" t="s">
        <v>235</v>
      </c>
    </row>
    <row r="60" spans="6:8" x14ac:dyDescent="0.15">
      <c r="F60" t="s">
        <v>236</v>
      </c>
      <c r="G60" t="s">
        <v>237</v>
      </c>
      <c r="H60" t="s">
        <v>240</v>
      </c>
    </row>
    <row r="61" spans="6:8" x14ac:dyDescent="0.15">
      <c r="G61" t="s">
        <v>238</v>
      </c>
    </row>
    <row r="62" spans="6:8" x14ac:dyDescent="0.15">
      <c r="G62" t="s">
        <v>239</v>
      </c>
    </row>
    <row r="63" spans="6:8" x14ac:dyDescent="0.15">
      <c r="F63" t="s">
        <v>241</v>
      </c>
      <c r="G63" t="s">
        <v>242</v>
      </c>
      <c r="H63" t="s">
        <v>244</v>
      </c>
    </row>
    <row r="64" spans="6:8" x14ac:dyDescent="0.15">
      <c r="G64" t="s">
        <v>243</v>
      </c>
    </row>
    <row r="65" spans="6:8" x14ac:dyDescent="0.15">
      <c r="F65" t="s">
        <v>245</v>
      </c>
      <c r="G65" t="s">
        <v>246</v>
      </c>
      <c r="H65" t="s">
        <v>248</v>
      </c>
    </row>
    <row r="66" spans="6:8" x14ac:dyDescent="0.15">
      <c r="G66" t="s">
        <v>247</v>
      </c>
    </row>
    <row r="67" spans="6:8" x14ac:dyDescent="0.15">
      <c r="F67" t="s">
        <v>90</v>
      </c>
      <c r="G67" t="s">
        <v>249</v>
      </c>
      <c r="H67" t="s">
        <v>250</v>
      </c>
    </row>
    <row r="68" spans="6:8" x14ac:dyDescent="0.15">
      <c r="F68" t="s">
        <v>251</v>
      </c>
      <c r="G68" t="s">
        <v>252</v>
      </c>
      <c r="H68" t="s">
        <v>253</v>
      </c>
    </row>
    <row r="69" spans="6:8" x14ac:dyDescent="0.15">
      <c r="F69" t="s">
        <v>254</v>
      </c>
      <c r="G69" t="s">
        <v>255</v>
      </c>
      <c r="H69" t="s">
        <v>256</v>
      </c>
    </row>
    <row r="70" spans="6:8" x14ac:dyDescent="0.15">
      <c r="F70" t="s">
        <v>257</v>
      </c>
      <c r="G70" t="s">
        <v>258</v>
      </c>
      <c r="H70" t="s">
        <v>259</v>
      </c>
    </row>
    <row r="71" spans="6:8" x14ac:dyDescent="0.15">
      <c r="F71" t="s">
        <v>260</v>
      </c>
      <c r="G71" t="s">
        <v>261</v>
      </c>
      <c r="H71" t="s">
        <v>262</v>
      </c>
    </row>
    <row r="72" spans="6:8" x14ac:dyDescent="0.15">
      <c r="F72" t="s">
        <v>263</v>
      </c>
      <c r="G72" t="s">
        <v>264</v>
      </c>
      <c r="H72" t="s">
        <v>265</v>
      </c>
    </row>
    <row r="73" spans="6:8" x14ac:dyDescent="0.15">
      <c r="F73" t="s">
        <v>266</v>
      </c>
      <c r="G73" t="s">
        <v>267</v>
      </c>
      <c r="H73" t="s">
        <v>268</v>
      </c>
    </row>
    <row r="74" spans="6:8" x14ac:dyDescent="0.15">
      <c r="F74" t="s">
        <v>269</v>
      </c>
      <c r="G74" t="s">
        <v>270</v>
      </c>
      <c r="H74" t="s">
        <v>272</v>
      </c>
    </row>
    <row r="75" spans="6:8" x14ac:dyDescent="0.15">
      <c r="G75" t="s">
        <v>271</v>
      </c>
    </row>
    <row r="76" spans="6:8" x14ac:dyDescent="0.15">
      <c r="F76" t="s">
        <v>273</v>
      </c>
      <c r="G76" t="s">
        <v>274</v>
      </c>
      <c r="H76" t="s">
        <v>275</v>
      </c>
    </row>
    <row r="77" spans="6:8" x14ac:dyDescent="0.15">
      <c r="F77" t="s">
        <v>276</v>
      </c>
      <c r="G77" t="s">
        <v>277</v>
      </c>
      <c r="H77" t="s">
        <v>278</v>
      </c>
    </row>
    <row r="78" spans="6:8" x14ac:dyDescent="0.15">
      <c r="F78" t="s">
        <v>279</v>
      </c>
      <c r="G78" t="s">
        <v>280</v>
      </c>
      <c r="H78" t="s">
        <v>281</v>
      </c>
    </row>
    <row r="79" spans="6:8" x14ac:dyDescent="0.15">
      <c r="F79" t="s">
        <v>282</v>
      </c>
      <c r="G79" t="s">
        <v>283</v>
      </c>
      <c r="H79" t="s">
        <v>284</v>
      </c>
    </row>
    <row r="80" spans="6:8" x14ac:dyDescent="0.15">
      <c r="F80" t="s">
        <v>285</v>
      </c>
      <c r="G80" t="s">
        <v>286</v>
      </c>
      <c r="H80" t="s">
        <v>288</v>
      </c>
    </row>
    <row r="81" spans="6:8" x14ac:dyDescent="0.15">
      <c r="G81" t="s">
        <v>287</v>
      </c>
    </row>
    <row r="82" spans="6:8" x14ac:dyDescent="0.15">
      <c r="F82" t="s">
        <v>289</v>
      </c>
      <c r="G82" t="s">
        <v>291</v>
      </c>
      <c r="H82" t="s">
        <v>292</v>
      </c>
    </row>
    <row r="83" spans="6:8" x14ac:dyDescent="0.15">
      <c r="F83" t="s">
        <v>290</v>
      </c>
    </row>
    <row r="84" spans="6:8" x14ac:dyDescent="0.15">
      <c r="F84" t="s">
        <v>293</v>
      </c>
      <c r="G84" t="s">
        <v>294</v>
      </c>
      <c r="H84" t="s">
        <v>295</v>
      </c>
    </row>
    <row r="85" spans="6:8" x14ac:dyDescent="0.15">
      <c r="F85" t="s">
        <v>296</v>
      </c>
      <c r="G85" t="s">
        <v>297</v>
      </c>
      <c r="H85" t="s">
        <v>298</v>
      </c>
    </row>
    <row r="86" spans="6:8" x14ac:dyDescent="0.15">
      <c r="F86" t="s">
        <v>299</v>
      </c>
      <c r="G86" t="s">
        <v>300</v>
      </c>
      <c r="H86" t="s">
        <v>302</v>
      </c>
    </row>
    <row r="87" spans="6:8" x14ac:dyDescent="0.15">
      <c r="G87" t="s">
        <v>301</v>
      </c>
    </row>
    <row r="88" spans="6:8" x14ac:dyDescent="0.15">
      <c r="F88" t="s">
        <v>303</v>
      </c>
      <c r="G88" t="s">
        <v>304</v>
      </c>
      <c r="H88" t="s">
        <v>305</v>
      </c>
    </row>
    <row r="89" spans="6:8" x14ac:dyDescent="0.15">
      <c r="F89" t="s">
        <v>306</v>
      </c>
      <c r="G89" t="s">
        <v>307</v>
      </c>
      <c r="H89" t="s">
        <v>309</v>
      </c>
    </row>
    <row r="90" spans="6:8" x14ac:dyDescent="0.15">
      <c r="G90" t="s">
        <v>308</v>
      </c>
    </row>
    <row r="91" spans="6:8" x14ac:dyDescent="0.15">
      <c r="F91" t="s">
        <v>310</v>
      </c>
      <c r="G91" t="s">
        <v>311</v>
      </c>
      <c r="H91" t="s">
        <v>312</v>
      </c>
    </row>
    <row r="92" spans="6:8" x14ac:dyDescent="0.15">
      <c r="F92" t="s">
        <v>313</v>
      </c>
      <c r="G92" t="s">
        <v>314</v>
      </c>
      <c r="H92" t="s">
        <v>315</v>
      </c>
    </row>
    <row r="93" spans="6:8" x14ac:dyDescent="0.15">
      <c r="F93" t="s">
        <v>316</v>
      </c>
      <c r="G93" t="s">
        <v>318</v>
      </c>
      <c r="H93" t="s">
        <v>320</v>
      </c>
    </row>
    <row r="94" spans="6:8" x14ac:dyDescent="0.15">
      <c r="F94" t="s">
        <v>317</v>
      </c>
      <c r="G94" t="s">
        <v>319</v>
      </c>
    </row>
    <row r="95" spans="6:8" x14ac:dyDescent="0.15">
      <c r="F95" t="s">
        <v>86</v>
      </c>
      <c r="G95" t="s">
        <v>321</v>
      </c>
      <c r="H95" t="s">
        <v>322</v>
      </c>
    </row>
    <row r="96" spans="6:8" x14ac:dyDescent="0.15">
      <c r="F96" t="s">
        <v>323</v>
      </c>
      <c r="G96" t="s">
        <v>324</v>
      </c>
      <c r="H96" t="s">
        <v>326</v>
      </c>
    </row>
    <row r="97" spans="6:8" x14ac:dyDescent="0.15">
      <c r="G97" t="s">
        <v>325</v>
      </c>
    </row>
    <row r="98" spans="6:8" x14ac:dyDescent="0.15">
      <c r="F98" t="s">
        <v>327</v>
      </c>
      <c r="G98" t="s">
        <v>328</v>
      </c>
      <c r="H98" t="s">
        <v>329</v>
      </c>
    </row>
    <row r="99" spans="6:8" x14ac:dyDescent="0.15">
      <c r="F99" t="s">
        <v>330</v>
      </c>
      <c r="G99" t="s">
        <v>331</v>
      </c>
      <c r="H99" t="s">
        <v>333</v>
      </c>
    </row>
    <row r="100" spans="6:8" x14ac:dyDescent="0.15">
      <c r="G100" t="s">
        <v>332</v>
      </c>
    </row>
    <row r="101" spans="6:8" x14ac:dyDescent="0.15">
      <c r="F101" t="s">
        <v>334</v>
      </c>
      <c r="G101" t="s">
        <v>335</v>
      </c>
      <c r="H101" t="s">
        <v>336</v>
      </c>
    </row>
    <row r="102" spans="6:8" x14ac:dyDescent="0.15">
      <c r="F102" t="s">
        <v>337</v>
      </c>
      <c r="G102" t="s">
        <v>338</v>
      </c>
      <c r="H102" t="s">
        <v>339</v>
      </c>
    </row>
    <row r="103" spans="6:8" x14ac:dyDescent="0.15">
      <c r="F103" t="s">
        <v>340</v>
      </c>
      <c r="G103" t="s">
        <v>341</v>
      </c>
      <c r="H103" t="s">
        <v>342</v>
      </c>
    </row>
    <row r="104" spans="6:8" x14ac:dyDescent="0.15">
      <c r="F104" t="s">
        <v>343</v>
      </c>
      <c r="G104" t="s">
        <v>344</v>
      </c>
      <c r="H104" t="s">
        <v>346</v>
      </c>
    </row>
    <row r="105" spans="6:8" x14ac:dyDescent="0.15">
      <c r="G105" t="s">
        <v>345</v>
      </c>
    </row>
    <row r="106" spans="6:8" x14ac:dyDescent="0.15">
      <c r="F106" t="s">
        <v>347</v>
      </c>
      <c r="G106" t="s">
        <v>348</v>
      </c>
      <c r="H106" t="s">
        <v>350</v>
      </c>
    </row>
    <row r="107" spans="6:8" x14ac:dyDescent="0.15">
      <c r="G107" t="s">
        <v>349</v>
      </c>
    </row>
    <row r="108" spans="6:8" x14ac:dyDescent="0.15">
      <c r="F108" t="s">
        <v>351</v>
      </c>
      <c r="G108" t="s">
        <v>352</v>
      </c>
      <c r="H108" t="s">
        <v>353</v>
      </c>
    </row>
    <row r="109" spans="6:8" x14ac:dyDescent="0.15">
      <c r="F109" t="s">
        <v>354</v>
      </c>
      <c r="G109" t="s">
        <v>355</v>
      </c>
      <c r="H109" t="s">
        <v>356</v>
      </c>
    </row>
    <row r="110" spans="6:8" x14ac:dyDescent="0.15">
      <c r="F110" t="s">
        <v>357</v>
      </c>
      <c r="G110" t="s">
        <v>358</v>
      </c>
      <c r="H110" t="s">
        <v>360</v>
      </c>
    </row>
    <row r="111" spans="6:8" x14ac:dyDescent="0.15">
      <c r="G111" t="s">
        <v>359</v>
      </c>
    </row>
    <row r="112" spans="6:8" x14ac:dyDescent="0.15">
      <c r="F112" t="s">
        <v>361</v>
      </c>
      <c r="G112" t="s">
        <v>362</v>
      </c>
      <c r="H112" t="s">
        <v>363</v>
      </c>
    </row>
    <row r="113" spans="6:8" x14ac:dyDescent="0.15">
      <c r="F113" t="s">
        <v>364</v>
      </c>
      <c r="G113" t="s">
        <v>365</v>
      </c>
      <c r="H113" t="s">
        <v>366</v>
      </c>
    </row>
    <row r="114" spans="6:8" x14ac:dyDescent="0.15">
      <c r="F114" t="s">
        <v>367</v>
      </c>
      <c r="G114" t="s">
        <v>368</v>
      </c>
      <c r="H114" t="s">
        <v>369</v>
      </c>
    </row>
    <row r="115" spans="6:8" x14ac:dyDescent="0.15">
      <c r="F115" t="s">
        <v>370</v>
      </c>
      <c r="G115" t="s">
        <v>371</v>
      </c>
      <c r="H115" t="s">
        <v>372</v>
      </c>
    </row>
    <row r="116" spans="6:8" x14ac:dyDescent="0.15">
      <c r="F116" t="s">
        <v>373</v>
      </c>
      <c r="G116" t="s">
        <v>374</v>
      </c>
      <c r="H116" t="s">
        <v>375</v>
      </c>
    </row>
    <row r="117" spans="6:8" x14ac:dyDescent="0.15">
      <c r="F117" t="s">
        <v>376</v>
      </c>
      <c r="G117" t="s">
        <v>377</v>
      </c>
      <c r="H117" t="s">
        <v>380</v>
      </c>
    </row>
    <row r="118" spans="6:8" x14ac:dyDescent="0.15">
      <c r="G118" t="s">
        <v>378</v>
      </c>
    </row>
    <row r="119" spans="6:8" x14ac:dyDescent="0.15">
      <c r="G119" t="s">
        <v>379</v>
      </c>
    </row>
    <row r="120" spans="6:8" x14ac:dyDescent="0.15">
      <c r="F120" t="s">
        <v>381</v>
      </c>
      <c r="G120" t="s">
        <v>382</v>
      </c>
      <c r="H120" t="s">
        <v>383</v>
      </c>
    </row>
    <row r="121" spans="6:8" x14ac:dyDescent="0.15">
      <c r="F121" t="s">
        <v>384</v>
      </c>
      <c r="G121" t="s">
        <v>385</v>
      </c>
      <c r="H121" t="s">
        <v>386</v>
      </c>
    </row>
    <row r="122" spans="6:8" x14ac:dyDescent="0.15">
      <c r="F122" t="s">
        <v>387</v>
      </c>
      <c r="G122" t="s">
        <v>388</v>
      </c>
      <c r="H122" t="s">
        <v>389</v>
      </c>
    </row>
    <row r="123" spans="6:8" x14ac:dyDescent="0.15">
      <c r="F123" t="s">
        <v>87</v>
      </c>
      <c r="G123" t="s">
        <v>390</v>
      </c>
      <c r="H123" t="s">
        <v>391</v>
      </c>
    </row>
    <row r="124" spans="6:8" x14ac:dyDescent="0.15">
      <c r="F124" t="s">
        <v>392</v>
      </c>
      <c r="G124" t="s">
        <v>393</v>
      </c>
      <c r="H124" t="s">
        <v>394</v>
      </c>
    </row>
    <row r="125" spans="6:8" x14ac:dyDescent="0.15">
      <c r="F125" t="s">
        <v>395</v>
      </c>
      <c r="G125" t="s">
        <v>396</v>
      </c>
      <c r="H125" t="s">
        <v>399</v>
      </c>
    </row>
    <row r="126" spans="6:8" x14ac:dyDescent="0.15">
      <c r="G126" t="s">
        <v>397</v>
      </c>
    </row>
    <row r="127" spans="6:8" x14ac:dyDescent="0.15">
      <c r="G127" t="s">
        <v>398</v>
      </c>
    </row>
    <row r="128" spans="6:8" x14ac:dyDescent="0.15">
      <c r="F128" t="s">
        <v>400</v>
      </c>
      <c r="G128" t="s">
        <v>401</v>
      </c>
      <c r="H128" t="s">
        <v>402</v>
      </c>
    </row>
    <row r="129" spans="6:8" x14ac:dyDescent="0.15">
      <c r="F129" t="s">
        <v>403</v>
      </c>
      <c r="G129" t="s">
        <v>404</v>
      </c>
      <c r="H129" t="s">
        <v>405</v>
      </c>
    </row>
    <row r="130" spans="6:8" x14ac:dyDescent="0.15">
      <c r="F130" t="s">
        <v>406</v>
      </c>
      <c r="G130" t="s">
        <v>407</v>
      </c>
      <c r="H130" t="s">
        <v>408</v>
      </c>
    </row>
    <row r="131" spans="6:8" x14ac:dyDescent="0.15">
      <c r="F131" t="s">
        <v>409</v>
      </c>
      <c r="G131" t="s">
        <v>410</v>
      </c>
      <c r="H131" t="s">
        <v>411</v>
      </c>
    </row>
    <row r="132" spans="6:8" x14ac:dyDescent="0.15">
      <c r="F132" t="s">
        <v>412</v>
      </c>
      <c r="G132" t="s">
        <v>413</v>
      </c>
      <c r="H132" t="s">
        <v>414</v>
      </c>
    </row>
    <row r="133" spans="6:8" x14ac:dyDescent="0.15">
      <c r="F133" t="s">
        <v>415</v>
      </c>
      <c r="G133" t="s">
        <v>416</v>
      </c>
      <c r="H133" t="s">
        <v>417</v>
      </c>
    </row>
    <row r="134" spans="6:8" x14ac:dyDescent="0.15">
      <c r="F134" t="s">
        <v>418</v>
      </c>
      <c r="G134" t="s">
        <v>419</v>
      </c>
      <c r="H134" t="s">
        <v>420</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24"/>
  <sheetViews>
    <sheetView workbookViewId="0">
      <selection activeCell="C25" sqref="C25"/>
    </sheetView>
  </sheetViews>
  <sheetFormatPr defaultRowHeight="13.5" x14ac:dyDescent="0.15"/>
  <sheetData>
    <row r="1" spans="1:3" x14ac:dyDescent="0.15">
      <c r="A1" t="s">
        <v>6</v>
      </c>
      <c r="B1" t="s">
        <v>7</v>
      </c>
      <c r="C1" t="s">
        <v>57</v>
      </c>
    </row>
    <row r="2" spans="1:3" x14ac:dyDescent="0.15">
      <c r="A2">
        <v>0</v>
      </c>
      <c r="B2" t="s">
        <v>48</v>
      </c>
      <c r="C2" t="s">
        <v>37</v>
      </c>
    </row>
    <row r="3" spans="1:3" x14ac:dyDescent="0.15">
      <c r="A3">
        <v>1</v>
      </c>
      <c r="B3" t="s">
        <v>47</v>
      </c>
      <c r="C3" t="s">
        <v>38</v>
      </c>
    </row>
    <row r="4" spans="1:3" x14ac:dyDescent="0.15">
      <c r="A4">
        <v>2</v>
      </c>
      <c r="B4" t="s">
        <v>46</v>
      </c>
      <c r="C4" t="s">
        <v>39</v>
      </c>
    </row>
    <row r="5" spans="1:3" x14ac:dyDescent="0.15">
      <c r="A5">
        <v>3</v>
      </c>
      <c r="B5" t="s">
        <v>8</v>
      </c>
      <c r="C5" t="s">
        <v>40</v>
      </c>
    </row>
    <row r="6" spans="1:3" x14ac:dyDescent="0.15">
      <c r="A6">
        <v>4</v>
      </c>
      <c r="B6" t="s">
        <v>10</v>
      </c>
      <c r="C6" t="s">
        <v>41</v>
      </c>
    </row>
    <row r="7" spans="1:3" x14ac:dyDescent="0.15">
      <c r="A7">
        <v>5</v>
      </c>
      <c r="B7" t="s">
        <v>17</v>
      </c>
      <c r="C7" t="s">
        <v>42</v>
      </c>
    </row>
    <row r="8" spans="1:3" x14ac:dyDescent="0.15">
      <c r="A8">
        <v>6</v>
      </c>
      <c r="B8" t="s">
        <v>19</v>
      </c>
      <c r="C8" t="s">
        <v>43</v>
      </c>
    </row>
    <row r="9" spans="1:3" x14ac:dyDescent="0.15">
      <c r="A9">
        <v>7</v>
      </c>
      <c r="B9" t="s">
        <v>23</v>
      </c>
      <c r="C9" t="s">
        <v>44</v>
      </c>
    </row>
    <row r="10" spans="1:3" x14ac:dyDescent="0.15">
      <c r="A10">
        <v>8</v>
      </c>
      <c r="B10" t="s">
        <v>31</v>
      </c>
      <c r="C10" t="s">
        <v>45</v>
      </c>
    </row>
    <row r="11" spans="1:3" x14ac:dyDescent="0.15">
      <c r="A11">
        <v>9</v>
      </c>
      <c r="B11" t="s">
        <v>49</v>
      </c>
      <c r="C11" t="s">
        <v>50</v>
      </c>
    </row>
    <row r="12" spans="1:3" x14ac:dyDescent="0.15">
      <c r="A12">
        <v>10</v>
      </c>
      <c r="B12" t="s">
        <v>51</v>
      </c>
      <c r="C12" t="s">
        <v>52</v>
      </c>
    </row>
    <row r="13" spans="1:3" x14ac:dyDescent="0.15">
      <c r="A13">
        <v>11</v>
      </c>
      <c r="B13" t="s">
        <v>53</v>
      </c>
      <c r="C13" t="s">
        <v>54</v>
      </c>
    </row>
    <row r="14" spans="1:3" x14ac:dyDescent="0.15">
      <c r="A14">
        <v>12</v>
      </c>
      <c r="B14" t="s">
        <v>55</v>
      </c>
      <c r="C14" t="s">
        <v>56</v>
      </c>
    </row>
    <row r="15" spans="1:3" x14ac:dyDescent="0.15">
      <c r="A15">
        <v>13</v>
      </c>
      <c r="B15" t="s">
        <v>58</v>
      </c>
      <c r="C15" t="s">
        <v>59</v>
      </c>
    </row>
    <row r="16" spans="1:3" x14ac:dyDescent="0.15">
      <c r="A16">
        <v>14</v>
      </c>
      <c r="B16" t="s">
        <v>60</v>
      </c>
      <c r="C16" t="s">
        <v>61</v>
      </c>
    </row>
    <row r="17" spans="1:3" x14ac:dyDescent="0.15">
      <c r="A17">
        <v>15</v>
      </c>
      <c r="B17" t="s">
        <v>74</v>
      </c>
      <c r="C17" t="s">
        <v>75</v>
      </c>
    </row>
    <row r="18" spans="1:3" x14ac:dyDescent="0.15">
      <c r="A18">
        <v>16</v>
      </c>
      <c r="B18" t="s">
        <v>76</v>
      </c>
      <c r="C18" t="s">
        <v>77</v>
      </c>
    </row>
    <row r="19" spans="1:3" x14ac:dyDescent="0.15">
      <c r="A19">
        <v>17</v>
      </c>
      <c r="B19" t="s">
        <v>78</v>
      </c>
      <c r="C19" t="s">
        <v>80</v>
      </c>
    </row>
    <row r="20" spans="1:3" x14ac:dyDescent="0.15">
      <c r="A20">
        <v>18</v>
      </c>
      <c r="B20" t="s">
        <v>79</v>
      </c>
      <c r="C20" t="s">
        <v>81</v>
      </c>
    </row>
    <row r="21" spans="1:3" x14ac:dyDescent="0.15">
      <c r="A21">
        <v>19</v>
      </c>
      <c r="B21" t="s">
        <v>554</v>
      </c>
      <c r="C21" t="s">
        <v>555</v>
      </c>
    </row>
    <row r="22" spans="1:3" x14ac:dyDescent="0.15">
      <c r="A22">
        <v>20</v>
      </c>
      <c r="B22" t="s">
        <v>582</v>
      </c>
      <c r="C22" t="s">
        <v>583</v>
      </c>
    </row>
    <row r="23" spans="1:3" x14ac:dyDescent="0.15">
      <c r="A23">
        <v>21</v>
      </c>
      <c r="B23" t="s">
        <v>659</v>
      </c>
      <c r="C23" t="s">
        <v>660</v>
      </c>
    </row>
    <row r="24" spans="1:3" x14ac:dyDescent="0.15">
      <c r="A24">
        <v>22</v>
      </c>
      <c r="B24" t="s">
        <v>771</v>
      </c>
      <c r="C24" t="s">
        <v>772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B2"/>
  <sheetViews>
    <sheetView workbookViewId="0">
      <selection activeCell="E9" sqref="E9"/>
    </sheetView>
  </sheetViews>
  <sheetFormatPr defaultColWidth="9.125" defaultRowHeight="24.95" customHeight="1" x14ac:dyDescent="0.15"/>
  <sheetData>
    <row r="2" spans="1:2" ht="24.95" customHeight="1" x14ac:dyDescent="0.15">
      <c r="A2" t="s">
        <v>11</v>
      </c>
      <c r="B2" t="s">
        <v>12</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I287"/>
  <sheetViews>
    <sheetView topLeftCell="C250" zoomScale="73" zoomScaleNormal="73" workbookViewId="0">
      <selection activeCell="C2" sqref="A2:XFD287"/>
    </sheetView>
  </sheetViews>
  <sheetFormatPr defaultRowHeight="13.5" x14ac:dyDescent="0.15"/>
  <cols>
    <col min="6" max="6" width="41.75" customWidth="1"/>
  </cols>
  <sheetData>
    <row r="2" spans="1:9" x14ac:dyDescent="0.15">
      <c r="A2">
        <f>A1</f>
        <v>0</v>
      </c>
      <c r="B2">
        <f>B1+1</f>
        <v>1</v>
      </c>
      <c r="C2">
        <v>1</v>
      </c>
      <c r="D2">
        <v>1</v>
      </c>
      <c r="E2" t="str">
        <f>VLOOKUP(D2,name!A:B,2,1)</f>
        <v>Navigator</v>
      </c>
      <c r="F2" t="s">
        <v>14</v>
      </c>
      <c r="G2" t="str">
        <f>IF(B2&lt;&gt;B3,"e",IF(D2=0,"q","a"))</f>
        <v>a</v>
      </c>
      <c r="H2" t="str">
        <f>VLOOKUP(D2,name!A:C,3,1)</f>
        <v>assets/icons/image014.png</v>
      </c>
      <c r="I2" t="e">
        <f>IF(A2="","",VLOOKUP(A2,lng!A:B,2,0))</f>
        <v>#N/A</v>
      </c>
    </row>
    <row r="3" spans="1:9" x14ac:dyDescent="0.15">
      <c r="A3">
        <f t="shared" ref="A3:A101" si="0">A2</f>
        <v>0</v>
      </c>
      <c r="B3">
        <f>B2</f>
        <v>1</v>
      </c>
      <c r="C3">
        <f>C2+1</f>
        <v>2</v>
      </c>
      <c r="D3">
        <v>1</v>
      </c>
      <c r="E3" t="str">
        <f>VLOOKUP(D3,name!A:B,2,1)</f>
        <v>Navigator</v>
      </c>
      <c r="F3" t="str">
        <f>"レッスン"&amp;B3</f>
        <v>レッスン1</v>
      </c>
      <c r="G3" t="str">
        <f>IF(B3&lt;&gt;B4,"e",IF(D3=0,"q","a"))</f>
        <v>a</v>
      </c>
      <c r="H3" t="str">
        <f>VLOOKUP(D3,name!A:C,3,1)</f>
        <v>assets/icons/image014.png</v>
      </c>
      <c r="I3" t="s">
        <v>463</v>
      </c>
    </row>
    <row r="4" spans="1:9" ht="40.5" x14ac:dyDescent="0.15">
      <c r="A4">
        <f t="shared" si="0"/>
        <v>0</v>
      </c>
      <c r="B4">
        <f t="shared" ref="B4:B106" si="1">B3</f>
        <v>1</v>
      </c>
      <c r="C4">
        <f t="shared" ref="C4:C106" si="2">C3+1</f>
        <v>3</v>
      </c>
      <c r="D4">
        <v>1</v>
      </c>
      <c r="E4" t="str">
        <f>VLOOKUP(D4,name!A:B,2,1)</f>
        <v>Navigator</v>
      </c>
      <c r="F4" s="1" t="str">
        <f>"まずは対話文を流します。その後に、日本語と"&amp;A4&amp;"を一文ずつ流すので"&amp;A4&amp;"を真似して下さい。最後に日本語のみを流すので、"&amp;A4&amp;"で答えてください。"</f>
        <v>まずは対話文を流します。その後に、日本語と0を一文ずつ流すので0を真似して下さい。最後に日本語のみを流すので、0で答えてください。</v>
      </c>
      <c r="G4" t="str">
        <f>IF(B4&lt;&gt;B84,"e",IF(D4=0,"q","a"))</f>
        <v>a</v>
      </c>
      <c r="H4" t="str">
        <f>VLOOKUP(D4,name!A:C,3,1)</f>
        <v>assets/icons/image014.png</v>
      </c>
      <c r="I4" t="s">
        <v>463</v>
      </c>
    </row>
    <row r="5" spans="1:9" x14ac:dyDescent="0.15">
      <c r="A5">
        <f t="shared" si="0"/>
        <v>0</v>
      </c>
      <c r="B5">
        <f t="shared" si="1"/>
        <v>1</v>
      </c>
      <c r="C5">
        <f t="shared" si="2"/>
        <v>4</v>
      </c>
      <c r="D5">
        <f>D6</f>
        <v>0</v>
      </c>
      <c r="E5" t="str">
        <f>VLOOKUP(D5,name!A:B,2,1)</f>
        <v>Player</v>
      </c>
      <c r="F5">
        <f>F6</f>
        <v>0</v>
      </c>
      <c r="G5" t="str">
        <f t="shared" ref="G5:G68" si="3">IF(B5&lt;&gt;B6,"e",IF(D5=0,"q","a"))</f>
        <v>q</v>
      </c>
      <c r="H5" t="str">
        <f>VLOOKUP(D5,name!A:C,3,1)</f>
        <v>assets/icons/image326.png</v>
      </c>
      <c r="I5" t="s">
        <v>463</v>
      </c>
    </row>
    <row r="6" spans="1:9" x14ac:dyDescent="0.15">
      <c r="A6">
        <f t="shared" si="0"/>
        <v>0</v>
      </c>
      <c r="B6">
        <f t="shared" si="1"/>
        <v>1</v>
      </c>
      <c r="C6">
        <f t="shared" si="2"/>
        <v>5</v>
      </c>
      <c r="D6">
        <f t="shared" ref="D6:F69" si="4">D7</f>
        <v>0</v>
      </c>
      <c r="E6" t="str">
        <f>VLOOKUP(D6,name!A:B,2,1)</f>
        <v>Player</v>
      </c>
      <c r="F6">
        <f t="shared" si="4"/>
        <v>0</v>
      </c>
      <c r="G6" t="str">
        <f t="shared" si="3"/>
        <v>q</v>
      </c>
      <c r="H6" t="str">
        <f>VLOOKUP(D6,name!A:C,3,1)</f>
        <v>assets/icons/image326.png</v>
      </c>
      <c r="I6" t="e">
        <f>IF(A6="","",VLOOKUP(A6,lng!A:B,2,0))</f>
        <v>#N/A</v>
      </c>
    </row>
    <row r="7" spans="1:9" x14ac:dyDescent="0.15">
      <c r="A7">
        <f t="shared" si="0"/>
        <v>0</v>
      </c>
      <c r="B7">
        <f t="shared" si="1"/>
        <v>1</v>
      </c>
      <c r="C7">
        <f t="shared" si="2"/>
        <v>6</v>
      </c>
      <c r="D7">
        <f t="shared" si="4"/>
        <v>0</v>
      </c>
      <c r="E7" t="str">
        <f>VLOOKUP(D7,name!A:B,2,1)</f>
        <v>Player</v>
      </c>
      <c r="F7">
        <f t="shared" si="4"/>
        <v>0</v>
      </c>
      <c r="G7" t="str">
        <f t="shared" si="3"/>
        <v>q</v>
      </c>
      <c r="H7" t="str">
        <f>VLOOKUP(D7,name!A:C,3,1)</f>
        <v>assets/icons/image326.png</v>
      </c>
      <c r="I7" t="s">
        <v>463</v>
      </c>
    </row>
    <row r="8" spans="1:9" x14ac:dyDescent="0.15">
      <c r="A8">
        <f t="shared" si="0"/>
        <v>0</v>
      </c>
      <c r="B8">
        <f t="shared" si="1"/>
        <v>1</v>
      </c>
      <c r="C8">
        <f t="shared" si="2"/>
        <v>7</v>
      </c>
      <c r="D8">
        <f t="shared" si="4"/>
        <v>0</v>
      </c>
      <c r="E8" t="str">
        <f>VLOOKUP(D8,name!A:B,2,1)</f>
        <v>Player</v>
      </c>
      <c r="F8">
        <f t="shared" si="4"/>
        <v>0</v>
      </c>
      <c r="G8" t="str">
        <f t="shared" si="3"/>
        <v>q</v>
      </c>
      <c r="H8" t="str">
        <f>VLOOKUP(D8,name!A:C,3,1)</f>
        <v>assets/icons/image326.png</v>
      </c>
      <c r="I8" t="e">
        <f>IF(A8="","",VLOOKUP(A8,lng!A:B,2,0))</f>
        <v>#N/A</v>
      </c>
    </row>
    <row r="9" spans="1:9" x14ac:dyDescent="0.15">
      <c r="A9">
        <f t="shared" si="0"/>
        <v>0</v>
      </c>
      <c r="B9">
        <f t="shared" si="1"/>
        <v>1</v>
      </c>
      <c r="C9">
        <f t="shared" si="2"/>
        <v>8</v>
      </c>
      <c r="D9">
        <f t="shared" si="4"/>
        <v>0</v>
      </c>
      <c r="E9" t="str">
        <f>VLOOKUP(D9,name!A:B,2,1)</f>
        <v>Player</v>
      </c>
      <c r="F9">
        <f t="shared" si="4"/>
        <v>0</v>
      </c>
      <c r="G9" t="str">
        <f t="shared" si="3"/>
        <v>q</v>
      </c>
      <c r="H9" t="str">
        <f>VLOOKUP(D9,name!A:C,3,1)</f>
        <v>assets/icons/image326.png</v>
      </c>
      <c r="I9" t="s">
        <v>463</v>
      </c>
    </row>
    <row r="10" spans="1:9" x14ac:dyDescent="0.15">
      <c r="A10">
        <f t="shared" si="0"/>
        <v>0</v>
      </c>
      <c r="B10">
        <f t="shared" si="1"/>
        <v>1</v>
      </c>
      <c r="C10">
        <f t="shared" si="2"/>
        <v>9</v>
      </c>
      <c r="D10">
        <f t="shared" si="4"/>
        <v>0</v>
      </c>
      <c r="E10" t="str">
        <f>VLOOKUP(D10,name!A:B,2,1)</f>
        <v>Player</v>
      </c>
      <c r="F10">
        <f t="shared" si="4"/>
        <v>0</v>
      </c>
      <c r="G10" t="str">
        <f t="shared" si="3"/>
        <v>q</v>
      </c>
      <c r="H10" t="str">
        <f>VLOOKUP(D10,name!A:C,3,1)</f>
        <v>assets/icons/image326.png</v>
      </c>
      <c r="I10" t="e">
        <f>IF(A10="","",VLOOKUP(A10,lng!A:B,2,0))</f>
        <v>#N/A</v>
      </c>
    </row>
    <row r="11" spans="1:9" x14ac:dyDescent="0.15">
      <c r="A11">
        <f t="shared" si="0"/>
        <v>0</v>
      </c>
      <c r="B11">
        <f t="shared" si="1"/>
        <v>1</v>
      </c>
      <c r="C11">
        <f t="shared" si="2"/>
        <v>10</v>
      </c>
      <c r="D11">
        <f t="shared" si="4"/>
        <v>0</v>
      </c>
      <c r="E11" t="str">
        <f>VLOOKUP(D11,name!A:B,2,1)</f>
        <v>Player</v>
      </c>
      <c r="F11">
        <f t="shared" si="4"/>
        <v>0</v>
      </c>
      <c r="G11" t="str">
        <f t="shared" si="3"/>
        <v>q</v>
      </c>
      <c r="H11" t="str">
        <f>VLOOKUP(D11,name!A:C,3,1)</f>
        <v>assets/icons/image326.png</v>
      </c>
      <c r="I11" t="s">
        <v>463</v>
      </c>
    </row>
    <row r="12" spans="1:9" x14ac:dyDescent="0.15">
      <c r="A12">
        <f t="shared" si="0"/>
        <v>0</v>
      </c>
      <c r="B12">
        <f t="shared" si="1"/>
        <v>1</v>
      </c>
      <c r="C12">
        <f t="shared" si="2"/>
        <v>11</v>
      </c>
      <c r="D12">
        <f t="shared" si="4"/>
        <v>0</v>
      </c>
      <c r="E12" t="str">
        <f>VLOOKUP(D12,name!A:B,2,1)</f>
        <v>Player</v>
      </c>
      <c r="F12">
        <f t="shared" si="4"/>
        <v>0</v>
      </c>
      <c r="G12" t="str">
        <f t="shared" si="3"/>
        <v>q</v>
      </c>
      <c r="H12" t="str">
        <f>VLOOKUP(D12,name!A:C,3,1)</f>
        <v>assets/icons/image326.png</v>
      </c>
      <c r="I12" t="e">
        <f>IF(A12="","",VLOOKUP(A12,lng!A:B,2,0))</f>
        <v>#N/A</v>
      </c>
    </row>
    <row r="13" spans="1:9" x14ac:dyDescent="0.15">
      <c r="A13">
        <f t="shared" si="0"/>
        <v>0</v>
      </c>
      <c r="B13">
        <f t="shared" si="1"/>
        <v>1</v>
      </c>
      <c r="C13">
        <f t="shared" si="2"/>
        <v>12</v>
      </c>
      <c r="D13">
        <f t="shared" si="4"/>
        <v>0</v>
      </c>
      <c r="E13" t="str">
        <f>VLOOKUP(D13,name!A:B,2,1)</f>
        <v>Player</v>
      </c>
      <c r="F13">
        <f t="shared" si="4"/>
        <v>0</v>
      </c>
      <c r="G13" t="str">
        <f t="shared" si="3"/>
        <v>q</v>
      </c>
      <c r="H13" t="str">
        <f>VLOOKUP(D13,name!A:C,3,1)</f>
        <v>assets/icons/image326.png</v>
      </c>
      <c r="I13" t="s">
        <v>463</v>
      </c>
    </row>
    <row r="14" spans="1:9" x14ac:dyDescent="0.15">
      <c r="A14">
        <f t="shared" si="0"/>
        <v>0</v>
      </c>
      <c r="B14">
        <f t="shared" si="1"/>
        <v>1</v>
      </c>
      <c r="C14">
        <f t="shared" si="2"/>
        <v>13</v>
      </c>
      <c r="D14">
        <f t="shared" si="4"/>
        <v>0</v>
      </c>
      <c r="E14" t="str">
        <f>VLOOKUP(D14,name!A:B,2,1)</f>
        <v>Player</v>
      </c>
      <c r="F14">
        <f t="shared" si="4"/>
        <v>0</v>
      </c>
      <c r="G14" t="str">
        <f t="shared" si="3"/>
        <v>q</v>
      </c>
      <c r="H14" t="str">
        <f>VLOOKUP(D14,name!A:C,3,1)</f>
        <v>assets/icons/image326.png</v>
      </c>
      <c r="I14" t="e">
        <f>IF(A14="","",VLOOKUP(A14,lng!A:B,2,0))</f>
        <v>#N/A</v>
      </c>
    </row>
    <row r="15" spans="1:9" x14ac:dyDescent="0.15">
      <c r="A15">
        <f t="shared" si="0"/>
        <v>0</v>
      </c>
      <c r="B15">
        <f t="shared" si="1"/>
        <v>1</v>
      </c>
      <c r="C15">
        <f t="shared" si="2"/>
        <v>14</v>
      </c>
      <c r="D15">
        <f t="shared" si="4"/>
        <v>0</v>
      </c>
      <c r="E15" t="str">
        <f>VLOOKUP(D15,name!A:B,2,1)</f>
        <v>Player</v>
      </c>
      <c r="F15">
        <f t="shared" si="4"/>
        <v>0</v>
      </c>
      <c r="G15" t="str">
        <f t="shared" si="3"/>
        <v>q</v>
      </c>
      <c r="H15" t="str">
        <f>VLOOKUP(D15,name!A:C,3,1)</f>
        <v>assets/icons/image326.png</v>
      </c>
      <c r="I15" t="s">
        <v>463</v>
      </c>
    </row>
    <row r="16" spans="1:9" x14ac:dyDescent="0.15">
      <c r="A16">
        <f t="shared" si="0"/>
        <v>0</v>
      </c>
      <c r="B16">
        <f t="shared" si="1"/>
        <v>1</v>
      </c>
      <c r="C16">
        <f t="shared" si="2"/>
        <v>15</v>
      </c>
      <c r="D16">
        <f t="shared" si="4"/>
        <v>0</v>
      </c>
      <c r="E16" t="str">
        <f>VLOOKUP(D16,name!A:B,2,1)</f>
        <v>Player</v>
      </c>
      <c r="F16">
        <f t="shared" si="4"/>
        <v>0</v>
      </c>
      <c r="G16" t="str">
        <f t="shared" si="3"/>
        <v>q</v>
      </c>
      <c r="H16" t="str">
        <f>VLOOKUP(D16,name!A:C,3,1)</f>
        <v>assets/icons/image326.png</v>
      </c>
      <c r="I16" t="e">
        <f>IF(A16="","",VLOOKUP(A16,lng!A:B,2,0))</f>
        <v>#N/A</v>
      </c>
    </row>
    <row r="17" spans="1:9" x14ac:dyDescent="0.15">
      <c r="A17">
        <f t="shared" si="0"/>
        <v>0</v>
      </c>
      <c r="B17">
        <f t="shared" si="1"/>
        <v>1</v>
      </c>
      <c r="C17">
        <f t="shared" si="2"/>
        <v>16</v>
      </c>
      <c r="D17">
        <f t="shared" si="4"/>
        <v>0</v>
      </c>
      <c r="E17" t="str">
        <f>VLOOKUP(D17,name!A:B,2,1)</f>
        <v>Player</v>
      </c>
      <c r="F17">
        <f t="shared" si="4"/>
        <v>0</v>
      </c>
      <c r="G17" t="str">
        <f t="shared" si="3"/>
        <v>q</v>
      </c>
      <c r="H17" t="str">
        <f>VLOOKUP(D17,name!A:C,3,1)</f>
        <v>assets/icons/image326.png</v>
      </c>
      <c r="I17" t="s">
        <v>463</v>
      </c>
    </row>
    <row r="18" spans="1:9" x14ac:dyDescent="0.15">
      <c r="A18">
        <f t="shared" si="0"/>
        <v>0</v>
      </c>
      <c r="B18">
        <f t="shared" si="1"/>
        <v>1</v>
      </c>
      <c r="C18">
        <f t="shared" si="2"/>
        <v>17</v>
      </c>
      <c r="D18">
        <f t="shared" si="4"/>
        <v>0</v>
      </c>
      <c r="E18" t="str">
        <f>VLOOKUP(D18,name!A:B,2,1)</f>
        <v>Player</v>
      </c>
      <c r="F18">
        <f t="shared" si="4"/>
        <v>0</v>
      </c>
      <c r="G18" t="str">
        <f t="shared" si="3"/>
        <v>q</v>
      </c>
      <c r="H18" t="str">
        <f>VLOOKUP(D18,name!A:C,3,1)</f>
        <v>assets/icons/image326.png</v>
      </c>
      <c r="I18" t="e">
        <f>IF(A18="","",VLOOKUP(A18,lng!A:B,2,0))</f>
        <v>#N/A</v>
      </c>
    </row>
    <row r="19" spans="1:9" x14ac:dyDescent="0.15">
      <c r="A19">
        <f t="shared" si="0"/>
        <v>0</v>
      </c>
      <c r="B19">
        <f t="shared" si="1"/>
        <v>1</v>
      </c>
      <c r="C19">
        <f t="shared" si="2"/>
        <v>18</v>
      </c>
      <c r="D19">
        <f t="shared" si="4"/>
        <v>0</v>
      </c>
      <c r="E19" t="str">
        <f>VLOOKUP(D19,name!A:B,2,1)</f>
        <v>Player</v>
      </c>
      <c r="F19">
        <f t="shared" si="4"/>
        <v>0</v>
      </c>
      <c r="G19" t="str">
        <f t="shared" si="3"/>
        <v>q</v>
      </c>
      <c r="H19" t="str">
        <f>VLOOKUP(D19,name!A:C,3,1)</f>
        <v>assets/icons/image326.png</v>
      </c>
      <c r="I19" t="s">
        <v>463</v>
      </c>
    </row>
    <row r="20" spans="1:9" x14ac:dyDescent="0.15">
      <c r="A20">
        <f t="shared" si="0"/>
        <v>0</v>
      </c>
      <c r="B20">
        <f t="shared" si="1"/>
        <v>1</v>
      </c>
      <c r="C20">
        <f t="shared" si="2"/>
        <v>19</v>
      </c>
      <c r="D20">
        <f t="shared" si="4"/>
        <v>0</v>
      </c>
      <c r="E20" t="str">
        <f>VLOOKUP(D20,name!A:B,2,1)</f>
        <v>Player</v>
      </c>
      <c r="F20">
        <f t="shared" si="4"/>
        <v>0</v>
      </c>
      <c r="G20" t="str">
        <f t="shared" si="3"/>
        <v>q</v>
      </c>
      <c r="H20" t="str">
        <f>VLOOKUP(D20,name!A:C,3,1)</f>
        <v>assets/icons/image326.png</v>
      </c>
      <c r="I20" t="e">
        <f>IF(A20="","",VLOOKUP(A20,lng!A:B,2,0))</f>
        <v>#N/A</v>
      </c>
    </row>
    <row r="21" spans="1:9" x14ac:dyDescent="0.15">
      <c r="A21">
        <f t="shared" si="0"/>
        <v>0</v>
      </c>
      <c r="B21">
        <f t="shared" si="1"/>
        <v>1</v>
      </c>
      <c r="C21">
        <f t="shared" si="2"/>
        <v>20</v>
      </c>
      <c r="D21">
        <f t="shared" si="4"/>
        <v>0</v>
      </c>
      <c r="E21" t="str">
        <f>VLOOKUP(D21,name!A:B,2,1)</f>
        <v>Player</v>
      </c>
      <c r="F21">
        <f t="shared" si="4"/>
        <v>0</v>
      </c>
      <c r="G21" t="str">
        <f t="shared" si="3"/>
        <v>q</v>
      </c>
      <c r="H21" t="str">
        <f>VLOOKUP(D21,name!A:C,3,1)</f>
        <v>assets/icons/image326.png</v>
      </c>
      <c r="I21" t="s">
        <v>463</v>
      </c>
    </row>
    <row r="22" spans="1:9" x14ac:dyDescent="0.15">
      <c r="A22">
        <f t="shared" si="0"/>
        <v>0</v>
      </c>
      <c r="B22">
        <f t="shared" si="1"/>
        <v>1</v>
      </c>
      <c r="C22">
        <f t="shared" si="2"/>
        <v>21</v>
      </c>
      <c r="D22">
        <f t="shared" si="4"/>
        <v>0</v>
      </c>
      <c r="E22" t="str">
        <f>VLOOKUP(D22,name!A:B,2,1)</f>
        <v>Player</v>
      </c>
      <c r="F22">
        <f t="shared" si="4"/>
        <v>0</v>
      </c>
      <c r="G22" t="str">
        <f t="shared" si="3"/>
        <v>q</v>
      </c>
      <c r="H22" t="str">
        <f>VLOOKUP(D22,name!A:C,3,1)</f>
        <v>assets/icons/image326.png</v>
      </c>
      <c r="I22" t="e">
        <f>IF(A22="","",VLOOKUP(A22,lng!A:B,2,0))</f>
        <v>#N/A</v>
      </c>
    </row>
    <row r="23" spans="1:9" x14ac:dyDescent="0.15">
      <c r="A23">
        <f t="shared" si="0"/>
        <v>0</v>
      </c>
      <c r="B23">
        <f t="shared" si="1"/>
        <v>1</v>
      </c>
      <c r="C23">
        <f t="shared" si="2"/>
        <v>22</v>
      </c>
      <c r="D23">
        <f t="shared" si="4"/>
        <v>0</v>
      </c>
      <c r="E23" t="str">
        <f>VLOOKUP(D23,name!A:B,2,1)</f>
        <v>Player</v>
      </c>
      <c r="F23">
        <f t="shared" si="4"/>
        <v>0</v>
      </c>
      <c r="G23" t="str">
        <f t="shared" si="3"/>
        <v>q</v>
      </c>
      <c r="H23" t="str">
        <f>VLOOKUP(D23,name!A:C,3,1)</f>
        <v>assets/icons/image326.png</v>
      </c>
      <c r="I23" t="s">
        <v>463</v>
      </c>
    </row>
    <row r="24" spans="1:9" x14ac:dyDescent="0.15">
      <c r="A24">
        <f t="shared" si="0"/>
        <v>0</v>
      </c>
      <c r="B24">
        <f t="shared" si="1"/>
        <v>1</v>
      </c>
      <c r="C24">
        <f t="shared" si="2"/>
        <v>23</v>
      </c>
      <c r="D24">
        <f t="shared" si="4"/>
        <v>0</v>
      </c>
      <c r="E24" t="str">
        <f>VLOOKUP(D24,name!A:B,2,1)</f>
        <v>Player</v>
      </c>
      <c r="F24">
        <f t="shared" si="4"/>
        <v>0</v>
      </c>
      <c r="G24" t="str">
        <f t="shared" si="3"/>
        <v>q</v>
      </c>
      <c r="H24" t="str">
        <f>VLOOKUP(D24,name!A:C,3,1)</f>
        <v>assets/icons/image326.png</v>
      </c>
      <c r="I24" t="e">
        <f>IF(A24="","",VLOOKUP(A24,lng!A:B,2,0))</f>
        <v>#N/A</v>
      </c>
    </row>
    <row r="25" spans="1:9" x14ac:dyDescent="0.15">
      <c r="A25">
        <f t="shared" si="0"/>
        <v>0</v>
      </c>
      <c r="B25">
        <f t="shared" si="1"/>
        <v>1</v>
      </c>
      <c r="C25">
        <f t="shared" si="2"/>
        <v>24</v>
      </c>
      <c r="D25">
        <f t="shared" si="4"/>
        <v>0</v>
      </c>
      <c r="E25" t="str">
        <f>VLOOKUP(D25,name!A:B,2,1)</f>
        <v>Player</v>
      </c>
      <c r="F25">
        <f t="shared" si="4"/>
        <v>0</v>
      </c>
      <c r="G25" t="str">
        <f t="shared" si="3"/>
        <v>q</v>
      </c>
      <c r="H25" t="str">
        <f>VLOOKUP(D25,name!A:C,3,1)</f>
        <v>assets/icons/image326.png</v>
      </c>
      <c r="I25" t="s">
        <v>463</v>
      </c>
    </row>
    <row r="26" spans="1:9" x14ac:dyDescent="0.15">
      <c r="A26">
        <f t="shared" si="0"/>
        <v>0</v>
      </c>
      <c r="B26">
        <f t="shared" si="1"/>
        <v>1</v>
      </c>
      <c r="C26">
        <f t="shared" si="2"/>
        <v>25</v>
      </c>
      <c r="D26">
        <f t="shared" si="4"/>
        <v>0</v>
      </c>
      <c r="E26" t="str">
        <f>VLOOKUP(D26,name!A:B,2,1)</f>
        <v>Player</v>
      </c>
      <c r="F26">
        <f t="shared" si="4"/>
        <v>0</v>
      </c>
      <c r="G26" t="str">
        <f t="shared" si="3"/>
        <v>q</v>
      </c>
      <c r="H26" t="str">
        <f>VLOOKUP(D26,name!A:C,3,1)</f>
        <v>assets/icons/image326.png</v>
      </c>
      <c r="I26" t="e">
        <f>IF(A26="","",VLOOKUP(A26,lng!A:B,2,0))</f>
        <v>#N/A</v>
      </c>
    </row>
    <row r="27" spans="1:9" x14ac:dyDescent="0.15">
      <c r="A27">
        <f t="shared" si="0"/>
        <v>0</v>
      </c>
      <c r="B27">
        <f t="shared" si="1"/>
        <v>1</v>
      </c>
      <c r="C27">
        <f t="shared" si="2"/>
        <v>26</v>
      </c>
      <c r="D27">
        <f t="shared" si="4"/>
        <v>0</v>
      </c>
      <c r="E27" t="str">
        <f>VLOOKUP(D27,name!A:B,2,1)</f>
        <v>Player</v>
      </c>
      <c r="F27">
        <f t="shared" si="4"/>
        <v>0</v>
      </c>
      <c r="G27" t="str">
        <f t="shared" si="3"/>
        <v>q</v>
      </c>
      <c r="H27" t="str">
        <f>VLOOKUP(D27,name!A:C,3,1)</f>
        <v>assets/icons/image326.png</v>
      </c>
      <c r="I27" t="s">
        <v>463</v>
      </c>
    </row>
    <row r="28" spans="1:9" x14ac:dyDescent="0.15">
      <c r="A28">
        <f t="shared" si="0"/>
        <v>0</v>
      </c>
      <c r="B28">
        <f t="shared" si="1"/>
        <v>1</v>
      </c>
      <c r="C28">
        <f t="shared" si="2"/>
        <v>27</v>
      </c>
      <c r="D28">
        <f t="shared" si="4"/>
        <v>0</v>
      </c>
      <c r="E28" t="str">
        <f>VLOOKUP(D28,name!A:B,2,1)</f>
        <v>Player</v>
      </c>
      <c r="F28">
        <f t="shared" si="4"/>
        <v>0</v>
      </c>
      <c r="G28" t="str">
        <f t="shared" si="3"/>
        <v>q</v>
      </c>
      <c r="H28" t="str">
        <f>VLOOKUP(D28,name!A:C,3,1)</f>
        <v>assets/icons/image326.png</v>
      </c>
      <c r="I28" t="e">
        <f>IF(A28="","",VLOOKUP(A28,lng!A:B,2,0))</f>
        <v>#N/A</v>
      </c>
    </row>
    <row r="29" spans="1:9" x14ac:dyDescent="0.15">
      <c r="A29">
        <f t="shared" si="0"/>
        <v>0</v>
      </c>
      <c r="B29">
        <f t="shared" si="1"/>
        <v>1</v>
      </c>
      <c r="C29">
        <f t="shared" si="2"/>
        <v>28</v>
      </c>
      <c r="D29">
        <f t="shared" si="4"/>
        <v>0</v>
      </c>
      <c r="E29" t="str">
        <f>VLOOKUP(D29,name!A:B,2,1)</f>
        <v>Player</v>
      </c>
      <c r="F29">
        <f t="shared" si="4"/>
        <v>0</v>
      </c>
      <c r="G29" t="str">
        <f t="shared" si="3"/>
        <v>q</v>
      </c>
      <c r="H29" t="str">
        <f>VLOOKUP(D29,name!A:C,3,1)</f>
        <v>assets/icons/image326.png</v>
      </c>
      <c r="I29" t="s">
        <v>463</v>
      </c>
    </row>
    <row r="30" spans="1:9" x14ac:dyDescent="0.15">
      <c r="A30">
        <f t="shared" si="0"/>
        <v>0</v>
      </c>
      <c r="B30">
        <f t="shared" si="1"/>
        <v>1</v>
      </c>
      <c r="C30">
        <f t="shared" si="2"/>
        <v>29</v>
      </c>
      <c r="D30">
        <f t="shared" si="4"/>
        <v>0</v>
      </c>
      <c r="E30" t="str">
        <f>VLOOKUP(D30,name!A:B,2,1)</f>
        <v>Player</v>
      </c>
      <c r="F30">
        <f t="shared" si="4"/>
        <v>0</v>
      </c>
      <c r="G30" t="str">
        <f t="shared" si="3"/>
        <v>q</v>
      </c>
      <c r="H30" t="str">
        <f>VLOOKUP(D30,name!A:C,3,1)</f>
        <v>assets/icons/image326.png</v>
      </c>
      <c r="I30" t="e">
        <f>IF(A30="","",VLOOKUP(A30,lng!A:B,2,0))</f>
        <v>#N/A</v>
      </c>
    </row>
    <row r="31" spans="1:9" x14ac:dyDescent="0.15">
      <c r="A31">
        <f t="shared" si="0"/>
        <v>0</v>
      </c>
      <c r="B31">
        <f t="shared" si="1"/>
        <v>1</v>
      </c>
      <c r="C31">
        <f t="shared" si="2"/>
        <v>30</v>
      </c>
      <c r="D31">
        <f t="shared" si="4"/>
        <v>0</v>
      </c>
      <c r="E31" t="str">
        <f>VLOOKUP(D31,name!A:B,2,1)</f>
        <v>Player</v>
      </c>
      <c r="F31">
        <f t="shared" si="4"/>
        <v>0</v>
      </c>
      <c r="G31" t="str">
        <f t="shared" si="3"/>
        <v>q</v>
      </c>
      <c r="H31" t="str">
        <f>VLOOKUP(D31,name!A:C,3,1)</f>
        <v>assets/icons/image326.png</v>
      </c>
      <c r="I31" t="s">
        <v>463</v>
      </c>
    </row>
    <row r="32" spans="1:9" x14ac:dyDescent="0.15">
      <c r="A32">
        <f t="shared" si="0"/>
        <v>0</v>
      </c>
      <c r="B32">
        <f t="shared" si="1"/>
        <v>1</v>
      </c>
      <c r="C32">
        <f t="shared" si="2"/>
        <v>31</v>
      </c>
      <c r="D32">
        <f t="shared" si="4"/>
        <v>0</v>
      </c>
      <c r="E32" t="str">
        <f>VLOOKUP(D32,name!A:B,2,1)</f>
        <v>Player</v>
      </c>
      <c r="F32">
        <f t="shared" si="4"/>
        <v>0</v>
      </c>
      <c r="G32" t="str">
        <f t="shared" si="3"/>
        <v>q</v>
      </c>
      <c r="H32" t="str">
        <f>VLOOKUP(D32,name!A:C,3,1)</f>
        <v>assets/icons/image326.png</v>
      </c>
      <c r="I32" t="e">
        <f>IF(A32="","",VLOOKUP(A32,lng!A:B,2,0))</f>
        <v>#N/A</v>
      </c>
    </row>
    <row r="33" spans="1:9" x14ac:dyDescent="0.15">
      <c r="A33">
        <f t="shared" si="0"/>
        <v>0</v>
      </c>
      <c r="B33">
        <f t="shared" si="1"/>
        <v>1</v>
      </c>
      <c r="C33">
        <f t="shared" si="2"/>
        <v>32</v>
      </c>
      <c r="D33">
        <f t="shared" si="4"/>
        <v>0</v>
      </c>
      <c r="E33" t="str">
        <f>VLOOKUP(D33,name!A:B,2,1)</f>
        <v>Player</v>
      </c>
      <c r="F33">
        <f t="shared" si="4"/>
        <v>0</v>
      </c>
      <c r="G33" t="str">
        <f t="shared" si="3"/>
        <v>q</v>
      </c>
      <c r="H33" t="str">
        <f>VLOOKUP(D33,name!A:C,3,1)</f>
        <v>assets/icons/image326.png</v>
      </c>
      <c r="I33" t="s">
        <v>463</v>
      </c>
    </row>
    <row r="34" spans="1:9" x14ac:dyDescent="0.15">
      <c r="A34">
        <f t="shared" si="0"/>
        <v>0</v>
      </c>
      <c r="B34">
        <f t="shared" si="1"/>
        <v>1</v>
      </c>
      <c r="C34">
        <f t="shared" si="2"/>
        <v>33</v>
      </c>
      <c r="D34">
        <f t="shared" si="4"/>
        <v>0</v>
      </c>
      <c r="E34" t="str">
        <f>VLOOKUP(D34,name!A:B,2,1)</f>
        <v>Player</v>
      </c>
      <c r="F34">
        <f t="shared" si="4"/>
        <v>0</v>
      </c>
      <c r="G34" t="str">
        <f t="shared" si="3"/>
        <v>q</v>
      </c>
      <c r="H34" t="str">
        <f>VLOOKUP(D34,name!A:C,3,1)</f>
        <v>assets/icons/image326.png</v>
      </c>
      <c r="I34" t="e">
        <f>IF(A34="","",VLOOKUP(A34,lng!A:B,2,0))</f>
        <v>#N/A</v>
      </c>
    </row>
    <row r="35" spans="1:9" x14ac:dyDescent="0.15">
      <c r="A35">
        <f t="shared" si="0"/>
        <v>0</v>
      </c>
      <c r="B35">
        <f t="shared" si="1"/>
        <v>1</v>
      </c>
      <c r="C35">
        <f t="shared" si="2"/>
        <v>34</v>
      </c>
      <c r="D35">
        <f t="shared" si="4"/>
        <v>0</v>
      </c>
      <c r="E35" t="str">
        <f>VLOOKUP(D35,name!A:B,2,1)</f>
        <v>Player</v>
      </c>
      <c r="F35">
        <f t="shared" si="4"/>
        <v>0</v>
      </c>
      <c r="G35" t="str">
        <f t="shared" si="3"/>
        <v>q</v>
      </c>
      <c r="H35" t="str">
        <f>VLOOKUP(D35,name!A:C,3,1)</f>
        <v>assets/icons/image326.png</v>
      </c>
      <c r="I35" t="s">
        <v>463</v>
      </c>
    </row>
    <row r="36" spans="1:9" x14ac:dyDescent="0.15">
      <c r="A36">
        <f t="shared" si="0"/>
        <v>0</v>
      </c>
      <c r="B36">
        <f t="shared" si="1"/>
        <v>1</v>
      </c>
      <c r="C36">
        <f t="shared" si="2"/>
        <v>35</v>
      </c>
      <c r="D36">
        <f t="shared" si="4"/>
        <v>0</v>
      </c>
      <c r="E36" t="str">
        <f>VLOOKUP(D36,name!A:B,2,1)</f>
        <v>Player</v>
      </c>
      <c r="F36">
        <f t="shared" si="4"/>
        <v>0</v>
      </c>
      <c r="G36" t="str">
        <f t="shared" si="3"/>
        <v>q</v>
      </c>
      <c r="H36" t="str">
        <f>VLOOKUP(D36,name!A:C,3,1)</f>
        <v>assets/icons/image326.png</v>
      </c>
      <c r="I36" t="e">
        <f>IF(A36="","",VLOOKUP(A36,lng!A:B,2,0))</f>
        <v>#N/A</v>
      </c>
    </row>
    <row r="37" spans="1:9" x14ac:dyDescent="0.15">
      <c r="A37">
        <f t="shared" si="0"/>
        <v>0</v>
      </c>
      <c r="B37">
        <f t="shared" si="1"/>
        <v>1</v>
      </c>
      <c r="C37">
        <f t="shared" si="2"/>
        <v>36</v>
      </c>
      <c r="D37">
        <f t="shared" si="4"/>
        <v>0</v>
      </c>
      <c r="E37" t="str">
        <f>VLOOKUP(D37,name!A:B,2,1)</f>
        <v>Player</v>
      </c>
      <c r="F37">
        <f t="shared" si="4"/>
        <v>0</v>
      </c>
      <c r="G37" t="str">
        <f t="shared" si="3"/>
        <v>q</v>
      </c>
      <c r="H37" t="str">
        <f>VLOOKUP(D37,name!A:C,3,1)</f>
        <v>assets/icons/image326.png</v>
      </c>
      <c r="I37" t="s">
        <v>463</v>
      </c>
    </row>
    <row r="38" spans="1:9" x14ac:dyDescent="0.15">
      <c r="A38">
        <f t="shared" si="0"/>
        <v>0</v>
      </c>
      <c r="B38">
        <f t="shared" si="1"/>
        <v>1</v>
      </c>
      <c r="C38">
        <f t="shared" si="2"/>
        <v>37</v>
      </c>
      <c r="D38">
        <f t="shared" si="4"/>
        <v>0</v>
      </c>
      <c r="E38" t="str">
        <f>VLOOKUP(D38,name!A:B,2,1)</f>
        <v>Player</v>
      </c>
      <c r="F38">
        <f t="shared" si="4"/>
        <v>0</v>
      </c>
      <c r="G38" t="str">
        <f t="shared" si="3"/>
        <v>q</v>
      </c>
      <c r="H38" t="str">
        <f>VLOOKUP(D38,name!A:C,3,1)</f>
        <v>assets/icons/image326.png</v>
      </c>
      <c r="I38" t="e">
        <f>IF(A38="","",VLOOKUP(A38,lng!A:B,2,0))</f>
        <v>#N/A</v>
      </c>
    </row>
    <row r="39" spans="1:9" x14ac:dyDescent="0.15">
      <c r="A39">
        <f t="shared" si="0"/>
        <v>0</v>
      </c>
      <c r="B39">
        <f t="shared" si="1"/>
        <v>1</v>
      </c>
      <c r="C39">
        <f t="shared" si="2"/>
        <v>38</v>
      </c>
      <c r="D39">
        <f t="shared" si="4"/>
        <v>0</v>
      </c>
      <c r="E39" t="str">
        <f>VLOOKUP(D39,name!A:B,2,1)</f>
        <v>Player</v>
      </c>
      <c r="F39">
        <f t="shared" si="4"/>
        <v>0</v>
      </c>
      <c r="G39" t="str">
        <f t="shared" si="3"/>
        <v>q</v>
      </c>
      <c r="H39" t="str">
        <f>VLOOKUP(D39,name!A:C,3,1)</f>
        <v>assets/icons/image326.png</v>
      </c>
      <c r="I39" t="s">
        <v>463</v>
      </c>
    </row>
    <row r="40" spans="1:9" x14ac:dyDescent="0.15">
      <c r="A40">
        <f t="shared" si="0"/>
        <v>0</v>
      </c>
      <c r="B40">
        <f t="shared" si="1"/>
        <v>1</v>
      </c>
      <c r="C40">
        <f t="shared" si="2"/>
        <v>39</v>
      </c>
      <c r="D40">
        <f t="shared" si="4"/>
        <v>0</v>
      </c>
      <c r="E40" t="str">
        <f>VLOOKUP(D40,name!A:B,2,1)</f>
        <v>Player</v>
      </c>
      <c r="F40">
        <f t="shared" si="4"/>
        <v>0</v>
      </c>
      <c r="G40" t="str">
        <f t="shared" si="3"/>
        <v>q</v>
      </c>
      <c r="H40" t="str">
        <f>VLOOKUP(D40,name!A:C,3,1)</f>
        <v>assets/icons/image326.png</v>
      </c>
      <c r="I40" t="e">
        <f>IF(A40="","",VLOOKUP(A40,lng!A:B,2,0))</f>
        <v>#N/A</v>
      </c>
    </row>
    <row r="41" spans="1:9" x14ac:dyDescent="0.15">
      <c r="A41">
        <f t="shared" si="0"/>
        <v>0</v>
      </c>
      <c r="B41">
        <f t="shared" si="1"/>
        <v>1</v>
      </c>
      <c r="C41">
        <f t="shared" si="2"/>
        <v>40</v>
      </c>
      <c r="D41">
        <f t="shared" si="4"/>
        <v>0</v>
      </c>
      <c r="E41" t="str">
        <f>VLOOKUP(D41,name!A:B,2,1)</f>
        <v>Player</v>
      </c>
      <c r="F41">
        <f t="shared" si="4"/>
        <v>0</v>
      </c>
      <c r="G41" t="str">
        <f t="shared" si="3"/>
        <v>q</v>
      </c>
      <c r="H41" t="str">
        <f>VLOOKUP(D41,name!A:C,3,1)</f>
        <v>assets/icons/image326.png</v>
      </c>
      <c r="I41" t="s">
        <v>463</v>
      </c>
    </row>
    <row r="42" spans="1:9" x14ac:dyDescent="0.15">
      <c r="A42">
        <f t="shared" si="0"/>
        <v>0</v>
      </c>
      <c r="B42">
        <f t="shared" si="1"/>
        <v>1</v>
      </c>
      <c r="C42">
        <f t="shared" si="2"/>
        <v>41</v>
      </c>
      <c r="D42">
        <f t="shared" si="4"/>
        <v>0</v>
      </c>
      <c r="E42" t="str">
        <f>VLOOKUP(D42,name!A:B,2,1)</f>
        <v>Player</v>
      </c>
      <c r="F42">
        <f t="shared" si="4"/>
        <v>0</v>
      </c>
      <c r="G42" t="str">
        <f t="shared" si="3"/>
        <v>q</v>
      </c>
      <c r="H42" t="str">
        <f>VLOOKUP(D42,name!A:C,3,1)</f>
        <v>assets/icons/image326.png</v>
      </c>
      <c r="I42" t="e">
        <f>IF(A42="","",VLOOKUP(A42,lng!A:B,2,0))</f>
        <v>#N/A</v>
      </c>
    </row>
    <row r="43" spans="1:9" x14ac:dyDescent="0.15">
      <c r="A43">
        <f t="shared" si="0"/>
        <v>0</v>
      </c>
      <c r="B43">
        <f t="shared" si="1"/>
        <v>1</v>
      </c>
      <c r="C43">
        <f t="shared" si="2"/>
        <v>42</v>
      </c>
      <c r="D43">
        <f t="shared" si="4"/>
        <v>0</v>
      </c>
      <c r="E43" t="str">
        <f>VLOOKUP(D43,name!A:B,2,1)</f>
        <v>Player</v>
      </c>
      <c r="F43">
        <f t="shared" si="4"/>
        <v>0</v>
      </c>
      <c r="G43" t="str">
        <f t="shared" si="3"/>
        <v>q</v>
      </c>
      <c r="H43" t="str">
        <f>VLOOKUP(D43,name!A:C,3,1)</f>
        <v>assets/icons/image326.png</v>
      </c>
      <c r="I43" t="s">
        <v>463</v>
      </c>
    </row>
    <row r="44" spans="1:9" x14ac:dyDescent="0.15">
      <c r="A44">
        <f t="shared" si="0"/>
        <v>0</v>
      </c>
      <c r="B44">
        <f t="shared" si="1"/>
        <v>1</v>
      </c>
      <c r="C44">
        <f t="shared" si="2"/>
        <v>43</v>
      </c>
      <c r="D44">
        <f t="shared" si="4"/>
        <v>0</v>
      </c>
      <c r="E44" t="str">
        <f>VLOOKUP(D44,name!A:B,2,1)</f>
        <v>Player</v>
      </c>
      <c r="F44">
        <f t="shared" si="4"/>
        <v>0</v>
      </c>
      <c r="G44" t="str">
        <f t="shared" si="3"/>
        <v>q</v>
      </c>
      <c r="H44" t="str">
        <f>VLOOKUP(D44,name!A:C,3,1)</f>
        <v>assets/icons/image326.png</v>
      </c>
      <c r="I44" t="e">
        <f>IF(A44="","",VLOOKUP(A44,lng!A:B,2,0))</f>
        <v>#N/A</v>
      </c>
    </row>
    <row r="45" spans="1:9" x14ac:dyDescent="0.15">
      <c r="A45">
        <f t="shared" si="0"/>
        <v>0</v>
      </c>
      <c r="B45">
        <f t="shared" si="1"/>
        <v>1</v>
      </c>
      <c r="C45">
        <f t="shared" si="2"/>
        <v>44</v>
      </c>
      <c r="D45">
        <f>D46</f>
        <v>0</v>
      </c>
      <c r="E45" t="str">
        <f>VLOOKUP(D45,name!A:B,2,1)</f>
        <v>Player</v>
      </c>
      <c r="F45">
        <f>F46</f>
        <v>0</v>
      </c>
      <c r="G45" t="str">
        <f t="shared" si="3"/>
        <v>q</v>
      </c>
      <c r="H45" t="str">
        <f>VLOOKUP(D45,name!A:C,3,1)</f>
        <v>assets/icons/image326.png</v>
      </c>
      <c r="I45" t="s">
        <v>463</v>
      </c>
    </row>
    <row r="46" spans="1:9" x14ac:dyDescent="0.15">
      <c r="A46">
        <f t="shared" si="0"/>
        <v>0</v>
      </c>
      <c r="B46">
        <f t="shared" si="1"/>
        <v>1</v>
      </c>
      <c r="C46">
        <f t="shared" si="2"/>
        <v>45</v>
      </c>
      <c r="D46">
        <f t="shared" si="4"/>
        <v>0</v>
      </c>
      <c r="E46" t="str">
        <f>VLOOKUP(D46,name!A:B,2,1)</f>
        <v>Player</v>
      </c>
      <c r="F46">
        <f t="shared" si="4"/>
        <v>0</v>
      </c>
      <c r="G46" t="str">
        <f t="shared" si="3"/>
        <v>q</v>
      </c>
      <c r="H46" t="str">
        <f>VLOOKUP(D46,name!A:C,3,1)</f>
        <v>assets/icons/image326.png</v>
      </c>
      <c r="I46" t="e">
        <f>IF(A46="","",VLOOKUP(A46,lng!A:B,2,0))</f>
        <v>#N/A</v>
      </c>
    </row>
    <row r="47" spans="1:9" x14ac:dyDescent="0.15">
      <c r="A47">
        <f t="shared" si="0"/>
        <v>0</v>
      </c>
      <c r="B47">
        <f t="shared" si="1"/>
        <v>1</v>
      </c>
      <c r="C47">
        <f t="shared" si="2"/>
        <v>46</v>
      </c>
      <c r="D47">
        <f t="shared" si="4"/>
        <v>0</v>
      </c>
      <c r="E47" t="str">
        <f>VLOOKUP(D47,name!A:B,2,1)</f>
        <v>Player</v>
      </c>
      <c r="F47">
        <f t="shared" si="4"/>
        <v>0</v>
      </c>
      <c r="G47" t="str">
        <f t="shared" si="3"/>
        <v>q</v>
      </c>
      <c r="H47" t="str">
        <f>VLOOKUP(D47,name!A:C,3,1)</f>
        <v>assets/icons/image326.png</v>
      </c>
      <c r="I47" t="s">
        <v>463</v>
      </c>
    </row>
    <row r="48" spans="1:9" x14ac:dyDescent="0.15">
      <c r="A48">
        <f t="shared" si="0"/>
        <v>0</v>
      </c>
      <c r="B48">
        <f t="shared" si="1"/>
        <v>1</v>
      </c>
      <c r="C48">
        <f t="shared" si="2"/>
        <v>47</v>
      </c>
      <c r="D48">
        <f t="shared" si="4"/>
        <v>0</v>
      </c>
      <c r="E48" t="str">
        <f>VLOOKUP(D48,name!A:B,2,1)</f>
        <v>Player</v>
      </c>
      <c r="F48">
        <f t="shared" si="4"/>
        <v>0</v>
      </c>
      <c r="G48" t="str">
        <f t="shared" si="3"/>
        <v>q</v>
      </c>
      <c r="H48" t="str">
        <f>VLOOKUP(D48,name!A:C,3,1)</f>
        <v>assets/icons/image326.png</v>
      </c>
      <c r="I48" t="e">
        <f>IF(A48="","",VLOOKUP(A48,lng!A:B,2,0))</f>
        <v>#N/A</v>
      </c>
    </row>
    <row r="49" spans="1:9" x14ac:dyDescent="0.15">
      <c r="A49">
        <f t="shared" si="0"/>
        <v>0</v>
      </c>
      <c r="B49">
        <f t="shared" si="1"/>
        <v>1</v>
      </c>
      <c r="C49">
        <f t="shared" si="2"/>
        <v>48</v>
      </c>
      <c r="D49">
        <f t="shared" si="4"/>
        <v>0</v>
      </c>
      <c r="E49" t="str">
        <f>VLOOKUP(D49,name!A:B,2,1)</f>
        <v>Player</v>
      </c>
      <c r="F49">
        <f t="shared" si="4"/>
        <v>0</v>
      </c>
      <c r="G49" t="str">
        <f t="shared" si="3"/>
        <v>q</v>
      </c>
      <c r="H49" t="str">
        <f>VLOOKUP(D49,name!A:C,3,1)</f>
        <v>assets/icons/image326.png</v>
      </c>
      <c r="I49" t="s">
        <v>463</v>
      </c>
    </row>
    <row r="50" spans="1:9" x14ac:dyDescent="0.15">
      <c r="A50">
        <f t="shared" si="0"/>
        <v>0</v>
      </c>
      <c r="B50">
        <f t="shared" si="1"/>
        <v>1</v>
      </c>
      <c r="C50">
        <f t="shared" si="2"/>
        <v>49</v>
      </c>
      <c r="D50">
        <f t="shared" si="4"/>
        <v>0</v>
      </c>
      <c r="E50" t="str">
        <f>VLOOKUP(D50,name!A:B,2,1)</f>
        <v>Player</v>
      </c>
      <c r="F50">
        <f t="shared" si="4"/>
        <v>0</v>
      </c>
      <c r="G50" t="str">
        <f t="shared" si="3"/>
        <v>q</v>
      </c>
      <c r="H50" t="str">
        <f>VLOOKUP(D50,name!A:C,3,1)</f>
        <v>assets/icons/image326.png</v>
      </c>
      <c r="I50" t="e">
        <f>IF(A50="","",VLOOKUP(A50,lng!A:B,2,0))</f>
        <v>#N/A</v>
      </c>
    </row>
    <row r="51" spans="1:9" x14ac:dyDescent="0.15">
      <c r="A51">
        <f t="shared" si="0"/>
        <v>0</v>
      </c>
      <c r="B51">
        <f t="shared" si="1"/>
        <v>1</v>
      </c>
      <c r="C51">
        <f t="shared" si="2"/>
        <v>50</v>
      </c>
      <c r="D51">
        <f t="shared" si="4"/>
        <v>0</v>
      </c>
      <c r="E51" t="str">
        <f>VLOOKUP(D51,name!A:B,2,1)</f>
        <v>Player</v>
      </c>
      <c r="F51">
        <f t="shared" si="4"/>
        <v>0</v>
      </c>
      <c r="G51" t="str">
        <f t="shared" si="3"/>
        <v>q</v>
      </c>
      <c r="H51" t="str">
        <f>VLOOKUP(D51,name!A:C,3,1)</f>
        <v>assets/icons/image326.png</v>
      </c>
      <c r="I51" t="s">
        <v>463</v>
      </c>
    </row>
    <row r="52" spans="1:9" x14ac:dyDescent="0.15">
      <c r="A52">
        <f t="shared" si="0"/>
        <v>0</v>
      </c>
      <c r="B52">
        <f t="shared" si="1"/>
        <v>1</v>
      </c>
      <c r="C52">
        <f t="shared" si="2"/>
        <v>51</v>
      </c>
      <c r="D52">
        <f t="shared" si="4"/>
        <v>0</v>
      </c>
      <c r="E52" t="str">
        <f>VLOOKUP(D52,name!A:B,2,1)</f>
        <v>Player</v>
      </c>
      <c r="F52">
        <f t="shared" si="4"/>
        <v>0</v>
      </c>
      <c r="G52" t="str">
        <f t="shared" si="3"/>
        <v>q</v>
      </c>
      <c r="H52" t="str">
        <f>VLOOKUP(D52,name!A:C,3,1)</f>
        <v>assets/icons/image326.png</v>
      </c>
      <c r="I52" t="e">
        <f>IF(A52="","",VLOOKUP(A52,lng!A:B,2,0))</f>
        <v>#N/A</v>
      </c>
    </row>
    <row r="53" spans="1:9" x14ac:dyDescent="0.15">
      <c r="A53">
        <f t="shared" si="0"/>
        <v>0</v>
      </c>
      <c r="B53">
        <f t="shared" si="1"/>
        <v>1</v>
      </c>
      <c r="C53">
        <f t="shared" si="2"/>
        <v>52</v>
      </c>
      <c r="D53">
        <f t="shared" si="4"/>
        <v>0</v>
      </c>
      <c r="E53" t="str">
        <f>VLOOKUP(D53,name!A:B,2,1)</f>
        <v>Player</v>
      </c>
      <c r="F53">
        <f t="shared" si="4"/>
        <v>0</v>
      </c>
      <c r="G53" t="str">
        <f t="shared" si="3"/>
        <v>q</v>
      </c>
      <c r="H53" t="str">
        <f>VLOOKUP(D53,name!A:C,3,1)</f>
        <v>assets/icons/image326.png</v>
      </c>
      <c r="I53" t="s">
        <v>463</v>
      </c>
    </row>
    <row r="54" spans="1:9" x14ac:dyDescent="0.15">
      <c r="A54">
        <f t="shared" si="0"/>
        <v>0</v>
      </c>
      <c r="B54">
        <f t="shared" si="1"/>
        <v>1</v>
      </c>
      <c r="C54">
        <f t="shared" si="2"/>
        <v>53</v>
      </c>
      <c r="D54">
        <f t="shared" si="4"/>
        <v>0</v>
      </c>
      <c r="E54" t="str">
        <f>VLOOKUP(D54,name!A:B,2,1)</f>
        <v>Player</v>
      </c>
      <c r="F54">
        <f t="shared" si="4"/>
        <v>0</v>
      </c>
      <c r="G54" t="str">
        <f t="shared" si="3"/>
        <v>q</v>
      </c>
      <c r="H54" t="str">
        <f>VLOOKUP(D54,name!A:C,3,1)</f>
        <v>assets/icons/image326.png</v>
      </c>
      <c r="I54" t="e">
        <f>IF(A54="","",VLOOKUP(A54,lng!A:B,2,0))</f>
        <v>#N/A</v>
      </c>
    </row>
    <row r="55" spans="1:9" x14ac:dyDescent="0.15">
      <c r="A55">
        <f t="shared" si="0"/>
        <v>0</v>
      </c>
      <c r="B55">
        <f t="shared" si="1"/>
        <v>1</v>
      </c>
      <c r="C55">
        <f t="shared" si="2"/>
        <v>54</v>
      </c>
      <c r="D55">
        <f t="shared" si="4"/>
        <v>0</v>
      </c>
      <c r="E55" t="str">
        <f>VLOOKUP(D55,name!A:B,2,1)</f>
        <v>Player</v>
      </c>
      <c r="F55">
        <f t="shared" si="4"/>
        <v>0</v>
      </c>
      <c r="G55" t="str">
        <f t="shared" si="3"/>
        <v>q</v>
      </c>
      <c r="H55" t="str">
        <f>VLOOKUP(D55,name!A:C,3,1)</f>
        <v>assets/icons/image326.png</v>
      </c>
      <c r="I55" t="s">
        <v>463</v>
      </c>
    </row>
    <row r="56" spans="1:9" x14ac:dyDescent="0.15">
      <c r="A56">
        <f t="shared" si="0"/>
        <v>0</v>
      </c>
      <c r="B56">
        <f t="shared" si="1"/>
        <v>1</v>
      </c>
      <c r="C56">
        <f t="shared" si="2"/>
        <v>55</v>
      </c>
      <c r="D56">
        <f t="shared" si="4"/>
        <v>0</v>
      </c>
      <c r="E56" t="str">
        <f>VLOOKUP(D56,name!A:B,2,1)</f>
        <v>Player</v>
      </c>
      <c r="F56">
        <f t="shared" si="4"/>
        <v>0</v>
      </c>
      <c r="G56" t="str">
        <f t="shared" si="3"/>
        <v>q</v>
      </c>
      <c r="H56" t="str">
        <f>VLOOKUP(D56,name!A:C,3,1)</f>
        <v>assets/icons/image326.png</v>
      </c>
      <c r="I56" t="e">
        <f>IF(A56="","",VLOOKUP(A56,lng!A:B,2,0))</f>
        <v>#N/A</v>
      </c>
    </row>
    <row r="57" spans="1:9" x14ac:dyDescent="0.15">
      <c r="A57">
        <f t="shared" si="0"/>
        <v>0</v>
      </c>
      <c r="B57">
        <f t="shared" si="1"/>
        <v>1</v>
      </c>
      <c r="C57">
        <f t="shared" si="2"/>
        <v>56</v>
      </c>
      <c r="D57">
        <f t="shared" si="4"/>
        <v>0</v>
      </c>
      <c r="E57" t="str">
        <f>VLOOKUP(D57,name!A:B,2,1)</f>
        <v>Player</v>
      </c>
      <c r="F57">
        <f t="shared" si="4"/>
        <v>0</v>
      </c>
      <c r="G57" t="str">
        <f t="shared" si="3"/>
        <v>q</v>
      </c>
      <c r="H57" t="str">
        <f>VLOOKUP(D57,name!A:C,3,1)</f>
        <v>assets/icons/image326.png</v>
      </c>
      <c r="I57" t="s">
        <v>463</v>
      </c>
    </row>
    <row r="58" spans="1:9" x14ac:dyDescent="0.15">
      <c r="A58">
        <f t="shared" si="0"/>
        <v>0</v>
      </c>
      <c r="B58">
        <f t="shared" si="1"/>
        <v>1</v>
      </c>
      <c r="C58">
        <f t="shared" si="2"/>
        <v>57</v>
      </c>
      <c r="D58">
        <f t="shared" si="4"/>
        <v>0</v>
      </c>
      <c r="E58" t="str">
        <f>VLOOKUP(D58,name!A:B,2,1)</f>
        <v>Player</v>
      </c>
      <c r="F58">
        <f t="shared" si="4"/>
        <v>0</v>
      </c>
      <c r="G58" t="str">
        <f t="shared" si="3"/>
        <v>q</v>
      </c>
      <c r="H58" t="str">
        <f>VLOOKUP(D58,name!A:C,3,1)</f>
        <v>assets/icons/image326.png</v>
      </c>
      <c r="I58" t="e">
        <f>IF(A58="","",VLOOKUP(A58,lng!A:B,2,0))</f>
        <v>#N/A</v>
      </c>
    </row>
    <row r="59" spans="1:9" x14ac:dyDescent="0.15">
      <c r="A59">
        <f t="shared" si="0"/>
        <v>0</v>
      </c>
      <c r="B59">
        <f t="shared" si="1"/>
        <v>1</v>
      </c>
      <c r="C59">
        <f t="shared" si="2"/>
        <v>58</v>
      </c>
      <c r="D59">
        <f t="shared" si="4"/>
        <v>0</v>
      </c>
      <c r="E59" t="str">
        <f>VLOOKUP(D59,name!A:B,2,1)</f>
        <v>Player</v>
      </c>
      <c r="F59">
        <f t="shared" si="4"/>
        <v>0</v>
      </c>
      <c r="G59" t="str">
        <f t="shared" si="3"/>
        <v>q</v>
      </c>
      <c r="H59" t="str">
        <f>VLOOKUP(D59,name!A:C,3,1)</f>
        <v>assets/icons/image326.png</v>
      </c>
      <c r="I59" t="s">
        <v>463</v>
      </c>
    </row>
    <row r="60" spans="1:9" x14ac:dyDescent="0.15">
      <c r="A60">
        <f t="shared" si="0"/>
        <v>0</v>
      </c>
      <c r="B60">
        <f t="shared" si="1"/>
        <v>1</v>
      </c>
      <c r="C60">
        <f t="shared" si="2"/>
        <v>59</v>
      </c>
      <c r="D60">
        <f t="shared" si="4"/>
        <v>0</v>
      </c>
      <c r="E60" t="str">
        <f>VLOOKUP(D60,name!A:B,2,1)</f>
        <v>Player</v>
      </c>
      <c r="F60">
        <f t="shared" si="4"/>
        <v>0</v>
      </c>
      <c r="G60" t="str">
        <f t="shared" si="3"/>
        <v>q</v>
      </c>
      <c r="H60" t="str">
        <f>VLOOKUP(D60,name!A:C,3,1)</f>
        <v>assets/icons/image326.png</v>
      </c>
      <c r="I60" t="e">
        <f>IF(A60="","",VLOOKUP(A60,lng!A:B,2,0))</f>
        <v>#N/A</v>
      </c>
    </row>
    <row r="61" spans="1:9" x14ac:dyDescent="0.15">
      <c r="A61">
        <f t="shared" si="0"/>
        <v>0</v>
      </c>
      <c r="B61">
        <f t="shared" si="1"/>
        <v>1</v>
      </c>
      <c r="C61">
        <f t="shared" si="2"/>
        <v>60</v>
      </c>
      <c r="D61">
        <f t="shared" si="4"/>
        <v>0</v>
      </c>
      <c r="E61" t="str">
        <f>VLOOKUP(D61,name!A:B,2,1)</f>
        <v>Player</v>
      </c>
      <c r="F61">
        <f t="shared" si="4"/>
        <v>0</v>
      </c>
      <c r="G61" t="str">
        <f t="shared" si="3"/>
        <v>q</v>
      </c>
      <c r="H61" t="str">
        <f>VLOOKUP(D61,name!A:C,3,1)</f>
        <v>assets/icons/image326.png</v>
      </c>
      <c r="I61" t="s">
        <v>463</v>
      </c>
    </row>
    <row r="62" spans="1:9" x14ac:dyDescent="0.15">
      <c r="A62">
        <f t="shared" si="0"/>
        <v>0</v>
      </c>
      <c r="B62">
        <f t="shared" si="1"/>
        <v>1</v>
      </c>
      <c r="C62">
        <f t="shared" si="2"/>
        <v>61</v>
      </c>
      <c r="D62">
        <f t="shared" si="4"/>
        <v>0</v>
      </c>
      <c r="E62" t="str">
        <f>VLOOKUP(D62,name!A:B,2,1)</f>
        <v>Player</v>
      </c>
      <c r="F62">
        <f t="shared" si="4"/>
        <v>0</v>
      </c>
      <c r="G62" t="str">
        <f t="shared" si="3"/>
        <v>q</v>
      </c>
      <c r="H62" t="str">
        <f>VLOOKUP(D62,name!A:C,3,1)</f>
        <v>assets/icons/image326.png</v>
      </c>
      <c r="I62" t="e">
        <f>IF(A62="","",VLOOKUP(A62,lng!A:B,2,0))</f>
        <v>#N/A</v>
      </c>
    </row>
    <row r="63" spans="1:9" x14ac:dyDescent="0.15">
      <c r="A63">
        <f t="shared" si="0"/>
        <v>0</v>
      </c>
      <c r="B63">
        <f t="shared" si="1"/>
        <v>1</v>
      </c>
      <c r="C63">
        <f t="shared" si="2"/>
        <v>62</v>
      </c>
      <c r="D63">
        <f t="shared" si="4"/>
        <v>0</v>
      </c>
      <c r="E63" t="str">
        <f>VLOOKUP(D63,name!A:B,2,1)</f>
        <v>Player</v>
      </c>
      <c r="F63">
        <f t="shared" si="4"/>
        <v>0</v>
      </c>
      <c r="G63" t="str">
        <f t="shared" si="3"/>
        <v>q</v>
      </c>
      <c r="H63" t="str">
        <f>VLOOKUP(D63,name!A:C,3,1)</f>
        <v>assets/icons/image326.png</v>
      </c>
      <c r="I63" t="s">
        <v>463</v>
      </c>
    </row>
    <row r="64" spans="1:9" x14ac:dyDescent="0.15">
      <c r="A64">
        <f t="shared" si="0"/>
        <v>0</v>
      </c>
      <c r="B64">
        <f t="shared" si="1"/>
        <v>1</v>
      </c>
      <c r="C64">
        <f t="shared" si="2"/>
        <v>63</v>
      </c>
      <c r="D64">
        <f t="shared" si="4"/>
        <v>0</v>
      </c>
      <c r="E64" t="str">
        <f>VLOOKUP(D64,name!A:B,2,1)</f>
        <v>Player</v>
      </c>
      <c r="F64">
        <f t="shared" si="4"/>
        <v>0</v>
      </c>
      <c r="G64" t="str">
        <f t="shared" si="3"/>
        <v>q</v>
      </c>
      <c r="H64" t="str">
        <f>VLOOKUP(D64,name!A:C,3,1)</f>
        <v>assets/icons/image326.png</v>
      </c>
      <c r="I64" t="e">
        <f>IF(A64="","",VLOOKUP(A64,lng!A:B,2,0))</f>
        <v>#N/A</v>
      </c>
    </row>
    <row r="65" spans="1:9" x14ac:dyDescent="0.15">
      <c r="A65">
        <f t="shared" si="0"/>
        <v>0</v>
      </c>
      <c r="B65">
        <f t="shared" si="1"/>
        <v>1</v>
      </c>
      <c r="C65">
        <f t="shared" si="2"/>
        <v>64</v>
      </c>
      <c r="D65">
        <f t="shared" si="4"/>
        <v>0</v>
      </c>
      <c r="E65" t="str">
        <f>VLOOKUP(D65,name!A:B,2,1)</f>
        <v>Player</v>
      </c>
      <c r="F65">
        <f t="shared" si="4"/>
        <v>0</v>
      </c>
      <c r="G65" t="str">
        <f t="shared" si="3"/>
        <v>q</v>
      </c>
      <c r="H65" t="str">
        <f>VLOOKUP(D65,name!A:C,3,1)</f>
        <v>assets/icons/image326.png</v>
      </c>
      <c r="I65" t="s">
        <v>463</v>
      </c>
    </row>
    <row r="66" spans="1:9" x14ac:dyDescent="0.15">
      <c r="A66">
        <f t="shared" si="0"/>
        <v>0</v>
      </c>
      <c r="B66">
        <f t="shared" si="1"/>
        <v>1</v>
      </c>
      <c r="C66">
        <f t="shared" si="2"/>
        <v>65</v>
      </c>
      <c r="D66">
        <f t="shared" si="4"/>
        <v>0</v>
      </c>
      <c r="E66" t="str">
        <f>VLOOKUP(D66,name!A:B,2,1)</f>
        <v>Player</v>
      </c>
      <c r="F66">
        <f t="shared" si="4"/>
        <v>0</v>
      </c>
      <c r="G66" t="str">
        <f t="shared" si="3"/>
        <v>q</v>
      </c>
      <c r="H66" t="str">
        <f>VLOOKUP(D66,name!A:C,3,1)</f>
        <v>assets/icons/image326.png</v>
      </c>
      <c r="I66" t="e">
        <f>IF(A66="","",VLOOKUP(A66,lng!A:B,2,0))</f>
        <v>#N/A</v>
      </c>
    </row>
    <row r="67" spans="1:9" x14ac:dyDescent="0.15">
      <c r="A67">
        <f t="shared" si="0"/>
        <v>0</v>
      </c>
      <c r="B67">
        <f t="shared" si="1"/>
        <v>1</v>
      </c>
      <c r="C67">
        <f t="shared" si="2"/>
        <v>66</v>
      </c>
      <c r="D67">
        <f t="shared" si="4"/>
        <v>0</v>
      </c>
      <c r="E67" t="str">
        <f>VLOOKUP(D67,name!A:B,2,1)</f>
        <v>Player</v>
      </c>
      <c r="F67">
        <f t="shared" si="4"/>
        <v>0</v>
      </c>
      <c r="G67" t="str">
        <f t="shared" si="3"/>
        <v>q</v>
      </c>
      <c r="H67" t="str">
        <f>VLOOKUP(D67,name!A:C,3,1)</f>
        <v>assets/icons/image326.png</v>
      </c>
      <c r="I67" t="s">
        <v>463</v>
      </c>
    </row>
    <row r="68" spans="1:9" x14ac:dyDescent="0.15">
      <c r="A68">
        <f t="shared" si="0"/>
        <v>0</v>
      </c>
      <c r="B68">
        <f t="shared" si="1"/>
        <v>1</v>
      </c>
      <c r="C68">
        <f t="shared" si="2"/>
        <v>67</v>
      </c>
      <c r="D68">
        <f t="shared" si="4"/>
        <v>0</v>
      </c>
      <c r="E68" t="str">
        <f>VLOOKUP(D68,name!A:B,2,1)</f>
        <v>Player</v>
      </c>
      <c r="F68">
        <f t="shared" si="4"/>
        <v>0</v>
      </c>
      <c r="G68" t="str">
        <f t="shared" si="3"/>
        <v>q</v>
      </c>
      <c r="H68" t="str">
        <f>VLOOKUP(D68,name!A:C,3,1)</f>
        <v>assets/icons/image326.png</v>
      </c>
      <c r="I68" t="e">
        <f>IF(A68="","",VLOOKUP(A68,lng!A:B,2,0))</f>
        <v>#N/A</v>
      </c>
    </row>
    <row r="69" spans="1:9" x14ac:dyDescent="0.15">
      <c r="A69">
        <f t="shared" si="0"/>
        <v>0</v>
      </c>
      <c r="B69">
        <f t="shared" si="1"/>
        <v>1</v>
      </c>
      <c r="C69">
        <f t="shared" si="2"/>
        <v>68</v>
      </c>
      <c r="D69">
        <f t="shared" si="4"/>
        <v>0</v>
      </c>
      <c r="E69" t="str">
        <f>VLOOKUP(D69,name!A:B,2,1)</f>
        <v>Player</v>
      </c>
      <c r="F69">
        <f t="shared" si="4"/>
        <v>0</v>
      </c>
      <c r="G69" t="str">
        <f t="shared" ref="G69:G132" si="5">IF(B69&lt;&gt;B70,"e",IF(D69=0,"q","a"))</f>
        <v>q</v>
      </c>
      <c r="H69" t="str">
        <f>VLOOKUP(D69,name!A:C,3,1)</f>
        <v>assets/icons/image326.png</v>
      </c>
      <c r="I69" t="s">
        <v>463</v>
      </c>
    </row>
    <row r="70" spans="1:9" x14ac:dyDescent="0.15">
      <c r="A70">
        <f t="shared" si="0"/>
        <v>0</v>
      </c>
      <c r="B70">
        <f t="shared" si="1"/>
        <v>1</v>
      </c>
      <c r="C70">
        <f t="shared" si="2"/>
        <v>69</v>
      </c>
      <c r="D70">
        <f t="shared" ref="D70:F83" si="6">D71</f>
        <v>0</v>
      </c>
      <c r="E70" t="str">
        <f>VLOOKUP(D70,name!A:B,2,1)</f>
        <v>Player</v>
      </c>
      <c r="F70">
        <f t="shared" si="6"/>
        <v>0</v>
      </c>
      <c r="G70" t="str">
        <f t="shared" si="5"/>
        <v>q</v>
      </c>
      <c r="H70" t="str">
        <f>VLOOKUP(D70,name!A:C,3,1)</f>
        <v>assets/icons/image326.png</v>
      </c>
      <c r="I70" t="e">
        <f>IF(A70="","",VLOOKUP(A70,lng!A:B,2,0))</f>
        <v>#N/A</v>
      </c>
    </row>
    <row r="71" spans="1:9" x14ac:dyDescent="0.15">
      <c r="A71">
        <f t="shared" si="0"/>
        <v>0</v>
      </c>
      <c r="B71">
        <f t="shared" si="1"/>
        <v>1</v>
      </c>
      <c r="C71">
        <f t="shared" si="2"/>
        <v>70</v>
      </c>
      <c r="D71">
        <f t="shared" si="6"/>
        <v>0</v>
      </c>
      <c r="E71" t="str">
        <f>VLOOKUP(D71,name!A:B,2,1)</f>
        <v>Player</v>
      </c>
      <c r="F71">
        <f t="shared" si="6"/>
        <v>0</v>
      </c>
      <c r="G71" t="str">
        <f t="shared" si="5"/>
        <v>q</v>
      </c>
      <c r="H71" t="str">
        <f>VLOOKUP(D71,name!A:C,3,1)</f>
        <v>assets/icons/image326.png</v>
      </c>
      <c r="I71" t="s">
        <v>463</v>
      </c>
    </row>
    <row r="72" spans="1:9" x14ac:dyDescent="0.15">
      <c r="A72">
        <f t="shared" si="0"/>
        <v>0</v>
      </c>
      <c r="B72">
        <f t="shared" si="1"/>
        <v>1</v>
      </c>
      <c r="C72">
        <f t="shared" si="2"/>
        <v>71</v>
      </c>
      <c r="D72">
        <f t="shared" si="6"/>
        <v>0</v>
      </c>
      <c r="E72" t="str">
        <f>VLOOKUP(D72,name!A:B,2,1)</f>
        <v>Player</v>
      </c>
      <c r="F72">
        <f t="shared" si="6"/>
        <v>0</v>
      </c>
      <c r="G72" t="str">
        <f t="shared" si="5"/>
        <v>q</v>
      </c>
      <c r="H72" t="str">
        <f>VLOOKUP(D72,name!A:C,3,1)</f>
        <v>assets/icons/image326.png</v>
      </c>
      <c r="I72" t="e">
        <f>IF(A72="","",VLOOKUP(A72,lng!A:B,2,0))</f>
        <v>#N/A</v>
      </c>
    </row>
    <row r="73" spans="1:9" x14ac:dyDescent="0.15">
      <c r="A73">
        <f t="shared" si="0"/>
        <v>0</v>
      </c>
      <c r="B73">
        <f t="shared" si="1"/>
        <v>1</v>
      </c>
      <c r="C73">
        <f t="shared" si="2"/>
        <v>72</v>
      </c>
      <c r="D73">
        <f t="shared" si="6"/>
        <v>0</v>
      </c>
      <c r="E73" t="str">
        <f>VLOOKUP(D73,name!A:B,2,1)</f>
        <v>Player</v>
      </c>
      <c r="F73">
        <f t="shared" si="6"/>
        <v>0</v>
      </c>
      <c r="G73" t="str">
        <f t="shared" si="5"/>
        <v>q</v>
      </c>
      <c r="H73" t="str">
        <f>VLOOKUP(D73,name!A:C,3,1)</f>
        <v>assets/icons/image326.png</v>
      </c>
      <c r="I73" t="s">
        <v>463</v>
      </c>
    </row>
    <row r="74" spans="1:9" x14ac:dyDescent="0.15">
      <c r="A74">
        <f t="shared" si="0"/>
        <v>0</v>
      </c>
      <c r="B74">
        <f t="shared" si="1"/>
        <v>1</v>
      </c>
      <c r="C74">
        <f t="shared" si="2"/>
        <v>73</v>
      </c>
      <c r="D74">
        <f t="shared" si="6"/>
        <v>0</v>
      </c>
      <c r="E74" t="str">
        <f>VLOOKUP(D74,name!A:B,2,1)</f>
        <v>Player</v>
      </c>
      <c r="F74">
        <f t="shared" si="6"/>
        <v>0</v>
      </c>
      <c r="G74" t="str">
        <f t="shared" si="5"/>
        <v>q</v>
      </c>
      <c r="H74" t="str">
        <f>VLOOKUP(D74,name!A:C,3,1)</f>
        <v>assets/icons/image326.png</v>
      </c>
      <c r="I74" t="e">
        <f>IF(A74="","",VLOOKUP(A74,lng!A:B,2,0))</f>
        <v>#N/A</v>
      </c>
    </row>
    <row r="75" spans="1:9" x14ac:dyDescent="0.15">
      <c r="A75">
        <f t="shared" si="0"/>
        <v>0</v>
      </c>
      <c r="B75">
        <f t="shared" si="1"/>
        <v>1</v>
      </c>
      <c r="C75">
        <f t="shared" si="2"/>
        <v>74</v>
      </c>
      <c r="D75">
        <f t="shared" si="6"/>
        <v>0</v>
      </c>
      <c r="E75" t="str">
        <f>VLOOKUP(D75,name!A:B,2,1)</f>
        <v>Player</v>
      </c>
      <c r="F75">
        <f t="shared" si="6"/>
        <v>0</v>
      </c>
      <c r="G75" t="str">
        <f t="shared" si="5"/>
        <v>q</v>
      </c>
      <c r="H75" t="str">
        <f>VLOOKUP(D75,name!A:C,3,1)</f>
        <v>assets/icons/image326.png</v>
      </c>
      <c r="I75" t="s">
        <v>463</v>
      </c>
    </row>
    <row r="76" spans="1:9" x14ac:dyDescent="0.15">
      <c r="A76">
        <f t="shared" si="0"/>
        <v>0</v>
      </c>
      <c r="B76">
        <f t="shared" si="1"/>
        <v>1</v>
      </c>
      <c r="C76">
        <f t="shared" si="2"/>
        <v>75</v>
      </c>
      <c r="D76">
        <f t="shared" si="6"/>
        <v>0</v>
      </c>
      <c r="E76" t="str">
        <f>VLOOKUP(D76,name!A:B,2,1)</f>
        <v>Player</v>
      </c>
      <c r="F76">
        <f t="shared" si="6"/>
        <v>0</v>
      </c>
      <c r="G76" t="str">
        <f t="shared" si="5"/>
        <v>q</v>
      </c>
      <c r="H76" t="str">
        <f>VLOOKUP(D76,name!A:C,3,1)</f>
        <v>assets/icons/image326.png</v>
      </c>
      <c r="I76" t="e">
        <f>IF(A76="","",VLOOKUP(A76,lng!A:B,2,0))</f>
        <v>#N/A</v>
      </c>
    </row>
    <row r="77" spans="1:9" x14ac:dyDescent="0.15">
      <c r="A77">
        <f t="shared" si="0"/>
        <v>0</v>
      </c>
      <c r="B77">
        <f t="shared" si="1"/>
        <v>1</v>
      </c>
      <c r="C77">
        <f t="shared" si="2"/>
        <v>76</v>
      </c>
      <c r="D77">
        <f t="shared" si="6"/>
        <v>0</v>
      </c>
      <c r="E77" t="str">
        <f>VLOOKUP(D77,name!A:B,2,1)</f>
        <v>Player</v>
      </c>
      <c r="F77">
        <f t="shared" si="6"/>
        <v>0</v>
      </c>
      <c r="G77" t="str">
        <f t="shared" si="5"/>
        <v>q</v>
      </c>
      <c r="H77" t="str">
        <f>VLOOKUP(D77,name!A:C,3,1)</f>
        <v>assets/icons/image326.png</v>
      </c>
      <c r="I77" t="s">
        <v>463</v>
      </c>
    </row>
    <row r="78" spans="1:9" x14ac:dyDescent="0.15">
      <c r="A78">
        <f t="shared" si="0"/>
        <v>0</v>
      </c>
      <c r="B78">
        <f t="shared" si="1"/>
        <v>1</v>
      </c>
      <c r="C78">
        <f t="shared" si="2"/>
        <v>77</v>
      </c>
      <c r="D78">
        <f t="shared" si="6"/>
        <v>0</v>
      </c>
      <c r="E78" t="str">
        <f>VLOOKUP(D78,name!A:B,2,1)</f>
        <v>Player</v>
      </c>
      <c r="F78">
        <f t="shared" si="6"/>
        <v>0</v>
      </c>
      <c r="G78" t="str">
        <f t="shared" si="5"/>
        <v>q</v>
      </c>
      <c r="H78" t="str">
        <f>VLOOKUP(D78,name!A:C,3,1)</f>
        <v>assets/icons/image326.png</v>
      </c>
      <c r="I78" t="e">
        <f>IF(A78="","",VLOOKUP(A78,lng!A:B,2,0))</f>
        <v>#N/A</v>
      </c>
    </row>
    <row r="79" spans="1:9" x14ac:dyDescent="0.15">
      <c r="A79">
        <f t="shared" si="0"/>
        <v>0</v>
      </c>
      <c r="B79">
        <f t="shared" si="1"/>
        <v>1</v>
      </c>
      <c r="C79">
        <f t="shared" si="2"/>
        <v>78</v>
      </c>
      <c r="D79">
        <f t="shared" si="6"/>
        <v>0</v>
      </c>
      <c r="E79" t="str">
        <f>VLOOKUP(D79,name!A:B,2,1)</f>
        <v>Player</v>
      </c>
      <c r="F79">
        <f t="shared" si="6"/>
        <v>0</v>
      </c>
      <c r="G79" t="str">
        <f t="shared" si="5"/>
        <v>q</v>
      </c>
      <c r="H79" t="str">
        <f>VLOOKUP(D79,name!A:C,3,1)</f>
        <v>assets/icons/image326.png</v>
      </c>
      <c r="I79" t="s">
        <v>463</v>
      </c>
    </row>
    <row r="80" spans="1:9" x14ac:dyDescent="0.15">
      <c r="A80">
        <f t="shared" si="0"/>
        <v>0</v>
      </c>
      <c r="B80">
        <f t="shared" si="1"/>
        <v>1</v>
      </c>
      <c r="C80">
        <f t="shared" si="2"/>
        <v>79</v>
      </c>
      <c r="D80">
        <f t="shared" si="6"/>
        <v>0</v>
      </c>
      <c r="E80" t="str">
        <f>VLOOKUP(D80,name!A:B,2,1)</f>
        <v>Player</v>
      </c>
      <c r="F80">
        <f t="shared" si="6"/>
        <v>0</v>
      </c>
      <c r="G80" t="str">
        <f t="shared" si="5"/>
        <v>q</v>
      </c>
      <c r="H80" t="str">
        <f>VLOOKUP(D80,name!A:C,3,1)</f>
        <v>assets/icons/image326.png</v>
      </c>
      <c r="I80" t="e">
        <f>IF(A80="","",VLOOKUP(A80,lng!A:B,2,0))</f>
        <v>#N/A</v>
      </c>
    </row>
    <row r="81" spans="1:9" x14ac:dyDescent="0.15">
      <c r="A81">
        <f t="shared" si="0"/>
        <v>0</v>
      </c>
      <c r="B81">
        <f t="shared" si="1"/>
        <v>1</v>
      </c>
      <c r="C81">
        <f t="shared" si="2"/>
        <v>80</v>
      </c>
      <c r="D81">
        <f t="shared" si="6"/>
        <v>0</v>
      </c>
      <c r="E81" t="str">
        <f>VLOOKUP(D81,name!A:B,2,1)</f>
        <v>Player</v>
      </c>
      <c r="F81">
        <f t="shared" si="6"/>
        <v>0</v>
      </c>
      <c r="G81" t="str">
        <f t="shared" si="5"/>
        <v>q</v>
      </c>
      <c r="H81" t="str">
        <f>VLOOKUP(D81,name!A:C,3,1)</f>
        <v>assets/icons/image326.png</v>
      </c>
      <c r="I81" t="s">
        <v>463</v>
      </c>
    </row>
    <row r="82" spans="1:9" x14ac:dyDescent="0.15">
      <c r="A82">
        <f t="shared" si="0"/>
        <v>0</v>
      </c>
      <c r="B82">
        <f t="shared" si="1"/>
        <v>1</v>
      </c>
      <c r="C82">
        <f t="shared" si="2"/>
        <v>81</v>
      </c>
      <c r="D82">
        <f t="shared" si="6"/>
        <v>0</v>
      </c>
      <c r="E82" t="str">
        <f>VLOOKUP(D82,name!A:B,2,1)</f>
        <v>Player</v>
      </c>
      <c r="F82">
        <f t="shared" si="6"/>
        <v>0</v>
      </c>
      <c r="G82" t="str">
        <f t="shared" si="5"/>
        <v>q</v>
      </c>
      <c r="H82" t="str">
        <f>VLOOKUP(D82,name!A:C,3,1)</f>
        <v>assets/icons/image326.png</v>
      </c>
      <c r="I82" t="e">
        <f>IF(A82="","",VLOOKUP(A82,lng!A:B,2,0))</f>
        <v>#N/A</v>
      </c>
    </row>
    <row r="83" spans="1:9" x14ac:dyDescent="0.15">
      <c r="A83">
        <f t="shared" si="0"/>
        <v>0</v>
      </c>
      <c r="B83">
        <f t="shared" si="1"/>
        <v>1</v>
      </c>
      <c r="C83">
        <f t="shared" si="2"/>
        <v>82</v>
      </c>
      <c r="D83">
        <f t="shared" si="6"/>
        <v>0</v>
      </c>
      <c r="E83" t="str">
        <f>VLOOKUP(D83,name!A:B,2,1)</f>
        <v>Player</v>
      </c>
      <c r="F83">
        <f t="shared" si="6"/>
        <v>0</v>
      </c>
      <c r="G83" t="str">
        <f t="shared" si="5"/>
        <v>q</v>
      </c>
      <c r="H83" t="str">
        <f>VLOOKUP(D83,name!A:C,3,1)</f>
        <v>assets/icons/image326.png</v>
      </c>
      <c r="I83" t="s">
        <v>463</v>
      </c>
    </row>
    <row r="84" spans="1:9" x14ac:dyDescent="0.15">
      <c r="A84">
        <f t="shared" si="0"/>
        <v>0</v>
      </c>
      <c r="B84">
        <f t="shared" si="1"/>
        <v>1</v>
      </c>
      <c r="C84">
        <f t="shared" si="2"/>
        <v>83</v>
      </c>
      <c r="E84" t="str">
        <f>VLOOKUP(D84,name!A:B,2,1)</f>
        <v>Player</v>
      </c>
      <c r="G84" t="str">
        <f t="shared" si="5"/>
        <v>q</v>
      </c>
      <c r="H84" t="str">
        <f>VLOOKUP(D84,name!A:C,3,1)</f>
        <v>assets/icons/image326.png</v>
      </c>
      <c r="I84" t="e">
        <f>IF(A84="","",VLOOKUP(A84,lng!A:B,2,0))</f>
        <v>#N/A</v>
      </c>
    </row>
    <row r="85" spans="1:9" x14ac:dyDescent="0.15">
      <c r="A85">
        <f t="shared" si="0"/>
        <v>0</v>
      </c>
      <c r="B85">
        <f t="shared" si="1"/>
        <v>1</v>
      </c>
      <c r="C85">
        <f t="shared" si="2"/>
        <v>84</v>
      </c>
      <c r="D85">
        <v>1</v>
      </c>
      <c r="E85" t="str">
        <f>VLOOKUP(D85,name!A:B,2,1)</f>
        <v>Navigator</v>
      </c>
      <c r="F85" t="str">
        <f>"次の"&amp;A85&amp;"を真似してね！"</f>
        <v>次の0を真似してね！</v>
      </c>
      <c r="G85" t="str">
        <f t="shared" si="5"/>
        <v>a</v>
      </c>
      <c r="H85" t="str">
        <f>VLOOKUP(D85,name!A:C,3,1)</f>
        <v>assets/icons/image014.png</v>
      </c>
      <c r="I85" t="s">
        <v>463</v>
      </c>
    </row>
    <row r="86" spans="1:9" x14ac:dyDescent="0.15">
      <c r="A86">
        <f t="shared" si="0"/>
        <v>0</v>
      </c>
      <c r="B86">
        <f t="shared" si="1"/>
        <v>1</v>
      </c>
      <c r="C86">
        <f t="shared" si="2"/>
        <v>85</v>
      </c>
      <c r="D86">
        <f>D5</f>
        <v>0</v>
      </c>
      <c r="E86" t="str">
        <f>VLOOKUP(D86,name!A:B,2,1)</f>
        <v>Player</v>
      </c>
      <c r="F86">
        <f>F5</f>
        <v>0</v>
      </c>
      <c r="G86" t="str">
        <f t="shared" si="5"/>
        <v>q</v>
      </c>
      <c r="H86" t="str">
        <f>VLOOKUP(D86,name!A:C,3,1)</f>
        <v>assets/icons/image326.png</v>
      </c>
      <c r="I86" t="s">
        <v>463</v>
      </c>
    </row>
    <row r="87" spans="1:9" x14ac:dyDescent="0.15">
      <c r="A87">
        <f t="shared" si="0"/>
        <v>0</v>
      </c>
      <c r="B87">
        <f t="shared" si="1"/>
        <v>1</v>
      </c>
      <c r="C87">
        <f t="shared" si="2"/>
        <v>86</v>
      </c>
      <c r="D87">
        <f>D6</f>
        <v>0</v>
      </c>
      <c r="E87" t="str">
        <f>VLOOKUP(D87,name!A:B,2,1)</f>
        <v>Player</v>
      </c>
      <c r="F87">
        <f>F6</f>
        <v>0</v>
      </c>
      <c r="G87" t="str">
        <f t="shared" si="5"/>
        <v>q</v>
      </c>
      <c r="H87" t="str">
        <f>VLOOKUP(D87,name!A:C,3,1)</f>
        <v>assets/icons/image326.png</v>
      </c>
      <c r="I87" t="e">
        <f>IF(A87="","",VLOOKUP(A87,lng!A:B,2,0))</f>
        <v>#N/A</v>
      </c>
    </row>
    <row r="88" spans="1:9" x14ac:dyDescent="0.15">
      <c r="A88">
        <f t="shared" si="0"/>
        <v>0</v>
      </c>
      <c r="B88">
        <f t="shared" si="1"/>
        <v>1</v>
      </c>
      <c r="C88">
        <f t="shared" si="2"/>
        <v>87</v>
      </c>
      <c r="D88">
        <v>0</v>
      </c>
      <c r="E88" t="str">
        <f>VLOOKUP(D88,name!A:B,2,1)</f>
        <v>Player</v>
      </c>
      <c r="F88">
        <f>F6</f>
        <v>0</v>
      </c>
      <c r="G88" t="str">
        <f t="shared" si="5"/>
        <v>q</v>
      </c>
      <c r="H88" t="str">
        <f>VLOOKUP(D88,name!A:C,3,1)</f>
        <v>assets/icons/image326.png</v>
      </c>
      <c r="I88" t="e">
        <f>IF(A88="","",VLOOKUP(A88,lng!A:B,2,0))</f>
        <v>#N/A</v>
      </c>
    </row>
    <row r="89" spans="1:9" x14ac:dyDescent="0.15">
      <c r="A89">
        <f t="shared" si="0"/>
        <v>0</v>
      </c>
      <c r="B89">
        <f t="shared" si="1"/>
        <v>1</v>
      </c>
      <c r="C89">
        <f t="shared" si="2"/>
        <v>88</v>
      </c>
      <c r="D89">
        <f>D7</f>
        <v>0</v>
      </c>
      <c r="E89" t="str">
        <f>VLOOKUP(D89,name!A:B,2,1)</f>
        <v>Player</v>
      </c>
      <c r="F89">
        <f>F7</f>
        <v>0</v>
      </c>
      <c r="G89" t="str">
        <f t="shared" si="5"/>
        <v>q</v>
      </c>
      <c r="H89" t="str">
        <f>VLOOKUP(D89,name!A:C,3,1)</f>
        <v>assets/icons/image326.png</v>
      </c>
      <c r="I89" t="s">
        <v>463</v>
      </c>
    </row>
    <row r="90" spans="1:9" x14ac:dyDescent="0.15">
      <c r="A90">
        <f t="shared" si="0"/>
        <v>0</v>
      </c>
      <c r="B90">
        <f t="shared" si="1"/>
        <v>1</v>
      </c>
      <c r="C90">
        <f t="shared" si="2"/>
        <v>89</v>
      </c>
      <c r="D90">
        <f>D8</f>
        <v>0</v>
      </c>
      <c r="E90" t="str">
        <f>VLOOKUP(D90,name!A:B,2,1)</f>
        <v>Player</v>
      </c>
      <c r="F90">
        <f>F8</f>
        <v>0</v>
      </c>
      <c r="G90" t="str">
        <f t="shared" si="5"/>
        <v>q</v>
      </c>
      <c r="H90" t="str">
        <f>VLOOKUP(D90,name!A:C,3,1)</f>
        <v>assets/icons/image326.png</v>
      </c>
      <c r="I90" t="e">
        <f>IF(A90="","",VLOOKUP(A90,lng!A:B,2,0))</f>
        <v>#N/A</v>
      </c>
    </row>
    <row r="91" spans="1:9" x14ac:dyDescent="0.15">
      <c r="A91">
        <f t="shared" si="0"/>
        <v>0</v>
      </c>
      <c r="B91">
        <f t="shared" si="1"/>
        <v>1</v>
      </c>
      <c r="C91">
        <f t="shared" si="2"/>
        <v>90</v>
      </c>
      <c r="D91">
        <v>0</v>
      </c>
      <c r="E91" t="str">
        <f>VLOOKUP(D91,name!A:B,2,1)</f>
        <v>Player</v>
      </c>
      <c r="F91">
        <f>F8</f>
        <v>0</v>
      </c>
      <c r="G91" t="str">
        <f t="shared" si="5"/>
        <v>q</v>
      </c>
      <c r="H91" t="str">
        <f>VLOOKUP(D91,name!A:C,3,1)</f>
        <v>assets/icons/image326.png</v>
      </c>
      <c r="I91" t="e">
        <f>IF(A91="","",VLOOKUP(A91,lng!A:B,2,0))</f>
        <v>#N/A</v>
      </c>
    </row>
    <row r="92" spans="1:9" x14ac:dyDescent="0.15">
      <c r="A92">
        <f t="shared" si="0"/>
        <v>0</v>
      </c>
      <c r="B92">
        <f t="shared" si="1"/>
        <v>1</v>
      </c>
      <c r="C92">
        <f t="shared" si="2"/>
        <v>91</v>
      </c>
      <c r="D92">
        <f>D9</f>
        <v>0</v>
      </c>
      <c r="E92" t="str">
        <f>VLOOKUP(D92,name!A:B,2,1)</f>
        <v>Player</v>
      </c>
      <c r="F92">
        <f>F9</f>
        <v>0</v>
      </c>
      <c r="G92" t="str">
        <f t="shared" si="5"/>
        <v>q</v>
      </c>
      <c r="H92" t="str">
        <f>VLOOKUP(D92,name!A:C,3,1)</f>
        <v>assets/icons/image326.png</v>
      </c>
      <c r="I92" t="s">
        <v>463</v>
      </c>
    </row>
    <row r="93" spans="1:9" x14ac:dyDescent="0.15">
      <c r="A93">
        <f t="shared" si="0"/>
        <v>0</v>
      </c>
      <c r="B93">
        <f t="shared" si="1"/>
        <v>1</v>
      </c>
      <c r="C93">
        <f t="shared" si="2"/>
        <v>92</v>
      </c>
      <c r="D93">
        <f>D10</f>
        <v>0</v>
      </c>
      <c r="E93" t="str">
        <f>VLOOKUP(D93,name!A:B,2,1)</f>
        <v>Player</v>
      </c>
      <c r="F93">
        <f>F10</f>
        <v>0</v>
      </c>
      <c r="G93" t="str">
        <f t="shared" si="5"/>
        <v>q</v>
      </c>
      <c r="H93" t="str">
        <f>VLOOKUP(D93,name!A:C,3,1)</f>
        <v>assets/icons/image326.png</v>
      </c>
      <c r="I93" t="e">
        <f>IF(A93="","",VLOOKUP(A93,lng!A:B,2,0))</f>
        <v>#N/A</v>
      </c>
    </row>
    <row r="94" spans="1:9" x14ac:dyDescent="0.15">
      <c r="A94">
        <f t="shared" si="0"/>
        <v>0</v>
      </c>
      <c r="B94">
        <f t="shared" si="1"/>
        <v>1</v>
      </c>
      <c r="C94">
        <f t="shared" si="2"/>
        <v>93</v>
      </c>
      <c r="D94">
        <v>0</v>
      </c>
      <c r="E94" t="str">
        <f>VLOOKUP(D94,name!A:B,2,1)</f>
        <v>Player</v>
      </c>
      <c r="F94">
        <f>F10</f>
        <v>0</v>
      </c>
      <c r="G94" t="str">
        <f t="shared" si="5"/>
        <v>q</v>
      </c>
      <c r="H94" t="str">
        <f>VLOOKUP(D94,name!A:C,3,1)</f>
        <v>assets/icons/image326.png</v>
      </c>
      <c r="I94" t="e">
        <f>IF(A94="","",VLOOKUP(A94,lng!A:B,2,0))</f>
        <v>#N/A</v>
      </c>
    </row>
    <row r="95" spans="1:9" x14ac:dyDescent="0.15">
      <c r="A95">
        <f t="shared" si="0"/>
        <v>0</v>
      </c>
      <c r="B95">
        <f t="shared" si="1"/>
        <v>1</v>
      </c>
      <c r="C95">
        <f t="shared" si="2"/>
        <v>94</v>
      </c>
      <c r="D95">
        <f>D11</f>
        <v>0</v>
      </c>
      <c r="E95" t="str">
        <f>VLOOKUP(D95,name!A:B,2,1)</f>
        <v>Player</v>
      </c>
      <c r="F95">
        <f>F11</f>
        <v>0</v>
      </c>
      <c r="G95" t="str">
        <f t="shared" si="5"/>
        <v>q</v>
      </c>
      <c r="H95" t="str">
        <f>VLOOKUP(D95,name!A:C,3,1)</f>
        <v>assets/icons/image326.png</v>
      </c>
      <c r="I95" t="s">
        <v>463</v>
      </c>
    </row>
    <row r="96" spans="1:9" x14ac:dyDescent="0.15">
      <c r="A96">
        <f t="shared" si="0"/>
        <v>0</v>
      </c>
      <c r="B96">
        <f t="shared" si="1"/>
        <v>1</v>
      </c>
      <c r="C96">
        <f t="shared" si="2"/>
        <v>95</v>
      </c>
      <c r="D96">
        <f>D12</f>
        <v>0</v>
      </c>
      <c r="E96" t="str">
        <f>VLOOKUP(D96,name!A:B,2,1)</f>
        <v>Player</v>
      </c>
      <c r="F96">
        <f>F12</f>
        <v>0</v>
      </c>
      <c r="G96" t="str">
        <f t="shared" si="5"/>
        <v>q</v>
      </c>
      <c r="H96" t="str">
        <f>VLOOKUP(D96,name!A:C,3,1)</f>
        <v>assets/icons/image326.png</v>
      </c>
      <c r="I96" t="e">
        <f>IF(A96="","",VLOOKUP(A96,lng!A:B,2,0))</f>
        <v>#N/A</v>
      </c>
    </row>
    <row r="97" spans="1:9" x14ac:dyDescent="0.15">
      <c r="A97">
        <f t="shared" si="0"/>
        <v>0</v>
      </c>
      <c r="B97">
        <f t="shared" si="1"/>
        <v>1</v>
      </c>
      <c r="C97">
        <f t="shared" si="2"/>
        <v>96</v>
      </c>
      <c r="D97">
        <v>0</v>
      </c>
      <c r="E97" t="str">
        <f>VLOOKUP(D97,name!A:B,2,1)</f>
        <v>Player</v>
      </c>
      <c r="F97">
        <f>F12</f>
        <v>0</v>
      </c>
      <c r="G97" t="str">
        <f t="shared" si="5"/>
        <v>q</v>
      </c>
      <c r="H97" t="str">
        <f>VLOOKUP(D97,name!A:C,3,1)</f>
        <v>assets/icons/image326.png</v>
      </c>
      <c r="I97" t="e">
        <f>IF(A97="","",VLOOKUP(A97,lng!A:B,2,0))</f>
        <v>#N/A</v>
      </c>
    </row>
    <row r="98" spans="1:9" x14ac:dyDescent="0.15">
      <c r="A98">
        <f t="shared" si="0"/>
        <v>0</v>
      </c>
      <c r="B98">
        <f t="shared" si="1"/>
        <v>1</v>
      </c>
      <c r="C98">
        <f t="shared" si="2"/>
        <v>97</v>
      </c>
      <c r="D98">
        <f>D13</f>
        <v>0</v>
      </c>
      <c r="E98" t="str">
        <f>VLOOKUP(D98,name!A:B,2,1)</f>
        <v>Player</v>
      </c>
      <c r="F98">
        <f>F13</f>
        <v>0</v>
      </c>
      <c r="G98" t="str">
        <f t="shared" si="5"/>
        <v>q</v>
      </c>
      <c r="H98" t="str">
        <f>VLOOKUP(D98,name!A:C,3,1)</f>
        <v>assets/icons/image326.png</v>
      </c>
      <c r="I98" t="s">
        <v>463</v>
      </c>
    </row>
    <row r="99" spans="1:9" x14ac:dyDescent="0.15">
      <c r="A99">
        <f t="shared" si="0"/>
        <v>0</v>
      </c>
      <c r="B99">
        <f t="shared" si="1"/>
        <v>1</v>
      </c>
      <c r="C99">
        <f t="shared" si="2"/>
        <v>98</v>
      </c>
      <c r="D99">
        <f>D14</f>
        <v>0</v>
      </c>
      <c r="E99" t="str">
        <f>VLOOKUP(D99,name!A:B,2,1)</f>
        <v>Player</v>
      </c>
      <c r="F99">
        <f>F14</f>
        <v>0</v>
      </c>
      <c r="G99" t="str">
        <f t="shared" si="5"/>
        <v>q</v>
      </c>
      <c r="H99" t="str">
        <f>VLOOKUP(D99,name!A:C,3,1)</f>
        <v>assets/icons/image326.png</v>
      </c>
      <c r="I99" t="e">
        <f>IF(A99="","",VLOOKUP(A99,lng!A:B,2,0))</f>
        <v>#N/A</v>
      </c>
    </row>
    <row r="100" spans="1:9" x14ac:dyDescent="0.15">
      <c r="A100">
        <f t="shared" si="0"/>
        <v>0</v>
      </c>
      <c r="B100">
        <f t="shared" si="1"/>
        <v>1</v>
      </c>
      <c r="C100">
        <f t="shared" si="2"/>
        <v>99</v>
      </c>
      <c r="D100">
        <v>0</v>
      </c>
      <c r="E100" t="str">
        <f>VLOOKUP(D100,name!A:B,2,1)</f>
        <v>Player</v>
      </c>
      <c r="F100">
        <f>F14</f>
        <v>0</v>
      </c>
      <c r="G100" t="str">
        <f t="shared" si="5"/>
        <v>q</v>
      </c>
      <c r="H100" t="str">
        <f>VLOOKUP(D100,name!A:C,3,1)</f>
        <v>assets/icons/image326.png</v>
      </c>
      <c r="I100" t="e">
        <f>IF(A100="","",VLOOKUP(A100,lng!A:B,2,0))</f>
        <v>#N/A</v>
      </c>
    </row>
    <row r="101" spans="1:9" x14ac:dyDescent="0.15">
      <c r="A101">
        <f t="shared" si="0"/>
        <v>0</v>
      </c>
      <c r="B101">
        <f t="shared" si="1"/>
        <v>1</v>
      </c>
      <c r="C101">
        <f t="shared" si="2"/>
        <v>100</v>
      </c>
      <c r="D101">
        <f>D15</f>
        <v>0</v>
      </c>
      <c r="E101" t="str">
        <f>VLOOKUP(D101,name!A:B,2,1)</f>
        <v>Player</v>
      </c>
      <c r="F101">
        <f>F15</f>
        <v>0</v>
      </c>
      <c r="G101" t="str">
        <f t="shared" si="5"/>
        <v>q</v>
      </c>
      <c r="H101" t="str">
        <f>VLOOKUP(D101,name!A:C,3,1)</f>
        <v>assets/icons/image326.png</v>
      </c>
      <c r="I101" t="s">
        <v>463</v>
      </c>
    </row>
    <row r="102" spans="1:9" x14ac:dyDescent="0.15">
      <c r="A102">
        <f t="shared" ref="A102:B117" si="7">A101</f>
        <v>0</v>
      </c>
      <c r="B102">
        <f t="shared" si="1"/>
        <v>1</v>
      </c>
      <c r="C102">
        <f t="shared" si="2"/>
        <v>101</v>
      </c>
      <c r="D102">
        <f>D16</f>
        <v>0</v>
      </c>
      <c r="E102" t="str">
        <f>VLOOKUP(D102,name!A:B,2,1)</f>
        <v>Player</v>
      </c>
      <c r="F102">
        <f>F16</f>
        <v>0</v>
      </c>
      <c r="G102" t="str">
        <f t="shared" si="5"/>
        <v>q</v>
      </c>
      <c r="H102" t="str">
        <f>VLOOKUP(D102,name!A:C,3,1)</f>
        <v>assets/icons/image326.png</v>
      </c>
      <c r="I102" t="e">
        <f>IF(A102="","",VLOOKUP(A102,lng!A:B,2,0))</f>
        <v>#N/A</v>
      </c>
    </row>
    <row r="103" spans="1:9" x14ac:dyDescent="0.15">
      <c r="A103">
        <f t="shared" si="7"/>
        <v>0</v>
      </c>
      <c r="B103">
        <f t="shared" si="1"/>
        <v>1</v>
      </c>
      <c r="C103">
        <f t="shared" si="2"/>
        <v>102</v>
      </c>
      <c r="D103">
        <v>0</v>
      </c>
      <c r="E103" t="str">
        <f>VLOOKUP(D103,name!A:B,2,1)</f>
        <v>Player</v>
      </c>
      <c r="F103">
        <f>F16</f>
        <v>0</v>
      </c>
      <c r="G103" t="str">
        <f t="shared" si="5"/>
        <v>q</v>
      </c>
      <c r="H103" t="str">
        <f>VLOOKUP(D103,name!A:C,3,1)</f>
        <v>assets/icons/image326.png</v>
      </c>
      <c r="I103" t="e">
        <f>IF(A103="","",VLOOKUP(A103,lng!A:B,2,0))</f>
        <v>#N/A</v>
      </c>
    </row>
    <row r="104" spans="1:9" x14ac:dyDescent="0.15">
      <c r="A104">
        <f t="shared" si="7"/>
        <v>0</v>
      </c>
      <c r="B104">
        <f t="shared" si="1"/>
        <v>1</v>
      </c>
      <c r="C104">
        <f t="shared" si="2"/>
        <v>103</v>
      </c>
      <c r="D104">
        <f>D17</f>
        <v>0</v>
      </c>
      <c r="E104" t="str">
        <f>VLOOKUP(D104,name!A:B,2,1)</f>
        <v>Player</v>
      </c>
      <c r="F104">
        <f>F17</f>
        <v>0</v>
      </c>
      <c r="G104" t="str">
        <f t="shared" si="5"/>
        <v>q</v>
      </c>
      <c r="H104" t="str">
        <f>VLOOKUP(D104,name!A:C,3,1)</f>
        <v>assets/icons/image326.png</v>
      </c>
      <c r="I104" t="s">
        <v>463</v>
      </c>
    </row>
    <row r="105" spans="1:9" x14ac:dyDescent="0.15">
      <c r="A105">
        <f t="shared" si="7"/>
        <v>0</v>
      </c>
      <c r="B105">
        <f t="shared" si="1"/>
        <v>1</v>
      </c>
      <c r="C105">
        <f t="shared" si="2"/>
        <v>104</v>
      </c>
      <c r="D105">
        <f>D18</f>
        <v>0</v>
      </c>
      <c r="E105" t="str">
        <f>VLOOKUP(D105,name!A:B,2,1)</f>
        <v>Player</v>
      </c>
      <c r="F105">
        <f>F18</f>
        <v>0</v>
      </c>
      <c r="G105" t="str">
        <f t="shared" si="5"/>
        <v>q</v>
      </c>
      <c r="H105" t="str">
        <f>VLOOKUP(D105,name!A:C,3,1)</f>
        <v>assets/icons/image326.png</v>
      </c>
      <c r="I105" t="e">
        <f>IF(A105="","",VLOOKUP(A105,lng!A:B,2,0))</f>
        <v>#N/A</v>
      </c>
    </row>
    <row r="106" spans="1:9" x14ac:dyDescent="0.15">
      <c r="A106">
        <f t="shared" si="7"/>
        <v>0</v>
      </c>
      <c r="B106">
        <f t="shared" si="1"/>
        <v>1</v>
      </c>
      <c r="C106">
        <f t="shared" si="2"/>
        <v>105</v>
      </c>
      <c r="D106">
        <v>0</v>
      </c>
      <c r="E106" t="str">
        <f>VLOOKUP(D106,name!A:B,2,1)</f>
        <v>Player</v>
      </c>
      <c r="F106">
        <f>F18</f>
        <v>0</v>
      </c>
      <c r="G106" t="str">
        <f t="shared" si="5"/>
        <v>q</v>
      </c>
      <c r="H106" t="str">
        <f>VLOOKUP(D106,name!A:C,3,1)</f>
        <v>assets/icons/image326.png</v>
      </c>
      <c r="I106" t="e">
        <f>IF(A106="","",VLOOKUP(A106,lng!A:B,2,0))</f>
        <v>#N/A</v>
      </c>
    </row>
    <row r="107" spans="1:9" x14ac:dyDescent="0.15">
      <c r="A107">
        <f t="shared" si="7"/>
        <v>0</v>
      </c>
      <c r="B107">
        <f t="shared" si="7"/>
        <v>1</v>
      </c>
      <c r="C107">
        <f t="shared" ref="C107:C170" si="8">C106+1</f>
        <v>106</v>
      </c>
      <c r="D107">
        <f>D19</f>
        <v>0</v>
      </c>
      <c r="E107" t="str">
        <f>VLOOKUP(D107,name!A:B,2,1)</f>
        <v>Player</v>
      </c>
      <c r="F107">
        <f>F19</f>
        <v>0</v>
      </c>
      <c r="G107" t="str">
        <f t="shared" si="5"/>
        <v>q</v>
      </c>
      <c r="H107" t="str">
        <f>VLOOKUP(D107,name!A:C,3,1)</f>
        <v>assets/icons/image326.png</v>
      </c>
      <c r="I107" t="s">
        <v>463</v>
      </c>
    </row>
    <row r="108" spans="1:9" x14ac:dyDescent="0.15">
      <c r="A108">
        <f t="shared" si="7"/>
        <v>0</v>
      </c>
      <c r="B108">
        <f t="shared" si="7"/>
        <v>1</v>
      </c>
      <c r="C108">
        <f t="shared" si="8"/>
        <v>107</v>
      </c>
      <c r="D108">
        <f>D20</f>
        <v>0</v>
      </c>
      <c r="E108" t="str">
        <f>VLOOKUP(D108,name!A:B,2,1)</f>
        <v>Player</v>
      </c>
      <c r="F108">
        <f>F20</f>
        <v>0</v>
      </c>
      <c r="G108" t="str">
        <f t="shared" si="5"/>
        <v>q</v>
      </c>
      <c r="H108" t="str">
        <f>VLOOKUP(D108,name!A:C,3,1)</f>
        <v>assets/icons/image326.png</v>
      </c>
      <c r="I108" t="e">
        <f>IF(A108="","",VLOOKUP(A108,lng!A:B,2,0))</f>
        <v>#N/A</v>
      </c>
    </row>
    <row r="109" spans="1:9" x14ac:dyDescent="0.15">
      <c r="A109">
        <f t="shared" si="7"/>
        <v>0</v>
      </c>
      <c r="B109">
        <f t="shared" si="7"/>
        <v>1</v>
      </c>
      <c r="C109">
        <f t="shared" si="8"/>
        <v>108</v>
      </c>
      <c r="D109">
        <v>0</v>
      </c>
      <c r="E109" t="str">
        <f>VLOOKUP(D109,name!A:B,2,1)</f>
        <v>Player</v>
      </c>
      <c r="F109">
        <f>F20</f>
        <v>0</v>
      </c>
      <c r="G109" t="str">
        <f t="shared" si="5"/>
        <v>q</v>
      </c>
      <c r="H109" t="str">
        <f>VLOOKUP(D109,name!A:C,3,1)</f>
        <v>assets/icons/image326.png</v>
      </c>
      <c r="I109" t="e">
        <f>IF(A109="","",VLOOKUP(A109,lng!A:B,2,0))</f>
        <v>#N/A</v>
      </c>
    </row>
    <row r="110" spans="1:9" x14ac:dyDescent="0.15">
      <c r="A110">
        <f t="shared" si="7"/>
        <v>0</v>
      </c>
      <c r="B110">
        <f t="shared" si="7"/>
        <v>1</v>
      </c>
      <c r="C110">
        <f t="shared" si="8"/>
        <v>109</v>
      </c>
      <c r="D110">
        <f>D21</f>
        <v>0</v>
      </c>
      <c r="E110" t="str">
        <f>VLOOKUP(D110,name!A:B,2,1)</f>
        <v>Player</v>
      </c>
      <c r="F110">
        <f>F21</f>
        <v>0</v>
      </c>
      <c r="G110" t="str">
        <f t="shared" si="5"/>
        <v>q</v>
      </c>
      <c r="H110" t="str">
        <f>VLOOKUP(D110,name!A:C,3,1)</f>
        <v>assets/icons/image326.png</v>
      </c>
      <c r="I110" t="s">
        <v>463</v>
      </c>
    </row>
    <row r="111" spans="1:9" x14ac:dyDescent="0.15">
      <c r="A111">
        <f t="shared" si="7"/>
        <v>0</v>
      </c>
      <c r="B111">
        <f t="shared" si="7"/>
        <v>1</v>
      </c>
      <c r="C111">
        <f t="shared" si="8"/>
        <v>110</v>
      </c>
      <c r="D111">
        <f>D22</f>
        <v>0</v>
      </c>
      <c r="E111" t="str">
        <f>VLOOKUP(D111,name!A:B,2,1)</f>
        <v>Player</v>
      </c>
      <c r="F111">
        <f>F22</f>
        <v>0</v>
      </c>
      <c r="G111" t="str">
        <f t="shared" si="5"/>
        <v>q</v>
      </c>
      <c r="H111" t="str">
        <f>VLOOKUP(D111,name!A:C,3,1)</f>
        <v>assets/icons/image326.png</v>
      </c>
      <c r="I111" t="e">
        <f>IF(A111="","",VLOOKUP(A111,lng!A:B,2,0))</f>
        <v>#N/A</v>
      </c>
    </row>
    <row r="112" spans="1:9" x14ac:dyDescent="0.15">
      <c r="A112">
        <f t="shared" si="7"/>
        <v>0</v>
      </c>
      <c r="B112">
        <f t="shared" si="7"/>
        <v>1</v>
      </c>
      <c r="C112">
        <f t="shared" si="8"/>
        <v>111</v>
      </c>
      <c r="D112">
        <v>0</v>
      </c>
      <c r="E112" t="str">
        <f>VLOOKUP(D112,name!A:B,2,1)</f>
        <v>Player</v>
      </c>
      <c r="F112">
        <f>F22</f>
        <v>0</v>
      </c>
      <c r="G112" t="str">
        <f t="shared" si="5"/>
        <v>q</v>
      </c>
      <c r="H112" t="str">
        <f>VLOOKUP(D112,name!A:C,3,1)</f>
        <v>assets/icons/image326.png</v>
      </c>
      <c r="I112" t="e">
        <f>IF(A112="","",VLOOKUP(A112,lng!A:B,2,0))</f>
        <v>#N/A</v>
      </c>
    </row>
    <row r="113" spans="1:9" x14ac:dyDescent="0.15">
      <c r="A113">
        <f t="shared" si="7"/>
        <v>0</v>
      </c>
      <c r="B113">
        <f t="shared" si="7"/>
        <v>1</v>
      </c>
      <c r="C113">
        <f t="shared" si="8"/>
        <v>112</v>
      </c>
      <c r="D113">
        <f>D23</f>
        <v>0</v>
      </c>
      <c r="E113" t="str">
        <f>VLOOKUP(D113,name!A:B,2,1)</f>
        <v>Player</v>
      </c>
      <c r="F113">
        <f>F23</f>
        <v>0</v>
      </c>
      <c r="G113" t="str">
        <f t="shared" si="5"/>
        <v>q</v>
      </c>
      <c r="H113" t="str">
        <f>VLOOKUP(D113,name!A:C,3,1)</f>
        <v>assets/icons/image326.png</v>
      </c>
      <c r="I113" t="s">
        <v>463</v>
      </c>
    </row>
    <row r="114" spans="1:9" x14ac:dyDescent="0.15">
      <c r="A114">
        <f t="shared" si="7"/>
        <v>0</v>
      </c>
      <c r="B114">
        <f t="shared" si="7"/>
        <v>1</v>
      </c>
      <c r="C114">
        <f t="shared" si="8"/>
        <v>113</v>
      </c>
      <c r="D114">
        <f>D24</f>
        <v>0</v>
      </c>
      <c r="E114" t="str">
        <f>VLOOKUP(D114,name!A:B,2,1)</f>
        <v>Player</v>
      </c>
      <c r="F114">
        <f>F24</f>
        <v>0</v>
      </c>
      <c r="G114" t="str">
        <f t="shared" si="5"/>
        <v>q</v>
      </c>
      <c r="H114" t="str">
        <f>VLOOKUP(D114,name!A:C,3,1)</f>
        <v>assets/icons/image326.png</v>
      </c>
      <c r="I114" t="e">
        <f>IF(A114="","",VLOOKUP(A114,lng!A:B,2,0))</f>
        <v>#N/A</v>
      </c>
    </row>
    <row r="115" spans="1:9" x14ac:dyDescent="0.15">
      <c r="A115">
        <f t="shared" si="7"/>
        <v>0</v>
      </c>
      <c r="B115">
        <f t="shared" si="7"/>
        <v>1</v>
      </c>
      <c r="C115">
        <f t="shared" si="8"/>
        <v>114</v>
      </c>
      <c r="D115">
        <v>0</v>
      </c>
      <c r="E115" t="str">
        <f>VLOOKUP(D115,name!A:B,2,1)</f>
        <v>Player</v>
      </c>
      <c r="F115">
        <f>F24</f>
        <v>0</v>
      </c>
      <c r="G115" t="str">
        <f t="shared" si="5"/>
        <v>q</v>
      </c>
      <c r="H115" t="str">
        <f>VLOOKUP(D115,name!A:C,3,1)</f>
        <v>assets/icons/image326.png</v>
      </c>
      <c r="I115" t="e">
        <f>IF(A115="","",VLOOKUP(A115,lng!A:B,2,0))</f>
        <v>#N/A</v>
      </c>
    </row>
    <row r="116" spans="1:9" x14ac:dyDescent="0.15">
      <c r="A116">
        <f t="shared" si="7"/>
        <v>0</v>
      </c>
      <c r="B116">
        <f t="shared" si="7"/>
        <v>1</v>
      </c>
      <c r="C116">
        <f t="shared" si="8"/>
        <v>115</v>
      </c>
      <c r="D116">
        <f>D25</f>
        <v>0</v>
      </c>
      <c r="E116" t="str">
        <f>VLOOKUP(D116,name!A:B,2,1)</f>
        <v>Player</v>
      </c>
      <c r="F116">
        <f>F25</f>
        <v>0</v>
      </c>
      <c r="G116" t="str">
        <f t="shared" si="5"/>
        <v>q</v>
      </c>
      <c r="H116" t="str">
        <f>VLOOKUP(D116,name!A:C,3,1)</f>
        <v>assets/icons/image326.png</v>
      </c>
      <c r="I116" t="s">
        <v>463</v>
      </c>
    </row>
    <row r="117" spans="1:9" x14ac:dyDescent="0.15">
      <c r="A117">
        <f t="shared" si="7"/>
        <v>0</v>
      </c>
      <c r="B117">
        <f t="shared" si="7"/>
        <v>1</v>
      </c>
      <c r="C117">
        <f t="shared" si="8"/>
        <v>116</v>
      </c>
      <c r="D117">
        <f>D26</f>
        <v>0</v>
      </c>
      <c r="E117" t="str">
        <f>VLOOKUP(D117,name!A:B,2,1)</f>
        <v>Player</v>
      </c>
      <c r="F117">
        <f>F26</f>
        <v>0</v>
      </c>
      <c r="G117" t="str">
        <f t="shared" si="5"/>
        <v>q</v>
      </c>
      <c r="H117" t="str">
        <f>VLOOKUP(D117,name!A:C,3,1)</f>
        <v>assets/icons/image326.png</v>
      </c>
      <c r="I117" t="e">
        <f>IF(A117="","",VLOOKUP(A117,lng!A:B,2,0))</f>
        <v>#N/A</v>
      </c>
    </row>
    <row r="118" spans="1:9" x14ac:dyDescent="0.15">
      <c r="A118">
        <f t="shared" ref="A118:B133" si="9">A117</f>
        <v>0</v>
      </c>
      <c r="B118">
        <f t="shared" si="9"/>
        <v>1</v>
      </c>
      <c r="C118">
        <f t="shared" si="8"/>
        <v>117</v>
      </c>
      <c r="D118">
        <v>0</v>
      </c>
      <c r="E118" t="str">
        <f>VLOOKUP(D118,name!A:B,2,1)</f>
        <v>Player</v>
      </c>
      <c r="F118">
        <f>F26</f>
        <v>0</v>
      </c>
      <c r="G118" t="str">
        <f t="shared" si="5"/>
        <v>q</v>
      </c>
      <c r="H118" t="str">
        <f>VLOOKUP(D118,name!A:C,3,1)</f>
        <v>assets/icons/image326.png</v>
      </c>
      <c r="I118" t="e">
        <f>IF(A118="","",VLOOKUP(A118,lng!A:B,2,0))</f>
        <v>#N/A</v>
      </c>
    </row>
    <row r="119" spans="1:9" x14ac:dyDescent="0.15">
      <c r="A119">
        <f t="shared" si="9"/>
        <v>0</v>
      </c>
      <c r="B119">
        <f t="shared" si="9"/>
        <v>1</v>
      </c>
      <c r="C119">
        <f t="shared" si="8"/>
        <v>118</v>
      </c>
      <c r="D119">
        <f>D27</f>
        <v>0</v>
      </c>
      <c r="E119" t="str">
        <f>VLOOKUP(D119,name!A:B,2,1)</f>
        <v>Player</v>
      </c>
      <c r="F119">
        <f>F27</f>
        <v>0</v>
      </c>
      <c r="G119" t="str">
        <f t="shared" si="5"/>
        <v>q</v>
      </c>
      <c r="H119" t="str">
        <f>VLOOKUP(D119,name!A:C,3,1)</f>
        <v>assets/icons/image326.png</v>
      </c>
      <c r="I119" t="s">
        <v>463</v>
      </c>
    </row>
    <row r="120" spans="1:9" x14ac:dyDescent="0.15">
      <c r="A120">
        <f t="shared" si="9"/>
        <v>0</v>
      </c>
      <c r="B120">
        <f t="shared" si="9"/>
        <v>1</v>
      </c>
      <c r="C120">
        <f t="shared" si="8"/>
        <v>119</v>
      </c>
      <c r="D120">
        <f>D28</f>
        <v>0</v>
      </c>
      <c r="E120" t="str">
        <f>VLOOKUP(D120,name!A:B,2,1)</f>
        <v>Player</v>
      </c>
      <c r="F120">
        <f>F28</f>
        <v>0</v>
      </c>
      <c r="G120" t="str">
        <f t="shared" si="5"/>
        <v>q</v>
      </c>
      <c r="H120" t="str">
        <f>VLOOKUP(D120,name!A:C,3,1)</f>
        <v>assets/icons/image326.png</v>
      </c>
      <c r="I120" t="e">
        <f>IF(A120="","",VLOOKUP(A120,lng!A:B,2,0))</f>
        <v>#N/A</v>
      </c>
    </row>
    <row r="121" spans="1:9" x14ac:dyDescent="0.15">
      <c r="A121">
        <f t="shared" si="9"/>
        <v>0</v>
      </c>
      <c r="B121">
        <f t="shared" si="9"/>
        <v>1</v>
      </c>
      <c r="C121">
        <f t="shared" si="8"/>
        <v>120</v>
      </c>
      <c r="D121">
        <v>0</v>
      </c>
      <c r="E121" t="str">
        <f>VLOOKUP(D121,name!A:B,2,1)</f>
        <v>Player</v>
      </c>
      <c r="F121">
        <f>F28</f>
        <v>0</v>
      </c>
      <c r="G121" t="str">
        <f t="shared" si="5"/>
        <v>q</v>
      </c>
      <c r="H121" t="str">
        <f>VLOOKUP(D121,name!A:C,3,1)</f>
        <v>assets/icons/image326.png</v>
      </c>
      <c r="I121" t="e">
        <f>IF(A121="","",VLOOKUP(A121,lng!A:B,2,0))</f>
        <v>#N/A</v>
      </c>
    </row>
    <row r="122" spans="1:9" x14ac:dyDescent="0.15">
      <c r="A122">
        <f t="shared" si="9"/>
        <v>0</v>
      </c>
      <c r="B122">
        <f t="shared" si="9"/>
        <v>1</v>
      </c>
      <c r="C122">
        <f t="shared" si="8"/>
        <v>121</v>
      </c>
      <c r="D122">
        <f>D29</f>
        <v>0</v>
      </c>
      <c r="E122" t="str">
        <f>VLOOKUP(D122,name!A:B,2,1)</f>
        <v>Player</v>
      </c>
      <c r="F122">
        <f>F29</f>
        <v>0</v>
      </c>
      <c r="G122" t="str">
        <f t="shared" si="5"/>
        <v>q</v>
      </c>
      <c r="H122" t="str">
        <f>VLOOKUP(D122,name!A:C,3,1)</f>
        <v>assets/icons/image326.png</v>
      </c>
      <c r="I122" t="s">
        <v>463</v>
      </c>
    </row>
    <row r="123" spans="1:9" x14ac:dyDescent="0.15">
      <c r="A123">
        <f t="shared" si="9"/>
        <v>0</v>
      </c>
      <c r="B123">
        <f t="shared" si="9"/>
        <v>1</v>
      </c>
      <c r="C123">
        <f t="shared" si="8"/>
        <v>122</v>
      </c>
      <c r="D123">
        <f>D30</f>
        <v>0</v>
      </c>
      <c r="E123" t="str">
        <f>VLOOKUP(D123,name!A:B,2,1)</f>
        <v>Player</v>
      </c>
      <c r="F123">
        <f>F30</f>
        <v>0</v>
      </c>
      <c r="G123" t="str">
        <f t="shared" si="5"/>
        <v>q</v>
      </c>
      <c r="H123" t="str">
        <f>VLOOKUP(D123,name!A:C,3,1)</f>
        <v>assets/icons/image326.png</v>
      </c>
      <c r="I123" t="e">
        <f>IF(A123="","",VLOOKUP(A123,lng!A:B,2,0))</f>
        <v>#N/A</v>
      </c>
    </row>
    <row r="124" spans="1:9" x14ac:dyDescent="0.15">
      <c r="A124">
        <f t="shared" si="9"/>
        <v>0</v>
      </c>
      <c r="B124">
        <f t="shared" si="9"/>
        <v>1</v>
      </c>
      <c r="C124">
        <f t="shared" si="8"/>
        <v>123</v>
      </c>
      <c r="D124">
        <v>0</v>
      </c>
      <c r="E124" t="str">
        <f>VLOOKUP(D124,name!A:B,2,1)</f>
        <v>Player</v>
      </c>
      <c r="F124">
        <f>F30</f>
        <v>0</v>
      </c>
      <c r="G124" t="str">
        <f t="shared" si="5"/>
        <v>q</v>
      </c>
      <c r="H124" t="str">
        <f>VLOOKUP(D124,name!A:C,3,1)</f>
        <v>assets/icons/image326.png</v>
      </c>
      <c r="I124" t="e">
        <f>IF(A124="","",VLOOKUP(A124,lng!A:B,2,0))</f>
        <v>#N/A</v>
      </c>
    </row>
    <row r="125" spans="1:9" x14ac:dyDescent="0.15">
      <c r="A125">
        <f t="shared" si="9"/>
        <v>0</v>
      </c>
      <c r="B125">
        <f t="shared" si="9"/>
        <v>1</v>
      </c>
      <c r="C125">
        <f t="shared" si="8"/>
        <v>124</v>
      </c>
      <c r="D125">
        <f>D31</f>
        <v>0</v>
      </c>
      <c r="E125" t="str">
        <f>VLOOKUP(D125,name!A:B,2,1)</f>
        <v>Player</v>
      </c>
      <c r="F125">
        <f>F31</f>
        <v>0</v>
      </c>
      <c r="G125" t="str">
        <f t="shared" si="5"/>
        <v>q</v>
      </c>
      <c r="H125" t="str">
        <f>VLOOKUP(D125,name!A:C,3,1)</f>
        <v>assets/icons/image326.png</v>
      </c>
      <c r="I125" t="s">
        <v>463</v>
      </c>
    </row>
    <row r="126" spans="1:9" x14ac:dyDescent="0.15">
      <c r="A126">
        <f t="shared" si="9"/>
        <v>0</v>
      </c>
      <c r="B126">
        <f t="shared" si="9"/>
        <v>1</v>
      </c>
      <c r="C126">
        <f t="shared" si="8"/>
        <v>125</v>
      </c>
      <c r="D126">
        <f>D32</f>
        <v>0</v>
      </c>
      <c r="E126" t="str">
        <f>VLOOKUP(D126,name!A:B,2,1)</f>
        <v>Player</v>
      </c>
      <c r="F126">
        <f>F32</f>
        <v>0</v>
      </c>
      <c r="G126" t="str">
        <f t="shared" si="5"/>
        <v>q</v>
      </c>
      <c r="H126" t="str">
        <f>VLOOKUP(D126,name!A:C,3,1)</f>
        <v>assets/icons/image326.png</v>
      </c>
      <c r="I126" t="e">
        <f>IF(A126="","",VLOOKUP(A126,lng!A:B,2,0))</f>
        <v>#N/A</v>
      </c>
    </row>
    <row r="127" spans="1:9" x14ac:dyDescent="0.15">
      <c r="A127">
        <f t="shared" si="9"/>
        <v>0</v>
      </c>
      <c r="B127">
        <f t="shared" si="9"/>
        <v>1</v>
      </c>
      <c r="C127">
        <f t="shared" si="8"/>
        <v>126</v>
      </c>
      <c r="D127">
        <v>0</v>
      </c>
      <c r="E127" t="str">
        <f>VLOOKUP(D127,name!A:B,2,1)</f>
        <v>Player</v>
      </c>
      <c r="F127">
        <f>F32</f>
        <v>0</v>
      </c>
      <c r="G127" t="str">
        <f t="shared" si="5"/>
        <v>q</v>
      </c>
      <c r="H127" t="str">
        <f>VLOOKUP(D127,name!A:C,3,1)</f>
        <v>assets/icons/image326.png</v>
      </c>
      <c r="I127" t="e">
        <f>IF(A127="","",VLOOKUP(A127,lng!A:B,2,0))</f>
        <v>#N/A</v>
      </c>
    </row>
    <row r="128" spans="1:9" x14ac:dyDescent="0.15">
      <c r="A128">
        <f t="shared" si="9"/>
        <v>0</v>
      </c>
      <c r="B128">
        <f t="shared" si="9"/>
        <v>1</v>
      </c>
      <c r="C128">
        <f t="shared" si="8"/>
        <v>127</v>
      </c>
      <c r="D128">
        <f>D33</f>
        <v>0</v>
      </c>
      <c r="E128" t="str">
        <f>VLOOKUP(D128,name!A:B,2,1)</f>
        <v>Player</v>
      </c>
      <c r="F128">
        <f>F33</f>
        <v>0</v>
      </c>
      <c r="G128" t="str">
        <f t="shared" si="5"/>
        <v>q</v>
      </c>
      <c r="H128" t="str">
        <f>VLOOKUP(D128,name!A:C,3,1)</f>
        <v>assets/icons/image326.png</v>
      </c>
      <c r="I128" t="s">
        <v>463</v>
      </c>
    </row>
    <row r="129" spans="1:9" x14ac:dyDescent="0.15">
      <c r="A129">
        <f t="shared" si="9"/>
        <v>0</v>
      </c>
      <c r="B129">
        <f t="shared" si="9"/>
        <v>1</v>
      </c>
      <c r="C129">
        <f t="shared" si="8"/>
        <v>128</v>
      </c>
      <c r="D129">
        <f>D34</f>
        <v>0</v>
      </c>
      <c r="E129" t="str">
        <f>VLOOKUP(D129,name!A:B,2,1)</f>
        <v>Player</v>
      </c>
      <c r="F129">
        <f>F34</f>
        <v>0</v>
      </c>
      <c r="G129" t="str">
        <f t="shared" si="5"/>
        <v>q</v>
      </c>
      <c r="H129" t="str">
        <f>VLOOKUP(D129,name!A:C,3,1)</f>
        <v>assets/icons/image326.png</v>
      </c>
      <c r="I129" t="e">
        <f>IF(A129="","",VLOOKUP(A129,lng!A:B,2,0))</f>
        <v>#N/A</v>
      </c>
    </row>
    <row r="130" spans="1:9" x14ac:dyDescent="0.15">
      <c r="A130">
        <f t="shared" si="9"/>
        <v>0</v>
      </c>
      <c r="B130">
        <f t="shared" si="9"/>
        <v>1</v>
      </c>
      <c r="C130">
        <f t="shared" si="8"/>
        <v>129</v>
      </c>
      <c r="D130">
        <v>0</v>
      </c>
      <c r="E130" t="str">
        <f>VLOOKUP(D130,name!A:B,2,1)</f>
        <v>Player</v>
      </c>
      <c r="F130">
        <f>F34</f>
        <v>0</v>
      </c>
      <c r="G130" t="str">
        <f t="shared" si="5"/>
        <v>q</v>
      </c>
      <c r="H130" t="str">
        <f>VLOOKUP(D130,name!A:C,3,1)</f>
        <v>assets/icons/image326.png</v>
      </c>
      <c r="I130" t="e">
        <f>IF(A130="","",VLOOKUP(A130,lng!A:B,2,0))</f>
        <v>#N/A</v>
      </c>
    </row>
    <row r="131" spans="1:9" x14ac:dyDescent="0.15">
      <c r="A131">
        <f t="shared" si="9"/>
        <v>0</v>
      </c>
      <c r="B131">
        <f t="shared" si="9"/>
        <v>1</v>
      </c>
      <c r="C131">
        <f t="shared" si="8"/>
        <v>130</v>
      </c>
      <c r="D131">
        <f>D35</f>
        <v>0</v>
      </c>
      <c r="E131" t="str">
        <f>VLOOKUP(D131,name!A:B,2,1)</f>
        <v>Player</v>
      </c>
      <c r="F131">
        <f>F35</f>
        <v>0</v>
      </c>
      <c r="G131" t="str">
        <f t="shared" si="5"/>
        <v>q</v>
      </c>
      <c r="H131" t="str">
        <f>VLOOKUP(D131,name!A:C,3,1)</f>
        <v>assets/icons/image326.png</v>
      </c>
      <c r="I131" t="s">
        <v>463</v>
      </c>
    </row>
    <row r="132" spans="1:9" x14ac:dyDescent="0.15">
      <c r="A132">
        <f t="shared" si="9"/>
        <v>0</v>
      </c>
      <c r="B132">
        <f t="shared" si="9"/>
        <v>1</v>
      </c>
      <c r="C132">
        <f t="shared" si="8"/>
        <v>131</v>
      </c>
      <c r="D132">
        <f>D36</f>
        <v>0</v>
      </c>
      <c r="E132" t="str">
        <f>VLOOKUP(D132,name!A:B,2,1)</f>
        <v>Player</v>
      </c>
      <c r="F132">
        <f>F36</f>
        <v>0</v>
      </c>
      <c r="G132" t="str">
        <f t="shared" si="5"/>
        <v>q</v>
      </c>
      <c r="H132" t="str">
        <f>VLOOKUP(D132,name!A:C,3,1)</f>
        <v>assets/icons/image326.png</v>
      </c>
      <c r="I132" t="e">
        <f>IF(A132="","",VLOOKUP(A132,lng!A:B,2,0))</f>
        <v>#N/A</v>
      </c>
    </row>
    <row r="133" spans="1:9" x14ac:dyDescent="0.15">
      <c r="A133">
        <f t="shared" si="9"/>
        <v>0</v>
      </c>
      <c r="B133">
        <f t="shared" si="9"/>
        <v>1</v>
      </c>
      <c r="C133">
        <f t="shared" si="8"/>
        <v>132</v>
      </c>
      <c r="D133">
        <v>0</v>
      </c>
      <c r="E133" t="str">
        <f>VLOOKUP(D133,name!A:B,2,1)</f>
        <v>Player</v>
      </c>
      <c r="F133">
        <f>F36</f>
        <v>0</v>
      </c>
      <c r="G133" t="str">
        <f t="shared" ref="G133:G196" si="10">IF(B133&lt;&gt;B134,"e",IF(D133=0,"q","a"))</f>
        <v>q</v>
      </c>
      <c r="H133" t="str">
        <f>VLOOKUP(D133,name!A:C,3,1)</f>
        <v>assets/icons/image326.png</v>
      </c>
      <c r="I133" t="e">
        <f>IF(A133="","",VLOOKUP(A133,lng!A:B,2,0))</f>
        <v>#N/A</v>
      </c>
    </row>
    <row r="134" spans="1:9" x14ac:dyDescent="0.15">
      <c r="A134">
        <f t="shared" ref="A134:B149" si="11">A133</f>
        <v>0</v>
      </c>
      <c r="B134">
        <f t="shared" si="11"/>
        <v>1</v>
      </c>
      <c r="C134">
        <f t="shared" si="8"/>
        <v>133</v>
      </c>
      <c r="D134">
        <f>D37</f>
        <v>0</v>
      </c>
      <c r="E134" t="str">
        <f>VLOOKUP(D134,name!A:B,2,1)</f>
        <v>Player</v>
      </c>
      <c r="F134">
        <f>F37</f>
        <v>0</v>
      </c>
      <c r="G134" t="str">
        <f t="shared" si="10"/>
        <v>q</v>
      </c>
      <c r="H134" t="str">
        <f>VLOOKUP(D134,name!A:C,3,1)</f>
        <v>assets/icons/image326.png</v>
      </c>
      <c r="I134" t="s">
        <v>463</v>
      </c>
    </row>
    <row r="135" spans="1:9" x14ac:dyDescent="0.15">
      <c r="A135">
        <f t="shared" si="11"/>
        <v>0</v>
      </c>
      <c r="B135">
        <f t="shared" si="11"/>
        <v>1</v>
      </c>
      <c r="C135">
        <f t="shared" si="8"/>
        <v>134</v>
      </c>
      <c r="D135">
        <f>D38</f>
        <v>0</v>
      </c>
      <c r="E135" t="str">
        <f>VLOOKUP(D135,name!A:B,2,1)</f>
        <v>Player</v>
      </c>
      <c r="F135">
        <f>F38</f>
        <v>0</v>
      </c>
      <c r="G135" t="str">
        <f t="shared" si="10"/>
        <v>q</v>
      </c>
      <c r="H135" t="str">
        <f>VLOOKUP(D135,name!A:C,3,1)</f>
        <v>assets/icons/image326.png</v>
      </c>
      <c r="I135" t="e">
        <f>IF(A135="","",VLOOKUP(A135,lng!A:B,2,0))</f>
        <v>#N/A</v>
      </c>
    </row>
    <row r="136" spans="1:9" x14ac:dyDescent="0.15">
      <c r="A136">
        <f t="shared" si="11"/>
        <v>0</v>
      </c>
      <c r="B136">
        <f t="shared" si="11"/>
        <v>1</v>
      </c>
      <c r="C136">
        <f t="shared" si="8"/>
        <v>135</v>
      </c>
      <c r="D136">
        <v>0</v>
      </c>
      <c r="E136" t="str">
        <f>VLOOKUP(D136,name!A:B,2,1)</f>
        <v>Player</v>
      </c>
      <c r="F136">
        <f>F38</f>
        <v>0</v>
      </c>
      <c r="G136" t="str">
        <f t="shared" si="10"/>
        <v>q</v>
      </c>
      <c r="H136" t="str">
        <f>VLOOKUP(D136,name!A:C,3,1)</f>
        <v>assets/icons/image326.png</v>
      </c>
      <c r="I136" t="e">
        <f>IF(A136="","",VLOOKUP(A136,lng!A:B,2,0))</f>
        <v>#N/A</v>
      </c>
    </row>
    <row r="137" spans="1:9" x14ac:dyDescent="0.15">
      <c r="A137">
        <f t="shared" si="11"/>
        <v>0</v>
      </c>
      <c r="B137">
        <f t="shared" si="11"/>
        <v>1</v>
      </c>
      <c r="C137">
        <f t="shared" si="8"/>
        <v>136</v>
      </c>
      <c r="D137">
        <f>D39</f>
        <v>0</v>
      </c>
      <c r="E137" t="str">
        <f>VLOOKUP(D137,name!A:B,2,1)</f>
        <v>Player</v>
      </c>
      <c r="F137">
        <f>F39</f>
        <v>0</v>
      </c>
      <c r="G137" t="str">
        <f t="shared" si="10"/>
        <v>q</v>
      </c>
      <c r="H137" t="str">
        <f>VLOOKUP(D137,name!A:C,3,1)</f>
        <v>assets/icons/image326.png</v>
      </c>
      <c r="I137" t="s">
        <v>463</v>
      </c>
    </row>
    <row r="138" spans="1:9" x14ac:dyDescent="0.15">
      <c r="A138">
        <f t="shared" si="11"/>
        <v>0</v>
      </c>
      <c r="B138">
        <f t="shared" si="11"/>
        <v>1</v>
      </c>
      <c r="C138">
        <f t="shared" si="8"/>
        <v>137</v>
      </c>
      <c r="D138">
        <f>D40</f>
        <v>0</v>
      </c>
      <c r="E138" t="str">
        <f>VLOOKUP(D138,name!A:B,2,1)</f>
        <v>Player</v>
      </c>
      <c r="F138">
        <f>F40</f>
        <v>0</v>
      </c>
      <c r="G138" t="str">
        <f t="shared" si="10"/>
        <v>q</v>
      </c>
      <c r="H138" t="str">
        <f>VLOOKUP(D138,name!A:C,3,1)</f>
        <v>assets/icons/image326.png</v>
      </c>
      <c r="I138" t="e">
        <f>IF(A138="","",VLOOKUP(A138,lng!A:B,2,0))</f>
        <v>#N/A</v>
      </c>
    </row>
    <row r="139" spans="1:9" x14ac:dyDescent="0.15">
      <c r="A139">
        <f t="shared" si="11"/>
        <v>0</v>
      </c>
      <c r="B139">
        <f t="shared" si="11"/>
        <v>1</v>
      </c>
      <c r="C139">
        <f t="shared" si="8"/>
        <v>138</v>
      </c>
      <c r="D139">
        <v>0</v>
      </c>
      <c r="E139" t="str">
        <f>VLOOKUP(D139,name!A:B,2,1)</f>
        <v>Player</v>
      </c>
      <c r="F139">
        <f>F40</f>
        <v>0</v>
      </c>
      <c r="G139" t="str">
        <f t="shared" si="10"/>
        <v>q</v>
      </c>
      <c r="H139" t="str">
        <f>VLOOKUP(D139,name!A:C,3,1)</f>
        <v>assets/icons/image326.png</v>
      </c>
      <c r="I139" t="e">
        <f>IF(A139="","",VLOOKUP(A139,lng!A:B,2,0))</f>
        <v>#N/A</v>
      </c>
    </row>
    <row r="140" spans="1:9" x14ac:dyDescent="0.15">
      <c r="A140">
        <f t="shared" si="11"/>
        <v>0</v>
      </c>
      <c r="B140">
        <f t="shared" si="11"/>
        <v>1</v>
      </c>
      <c r="C140">
        <f t="shared" si="8"/>
        <v>139</v>
      </c>
      <c r="D140">
        <f>D41</f>
        <v>0</v>
      </c>
      <c r="E140" t="str">
        <f>VLOOKUP(D140,name!A:B,2,1)</f>
        <v>Player</v>
      </c>
      <c r="F140">
        <f>F41</f>
        <v>0</v>
      </c>
      <c r="G140" t="str">
        <f t="shared" si="10"/>
        <v>q</v>
      </c>
      <c r="H140" t="str">
        <f>VLOOKUP(D140,name!A:C,3,1)</f>
        <v>assets/icons/image326.png</v>
      </c>
      <c r="I140" t="s">
        <v>463</v>
      </c>
    </row>
    <row r="141" spans="1:9" x14ac:dyDescent="0.15">
      <c r="A141">
        <f t="shared" si="11"/>
        <v>0</v>
      </c>
      <c r="B141">
        <f t="shared" si="11"/>
        <v>1</v>
      </c>
      <c r="C141">
        <f t="shared" si="8"/>
        <v>140</v>
      </c>
      <c r="D141">
        <f>D42</f>
        <v>0</v>
      </c>
      <c r="E141" t="str">
        <f>VLOOKUP(D141,name!A:B,2,1)</f>
        <v>Player</v>
      </c>
      <c r="F141">
        <f>F42</f>
        <v>0</v>
      </c>
      <c r="G141" t="str">
        <f t="shared" si="10"/>
        <v>q</v>
      </c>
      <c r="H141" t="str">
        <f>VLOOKUP(D141,name!A:C,3,1)</f>
        <v>assets/icons/image326.png</v>
      </c>
      <c r="I141" t="e">
        <f>IF(A141="","",VLOOKUP(A141,lng!A:B,2,0))</f>
        <v>#N/A</v>
      </c>
    </row>
    <row r="142" spans="1:9" x14ac:dyDescent="0.15">
      <c r="A142">
        <f t="shared" si="11"/>
        <v>0</v>
      </c>
      <c r="B142">
        <f t="shared" si="11"/>
        <v>1</v>
      </c>
      <c r="C142">
        <f t="shared" si="8"/>
        <v>141</v>
      </c>
      <c r="D142">
        <v>0</v>
      </c>
      <c r="E142" t="str">
        <f>VLOOKUP(D142,name!A:B,2,1)</f>
        <v>Player</v>
      </c>
      <c r="F142">
        <f>F42</f>
        <v>0</v>
      </c>
      <c r="G142" t="str">
        <f t="shared" si="10"/>
        <v>q</v>
      </c>
      <c r="H142" t="str">
        <f>VLOOKUP(D142,name!A:C,3,1)</f>
        <v>assets/icons/image326.png</v>
      </c>
      <c r="I142" t="e">
        <f>IF(A142="","",VLOOKUP(A142,lng!A:B,2,0))</f>
        <v>#N/A</v>
      </c>
    </row>
    <row r="143" spans="1:9" x14ac:dyDescent="0.15">
      <c r="A143">
        <f t="shared" si="11"/>
        <v>0</v>
      </c>
      <c r="B143">
        <f t="shared" si="11"/>
        <v>1</v>
      </c>
      <c r="C143">
        <f t="shared" si="8"/>
        <v>142</v>
      </c>
      <c r="D143">
        <f>D43</f>
        <v>0</v>
      </c>
      <c r="E143" t="str">
        <f>VLOOKUP(D143,name!A:B,2,1)</f>
        <v>Player</v>
      </c>
      <c r="F143">
        <f>F43</f>
        <v>0</v>
      </c>
      <c r="G143" t="str">
        <f t="shared" si="10"/>
        <v>q</v>
      </c>
      <c r="H143" t="str">
        <f>VLOOKUP(D143,name!A:C,3,1)</f>
        <v>assets/icons/image326.png</v>
      </c>
      <c r="I143" t="s">
        <v>463</v>
      </c>
    </row>
    <row r="144" spans="1:9" x14ac:dyDescent="0.15">
      <c r="A144">
        <f t="shared" si="11"/>
        <v>0</v>
      </c>
      <c r="B144">
        <f t="shared" si="11"/>
        <v>1</v>
      </c>
      <c r="C144">
        <f t="shared" si="8"/>
        <v>143</v>
      </c>
      <c r="D144">
        <f>D44</f>
        <v>0</v>
      </c>
      <c r="E144" t="str">
        <f>VLOOKUP(D144,name!A:B,2,1)</f>
        <v>Player</v>
      </c>
      <c r="F144">
        <f>F44</f>
        <v>0</v>
      </c>
      <c r="G144" t="str">
        <f t="shared" si="10"/>
        <v>q</v>
      </c>
      <c r="H144" t="str">
        <f>VLOOKUP(D144,name!A:C,3,1)</f>
        <v>assets/icons/image326.png</v>
      </c>
      <c r="I144" t="e">
        <f>IF(A144="","",VLOOKUP(A144,lng!A:B,2,0))</f>
        <v>#N/A</v>
      </c>
    </row>
    <row r="145" spans="1:9" x14ac:dyDescent="0.15">
      <c r="A145">
        <f t="shared" si="11"/>
        <v>0</v>
      </c>
      <c r="B145">
        <f t="shared" si="11"/>
        <v>1</v>
      </c>
      <c r="C145">
        <f t="shared" si="8"/>
        <v>144</v>
      </c>
      <c r="D145">
        <v>0</v>
      </c>
      <c r="E145" t="str">
        <f>VLOOKUP(D145,name!A:B,2,1)</f>
        <v>Player</v>
      </c>
      <c r="F145">
        <f>F44</f>
        <v>0</v>
      </c>
      <c r="G145" t="str">
        <f t="shared" si="10"/>
        <v>q</v>
      </c>
      <c r="H145" t="str">
        <f>VLOOKUP(D145,name!A:C,3,1)</f>
        <v>assets/icons/image326.png</v>
      </c>
      <c r="I145" t="e">
        <f>IF(A145="","",VLOOKUP(A145,lng!A:B,2,0))</f>
        <v>#N/A</v>
      </c>
    </row>
    <row r="146" spans="1:9" x14ac:dyDescent="0.15">
      <c r="A146">
        <f t="shared" si="11"/>
        <v>0</v>
      </c>
      <c r="B146">
        <f t="shared" si="11"/>
        <v>1</v>
      </c>
      <c r="C146">
        <f t="shared" si="8"/>
        <v>145</v>
      </c>
      <c r="D146">
        <f>D45</f>
        <v>0</v>
      </c>
      <c r="E146" t="str">
        <f>VLOOKUP(D146,name!A:B,2,1)</f>
        <v>Player</v>
      </c>
      <c r="F146">
        <f>F45</f>
        <v>0</v>
      </c>
      <c r="G146" t="str">
        <f t="shared" si="10"/>
        <v>q</v>
      </c>
      <c r="H146" t="str">
        <f>VLOOKUP(D146,name!A:C,3,1)</f>
        <v>assets/icons/image326.png</v>
      </c>
      <c r="I146" t="s">
        <v>463</v>
      </c>
    </row>
    <row r="147" spans="1:9" x14ac:dyDescent="0.15">
      <c r="A147">
        <f t="shared" si="11"/>
        <v>0</v>
      </c>
      <c r="B147">
        <f t="shared" si="11"/>
        <v>1</v>
      </c>
      <c r="C147">
        <f t="shared" si="8"/>
        <v>146</v>
      </c>
      <c r="D147">
        <f>D46</f>
        <v>0</v>
      </c>
      <c r="E147" t="str">
        <f>VLOOKUP(D147,name!A:B,2,1)</f>
        <v>Player</v>
      </c>
      <c r="F147">
        <f>F46</f>
        <v>0</v>
      </c>
      <c r="G147" t="str">
        <f t="shared" si="10"/>
        <v>q</v>
      </c>
      <c r="H147" t="str">
        <f>VLOOKUP(D147,name!A:C,3,1)</f>
        <v>assets/icons/image326.png</v>
      </c>
      <c r="I147" t="e">
        <f>IF(A147="","",VLOOKUP(A147,lng!A:B,2,0))</f>
        <v>#N/A</v>
      </c>
    </row>
    <row r="148" spans="1:9" x14ac:dyDescent="0.15">
      <c r="A148">
        <f t="shared" si="11"/>
        <v>0</v>
      </c>
      <c r="B148">
        <f t="shared" si="11"/>
        <v>1</v>
      </c>
      <c r="C148">
        <f t="shared" si="8"/>
        <v>147</v>
      </c>
      <c r="D148">
        <v>0</v>
      </c>
      <c r="E148" t="str">
        <f>VLOOKUP(D148,name!A:B,2,1)</f>
        <v>Player</v>
      </c>
      <c r="F148">
        <f>F46</f>
        <v>0</v>
      </c>
      <c r="G148" t="str">
        <f t="shared" si="10"/>
        <v>q</v>
      </c>
      <c r="H148" t="str">
        <f>VLOOKUP(D148,name!A:C,3,1)</f>
        <v>assets/icons/image326.png</v>
      </c>
      <c r="I148" t="e">
        <f>IF(A148="","",VLOOKUP(A148,lng!A:B,2,0))</f>
        <v>#N/A</v>
      </c>
    </row>
    <row r="149" spans="1:9" x14ac:dyDescent="0.15">
      <c r="A149">
        <f t="shared" si="11"/>
        <v>0</v>
      </c>
      <c r="B149">
        <f t="shared" si="11"/>
        <v>1</v>
      </c>
      <c r="C149">
        <f t="shared" si="8"/>
        <v>148</v>
      </c>
      <c r="D149">
        <f>D47</f>
        <v>0</v>
      </c>
      <c r="E149" t="str">
        <f>VLOOKUP(D149,name!A:B,2,1)</f>
        <v>Player</v>
      </c>
      <c r="F149">
        <f>F47</f>
        <v>0</v>
      </c>
      <c r="G149" t="str">
        <f t="shared" si="10"/>
        <v>q</v>
      </c>
      <c r="H149" t="str">
        <f>VLOOKUP(D149,name!A:C,3,1)</f>
        <v>assets/icons/image326.png</v>
      </c>
      <c r="I149" t="s">
        <v>463</v>
      </c>
    </row>
    <row r="150" spans="1:9" x14ac:dyDescent="0.15">
      <c r="A150">
        <f t="shared" ref="A150:B165" si="12">A149</f>
        <v>0</v>
      </c>
      <c r="B150">
        <f t="shared" si="12"/>
        <v>1</v>
      </c>
      <c r="C150">
        <f t="shared" si="8"/>
        <v>149</v>
      </c>
      <c r="D150">
        <f>D48</f>
        <v>0</v>
      </c>
      <c r="E150" t="str">
        <f>VLOOKUP(D150,name!A:B,2,1)</f>
        <v>Player</v>
      </c>
      <c r="F150">
        <f>F48</f>
        <v>0</v>
      </c>
      <c r="G150" t="str">
        <f t="shared" si="10"/>
        <v>q</v>
      </c>
      <c r="H150" t="str">
        <f>VLOOKUP(D150,name!A:C,3,1)</f>
        <v>assets/icons/image326.png</v>
      </c>
      <c r="I150" t="e">
        <f>IF(A150="","",VLOOKUP(A150,lng!A:B,2,0))</f>
        <v>#N/A</v>
      </c>
    </row>
    <row r="151" spans="1:9" x14ac:dyDescent="0.15">
      <c r="A151">
        <f t="shared" si="12"/>
        <v>0</v>
      </c>
      <c r="B151">
        <f t="shared" si="12"/>
        <v>1</v>
      </c>
      <c r="C151">
        <f t="shared" si="8"/>
        <v>150</v>
      </c>
      <c r="D151">
        <v>0</v>
      </c>
      <c r="E151" t="str">
        <f>VLOOKUP(D151,name!A:B,2,1)</f>
        <v>Player</v>
      </c>
      <c r="F151">
        <f>F48</f>
        <v>0</v>
      </c>
      <c r="G151" t="str">
        <f t="shared" si="10"/>
        <v>q</v>
      </c>
      <c r="H151" t="str">
        <f>VLOOKUP(D151,name!A:C,3,1)</f>
        <v>assets/icons/image326.png</v>
      </c>
      <c r="I151" t="e">
        <f>IF(A151="","",VLOOKUP(A151,lng!A:B,2,0))</f>
        <v>#N/A</v>
      </c>
    </row>
    <row r="152" spans="1:9" x14ac:dyDescent="0.15">
      <c r="A152">
        <f t="shared" si="12"/>
        <v>0</v>
      </c>
      <c r="B152">
        <f t="shared" si="12"/>
        <v>1</v>
      </c>
      <c r="C152">
        <f t="shared" si="8"/>
        <v>151</v>
      </c>
      <c r="D152">
        <f>D49</f>
        <v>0</v>
      </c>
      <c r="E152" t="str">
        <f>VLOOKUP(D152,name!A:B,2,1)</f>
        <v>Player</v>
      </c>
      <c r="F152">
        <f>F49</f>
        <v>0</v>
      </c>
      <c r="G152" t="str">
        <f t="shared" si="10"/>
        <v>q</v>
      </c>
      <c r="H152" t="str">
        <f>VLOOKUP(D152,name!A:C,3,1)</f>
        <v>assets/icons/image326.png</v>
      </c>
      <c r="I152" t="s">
        <v>463</v>
      </c>
    </row>
    <row r="153" spans="1:9" x14ac:dyDescent="0.15">
      <c r="A153">
        <f t="shared" si="12"/>
        <v>0</v>
      </c>
      <c r="B153">
        <f t="shared" si="12"/>
        <v>1</v>
      </c>
      <c r="C153">
        <f t="shared" si="8"/>
        <v>152</v>
      </c>
      <c r="D153">
        <f>D50</f>
        <v>0</v>
      </c>
      <c r="E153" t="str">
        <f>VLOOKUP(D153,name!A:B,2,1)</f>
        <v>Player</v>
      </c>
      <c r="F153">
        <f>F50</f>
        <v>0</v>
      </c>
      <c r="G153" t="str">
        <f t="shared" si="10"/>
        <v>q</v>
      </c>
      <c r="H153" t="str">
        <f>VLOOKUP(D153,name!A:C,3,1)</f>
        <v>assets/icons/image326.png</v>
      </c>
      <c r="I153" t="e">
        <f>IF(A153="","",VLOOKUP(A153,lng!A:B,2,0))</f>
        <v>#N/A</v>
      </c>
    </row>
    <row r="154" spans="1:9" x14ac:dyDescent="0.15">
      <c r="A154">
        <f t="shared" si="12"/>
        <v>0</v>
      </c>
      <c r="B154">
        <f t="shared" si="12"/>
        <v>1</v>
      </c>
      <c r="C154">
        <f t="shared" si="8"/>
        <v>153</v>
      </c>
      <c r="D154">
        <v>0</v>
      </c>
      <c r="E154" t="str">
        <f>VLOOKUP(D154,name!A:B,2,1)</f>
        <v>Player</v>
      </c>
      <c r="F154">
        <f>F50</f>
        <v>0</v>
      </c>
      <c r="G154" t="str">
        <f t="shared" si="10"/>
        <v>q</v>
      </c>
      <c r="H154" t="str">
        <f>VLOOKUP(D154,name!A:C,3,1)</f>
        <v>assets/icons/image326.png</v>
      </c>
      <c r="I154" t="e">
        <f>IF(A154="","",VLOOKUP(A154,lng!A:B,2,0))</f>
        <v>#N/A</v>
      </c>
    </row>
    <row r="155" spans="1:9" x14ac:dyDescent="0.15">
      <c r="A155">
        <f t="shared" si="12"/>
        <v>0</v>
      </c>
      <c r="B155">
        <f t="shared" si="12"/>
        <v>1</v>
      </c>
      <c r="C155">
        <f t="shared" si="8"/>
        <v>154</v>
      </c>
      <c r="D155">
        <f>D51</f>
        <v>0</v>
      </c>
      <c r="E155" t="str">
        <f>VLOOKUP(D155,name!A:B,2,1)</f>
        <v>Player</v>
      </c>
      <c r="F155">
        <f>F51</f>
        <v>0</v>
      </c>
      <c r="G155" t="str">
        <f t="shared" si="10"/>
        <v>q</v>
      </c>
      <c r="H155" t="str">
        <f>VLOOKUP(D155,name!A:C,3,1)</f>
        <v>assets/icons/image326.png</v>
      </c>
      <c r="I155" t="s">
        <v>463</v>
      </c>
    </row>
    <row r="156" spans="1:9" x14ac:dyDescent="0.15">
      <c r="A156">
        <f t="shared" si="12"/>
        <v>0</v>
      </c>
      <c r="B156">
        <f t="shared" si="12"/>
        <v>1</v>
      </c>
      <c r="C156">
        <f t="shared" si="8"/>
        <v>155</v>
      </c>
      <c r="D156">
        <f>D52</f>
        <v>0</v>
      </c>
      <c r="E156" t="str">
        <f>VLOOKUP(D156,name!A:B,2,1)</f>
        <v>Player</v>
      </c>
      <c r="F156">
        <f>F52</f>
        <v>0</v>
      </c>
      <c r="G156" t="str">
        <f t="shared" si="10"/>
        <v>q</v>
      </c>
      <c r="H156" t="str">
        <f>VLOOKUP(D156,name!A:C,3,1)</f>
        <v>assets/icons/image326.png</v>
      </c>
      <c r="I156" t="e">
        <f>IF(A156="","",VLOOKUP(A156,lng!A:B,2,0))</f>
        <v>#N/A</v>
      </c>
    </row>
    <row r="157" spans="1:9" x14ac:dyDescent="0.15">
      <c r="A157">
        <f t="shared" si="12"/>
        <v>0</v>
      </c>
      <c r="B157">
        <f t="shared" si="12"/>
        <v>1</v>
      </c>
      <c r="C157">
        <f t="shared" si="8"/>
        <v>156</v>
      </c>
      <c r="D157">
        <v>0</v>
      </c>
      <c r="E157" t="str">
        <f>VLOOKUP(D157,name!A:B,2,1)</f>
        <v>Player</v>
      </c>
      <c r="F157">
        <f>F52</f>
        <v>0</v>
      </c>
      <c r="G157" t="str">
        <f t="shared" si="10"/>
        <v>q</v>
      </c>
      <c r="H157" t="str">
        <f>VLOOKUP(D157,name!A:C,3,1)</f>
        <v>assets/icons/image326.png</v>
      </c>
      <c r="I157" t="e">
        <f>IF(A157="","",VLOOKUP(A157,lng!A:B,2,0))</f>
        <v>#N/A</v>
      </c>
    </row>
    <row r="158" spans="1:9" x14ac:dyDescent="0.15">
      <c r="A158">
        <f t="shared" si="12"/>
        <v>0</v>
      </c>
      <c r="B158">
        <f t="shared" si="12"/>
        <v>1</v>
      </c>
      <c r="C158">
        <f t="shared" si="8"/>
        <v>157</v>
      </c>
      <c r="D158">
        <f>D53</f>
        <v>0</v>
      </c>
      <c r="E158" t="str">
        <f>VLOOKUP(D158,name!A:B,2,1)</f>
        <v>Player</v>
      </c>
      <c r="F158">
        <f>F53</f>
        <v>0</v>
      </c>
      <c r="G158" t="str">
        <f t="shared" si="10"/>
        <v>q</v>
      </c>
      <c r="H158" t="str">
        <f>VLOOKUP(D158,name!A:C,3,1)</f>
        <v>assets/icons/image326.png</v>
      </c>
      <c r="I158" t="s">
        <v>463</v>
      </c>
    </row>
    <row r="159" spans="1:9" x14ac:dyDescent="0.15">
      <c r="A159">
        <f t="shared" si="12"/>
        <v>0</v>
      </c>
      <c r="B159">
        <f t="shared" si="12"/>
        <v>1</v>
      </c>
      <c r="C159">
        <f t="shared" si="8"/>
        <v>158</v>
      </c>
      <c r="D159">
        <f>D54</f>
        <v>0</v>
      </c>
      <c r="E159" t="str">
        <f>VLOOKUP(D159,name!A:B,2,1)</f>
        <v>Player</v>
      </c>
      <c r="F159">
        <f>F54</f>
        <v>0</v>
      </c>
      <c r="G159" t="str">
        <f t="shared" si="10"/>
        <v>q</v>
      </c>
      <c r="H159" t="str">
        <f>VLOOKUP(D159,name!A:C,3,1)</f>
        <v>assets/icons/image326.png</v>
      </c>
      <c r="I159" t="e">
        <f>IF(A159="","",VLOOKUP(A159,lng!A:B,2,0))</f>
        <v>#N/A</v>
      </c>
    </row>
    <row r="160" spans="1:9" x14ac:dyDescent="0.15">
      <c r="A160">
        <f t="shared" si="12"/>
        <v>0</v>
      </c>
      <c r="B160">
        <f t="shared" si="12"/>
        <v>1</v>
      </c>
      <c r="C160">
        <f t="shared" si="8"/>
        <v>159</v>
      </c>
      <c r="D160">
        <v>0</v>
      </c>
      <c r="E160" t="str">
        <f>VLOOKUP(D160,name!A:B,2,1)</f>
        <v>Player</v>
      </c>
      <c r="F160">
        <f>F54</f>
        <v>0</v>
      </c>
      <c r="G160" t="str">
        <f t="shared" si="10"/>
        <v>q</v>
      </c>
      <c r="H160" t="str">
        <f>VLOOKUP(D160,name!A:C,3,1)</f>
        <v>assets/icons/image326.png</v>
      </c>
      <c r="I160" t="e">
        <f>IF(A160="","",VLOOKUP(A160,lng!A:B,2,0))</f>
        <v>#N/A</v>
      </c>
    </row>
    <row r="161" spans="1:9" x14ac:dyDescent="0.15">
      <c r="A161">
        <f t="shared" si="12"/>
        <v>0</v>
      </c>
      <c r="B161">
        <f t="shared" si="12"/>
        <v>1</v>
      </c>
      <c r="C161">
        <f t="shared" si="8"/>
        <v>160</v>
      </c>
      <c r="D161">
        <f>D55</f>
        <v>0</v>
      </c>
      <c r="E161" t="str">
        <f>VLOOKUP(D161,name!A:B,2,1)</f>
        <v>Player</v>
      </c>
      <c r="F161">
        <f>F55</f>
        <v>0</v>
      </c>
      <c r="G161" t="str">
        <f t="shared" si="10"/>
        <v>q</v>
      </c>
      <c r="H161" t="str">
        <f>VLOOKUP(D161,name!A:C,3,1)</f>
        <v>assets/icons/image326.png</v>
      </c>
      <c r="I161" t="s">
        <v>463</v>
      </c>
    </row>
    <row r="162" spans="1:9" x14ac:dyDescent="0.15">
      <c r="A162">
        <f t="shared" si="12"/>
        <v>0</v>
      </c>
      <c r="B162">
        <f t="shared" si="12"/>
        <v>1</v>
      </c>
      <c r="C162">
        <f t="shared" si="8"/>
        <v>161</v>
      </c>
      <c r="D162">
        <f>D56</f>
        <v>0</v>
      </c>
      <c r="E162" t="str">
        <f>VLOOKUP(D162,name!A:B,2,1)</f>
        <v>Player</v>
      </c>
      <c r="F162">
        <f>F56</f>
        <v>0</v>
      </c>
      <c r="G162" t="str">
        <f t="shared" si="10"/>
        <v>q</v>
      </c>
      <c r="H162" t="str">
        <f>VLOOKUP(D162,name!A:C,3,1)</f>
        <v>assets/icons/image326.png</v>
      </c>
      <c r="I162" t="e">
        <f>IF(A162="","",VLOOKUP(A162,lng!A:B,2,0))</f>
        <v>#N/A</v>
      </c>
    </row>
    <row r="163" spans="1:9" x14ac:dyDescent="0.15">
      <c r="A163">
        <f t="shared" si="12"/>
        <v>0</v>
      </c>
      <c r="B163">
        <f t="shared" si="12"/>
        <v>1</v>
      </c>
      <c r="C163">
        <f t="shared" si="8"/>
        <v>162</v>
      </c>
      <c r="D163">
        <v>0</v>
      </c>
      <c r="E163" t="str">
        <f>VLOOKUP(D163,name!A:B,2,1)</f>
        <v>Player</v>
      </c>
      <c r="F163">
        <f>F56</f>
        <v>0</v>
      </c>
      <c r="G163" t="str">
        <f t="shared" si="10"/>
        <v>q</v>
      </c>
      <c r="H163" t="str">
        <f>VLOOKUP(D163,name!A:C,3,1)</f>
        <v>assets/icons/image326.png</v>
      </c>
      <c r="I163" t="e">
        <f>IF(A163="","",VLOOKUP(A163,lng!A:B,2,0))</f>
        <v>#N/A</v>
      </c>
    </row>
    <row r="164" spans="1:9" x14ac:dyDescent="0.15">
      <c r="A164">
        <f t="shared" si="12"/>
        <v>0</v>
      </c>
      <c r="B164">
        <f t="shared" si="12"/>
        <v>1</v>
      </c>
      <c r="C164">
        <f t="shared" si="8"/>
        <v>163</v>
      </c>
      <c r="D164">
        <f>D57</f>
        <v>0</v>
      </c>
      <c r="E164" t="str">
        <f>VLOOKUP(D164,name!A:B,2,1)</f>
        <v>Player</v>
      </c>
      <c r="F164">
        <f>F57</f>
        <v>0</v>
      </c>
      <c r="G164" t="str">
        <f t="shared" si="10"/>
        <v>q</v>
      </c>
      <c r="H164" t="str">
        <f>VLOOKUP(D164,name!A:C,3,1)</f>
        <v>assets/icons/image326.png</v>
      </c>
      <c r="I164" t="s">
        <v>463</v>
      </c>
    </row>
    <row r="165" spans="1:9" x14ac:dyDescent="0.15">
      <c r="A165">
        <f t="shared" si="12"/>
        <v>0</v>
      </c>
      <c r="B165">
        <f t="shared" si="12"/>
        <v>1</v>
      </c>
      <c r="C165">
        <f t="shared" si="8"/>
        <v>164</v>
      </c>
      <c r="D165">
        <f>D58</f>
        <v>0</v>
      </c>
      <c r="E165" t="str">
        <f>VLOOKUP(D165,name!A:B,2,1)</f>
        <v>Player</v>
      </c>
      <c r="F165">
        <f>F58</f>
        <v>0</v>
      </c>
      <c r="G165" t="str">
        <f t="shared" si="10"/>
        <v>q</v>
      </c>
      <c r="H165" t="str">
        <f>VLOOKUP(D165,name!A:C,3,1)</f>
        <v>assets/icons/image326.png</v>
      </c>
      <c r="I165" t="e">
        <f>IF(A165="","",VLOOKUP(A165,lng!A:B,2,0))</f>
        <v>#N/A</v>
      </c>
    </row>
    <row r="166" spans="1:9" x14ac:dyDescent="0.15">
      <c r="A166">
        <f t="shared" ref="A166:B181" si="13">A165</f>
        <v>0</v>
      </c>
      <c r="B166">
        <f t="shared" si="13"/>
        <v>1</v>
      </c>
      <c r="C166">
        <f t="shared" si="8"/>
        <v>165</v>
      </c>
      <c r="D166">
        <v>0</v>
      </c>
      <c r="E166" t="str">
        <f>VLOOKUP(D166,name!A:B,2,1)</f>
        <v>Player</v>
      </c>
      <c r="F166">
        <f>F58</f>
        <v>0</v>
      </c>
      <c r="G166" t="str">
        <f t="shared" si="10"/>
        <v>q</v>
      </c>
      <c r="H166" t="str">
        <f>VLOOKUP(D166,name!A:C,3,1)</f>
        <v>assets/icons/image326.png</v>
      </c>
      <c r="I166" t="e">
        <f>IF(A166="","",VLOOKUP(A166,lng!A:B,2,0))</f>
        <v>#N/A</v>
      </c>
    </row>
    <row r="167" spans="1:9" x14ac:dyDescent="0.15">
      <c r="A167">
        <f t="shared" si="13"/>
        <v>0</v>
      </c>
      <c r="B167">
        <f t="shared" si="13"/>
        <v>1</v>
      </c>
      <c r="C167">
        <f t="shared" si="8"/>
        <v>166</v>
      </c>
      <c r="D167">
        <f>D59</f>
        <v>0</v>
      </c>
      <c r="E167" t="str">
        <f>VLOOKUP(D167,name!A:B,2,1)</f>
        <v>Player</v>
      </c>
      <c r="F167">
        <f>F59</f>
        <v>0</v>
      </c>
      <c r="G167" t="str">
        <f t="shared" si="10"/>
        <v>q</v>
      </c>
      <c r="H167" t="str">
        <f>VLOOKUP(D167,name!A:C,3,1)</f>
        <v>assets/icons/image326.png</v>
      </c>
      <c r="I167" t="s">
        <v>463</v>
      </c>
    </row>
    <row r="168" spans="1:9" x14ac:dyDescent="0.15">
      <c r="A168">
        <f t="shared" si="13"/>
        <v>0</v>
      </c>
      <c r="B168">
        <f t="shared" si="13"/>
        <v>1</v>
      </c>
      <c r="C168">
        <f t="shared" si="8"/>
        <v>167</v>
      </c>
      <c r="D168">
        <f>D60</f>
        <v>0</v>
      </c>
      <c r="E168" t="str">
        <f>VLOOKUP(D168,name!A:B,2,1)</f>
        <v>Player</v>
      </c>
      <c r="F168">
        <f>F60</f>
        <v>0</v>
      </c>
      <c r="G168" t="str">
        <f t="shared" si="10"/>
        <v>q</v>
      </c>
      <c r="H168" t="str">
        <f>VLOOKUP(D168,name!A:C,3,1)</f>
        <v>assets/icons/image326.png</v>
      </c>
      <c r="I168" t="e">
        <f>IF(A168="","",VLOOKUP(A168,lng!A:B,2,0))</f>
        <v>#N/A</v>
      </c>
    </row>
    <row r="169" spans="1:9" x14ac:dyDescent="0.15">
      <c r="A169">
        <f t="shared" si="13"/>
        <v>0</v>
      </c>
      <c r="B169">
        <f t="shared" si="13"/>
        <v>1</v>
      </c>
      <c r="C169">
        <f t="shared" si="8"/>
        <v>168</v>
      </c>
      <c r="D169">
        <v>0</v>
      </c>
      <c r="E169" t="str">
        <f>VLOOKUP(D169,name!A:B,2,1)</f>
        <v>Player</v>
      </c>
      <c r="F169">
        <f>F60</f>
        <v>0</v>
      </c>
      <c r="G169" t="str">
        <f t="shared" si="10"/>
        <v>q</v>
      </c>
      <c r="H169" t="str">
        <f>VLOOKUP(D169,name!A:C,3,1)</f>
        <v>assets/icons/image326.png</v>
      </c>
      <c r="I169" t="e">
        <f>IF(A169="","",VLOOKUP(A169,lng!A:B,2,0))</f>
        <v>#N/A</v>
      </c>
    </row>
    <row r="170" spans="1:9" x14ac:dyDescent="0.15">
      <c r="A170">
        <f t="shared" si="13"/>
        <v>0</v>
      </c>
      <c r="B170">
        <f t="shared" si="13"/>
        <v>1</v>
      </c>
      <c r="C170">
        <f t="shared" si="8"/>
        <v>169</v>
      </c>
      <c r="D170">
        <f>D61</f>
        <v>0</v>
      </c>
      <c r="E170" t="str">
        <f>VLOOKUP(D170,name!A:B,2,1)</f>
        <v>Player</v>
      </c>
      <c r="F170">
        <f>F61</f>
        <v>0</v>
      </c>
      <c r="G170" t="str">
        <f t="shared" si="10"/>
        <v>q</v>
      </c>
      <c r="H170" t="str">
        <f>VLOOKUP(D170,name!A:C,3,1)</f>
        <v>assets/icons/image326.png</v>
      </c>
      <c r="I170" t="s">
        <v>463</v>
      </c>
    </row>
    <row r="171" spans="1:9" x14ac:dyDescent="0.15">
      <c r="A171">
        <f t="shared" si="13"/>
        <v>0</v>
      </c>
      <c r="B171">
        <f t="shared" si="13"/>
        <v>1</v>
      </c>
      <c r="C171">
        <f t="shared" ref="C171:C234" si="14">C170+1</f>
        <v>170</v>
      </c>
      <c r="D171">
        <f>D62</f>
        <v>0</v>
      </c>
      <c r="E171" t="str">
        <f>VLOOKUP(D171,name!A:B,2,1)</f>
        <v>Player</v>
      </c>
      <c r="F171">
        <f>F62</f>
        <v>0</v>
      </c>
      <c r="G171" t="str">
        <f t="shared" si="10"/>
        <v>q</v>
      </c>
      <c r="H171" t="str">
        <f>VLOOKUP(D171,name!A:C,3,1)</f>
        <v>assets/icons/image326.png</v>
      </c>
      <c r="I171" t="e">
        <f>IF(A171="","",VLOOKUP(A171,lng!A:B,2,0))</f>
        <v>#N/A</v>
      </c>
    </row>
    <row r="172" spans="1:9" x14ac:dyDescent="0.15">
      <c r="A172">
        <f t="shared" si="13"/>
        <v>0</v>
      </c>
      <c r="B172">
        <f t="shared" si="13"/>
        <v>1</v>
      </c>
      <c r="C172">
        <f t="shared" si="14"/>
        <v>171</v>
      </c>
      <c r="D172">
        <v>0</v>
      </c>
      <c r="E172" t="str">
        <f>VLOOKUP(D172,name!A:B,2,1)</f>
        <v>Player</v>
      </c>
      <c r="F172">
        <f>F62</f>
        <v>0</v>
      </c>
      <c r="G172" t="str">
        <f t="shared" si="10"/>
        <v>q</v>
      </c>
      <c r="H172" t="str">
        <f>VLOOKUP(D172,name!A:C,3,1)</f>
        <v>assets/icons/image326.png</v>
      </c>
      <c r="I172" t="e">
        <f>IF(A172="","",VLOOKUP(A172,lng!A:B,2,0))</f>
        <v>#N/A</v>
      </c>
    </row>
    <row r="173" spans="1:9" x14ac:dyDescent="0.15">
      <c r="A173">
        <f t="shared" si="13"/>
        <v>0</v>
      </c>
      <c r="B173">
        <f t="shared" si="13"/>
        <v>1</v>
      </c>
      <c r="C173">
        <f t="shared" si="14"/>
        <v>172</v>
      </c>
      <c r="D173">
        <f>D63</f>
        <v>0</v>
      </c>
      <c r="E173" t="str">
        <f>VLOOKUP(D173,name!A:B,2,1)</f>
        <v>Player</v>
      </c>
      <c r="F173">
        <f>F63</f>
        <v>0</v>
      </c>
      <c r="G173" t="str">
        <f t="shared" si="10"/>
        <v>q</v>
      </c>
      <c r="H173" t="str">
        <f>VLOOKUP(D173,name!A:C,3,1)</f>
        <v>assets/icons/image326.png</v>
      </c>
      <c r="I173" t="s">
        <v>463</v>
      </c>
    </row>
    <row r="174" spans="1:9" x14ac:dyDescent="0.15">
      <c r="A174">
        <f t="shared" si="13"/>
        <v>0</v>
      </c>
      <c r="B174">
        <f t="shared" si="13"/>
        <v>1</v>
      </c>
      <c r="C174">
        <f t="shared" si="14"/>
        <v>173</v>
      </c>
      <c r="D174">
        <f>D64</f>
        <v>0</v>
      </c>
      <c r="E174" t="str">
        <f>VLOOKUP(D174,name!A:B,2,1)</f>
        <v>Player</v>
      </c>
      <c r="F174">
        <f>F64</f>
        <v>0</v>
      </c>
      <c r="G174" t="str">
        <f t="shared" si="10"/>
        <v>q</v>
      </c>
      <c r="H174" t="str">
        <f>VLOOKUP(D174,name!A:C,3,1)</f>
        <v>assets/icons/image326.png</v>
      </c>
      <c r="I174" t="e">
        <f>IF(A174="","",VLOOKUP(A174,lng!A:B,2,0))</f>
        <v>#N/A</v>
      </c>
    </row>
    <row r="175" spans="1:9" x14ac:dyDescent="0.15">
      <c r="A175">
        <f t="shared" si="13"/>
        <v>0</v>
      </c>
      <c r="B175">
        <f t="shared" si="13"/>
        <v>1</v>
      </c>
      <c r="C175">
        <f t="shared" si="14"/>
        <v>174</v>
      </c>
      <c r="D175">
        <v>0</v>
      </c>
      <c r="E175" t="str">
        <f>VLOOKUP(D175,name!A:B,2,1)</f>
        <v>Player</v>
      </c>
      <c r="F175">
        <f>F64</f>
        <v>0</v>
      </c>
      <c r="G175" t="str">
        <f t="shared" si="10"/>
        <v>q</v>
      </c>
      <c r="H175" t="str">
        <f>VLOOKUP(D175,name!A:C,3,1)</f>
        <v>assets/icons/image326.png</v>
      </c>
      <c r="I175" t="e">
        <f>IF(A175="","",VLOOKUP(A175,lng!A:B,2,0))</f>
        <v>#N/A</v>
      </c>
    </row>
    <row r="176" spans="1:9" x14ac:dyDescent="0.15">
      <c r="A176">
        <f t="shared" si="13"/>
        <v>0</v>
      </c>
      <c r="B176">
        <f t="shared" si="13"/>
        <v>1</v>
      </c>
      <c r="C176">
        <f t="shared" si="14"/>
        <v>175</v>
      </c>
      <c r="D176">
        <f>D65</f>
        <v>0</v>
      </c>
      <c r="E176" t="str">
        <f>VLOOKUP(D176,name!A:B,2,1)</f>
        <v>Player</v>
      </c>
      <c r="F176">
        <f>F65</f>
        <v>0</v>
      </c>
      <c r="G176" t="str">
        <f t="shared" si="10"/>
        <v>q</v>
      </c>
      <c r="H176" t="str">
        <f>VLOOKUP(D176,name!A:C,3,1)</f>
        <v>assets/icons/image326.png</v>
      </c>
      <c r="I176" t="s">
        <v>463</v>
      </c>
    </row>
    <row r="177" spans="1:9" x14ac:dyDescent="0.15">
      <c r="A177">
        <f t="shared" si="13"/>
        <v>0</v>
      </c>
      <c r="B177">
        <f t="shared" si="13"/>
        <v>1</v>
      </c>
      <c r="C177">
        <f t="shared" si="14"/>
        <v>176</v>
      </c>
      <c r="D177">
        <f>D66</f>
        <v>0</v>
      </c>
      <c r="E177" t="str">
        <f>VLOOKUP(D177,name!A:B,2,1)</f>
        <v>Player</v>
      </c>
      <c r="F177">
        <f>F66</f>
        <v>0</v>
      </c>
      <c r="G177" t="str">
        <f t="shared" si="10"/>
        <v>q</v>
      </c>
      <c r="H177" t="str">
        <f>VLOOKUP(D177,name!A:C,3,1)</f>
        <v>assets/icons/image326.png</v>
      </c>
      <c r="I177" t="e">
        <f>IF(A177="","",VLOOKUP(A177,lng!A:B,2,0))</f>
        <v>#N/A</v>
      </c>
    </row>
    <row r="178" spans="1:9" x14ac:dyDescent="0.15">
      <c r="A178">
        <f t="shared" si="13"/>
        <v>0</v>
      </c>
      <c r="B178">
        <f t="shared" si="13"/>
        <v>1</v>
      </c>
      <c r="C178">
        <f t="shared" si="14"/>
        <v>177</v>
      </c>
      <c r="D178">
        <v>0</v>
      </c>
      <c r="E178" t="str">
        <f>VLOOKUP(D178,name!A:B,2,1)</f>
        <v>Player</v>
      </c>
      <c r="F178">
        <f>F66</f>
        <v>0</v>
      </c>
      <c r="G178" t="str">
        <f t="shared" si="10"/>
        <v>q</v>
      </c>
      <c r="H178" t="str">
        <f>VLOOKUP(D178,name!A:C,3,1)</f>
        <v>assets/icons/image326.png</v>
      </c>
      <c r="I178" t="e">
        <f>IF(A178="","",VLOOKUP(A178,lng!A:B,2,0))</f>
        <v>#N/A</v>
      </c>
    </row>
    <row r="179" spans="1:9" x14ac:dyDescent="0.15">
      <c r="A179">
        <f t="shared" si="13"/>
        <v>0</v>
      </c>
      <c r="B179">
        <f t="shared" si="13"/>
        <v>1</v>
      </c>
      <c r="C179">
        <f t="shared" si="14"/>
        <v>178</v>
      </c>
      <c r="D179">
        <f>D67</f>
        <v>0</v>
      </c>
      <c r="E179" t="str">
        <f>VLOOKUP(D179,name!A:B,2,1)</f>
        <v>Player</v>
      </c>
      <c r="F179">
        <f>F67</f>
        <v>0</v>
      </c>
      <c r="G179" t="str">
        <f t="shared" si="10"/>
        <v>q</v>
      </c>
      <c r="H179" t="str">
        <f>VLOOKUP(D179,name!A:C,3,1)</f>
        <v>assets/icons/image326.png</v>
      </c>
      <c r="I179" t="s">
        <v>463</v>
      </c>
    </row>
    <row r="180" spans="1:9" x14ac:dyDescent="0.15">
      <c r="A180">
        <f t="shared" si="13"/>
        <v>0</v>
      </c>
      <c r="B180">
        <f t="shared" si="13"/>
        <v>1</v>
      </c>
      <c r="C180">
        <f t="shared" si="14"/>
        <v>179</v>
      </c>
      <c r="D180">
        <f>D68</f>
        <v>0</v>
      </c>
      <c r="E180" t="str">
        <f>VLOOKUP(D180,name!A:B,2,1)</f>
        <v>Player</v>
      </c>
      <c r="F180">
        <f>F68</f>
        <v>0</v>
      </c>
      <c r="G180" t="str">
        <f t="shared" si="10"/>
        <v>q</v>
      </c>
      <c r="H180" t="str">
        <f>VLOOKUP(D180,name!A:C,3,1)</f>
        <v>assets/icons/image326.png</v>
      </c>
      <c r="I180" t="e">
        <f>IF(A180="","",VLOOKUP(A180,lng!A:B,2,0))</f>
        <v>#N/A</v>
      </c>
    </row>
    <row r="181" spans="1:9" x14ac:dyDescent="0.15">
      <c r="A181">
        <f t="shared" si="13"/>
        <v>0</v>
      </c>
      <c r="B181">
        <f t="shared" si="13"/>
        <v>1</v>
      </c>
      <c r="C181">
        <f t="shared" si="14"/>
        <v>180</v>
      </c>
      <c r="D181">
        <v>0</v>
      </c>
      <c r="E181" t="str">
        <f>VLOOKUP(D181,name!A:B,2,1)</f>
        <v>Player</v>
      </c>
      <c r="F181">
        <f>F68</f>
        <v>0</v>
      </c>
      <c r="G181" t="str">
        <f t="shared" si="10"/>
        <v>q</v>
      </c>
      <c r="H181" t="str">
        <f>VLOOKUP(D181,name!A:C,3,1)</f>
        <v>assets/icons/image326.png</v>
      </c>
      <c r="I181" t="e">
        <f>IF(A181="","",VLOOKUP(A181,lng!A:B,2,0))</f>
        <v>#N/A</v>
      </c>
    </row>
    <row r="182" spans="1:9" x14ac:dyDescent="0.15">
      <c r="A182">
        <f t="shared" ref="A182:B197" si="15">A181</f>
        <v>0</v>
      </c>
      <c r="B182">
        <f t="shared" si="15"/>
        <v>1</v>
      </c>
      <c r="C182">
        <f t="shared" si="14"/>
        <v>181</v>
      </c>
      <c r="D182">
        <f>D69</f>
        <v>0</v>
      </c>
      <c r="E182" t="str">
        <f>VLOOKUP(D182,name!A:B,2,1)</f>
        <v>Player</v>
      </c>
      <c r="F182">
        <f>F69</f>
        <v>0</v>
      </c>
      <c r="G182" t="str">
        <f t="shared" si="10"/>
        <v>q</v>
      </c>
      <c r="H182" t="str">
        <f>VLOOKUP(D182,name!A:C,3,1)</f>
        <v>assets/icons/image326.png</v>
      </c>
      <c r="I182" t="s">
        <v>463</v>
      </c>
    </row>
    <row r="183" spans="1:9" x14ac:dyDescent="0.15">
      <c r="A183">
        <f t="shared" si="15"/>
        <v>0</v>
      </c>
      <c r="B183">
        <f t="shared" si="15"/>
        <v>1</v>
      </c>
      <c r="C183">
        <f t="shared" si="14"/>
        <v>182</v>
      </c>
      <c r="D183">
        <f>D70</f>
        <v>0</v>
      </c>
      <c r="E183" t="str">
        <f>VLOOKUP(D183,name!A:B,2,1)</f>
        <v>Player</v>
      </c>
      <c r="F183">
        <f>F70</f>
        <v>0</v>
      </c>
      <c r="G183" t="str">
        <f t="shared" si="10"/>
        <v>q</v>
      </c>
      <c r="H183" t="str">
        <f>VLOOKUP(D183,name!A:C,3,1)</f>
        <v>assets/icons/image326.png</v>
      </c>
      <c r="I183" t="e">
        <f>IF(A183="","",VLOOKUP(A183,lng!A:B,2,0))</f>
        <v>#N/A</v>
      </c>
    </row>
    <row r="184" spans="1:9" x14ac:dyDescent="0.15">
      <c r="A184">
        <f t="shared" si="15"/>
        <v>0</v>
      </c>
      <c r="B184">
        <f t="shared" si="15"/>
        <v>1</v>
      </c>
      <c r="C184">
        <f t="shared" si="14"/>
        <v>183</v>
      </c>
      <c r="D184">
        <v>0</v>
      </c>
      <c r="E184" t="str">
        <f>VLOOKUP(D184,name!A:B,2,1)</f>
        <v>Player</v>
      </c>
      <c r="F184">
        <f>F70</f>
        <v>0</v>
      </c>
      <c r="G184" t="str">
        <f t="shared" si="10"/>
        <v>q</v>
      </c>
      <c r="H184" t="str">
        <f>VLOOKUP(D184,name!A:C,3,1)</f>
        <v>assets/icons/image326.png</v>
      </c>
      <c r="I184" t="e">
        <f>IF(A184="","",VLOOKUP(A184,lng!A:B,2,0))</f>
        <v>#N/A</v>
      </c>
    </row>
    <row r="185" spans="1:9" x14ac:dyDescent="0.15">
      <c r="A185">
        <f t="shared" si="15"/>
        <v>0</v>
      </c>
      <c r="B185">
        <f t="shared" si="15"/>
        <v>1</v>
      </c>
      <c r="C185">
        <f t="shared" si="14"/>
        <v>184</v>
      </c>
      <c r="D185">
        <f>D71</f>
        <v>0</v>
      </c>
      <c r="E185" t="str">
        <f>VLOOKUP(D185,name!A:B,2,1)</f>
        <v>Player</v>
      </c>
      <c r="F185">
        <f>F71</f>
        <v>0</v>
      </c>
      <c r="G185" t="str">
        <f t="shared" si="10"/>
        <v>q</v>
      </c>
      <c r="H185" t="str">
        <f>VLOOKUP(D185,name!A:C,3,1)</f>
        <v>assets/icons/image326.png</v>
      </c>
      <c r="I185" t="s">
        <v>463</v>
      </c>
    </row>
    <row r="186" spans="1:9" x14ac:dyDescent="0.15">
      <c r="A186">
        <f t="shared" si="15"/>
        <v>0</v>
      </c>
      <c r="B186">
        <f t="shared" si="15"/>
        <v>1</v>
      </c>
      <c r="C186">
        <f t="shared" si="14"/>
        <v>185</v>
      </c>
      <c r="D186">
        <f>D72</f>
        <v>0</v>
      </c>
      <c r="E186" t="str">
        <f>VLOOKUP(D186,name!A:B,2,1)</f>
        <v>Player</v>
      </c>
      <c r="F186">
        <f>F72</f>
        <v>0</v>
      </c>
      <c r="G186" t="str">
        <f t="shared" si="10"/>
        <v>q</v>
      </c>
      <c r="H186" t="str">
        <f>VLOOKUP(D186,name!A:C,3,1)</f>
        <v>assets/icons/image326.png</v>
      </c>
      <c r="I186" t="e">
        <f>IF(A186="","",VLOOKUP(A186,lng!A:B,2,0))</f>
        <v>#N/A</v>
      </c>
    </row>
    <row r="187" spans="1:9" x14ac:dyDescent="0.15">
      <c r="A187">
        <f t="shared" si="15"/>
        <v>0</v>
      </c>
      <c r="B187">
        <f t="shared" si="15"/>
        <v>1</v>
      </c>
      <c r="C187">
        <f t="shared" si="14"/>
        <v>186</v>
      </c>
      <c r="D187">
        <v>0</v>
      </c>
      <c r="E187" t="str">
        <f>VLOOKUP(D187,name!A:B,2,1)</f>
        <v>Player</v>
      </c>
      <c r="F187">
        <f>F72</f>
        <v>0</v>
      </c>
      <c r="G187" t="str">
        <f t="shared" si="10"/>
        <v>q</v>
      </c>
      <c r="H187" t="str">
        <f>VLOOKUP(D187,name!A:C,3,1)</f>
        <v>assets/icons/image326.png</v>
      </c>
      <c r="I187" t="e">
        <f>IF(A187="","",VLOOKUP(A187,lng!A:B,2,0))</f>
        <v>#N/A</v>
      </c>
    </row>
    <row r="188" spans="1:9" x14ac:dyDescent="0.15">
      <c r="A188">
        <f t="shared" si="15"/>
        <v>0</v>
      </c>
      <c r="B188">
        <f t="shared" si="15"/>
        <v>1</v>
      </c>
      <c r="C188">
        <f t="shared" si="14"/>
        <v>187</v>
      </c>
      <c r="D188">
        <f>D73</f>
        <v>0</v>
      </c>
      <c r="E188" t="str">
        <f>VLOOKUP(D188,name!A:B,2,1)</f>
        <v>Player</v>
      </c>
      <c r="F188">
        <f>F73</f>
        <v>0</v>
      </c>
      <c r="G188" t="str">
        <f t="shared" si="10"/>
        <v>q</v>
      </c>
      <c r="H188" t="str">
        <f>VLOOKUP(D188,name!A:C,3,1)</f>
        <v>assets/icons/image326.png</v>
      </c>
      <c r="I188" t="s">
        <v>463</v>
      </c>
    </row>
    <row r="189" spans="1:9" x14ac:dyDescent="0.15">
      <c r="A189">
        <f t="shared" si="15"/>
        <v>0</v>
      </c>
      <c r="B189">
        <f t="shared" si="15"/>
        <v>1</v>
      </c>
      <c r="C189">
        <f t="shared" si="14"/>
        <v>188</v>
      </c>
      <c r="D189">
        <f>D74</f>
        <v>0</v>
      </c>
      <c r="E189" t="str">
        <f>VLOOKUP(D189,name!A:B,2,1)</f>
        <v>Player</v>
      </c>
      <c r="F189">
        <f>F74</f>
        <v>0</v>
      </c>
      <c r="G189" t="str">
        <f t="shared" si="10"/>
        <v>q</v>
      </c>
      <c r="H189" t="str">
        <f>VLOOKUP(D189,name!A:C,3,1)</f>
        <v>assets/icons/image326.png</v>
      </c>
      <c r="I189" t="e">
        <f>IF(A189="","",VLOOKUP(A189,lng!A:B,2,0))</f>
        <v>#N/A</v>
      </c>
    </row>
    <row r="190" spans="1:9" x14ac:dyDescent="0.15">
      <c r="A190">
        <f t="shared" si="15"/>
        <v>0</v>
      </c>
      <c r="B190">
        <f t="shared" si="15"/>
        <v>1</v>
      </c>
      <c r="C190">
        <f t="shared" si="14"/>
        <v>189</v>
      </c>
      <c r="D190">
        <v>0</v>
      </c>
      <c r="E190" t="str">
        <f>VLOOKUP(D190,name!A:B,2,1)</f>
        <v>Player</v>
      </c>
      <c r="F190">
        <f>F74</f>
        <v>0</v>
      </c>
      <c r="G190" t="str">
        <f t="shared" si="10"/>
        <v>q</v>
      </c>
      <c r="H190" t="str">
        <f>VLOOKUP(D190,name!A:C,3,1)</f>
        <v>assets/icons/image326.png</v>
      </c>
      <c r="I190" t="e">
        <f>IF(A190="","",VLOOKUP(A190,lng!A:B,2,0))</f>
        <v>#N/A</v>
      </c>
    </row>
    <row r="191" spans="1:9" x14ac:dyDescent="0.15">
      <c r="A191">
        <f t="shared" si="15"/>
        <v>0</v>
      </c>
      <c r="B191">
        <f t="shared" si="15"/>
        <v>1</v>
      </c>
      <c r="C191">
        <f t="shared" si="14"/>
        <v>190</v>
      </c>
      <c r="D191">
        <f>D75</f>
        <v>0</v>
      </c>
      <c r="E191" t="str">
        <f>VLOOKUP(D191,name!A:B,2,1)</f>
        <v>Player</v>
      </c>
      <c r="F191">
        <f>F75</f>
        <v>0</v>
      </c>
      <c r="G191" t="str">
        <f t="shared" si="10"/>
        <v>q</v>
      </c>
      <c r="H191" t="str">
        <f>VLOOKUP(D191,name!A:C,3,1)</f>
        <v>assets/icons/image326.png</v>
      </c>
      <c r="I191" t="s">
        <v>463</v>
      </c>
    </row>
    <row r="192" spans="1:9" x14ac:dyDescent="0.15">
      <c r="A192">
        <f t="shared" si="15"/>
        <v>0</v>
      </c>
      <c r="B192">
        <f t="shared" si="15"/>
        <v>1</v>
      </c>
      <c r="C192">
        <f t="shared" si="14"/>
        <v>191</v>
      </c>
      <c r="D192">
        <f>D76</f>
        <v>0</v>
      </c>
      <c r="E192" t="str">
        <f>VLOOKUP(D192,name!A:B,2,1)</f>
        <v>Player</v>
      </c>
      <c r="F192">
        <f>F76</f>
        <v>0</v>
      </c>
      <c r="G192" t="str">
        <f t="shared" si="10"/>
        <v>q</v>
      </c>
      <c r="H192" t="str">
        <f>VLOOKUP(D192,name!A:C,3,1)</f>
        <v>assets/icons/image326.png</v>
      </c>
      <c r="I192" t="e">
        <f>IF(A192="","",VLOOKUP(A192,lng!A:B,2,0))</f>
        <v>#N/A</v>
      </c>
    </row>
    <row r="193" spans="1:9" x14ac:dyDescent="0.15">
      <c r="A193">
        <f t="shared" si="15"/>
        <v>0</v>
      </c>
      <c r="B193">
        <f t="shared" si="15"/>
        <v>1</v>
      </c>
      <c r="C193">
        <f t="shared" si="14"/>
        <v>192</v>
      </c>
      <c r="D193">
        <v>0</v>
      </c>
      <c r="E193" t="str">
        <f>VLOOKUP(D193,name!A:B,2,1)</f>
        <v>Player</v>
      </c>
      <c r="F193">
        <f>F76</f>
        <v>0</v>
      </c>
      <c r="G193" t="str">
        <f t="shared" si="10"/>
        <v>q</v>
      </c>
      <c r="H193" t="str">
        <f>VLOOKUP(D193,name!A:C,3,1)</f>
        <v>assets/icons/image326.png</v>
      </c>
      <c r="I193" t="e">
        <f>IF(A193="","",VLOOKUP(A193,lng!A:B,2,0))</f>
        <v>#N/A</v>
      </c>
    </row>
    <row r="194" spans="1:9" x14ac:dyDescent="0.15">
      <c r="A194">
        <f t="shared" si="15"/>
        <v>0</v>
      </c>
      <c r="B194">
        <f t="shared" si="15"/>
        <v>1</v>
      </c>
      <c r="C194">
        <f t="shared" si="14"/>
        <v>193</v>
      </c>
      <c r="D194">
        <f>D77</f>
        <v>0</v>
      </c>
      <c r="E194" t="str">
        <f>VLOOKUP(D194,name!A:B,2,1)</f>
        <v>Player</v>
      </c>
      <c r="F194">
        <f>F77</f>
        <v>0</v>
      </c>
      <c r="G194" t="str">
        <f t="shared" si="10"/>
        <v>q</v>
      </c>
      <c r="H194" t="str">
        <f>VLOOKUP(D194,name!A:C,3,1)</f>
        <v>assets/icons/image326.png</v>
      </c>
      <c r="I194" t="s">
        <v>463</v>
      </c>
    </row>
    <row r="195" spans="1:9" x14ac:dyDescent="0.15">
      <c r="A195">
        <f t="shared" si="15"/>
        <v>0</v>
      </c>
      <c r="B195">
        <f t="shared" si="15"/>
        <v>1</v>
      </c>
      <c r="C195">
        <f t="shared" si="14"/>
        <v>194</v>
      </c>
      <c r="D195">
        <f>D78</f>
        <v>0</v>
      </c>
      <c r="E195" t="str">
        <f>VLOOKUP(D195,name!A:B,2,1)</f>
        <v>Player</v>
      </c>
      <c r="F195">
        <f>F78</f>
        <v>0</v>
      </c>
      <c r="G195" t="str">
        <f t="shared" si="10"/>
        <v>q</v>
      </c>
      <c r="H195" t="str">
        <f>VLOOKUP(D195,name!A:C,3,1)</f>
        <v>assets/icons/image326.png</v>
      </c>
      <c r="I195" t="e">
        <f>IF(A195="","",VLOOKUP(A195,lng!A:B,2,0))</f>
        <v>#N/A</v>
      </c>
    </row>
    <row r="196" spans="1:9" x14ac:dyDescent="0.15">
      <c r="A196">
        <f t="shared" si="15"/>
        <v>0</v>
      </c>
      <c r="B196">
        <f t="shared" si="15"/>
        <v>1</v>
      </c>
      <c r="C196">
        <f t="shared" si="14"/>
        <v>195</v>
      </c>
      <c r="D196">
        <v>0</v>
      </c>
      <c r="E196" t="str">
        <f>VLOOKUP(D196,name!A:B,2,1)</f>
        <v>Player</v>
      </c>
      <c r="F196">
        <f>F78</f>
        <v>0</v>
      </c>
      <c r="G196" t="str">
        <f t="shared" si="10"/>
        <v>q</v>
      </c>
      <c r="H196" t="str">
        <f>VLOOKUP(D196,name!A:C,3,1)</f>
        <v>assets/icons/image326.png</v>
      </c>
      <c r="I196" t="e">
        <f>IF(A196="","",VLOOKUP(A196,lng!A:B,2,0))</f>
        <v>#N/A</v>
      </c>
    </row>
    <row r="197" spans="1:9" x14ac:dyDescent="0.15">
      <c r="A197">
        <f t="shared" si="15"/>
        <v>0</v>
      </c>
      <c r="B197">
        <f t="shared" si="15"/>
        <v>1</v>
      </c>
      <c r="C197">
        <f t="shared" si="14"/>
        <v>196</v>
      </c>
      <c r="D197">
        <f>D79</f>
        <v>0</v>
      </c>
      <c r="E197" t="str">
        <f>VLOOKUP(D197,name!A:B,2,1)</f>
        <v>Player</v>
      </c>
      <c r="F197">
        <f>F79</f>
        <v>0</v>
      </c>
      <c r="G197" t="str">
        <f t="shared" ref="G197:G250" si="16">IF(B197&lt;&gt;B198,"e",IF(D197=0,"q","a"))</f>
        <v>q</v>
      </c>
      <c r="H197" t="str">
        <f>VLOOKUP(D197,name!A:C,3,1)</f>
        <v>assets/icons/image326.png</v>
      </c>
      <c r="I197" t="s">
        <v>463</v>
      </c>
    </row>
    <row r="198" spans="1:9" x14ac:dyDescent="0.15">
      <c r="A198">
        <f t="shared" ref="A198:B205" si="17">A197</f>
        <v>0</v>
      </c>
      <c r="B198">
        <f t="shared" si="17"/>
        <v>1</v>
      </c>
      <c r="C198">
        <f t="shared" si="14"/>
        <v>197</v>
      </c>
      <c r="D198">
        <f>D80</f>
        <v>0</v>
      </c>
      <c r="E198" t="str">
        <f>VLOOKUP(D198,name!A:B,2,1)</f>
        <v>Player</v>
      </c>
      <c r="F198">
        <f>F80</f>
        <v>0</v>
      </c>
      <c r="G198" t="str">
        <f t="shared" si="16"/>
        <v>q</v>
      </c>
      <c r="H198" t="str">
        <f>VLOOKUP(D198,name!A:C,3,1)</f>
        <v>assets/icons/image326.png</v>
      </c>
      <c r="I198" t="e">
        <f>IF(A198="","",VLOOKUP(A198,lng!A:B,2,0))</f>
        <v>#N/A</v>
      </c>
    </row>
    <row r="199" spans="1:9" x14ac:dyDescent="0.15">
      <c r="A199">
        <f t="shared" si="17"/>
        <v>0</v>
      </c>
      <c r="B199">
        <f t="shared" si="17"/>
        <v>1</v>
      </c>
      <c r="C199">
        <f t="shared" si="14"/>
        <v>198</v>
      </c>
      <c r="D199">
        <v>0</v>
      </c>
      <c r="E199" t="str">
        <f>VLOOKUP(D199,name!A:B,2,1)</f>
        <v>Player</v>
      </c>
      <c r="F199">
        <f>F80</f>
        <v>0</v>
      </c>
      <c r="G199" t="str">
        <f t="shared" si="16"/>
        <v>q</v>
      </c>
      <c r="H199" t="str">
        <f>VLOOKUP(D199,name!A:C,3,1)</f>
        <v>assets/icons/image326.png</v>
      </c>
      <c r="I199" t="e">
        <f>IF(A199="","",VLOOKUP(A199,lng!A:B,2,0))</f>
        <v>#N/A</v>
      </c>
    </row>
    <row r="200" spans="1:9" x14ac:dyDescent="0.15">
      <c r="A200">
        <f t="shared" si="17"/>
        <v>0</v>
      </c>
      <c r="B200">
        <f t="shared" si="17"/>
        <v>1</v>
      </c>
      <c r="C200">
        <f t="shared" si="14"/>
        <v>199</v>
      </c>
      <c r="D200">
        <f>D81</f>
        <v>0</v>
      </c>
      <c r="E200" t="str">
        <f>VLOOKUP(D200,name!A:B,2,1)</f>
        <v>Player</v>
      </c>
      <c r="F200">
        <f>F81</f>
        <v>0</v>
      </c>
      <c r="G200" t="str">
        <f t="shared" si="16"/>
        <v>q</v>
      </c>
      <c r="H200" t="str">
        <f>VLOOKUP(D200,name!A:C,3,1)</f>
        <v>assets/icons/image326.png</v>
      </c>
      <c r="I200" t="s">
        <v>463</v>
      </c>
    </row>
    <row r="201" spans="1:9" x14ac:dyDescent="0.15">
      <c r="A201">
        <f t="shared" si="17"/>
        <v>0</v>
      </c>
      <c r="B201">
        <f t="shared" si="17"/>
        <v>1</v>
      </c>
      <c r="C201">
        <f t="shared" si="14"/>
        <v>200</v>
      </c>
      <c r="D201">
        <f>D82</f>
        <v>0</v>
      </c>
      <c r="E201" t="str">
        <f>VLOOKUP(D201,name!A:B,2,1)</f>
        <v>Player</v>
      </c>
      <c r="F201">
        <f>F82</f>
        <v>0</v>
      </c>
      <c r="G201" t="str">
        <f t="shared" si="16"/>
        <v>q</v>
      </c>
      <c r="H201" t="str">
        <f>VLOOKUP(D201,name!A:C,3,1)</f>
        <v>assets/icons/image326.png</v>
      </c>
      <c r="I201" t="e">
        <f>IF(A201="","",VLOOKUP(A201,lng!A:B,2,0))</f>
        <v>#N/A</v>
      </c>
    </row>
    <row r="202" spans="1:9" x14ac:dyDescent="0.15">
      <c r="A202">
        <f t="shared" si="17"/>
        <v>0</v>
      </c>
      <c r="B202">
        <f t="shared" si="17"/>
        <v>1</v>
      </c>
      <c r="C202">
        <f t="shared" si="14"/>
        <v>201</v>
      </c>
      <c r="D202">
        <v>0</v>
      </c>
      <c r="E202" t="str">
        <f>VLOOKUP(D202,name!A:B,2,1)</f>
        <v>Player</v>
      </c>
      <c r="F202">
        <f>F82</f>
        <v>0</v>
      </c>
      <c r="G202" t="str">
        <f t="shared" si="16"/>
        <v>q</v>
      </c>
      <c r="H202" t="str">
        <f>VLOOKUP(D202,name!A:C,3,1)</f>
        <v>assets/icons/image326.png</v>
      </c>
      <c r="I202" t="e">
        <f>IF(A202="","",VLOOKUP(A202,lng!A:B,2,0))</f>
        <v>#N/A</v>
      </c>
    </row>
    <row r="203" spans="1:9" x14ac:dyDescent="0.15">
      <c r="A203">
        <f t="shared" si="17"/>
        <v>0</v>
      </c>
      <c r="B203">
        <f t="shared" si="17"/>
        <v>1</v>
      </c>
      <c r="C203">
        <f t="shared" si="14"/>
        <v>202</v>
      </c>
      <c r="D203">
        <f>D83</f>
        <v>0</v>
      </c>
      <c r="E203" t="str">
        <f>VLOOKUP(D203,name!A:B,2,1)</f>
        <v>Player</v>
      </c>
      <c r="F203">
        <f>F83</f>
        <v>0</v>
      </c>
      <c r="G203" t="str">
        <f t="shared" si="16"/>
        <v>q</v>
      </c>
      <c r="H203" t="str">
        <f>VLOOKUP(D203,name!A:C,3,1)</f>
        <v>assets/icons/image326.png</v>
      </c>
      <c r="I203" t="s">
        <v>463</v>
      </c>
    </row>
    <row r="204" spans="1:9" x14ac:dyDescent="0.15">
      <c r="A204">
        <f t="shared" si="17"/>
        <v>0</v>
      </c>
      <c r="B204">
        <f t="shared" si="17"/>
        <v>1</v>
      </c>
      <c r="C204">
        <f t="shared" si="14"/>
        <v>203</v>
      </c>
      <c r="D204">
        <f>D84</f>
        <v>0</v>
      </c>
      <c r="E204" t="str">
        <f>VLOOKUP(D204,name!A:B,2,1)</f>
        <v>Player</v>
      </c>
      <c r="F204">
        <f>F84</f>
        <v>0</v>
      </c>
      <c r="G204" t="str">
        <f t="shared" si="16"/>
        <v>q</v>
      </c>
      <c r="H204" t="str">
        <f>VLOOKUP(D204,name!A:C,3,1)</f>
        <v>assets/icons/image326.png</v>
      </c>
      <c r="I204" t="e">
        <f>IF(A204="","",VLOOKUP(A204,lng!A:B,2,0))</f>
        <v>#N/A</v>
      </c>
    </row>
    <row r="205" spans="1:9" x14ac:dyDescent="0.15">
      <c r="A205">
        <f t="shared" si="17"/>
        <v>0</v>
      </c>
      <c r="B205">
        <f t="shared" si="17"/>
        <v>1</v>
      </c>
      <c r="C205">
        <f t="shared" si="14"/>
        <v>204</v>
      </c>
      <c r="D205">
        <v>0</v>
      </c>
      <c r="E205" t="str">
        <f>VLOOKUP(D205,name!A:B,2,1)</f>
        <v>Player</v>
      </c>
      <c r="F205">
        <f>F84</f>
        <v>0</v>
      </c>
      <c r="G205" t="str">
        <f>IF(B205&lt;&gt;B206,"e",IF(D205=0,"q","a"))</f>
        <v>q</v>
      </c>
      <c r="H205" t="str">
        <f>VLOOKUP(D205,name!A:C,3,1)</f>
        <v>assets/icons/image326.png</v>
      </c>
      <c r="I205" t="e">
        <f>IF(A205="","",VLOOKUP(A205,lng!A:B,2,0))</f>
        <v>#N/A</v>
      </c>
    </row>
    <row r="206" spans="1:9" x14ac:dyDescent="0.15">
      <c r="A206">
        <f t="shared" ref="A206:A237" si="18">A205</f>
        <v>0</v>
      </c>
      <c r="B206">
        <f t="shared" ref="B206:B237" si="19">B205</f>
        <v>1</v>
      </c>
      <c r="C206">
        <f t="shared" si="14"/>
        <v>205</v>
      </c>
      <c r="D206">
        <v>1</v>
      </c>
      <c r="E206" t="str">
        <f>VLOOKUP(D206,name!A:B,2,1)</f>
        <v>Navigator</v>
      </c>
      <c r="F206" t="str">
        <f>"次の日本語を"&amp;A206&amp;"に訳して答えてね！"</f>
        <v>次の日本語を0に訳して答えてね！</v>
      </c>
      <c r="G206" t="str">
        <f>IF(B206&lt;&gt;B207,"e",IF(D206=0,"q","a"))</f>
        <v>a</v>
      </c>
      <c r="H206" t="str">
        <f>VLOOKUP(D206,name!A:C,3,1)</f>
        <v>assets/icons/image014.png</v>
      </c>
      <c r="I206" t="s">
        <v>463</v>
      </c>
    </row>
    <row r="207" spans="1:9" x14ac:dyDescent="0.15">
      <c r="A207">
        <f t="shared" si="18"/>
        <v>0</v>
      </c>
      <c r="B207">
        <f t="shared" si="19"/>
        <v>1</v>
      </c>
      <c r="C207">
        <f t="shared" si="14"/>
        <v>206</v>
      </c>
      <c r="D207">
        <f>D5</f>
        <v>0</v>
      </c>
      <c r="E207" t="str">
        <f>VLOOKUP(D207,name!A:B,2,1)</f>
        <v>Player</v>
      </c>
      <c r="F207">
        <f>F5</f>
        <v>0</v>
      </c>
      <c r="G207" t="str">
        <f t="shared" si="16"/>
        <v>q</v>
      </c>
      <c r="H207" t="str">
        <f>VLOOKUP(D207,name!A:C,3,1)</f>
        <v>assets/icons/image326.png</v>
      </c>
      <c r="I207" t="s">
        <v>463</v>
      </c>
    </row>
    <row r="208" spans="1:9" x14ac:dyDescent="0.15">
      <c r="A208">
        <f t="shared" si="18"/>
        <v>0</v>
      </c>
      <c r="B208">
        <f t="shared" si="19"/>
        <v>1</v>
      </c>
      <c r="C208">
        <f t="shared" si="14"/>
        <v>207</v>
      </c>
      <c r="D208">
        <v>0</v>
      </c>
      <c r="E208" t="str">
        <f>VLOOKUP(D208,name!A:B,2,1)</f>
        <v>Player</v>
      </c>
      <c r="F208">
        <f>F6</f>
        <v>0</v>
      </c>
      <c r="G208" t="str">
        <f t="shared" si="16"/>
        <v>q</v>
      </c>
      <c r="H208" t="str">
        <f>VLOOKUP(D208,name!A:C,3,1)</f>
        <v>assets/icons/image326.png</v>
      </c>
      <c r="I208" t="e">
        <f>IF(A208="","",VLOOKUP(A208,lng!A:B,2,0))</f>
        <v>#N/A</v>
      </c>
    </row>
    <row r="209" spans="1:9" x14ac:dyDescent="0.15">
      <c r="A209">
        <f t="shared" si="18"/>
        <v>0</v>
      </c>
      <c r="B209">
        <f t="shared" si="19"/>
        <v>1</v>
      </c>
      <c r="C209">
        <f t="shared" si="14"/>
        <v>208</v>
      </c>
      <c r="D209">
        <f t="shared" ref="D209:D271" si="20">D7</f>
        <v>0</v>
      </c>
      <c r="E209" t="str">
        <f>VLOOKUP(D209,name!A:B,2,1)</f>
        <v>Player</v>
      </c>
      <c r="F209">
        <f t="shared" ref="F209:F272" si="21">F7</f>
        <v>0</v>
      </c>
      <c r="G209" t="str">
        <f t="shared" si="16"/>
        <v>q</v>
      </c>
      <c r="H209" t="str">
        <f>VLOOKUP(D209,name!A:C,3,1)</f>
        <v>assets/icons/image326.png</v>
      </c>
      <c r="I209" t="s">
        <v>463</v>
      </c>
    </row>
    <row r="210" spans="1:9" x14ac:dyDescent="0.15">
      <c r="A210">
        <f t="shared" si="18"/>
        <v>0</v>
      </c>
      <c r="B210">
        <f t="shared" si="19"/>
        <v>1</v>
      </c>
      <c r="C210">
        <f t="shared" si="14"/>
        <v>209</v>
      </c>
      <c r="D210">
        <v>0</v>
      </c>
      <c r="E210" t="str">
        <f>VLOOKUP(D210,name!A:B,2,1)</f>
        <v>Player</v>
      </c>
      <c r="F210">
        <f t="shared" si="21"/>
        <v>0</v>
      </c>
      <c r="G210" t="str">
        <f t="shared" si="16"/>
        <v>q</v>
      </c>
      <c r="H210" t="str">
        <f>VLOOKUP(D210,name!A:C,3,1)</f>
        <v>assets/icons/image326.png</v>
      </c>
      <c r="I210" t="e">
        <f>IF(A210="","",VLOOKUP(A210,lng!A:B,2,0))</f>
        <v>#N/A</v>
      </c>
    </row>
    <row r="211" spans="1:9" x14ac:dyDescent="0.15">
      <c r="A211">
        <f t="shared" si="18"/>
        <v>0</v>
      </c>
      <c r="B211">
        <f t="shared" si="19"/>
        <v>1</v>
      </c>
      <c r="C211">
        <f t="shared" si="14"/>
        <v>210</v>
      </c>
      <c r="D211">
        <f t="shared" si="20"/>
        <v>0</v>
      </c>
      <c r="E211" t="str">
        <f>VLOOKUP(D211,name!A:B,2,1)</f>
        <v>Player</v>
      </c>
      <c r="F211">
        <f t="shared" si="21"/>
        <v>0</v>
      </c>
      <c r="G211" t="str">
        <f t="shared" si="16"/>
        <v>q</v>
      </c>
      <c r="H211" t="str">
        <f>VLOOKUP(D211,name!A:C,3,1)</f>
        <v>assets/icons/image326.png</v>
      </c>
      <c r="I211" t="s">
        <v>463</v>
      </c>
    </row>
    <row r="212" spans="1:9" x14ac:dyDescent="0.15">
      <c r="A212">
        <f t="shared" si="18"/>
        <v>0</v>
      </c>
      <c r="B212">
        <f t="shared" si="19"/>
        <v>1</v>
      </c>
      <c r="C212">
        <f t="shared" si="14"/>
        <v>211</v>
      </c>
      <c r="D212">
        <v>0</v>
      </c>
      <c r="E212" t="str">
        <f>VLOOKUP(D212,name!A:B,2,1)</f>
        <v>Player</v>
      </c>
      <c r="F212">
        <f t="shared" si="21"/>
        <v>0</v>
      </c>
      <c r="G212" t="str">
        <f t="shared" si="16"/>
        <v>q</v>
      </c>
      <c r="H212" t="str">
        <f>VLOOKUP(D212,name!A:C,3,1)</f>
        <v>assets/icons/image326.png</v>
      </c>
      <c r="I212" t="e">
        <f>IF(A212="","",VLOOKUP(A212,lng!A:B,2,0))</f>
        <v>#N/A</v>
      </c>
    </row>
    <row r="213" spans="1:9" x14ac:dyDescent="0.15">
      <c r="A213">
        <f t="shared" si="18"/>
        <v>0</v>
      </c>
      <c r="B213">
        <f t="shared" si="19"/>
        <v>1</v>
      </c>
      <c r="C213">
        <f t="shared" si="14"/>
        <v>212</v>
      </c>
      <c r="D213">
        <f t="shared" si="20"/>
        <v>0</v>
      </c>
      <c r="E213" t="str">
        <f>VLOOKUP(D213,name!A:B,2,1)</f>
        <v>Player</v>
      </c>
      <c r="F213">
        <f t="shared" si="21"/>
        <v>0</v>
      </c>
      <c r="G213" t="str">
        <f t="shared" si="16"/>
        <v>q</v>
      </c>
      <c r="H213" t="str">
        <f>VLOOKUP(D213,name!A:C,3,1)</f>
        <v>assets/icons/image326.png</v>
      </c>
      <c r="I213" t="s">
        <v>463</v>
      </c>
    </row>
    <row r="214" spans="1:9" x14ac:dyDescent="0.15">
      <c r="A214">
        <f t="shared" si="18"/>
        <v>0</v>
      </c>
      <c r="B214">
        <f t="shared" si="19"/>
        <v>1</v>
      </c>
      <c r="C214">
        <f t="shared" si="14"/>
        <v>213</v>
      </c>
      <c r="D214">
        <v>0</v>
      </c>
      <c r="E214" t="str">
        <f>VLOOKUP(D214,name!A:B,2,1)</f>
        <v>Player</v>
      </c>
      <c r="F214">
        <f t="shared" si="21"/>
        <v>0</v>
      </c>
      <c r="G214" t="str">
        <f t="shared" si="16"/>
        <v>q</v>
      </c>
      <c r="H214" t="str">
        <f>VLOOKUP(D214,name!A:C,3,1)</f>
        <v>assets/icons/image326.png</v>
      </c>
      <c r="I214" t="e">
        <f>IF(A214="","",VLOOKUP(A214,lng!A:B,2,0))</f>
        <v>#N/A</v>
      </c>
    </row>
    <row r="215" spans="1:9" x14ac:dyDescent="0.15">
      <c r="A215">
        <f t="shared" si="18"/>
        <v>0</v>
      </c>
      <c r="B215">
        <f t="shared" si="19"/>
        <v>1</v>
      </c>
      <c r="C215">
        <f t="shared" si="14"/>
        <v>214</v>
      </c>
      <c r="D215">
        <f t="shared" si="20"/>
        <v>0</v>
      </c>
      <c r="E215" t="str">
        <f>VLOOKUP(D215,name!A:B,2,1)</f>
        <v>Player</v>
      </c>
      <c r="F215">
        <f t="shared" si="21"/>
        <v>0</v>
      </c>
      <c r="G215" t="str">
        <f t="shared" si="16"/>
        <v>q</v>
      </c>
      <c r="H215" t="str">
        <f>VLOOKUP(D215,name!A:C,3,1)</f>
        <v>assets/icons/image326.png</v>
      </c>
      <c r="I215" t="s">
        <v>463</v>
      </c>
    </row>
    <row r="216" spans="1:9" x14ac:dyDescent="0.15">
      <c r="A216">
        <f t="shared" si="18"/>
        <v>0</v>
      </c>
      <c r="B216">
        <f t="shared" si="19"/>
        <v>1</v>
      </c>
      <c r="C216">
        <f t="shared" si="14"/>
        <v>215</v>
      </c>
      <c r="D216">
        <v>0</v>
      </c>
      <c r="E216" t="str">
        <f>VLOOKUP(D216,name!A:B,2,1)</f>
        <v>Player</v>
      </c>
      <c r="F216">
        <f t="shared" si="21"/>
        <v>0</v>
      </c>
      <c r="G216" t="str">
        <f t="shared" si="16"/>
        <v>q</v>
      </c>
      <c r="H216" t="str">
        <f>VLOOKUP(D216,name!A:C,3,1)</f>
        <v>assets/icons/image326.png</v>
      </c>
      <c r="I216" t="e">
        <f>IF(A216="","",VLOOKUP(A216,lng!A:B,2,0))</f>
        <v>#N/A</v>
      </c>
    </row>
    <row r="217" spans="1:9" x14ac:dyDescent="0.15">
      <c r="A217">
        <f t="shared" si="18"/>
        <v>0</v>
      </c>
      <c r="B217">
        <f t="shared" si="19"/>
        <v>1</v>
      </c>
      <c r="C217">
        <f t="shared" si="14"/>
        <v>216</v>
      </c>
      <c r="D217">
        <f t="shared" si="20"/>
        <v>0</v>
      </c>
      <c r="E217" t="str">
        <f>VLOOKUP(D217,name!A:B,2,1)</f>
        <v>Player</v>
      </c>
      <c r="F217">
        <f t="shared" si="21"/>
        <v>0</v>
      </c>
      <c r="G217" t="str">
        <f t="shared" si="16"/>
        <v>q</v>
      </c>
      <c r="H217" t="str">
        <f>VLOOKUP(D217,name!A:C,3,1)</f>
        <v>assets/icons/image326.png</v>
      </c>
      <c r="I217" t="s">
        <v>463</v>
      </c>
    </row>
    <row r="218" spans="1:9" x14ac:dyDescent="0.15">
      <c r="A218">
        <f t="shared" si="18"/>
        <v>0</v>
      </c>
      <c r="B218">
        <f t="shared" si="19"/>
        <v>1</v>
      </c>
      <c r="C218">
        <f t="shared" si="14"/>
        <v>217</v>
      </c>
      <c r="D218">
        <v>0</v>
      </c>
      <c r="E218" t="str">
        <f>VLOOKUP(D218,name!A:B,2,1)</f>
        <v>Player</v>
      </c>
      <c r="F218">
        <f t="shared" si="21"/>
        <v>0</v>
      </c>
      <c r="G218" t="str">
        <f t="shared" si="16"/>
        <v>q</v>
      </c>
      <c r="H218" t="str">
        <f>VLOOKUP(D218,name!A:C,3,1)</f>
        <v>assets/icons/image326.png</v>
      </c>
      <c r="I218" t="e">
        <f>IF(A218="","",VLOOKUP(A218,lng!A:B,2,0))</f>
        <v>#N/A</v>
      </c>
    </row>
    <row r="219" spans="1:9" x14ac:dyDescent="0.15">
      <c r="A219">
        <f t="shared" si="18"/>
        <v>0</v>
      </c>
      <c r="B219">
        <f t="shared" si="19"/>
        <v>1</v>
      </c>
      <c r="C219">
        <f t="shared" si="14"/>
        <v>218</v>
      </c>
      <c r="D219">
        <f t="shared" si="20"/>
        <v>0</v>
      </c>
      <c r="E219" t="str">
        <f>VLOOKUP(D219,name!A:B,2,1)</f>
        <v>Player</v>
      </c>
      <c r="F219">
        <f t="shared" si="21"/>
        <v>0</v>
      </c>
      <c r="G219" t="str">
        <f t="shared" si="16"/>
        <v>q</v>
      </c>
      <c r="H219" t="str">
        <f>VLOOKUP(D219,name!A:C,3,1)</f>
        <v>assets/icons/image326.png</v>
      </c>
      <c r="I219" t="s">
        <v>463</v>
      </c>
    </row>
    <row r="220" spans="1:9" x14ac:dyDescent="0.15">
      <c r="A220">
        <f t="shared" si="18"/>
        <v>0</v>
      </c>
      <c r="B220">
        <f t="shared" si="19"/>
        <v>1</v>
      </c>
      <c r="C220">
        <f t="shared" si="14"/>
        <v>219</v>
      </c>
      <c r="D220">
        <v>0</v>
      </c>
      <c r="E220" t="str">
        <f>VLOOKUP(D220,name!A:B,2,1)</f>
        <v>Player</v>
      </c>
      <c r="F220">
        <f t="shared" si="21"/>
        <v>0</v>
      </c>
      <c r="G220" t="str">
        <f t="shared" si="16"/>
        <v>q</v>
      </c>
      <c r="H220" t="str">
        <f>VLOOKUP(D220,name!A:C,3,1)</f>
        <v>assets/icons/image326.png</v>
      </c>
      <c r="I220" t="e">
        <f>IF(A220="","",VLOOKUP(A220,lng!A:B,2,0))</f>
        <v>#N/A</v>
      </c>
    </row>
    <row r="221" spans="1:9" x14ac:dyDescent="0.15">
      <c r="A221">
        <f t="shared" si="18"/>
        <v>0</v>
      </c>
      <c r="B221">
        <f t="shared" si="19"/>
        <v>1</v>
      </c>
      <c r="C221">
        <f t="shared" si="14"/>
        <v>220</v>
      </c>
      <c r="D221">
        <f t="shared" si="20"/>
        <v>0</v>
      </c>
      <c r="E221" t="str">
        <f>VLOOKUP(D221,name!A:B,2,1)</f>
        <v>Player</v>
      </c>
      <c r="F221">
        <f t="shared" si="21"/>
        <v>0</v>
      </c>
      <c r="G221" t="str">
        <f t="shared" si="16"/>
        <v>q</v>
      </c>
      <c r="H221" t="str">
        <f>VLOOKUP(D221,name!A:C,3,1)</f>
        <v>assets/icons/image326.png</v>
      </c>
      <c r="I221" t="s">
        <v>463</v>
      </c>
    </row>
    <row r="222" spans="1:9" x14ac:dyDescent="0.15">
      <c r="A222">
        <f t="shared" si="18"/>
        <v>0</v>
      </c>
      <c r="B222">
        <f t="shared" si="19"/>
        <v>1</v>
      </c>
      <c r="C222">
        <f t="shared" si="14"/>
        <v>221</v>
      </c>
      <c r="D222">
        <v>0</v>
      </c>
      <c r="E222" t="str">
        <f>VLOOKUP(D222,name!A:B,2,1)</f>
        <v>Player</v>
      </c>
      <c r="F222">
        <f t="shared" si="21"/>
        <v>0</v>
      </c>
      <c r="G222" t="str">
        <f t="shared" si="16"/>
        <v>q</v>
      </c>
      <c r="H222" t="str">
        <f>VLOOKUP(D222,name!A:C,3,1)</f>
        <v>assets/icons/image326.png</v>
      </c>
      <c r="I222" t="e">
        <f>IF(A222="","",VLOOKUP(A222,lng!A:B,2,0))</f>
        <v>#N/A</v>
      </c>
    </row>
    <row r="223" spans="1:9" x14ac:dyDescent="0.15">
      <c r="A223">
        <f t="shared" si="18"/>
        <v>0</v>
      </c>
      <c r="B223">
        <f t="shared" si="19"/>
        <v>1</v>
      </c>
      <c r="C223">
        <f t="shared" si="14"/>
        <v>222</v>
      </c>
      <c r="D223">
        <f t="shared" si="20"/>
        <v>0</v>
      </c>
      <c r="E223" t="str">
        <f>VLOOKUP(D223,name!A:B,2,1)</f>
        <v>Player</v>
      </c>
      <c r="F223">
        <f t="shared" si="21"/>
        <v>0</v>
      </c>
      <c r="G223" t="str">
        <f t="shared" si="16"/>
        <v>q</v>
      </c>
      <c r="H223" t="str">
        <f>VLOOKUP(D223,name!A:C,3,1)</f>
        <v>assets/icons/image326.png</v>
      </c>
      <c r="I223" t="s">
        <v>463</v>
      </c>
    </row>
    <row r="224" spans="1:9" x14ac:dyDescent="0.15">
      <c r="A224">
        <f t="shared" si="18"/>
        <v>0</v>
      </c>
      <c r="B224">
        <f t="shared" si="19"/>
        <v>1</v>
      </c>
      <c r="C224">
        <f t="shared" si="14"/>
        <v>223</v>
      </c>
      <c r="D224">
        <v>0</v>
      </c>
      <c r="E224" t="str">
        <f>VLOOKUP(D224,name!A:B,2,1)</f>
        <v>Player</v>
      </c>
      <c r="F224">
        <f t="shared" si="21"/>
        <v>0</v>
      </c>
      <c r="G224" t="str">
        <f t="shared" si="16"/>
        <v>q</v>
      </c>
      <c r="H224" t="str">
        <f>VLOOKUP(D224,name!A:C,3,1)</f>
        <v>assets/icons/image326.png</v>
      </c>
      <c r="I224" t="e">
        <f>IF(A224="","",VLOOKUP(A224,lng!A:B,2,0))</f>
        <v>#N/A</v>
      </c>
    </row>
    <row r="225" spans="1:9" x14ac:dyDescent="0.15">
      <c r="A225">
        <f t="shared" si="18"/>
        <v>0</v>
      </c>
      <c r="B225">
        <f t="shared" si="19"/>
        <v>1</v>
      </c>
      <c r="C225">
        <f t="shared" si="14"/>
        <v>224</v>
      </c>
      <c r="D225">
        <f t="shared" si="20"/>
        <v>0</v>
      </c>
      <c r="E225" t="str">
        <f>VLOOKUP(D225,name!A:B,2,1)</f>
        <v>Player</v>
      </c>
      <c r="F225">
        <f t="shared" si="21"/>
        <v>0</v>
      </c>
      <c r="G225" t="str">
        <f t="shared" si="16"/>
        <v>q</v>
      </c>
      <c r="H225" t="str">
        <f>VLOOKUP(D225,name!A:C,3,1)</f>
        <v>assets/icons/image326.png</v>
      </c>
      <c r="I225" t="s">
        <v>463</v>
      </c>
    </row>
    <row r="226" spans="1:9" x14ac:dyDescent="0.15">
      <c r="A226">
        <f t="shared" si="18"/>
        <v>0</v>
      </c>
      <c r="B226">
        <f t="shared" si="19"/>
        <v>1</v>
      </c>
      <c r="C226">
        <f t="shared" si="14"/>
        <v>225</v>
      </c>
      <c r="D226">
        <v>0</v>
      </c>
      <c r="E226" t="str">
        <f>VLOOKUP(D226,name!A:B,2,1)</f>
        <v>Player</v>
      </c>
      <c r="F226">
        <f t="shared" si="21"/>
        <v>0</v>
      </c>
      <c r="G226" t="str">
        <f t="shared" si="16"/>
        <v>q</v>
      </c>
      <c r="H226" t="str">
        <f>VLOOKUP(D226,name!A:C,3,1)</f>
        <v>assets/icons/image326.png</v>
      </c>
      <c r="I226" t="e">
        <f>IF(A226="","",VLOOKUP(A226,lng!A:B,2,0))</f>
        <v>#N/A</v>
      </c>
    </row>
    <row r="227" spans="1:9" x14ac:dyDescent="0.15">
      <c r="A227">
        <f t="shared" si="18"/>
        <v>0</v>
      </c>
      <c r="B227">
        <f t="shared" si="19"/>
        <v>1</v>
      </c>
      <c r="C227">
        <f t="shared" si="14"/>
        <v>226</v>
      </c>
      <c r="D227">
        <f t="shared" si="20"/>
        <v>0</v>
      </c>
      <c r="E227" t="str">
        <f>VLOOKUP(D227,name!A:B,2,1)</f>
        <v>Player</v>
      </c>
      <c r="F227">
        <f t="shared" si="21"/>
        <v>0</v>
      </c>
      <c r="G227" t="str">
        <f t="shared" si="16"/>
        <v>q</v>
      </c>
      <c r="H227" t="str">
        <f>VLOOKUP(D227,name!A:C,3,1)</f>
        <v>assets/icons/image326.png</v>
      </c>
      <c r="I227" t="s">
        <v>463</v>
      </c>
    </row>
    <row r="228" spans="1:9" x14ac:dyDescent="0.15">
      <c r="A228">
        <f t="shared" si="18"/>
        <v>0</v>
      </c>
      <c r="B228">
        <f t="shared" si="19"/>
        <v>1</v>
      </c>
      <c r="C228">
        <f t="shared" si="14"/>
        <v>227</v>
      </c>
      <c r="D228">
        <v>0</v>
      </c>
      <c r="E228" t="str">
        <f>VLOOKUP(D228,name!A:B,2,1)</f>
        <v>Player</v>
      </c>
      <c r="F228">
        <f t="shared" si="21"/>
        <v>0</v>
      </c>
      <c r="G228" t="str">
        <f t="shared" si="16"/>
        <v>q</v>
      </c>
      <c r="H228" t="str">
        <f>VLOOKUP(D228,name!A:C,3,1)</f>
        <v>assets/icons/image326.png</v>
      </c>
      <c r="I228" t="e">
        <f>IF(A228="","",VLOOKUP(A228,lng!A:B,2,0))</f>
        <v>#N/A</v>
      </c>
    </row>
    <row r="229" spans="1:9" x14ac:dyDescent="0.15">
      <c r="A229">
        <f t="shared" si="18"/>
        <v>0</v>
      </c>
      <c r="B229">
        <f t="shared" si="19"/>
        <v>1</v>
      </c>
      <c r="C229">
        <f t="shared" si="14"/>
        <v>228</v>
      </c>
      <c r="D229">
        <f t="shared" si="20"/>
        <v>0</v>
      </c>
      <c r="E229" t="str">
        <f>VLOOKUP(D229,name!A:B,2,1)</f>
        <v>Player</v>
      </c>
      <c r="F229">
        <f t="shared" si="21"/>
        <v>0</v>
      </c>
      <c r="G229" t="str">
        <f t="shared" si="16"/>
        <v>q</v>
      </c>
      <c r="H229" t="str">
        <f>VLOOKUP(D229,name!A:C,3,1)</f>
        <v>assets/icons/image326.png</v>
      </c>
      <c r="I229" t="s">
        <v>463</v>
      </c>
    </row>
    <row r="230" spans="1:9" x14ac:dyDescent="0.15">
      <c r="A230">
        <f t="shared" si="18"/>
        <v>0</v>
      </c>
      <c r="B230">
        <f t="shared" si="19"/>
        <v>1</v>
      </c>
      <c r="C230">
        <f t="shared" si="14"/>
        <v>229</v>
      </c>
      <c r="D230">
        <v>0</v>
      </c>
      <c r="E230" t="str">
        <f>VLOOKUP(D230,name!A:B,2,1)</f>
        <v>Player</v>
      </c>
      <c r="F230">
        <f t="shared" si="21"/>
        <v>0</v>
      </c>
      <c r="G230" t="str">
        <f t="shared" si="16"/>
        <v>q</v>
      </c>
      <c r="H230" t="str">
        <f>VLOOKUP(D230,name!A:C,3,1)</f>
        <v>assets/icons/image326.png</v>
      </c>
      <c r="I230" t="e">
        <f>IF(A230="","",VLOOKUP(A230,lng!A:B,2,0))</f>
        <v>#N/A</v>
      </c>
    </row>
    <row r="231" spans="1:9" x14ac:dyDescent="0.15">
      <c r="A231">
        <f t="shared" si="18"/>
        <v>0</v>
      </c>
      <c r="B231">
        <f t="shared" si="19"/>
        <v>1</v>
      </c>
      <c r="C231">
        <f t="shared" si="14"/>
        <v>230</v>
      </c>
      <c r="D231">
        <f t="shared" si="20"/>
        <v>0</v>
      </c>
      <c r="E231" t="str">
        <f>VLOOKUP(D231,name!A:B,2,1)</f>
        <v>Player</v>
      </c>
      <c r="F231">
        <f t="shared" si="21"/>
        <v>0</v>
      </c>
      <c r="G231" t="str">
        <f t="shared" si="16"/>
        <v>q</v>
      </c>
      <c r="H231" t="str">
        <f>VLOOKUP(D231,name!A:C,3,1)</f>
        <v>assets/icons/image326.png</v>
      </c>
      <c r="I231" t="s">
        <v>463</v>
      </c>
    </row>
    <row r="232" spans="1:9" x14ac:dyDescent="0.15">
      <c r="A232">
        <f t="shared" si="18"/>
        <v>0</v>
      </c>
      <c r="B232">
        <f t="shared" si="19"/>
        <v>1</v>
      </c>
      <c r="C232">
        <f t="shared" si="14"/>
        <v>231</v>
      </c>
      <c r="D232">
        <v>0</v>
      </c>
      <c r="E232" t="str">
        <f>VLOOKUP(D232,name!A:B,2,1)</f>
        <v>Player</v>
      </c>
      <c r="F232">
        <f t="shared" si="21"/>
        <v>0</v>
      </c>
      <c r="G232" t="str">
        <f t="shared" si="16"/>
        <v>q</v>
      </c>
      <c r="H232" t="str">
        <f>VLOOKUP(D232,name!A:C,3,1)</f>
        <v>assets/icons/image326.png</v>
      </c>
      <c r="I232" t="e">
        <f>IF(A232="","",VLOOKUP(A232,lng!A:B,2,0))</f>
        <v>#N/A</v>
      </c>
    </row>
    <row r="233" spans="1:9" x14ac:dyDescent="0.15">
      <c r="A233">
        <f t="shared" si="18"/>
        <v>0</v>
      </c>
      <c r="B233">
        <f t="shared" si="19"/>
        <v>1</v>
      </c>
      <c r="C233">
        <f t="shared" si="14"/>
        <v>232</v>
      </c>
      <c r="D233">
        <f t="shared" si="20"/>
        <v>0</v>
      </c>
      <c r="E233" t="str">
        <f>VLOOKUP(D233,name!A:B,2,1)</f>
        <v>Player</v>
      </c>
      <c r="F233">
        <f t="shared" si="21"/>
        <v>0</v>
      </c>
      <c r="G233" t="str">
        <f t="shared" si="16"/>
        <v>q</v>
      </c>
      <c r="H233" t="str">
        <f>VLOOKUP(D233,name!A:C,3,1)</f>
        <v>assets/icons/image326.png</v>
      </c>
      <c r="I233" t="s">
        <v>463</v>
      </c>
    </row>
    <row r="234" spans="1:9" x14ac:dyDescent="0.15">
      <c r="A234">
        <f t="shared" si="18"/>
        <v>0</v>
      </c>
      <c r="B234">
        <f t="shared" si="19"/>
        <v>1</v>
      </c>
      <c r="C234">
        <f t="shared" si="14"/>
        <v>233</v>
      </c>
      <c r="D234">
        <v>0</v>
      </c>
      <c r="E234" t="str">
        <f>VLOOKUP(D234,name!A:B,2,1)</f>
        <v>Player</v>
      </c>
      <c r="F234">
        <f t="shared" si="21"/>
        <v>0</v>
      </c>
      <c r="G234" t="str">
        <f t="shared" si="16"/>
        <v>q</v>
      </c>
      <c r="H234" t="str">
        <f>VLOOKUP(D234,name!A:C,3,1)</f>
        <v>assets/icons/image326.png</v>
      </c>
      <c r="I234" t="e">
        <f>IF(A234="","",VLOOKUP(A234,lng!A:B,2,0))</f>
        <v>#N/A</v>
      </c>
    </row>
    <row r="235" spans="1:9" x14ac:dyDescent="0.15">
      <c r="A235">
        <f t="shared" si="18"/>
        <v>0</v>
      </c>
      <c r="B235">
        <f t="shared" si="19"/>
        <v>1</v>
      </c>
      <c r="C235">
        <f t="shared" ref="C235:C287" si="22">C234+1</f>
        <v>234</v>
      </c>
      <c r="D235">
        <f t="shared" si="20"/>
        <v>0</v>
      </c>
      <c r="E235" t="str">
        <f>VLOOKUP(D235,name!A:B,2,1)</f>
        <v>Player</v>
      </c>
      <c r="F235">
        <f t="shared" si="21"/>
        <v>0</v>
      </c>
      <c r="G235" t="str">
        <f t="shared" si="16"/>
        <v>q</v>
      </c>
      <c r="H235" t="str">
        <f>VLOOKUP(D235,name!A:C,3,1)</f>
        <v>assets/icons/image326.png</v>
      </c>
      <c r="I235" t="s">
        <v>463</v>
      </c>
    </row>
    <row r="236" spans="1:9" x14ac:dyDescent="0.15">
      <c r="A236">
        <f t="shared" si="18"/>
        <v>0</v>
      </c>
      <c r="B236">
        <f t="shared" si="19"/>
        <v>1</v>
      </c>
      <c r="C236">
        <f t="shared" si="22"/>
        <v>235</v>
      </c>
      <c r="D236">
        <v>0</v>
      </c>
      <c r="E236" t="str">
        <f>VLOOKUP(D236,name!A:B,2,1)</f>
        <v>Player</v>
      </c>
      <c r="F236">
        <f t="shared" si="21"/>
        <v>0</v>
      </c>
      <c r="G236" t="str">
        <f t="shared" si="16"/>
        <v>q</v>
      </c>
      <c r="H236" t="str">
        <f>VLOOKUP(D236,name!A:C,3,1)</f>
        <v>assets/icons/image326.png</v>
      </c>
      <c r="I236" t="e">
        <f>IF(A236="","",VLOOKUP(A236,lng!A:B,2,0))</f>
        <v>#N/A</v>
      </c>
    </row>
    <row r="237" spans="1:9" x14ac:dyDescent="0.15">
      <c r="A237">
        <f t="shared" si="18"/>
        <v>0</v>
      </c>
      <c r="B237">
        <f t="shared" si="19"/>
        <v>1</v>
      </c>
      <c r="C237">
        <f t="shared" si="22"/>
        <v>236</v>
      </c>
      <c r="D237">
        <f t="shared" si="20"/>
        <v>0</v>
      </c>
      <c r="E237" t="str">
        <f>VLOOKUP(D237,name!A:B,2,1)</f>
        <v>Player</v>
      </c>
      <c r="F237">
        <f t="shared" si="21"/>
        <v>0</v>
      </c>
      <c r="G237" t="str">
        <f t="shared" si="16"/>
        <v>q</v>
      </c>
      <c r="H237" t="str">
        <f>VLOOKUP(D237,name!A:C,3,1)</f>
        <v>assets/icons/image326.png</v>
      </c>
      <c r="I237" t="s">
        <v>463</v>
      </c>
    </row>
    <row r="238" spans="1:9" x14ac:dyDescent="0.15">
      <c r="A238">
        <f t="shared" ref="A238:A269" si="23">A237</f>
        <v>0</v>
      </c>
      <c r="B238">
        <f t="shared" ref="B238:B269" si="24">B237</f>
        <v>1</v>
      </c>
      <c r="C238">
        <f t="shared" si="22"/>
        <v>237</v>
      </c>
      <c r="D238">
        <v>0</v>
      </c>
      <c r="E238" t="str">
        <f>VLOOKUP(D238,name!A:B,2,1)</f>
        <v>Player</v>
      </c>
      <c r="F238">
        <f t="shared" si="21"/>
        <v>0</v>
      </c>
      <c r="G238" t="str">
        <f t="shared" si="16"/>
        <v>q</v>
      </c>
      <c r="H238" t="str">
        <f>VLOOKUP(D238,name!A:C,3,1)</f>
        <v>assets/icons/image326.png</v>
      </c>
      <c r="I238" t="e">
        <f>IF(A238="","",VLOOKUP(A238,lng!A:B,2,0))</f>
        <v>#N/A</v>
      </c>
    </row>
    <row r="239" spans="1:9" x14ac:dyDescent="0.15">
      <c r="A239">
        <f t="shared" si="23"/>
        <v>0</v>
      </c>
      <c r="B239">
        <f t="shared" si="24"/>
        <v>1</v>
      </c>
      <c r="C239">
        <f t="shared" si="22"/>
        <v>238</v>
      </c>
      <c r="D239">
        <f t="shared" si="20"/>
        <v>0</v>
      </c>
      <c r="E239" t="str">
        <f>VLOOKUP(D239,name!A:B,2,1)</f>
        <v>Player</v>
      </c>
      <c r="F239">
        <f t="shared" si="21"/>
        <v>0</v>
      </c>
      <c r="G239" t="str">
        <f t="shared" si="16"/>
        <v>q</v>
      </c>
      <c r="H239" t="str">
        <f>VLOOKUP(D239,name!A:C,3,1)</f>
        <v>assets/icons/image326.png</v>
      </c>
      <c r="I239" t="s">
        <v>463</v>
      </c>
    </row>
    <row r="240" spans="1:9" x14ac:dyDescent="0.15">
      <c r="A240">
        <f t="shared" si="23"/>
        <v>0</v>
      </c>
      <c r="B240">
        <f t="shared" si="24"/>
        <v>1</v>
      </c>
      <c r="C240">
        <f t="shared" si="22"/>
        <v>239</v>
      </c>
      <c r="D240">
        <v>0</v>
      </c>
      <c r="E240" t="str">
        <f>VLOOKUP(D240,name!A:B,2,1)</f>
        <v>Player</v>
      </c>
      <c r="F240">
        <f t="shared" si="21"/>
        <v>0</v>
      </c>
      <c r="G240" t="str">
        <f t="shared" si="16"/>
        <v>q</v>
      </c>
      <c r="H240" t="str">
        <f>VLOOKUP(D240,name!A:C,3,1)</f>
        <v>assets/icons/image326.png</v>
      </c>
      <c r="I240" t="e">
        <f>IF(A240="","",VLOOKUP(A240,lng!A:B,2,0))</f>
        <v>#N/A</v>
      </c>
    </row>
    <row r="241" spans="1:9" x14ac:dyDescent="0.15">
      <c r="A241">
        <f t="shared" si="23"/>
        <v>0</v>
      </c>
      <c r="B241">
        <f t="shared" si="24"/>
        <v>1</v>
      </c>
      <c r="C241">
        <f t="shared" si="22"/>
        <v>240</v>
      </c>
      <c r="D241">
        <f t="shared" si="20"/>
        <v>0</v>
      </c>
      <c r="E241" t="str">
        <f>VLOOKUP(D241,name!A:B,2,1)</f>
        <v>Player</v>
      </c>
      <c r="F241">
        <f t="shared" si="21"/>
        <v>0</v>
      </c>
      <c r="G241" t="str">
        <f t="shared" si="16"/>
        <v>q</v>
      </c>
      <c r="H241" t="str">
        <f>VLOOKUP(D241,name!A:C,3,1)</f>
        <v>assets/icons/image326.png</v>
      </c>
      <c r="I241" t="s">
        <v>463</v>
      </c>
    </row>
    <row r="242" spans="1:9" x14ac:dyDescent="0.15">
      <c r="A242">
        <f t="shared" si="23"/>
        <v>0</v>
      </c>
      <c r="B242">
        <f t="shared" si="24"/>
        <v>1</v>
      </c>
      <c r="C242">
        <f t="shared" si="22"/>
        <v>241</v>
      </c>
      <c r="D242">
        <v>0</v>
      </c>
      <c r="E242" t="str">
        <f>VLOOKUP(D242,name!A:B,2,1)</f>
        <v>Player</v>
      </c>
      <c r="F242">
        <f t="shared" si="21"/>
        <v>0</v>
      </c>
      <c r="G242" t="str">
        <f t="shared" si="16"/>
        <v>q</v>
      </c>
      <c r="H242" t="str">
        <f>VLOOKUP(D242,name!A:C,3,1)</f>
        <v>assets/icons/image326.png</v>
      </c>
      <c r="I242" t="e">
        <f>IF(A242="","",VLOOKUP(A242,lng!A:B,2,0))</f>
        <v>#N/A</v>
      </c>
    </row>
    <row r="243" spans="1:9" x14ac:dyDescent="0.15">
      <c r="A243">
        <f t="shared" si="23"/>
        <v>0</v>
      </c>
      <c r="B243">
        <f t="shared" si="24"/>
        <v>1</v>
      </c>
      <c r="C243">
        <f t="shared" si="22"/>
        <v>242</v>
      </c>
      <c r="D243">
        <f t="shared" si="20"/>
        <v>0</v>
      </c>
      <c r="E243" t="str">
        <f>VLOOKUP(D243,name!A:B,2,1)</f>
        <v>Player</v>
      </c>
      <c r="F243">
        <f t="shared" si="21"/>
        <v>0</v>
      </c>
      <c r="G243" t="str">
        <f t="shared" si="16"/>
        <v>q</v>
      </c>
      <c r="H243" t="str">
        <f>VLOOKUP(D243,name!A:C,3,1)</f>
        <v>assets/icons/image326.png</v>
      </c>
      <c r="I243" t="s">
        <v>463</v>
      </c>
    </row>
    <row r="244" spans="1:9" x14ac:dyDescent="0.15">
      <c r="A244">
        <f t="shared" si="23"/>
        <v>0</v>
      </c>
      <c r="B244">
        <f t="shared" si="24"/>
        <v>1</v>
      </c>
      <c r="C244">
        <f t="shared" si="22"/>
        <v>243</v>
      </c>
      <c r="D244">
        <v>0</v>
      </c>
      <c r="E244" t="str">
        <f>VLOOKUP(D244,name!A:B,2,1)</f>
        <v>Player</v>
      </c>
      <c r="F244">
        <f t="shared" si="21"/>
        <v>0</v>
      </c>
      <c r="G244" t="str">
        <f t="shared" si="16"/>
        <v>q</v>
      </c>
      <c r="H244" t="str">
        <f>VLOOKUP(D244,name!A:C,3,1)</f>
        <v>assets/icons/image326.png</v>
      </c>
      <c r="I244" t="e">
        <f>IF(A244="","",VLOOKUP(A244,lng!A:B,2,0))</f>
        <v>#N/A</v>
      </c>
    </row>
    <row r="245" spans="1:9" x14ac:dyDescent="0.15">
      <c r="A245">
        <f t="shared" si="23"/>
        <v>0</v>
      </c>
      <c r="B245">
        <f t="shared" si="24"/>
        <v>1</v>
      </c>
      <c r="C245">
        <f t="shared" si="22"/>
        <v>244</v>
      </c>
      <c r="D245">
        <f t="shared" si="20"/>
        <v>0</v>
      </c>
      <c r="E245" t="str">
        <f>VLOOKUP(D245,name!A:B,2,1)</f>
        <v>Player</v>
      </c>
      <c r="F245">
        <f t="shared" si="21"/>
        <v>0</v>
      </c>
      <c r="G245" t="str">
        <f t="shared" si="16"/>
        <v>q</v>
      </c>
      <c r="H245" t="str">
        <f>VLOOKUP(D245,name!A:C,3,1)</f>
        <v>assets/icons/image326.png</v>
      </c>
      <c r="I245" t="s">
        <v>463</v>
      </c>
    </row>
    <row r="246" spans="1:9" x14ac:dyDescent="0.15">
      <c r="A246">
        <f t="shared" si="23"/>
        <v>0</v>
      </c>
      <c r="B246">
        <f t="shared" si="24"/>
        <v>1</v>
      </c>
      <c r="C246">
        <f t="shared" si="22"/>
        <v>245</v>
      </c>
      <c r="D246">
        <v>0</v>
      </c>
      <c r="E246" t="str">
        <f>VLOOKUP(D246,name!A:B,2,1)</f>
        <v>Player</v>
      </c>
      <c r="F246">
        <f t="shared" si="21"/>
        <v>0</v>
      </c>
      <c r="G246" t="str">
        <f t="shared" si="16"/>
        <v>q</v>
      </c>
      <c r="H246" t="str">
        <f>VLOOKUP(D246,name!A:C,3,1)</f>
        <v>assets/icons/image326.png</v>
      </c>
      <c r="I246" t="e">
        <f>IF(A246="","",VLOOKUP(A246,lng!A:B,2,0))</f>
        <v>#N/A</v>
      </c>
    </row>
    <row r="247" spans="1:9" x14ac:dyDescent="0.15">
      <c r="A247">
        <f t="shared" si="23"/>
        <v>0</v>
      </c>
      <c r="B247">
        <f t="shared" si="24"/>
        <v>1</v>
      </c>
      <c r="C247">
        <f t="shared" si="22"/>
        <v>246</v>
      </c>
      <c r="D247">
        <f t="shared" si="20"/>
        <v>0</v>
      </c>
      <c r="E247" t="str">
        <f>VLOOKUP(D247,name!A:B,2,1)</f>
        <v>Player</v>
      </c>
      <c r="F247">
        <f t="shared" si="21"/>
        <v>0</v>
      </c>
      <c r="G247" t="str">
        <f t="shared" si="16"/>
        <v>q</v>
      </c>
      <c r="H247" t="str">
        <f>VLOOKUP(D247,name!A:C,3,1)</f>
        <v>assets/icons/image326.png</v>
      </c>
      <c r="I247" t="s">
        <v>463</v>
      </c>
    </row>
    <row r="248" spans="1:9" x14ac:dyDescent="0.15">
      <c r="A248">
        <f t="shared" si="23"/>
        <v>0</v>
      </c>
      <c r="B248">
        <f t="shared" si="24"/>
        <v>1</v>
      </c>
      <c r="C248">
        <f t="shared" si="22"/>
        <v>247</v>
      </c>
      <c r="D248">
        <v>0</v>
      </c>
      <c r="E248" t="str">
        <f>VLOOKUP(D248,name!A:B,2,1)</f>
        <v>Player</v>
      </c>
      <c r="F248">
        <f t="shared" si="21"/>
        <v>0</v>
      </c>
      <c r="G248" t="str">
        <f t="shared" si="16"/>
        <v>q</v>
      </c>
      <c r="H248" t="str">
        <f>VLOOKUP(D248,name!A:C,3,1)</f>
        <v>assets/icons/image326.png</v>
      </c>
      <c r="I248" t="e">
        <f>IF(A248="","",VLOOKUP(A248,lng!A:B,2,0))</f>
        <v>#N/A</v>
      </c>
    </row>
    <row r="249" spans="1:9" x14ac:dyDescent="0.15">
      <c r="A249">
        <f t="shared" si="23"/>
        <v>0</v>
      </c>
      <c r="B249">
        <f t="shared" si="24"/>
        <v>1</v>
      </c>
      <c r="C249">
        <f t="shared" si="22"/>
        <v>248</v>
      </c>
      <c r="D249">
        <f t="shared" si="20"/>
        <v>0</v>
      </c>
      <c r="E249" t="str">
        <f>VLOOKUP(D249,name!A:B,2,1)</f>
        <v>Player</v>
      </c>
      <c r="F249">
        <f t="shared" si="21"/>
        <v>0</v>
      </c>
      <c r="G249" t="str">
        <f t="shared" si="16"/>
        <v>q</v>
      </c>
      <c r="H249" t="str">
        <f>VLOOKUP(D249,name!A:C,3,1)</f>
        <v>assets/icons/image326.png</v>
      </c>
      <c r="I249" t="s">
        <v>463</v>
      </c>
    </row>
    <row r="250" spans="1:9" x14ac:dyDescent="0.15">
      <c r="A250">
        <f t="shared" si="23"/>
        <v>0</v>
      </c>
      <c r="B250">
        <f t="shared" si="24"/>
        <v>1</v>
      </c>
      <c r="C250">
        <f t="shared" si="22"/>
        <v>249</v>
      </c>
      <c r="D250">
        <v>0</v>
      </c>
      <c r="E250" t="str">
        <f>VLOOKUP(D250,name!A:B,2,1)</f>
        <v>Player</v>
      </c>
      <c r="F250">
        <f t="shared" si="21"/>
        <v>0</v>
      </c>
      <c r="G250" t="str">
        <f t="shared" si="16"/>
        <v>q</v>
      </c>
      <c r="H250" t="str">
        <f>VLOOKUP(D250,name!A:C,3,1)</f>
        <v>assets/icons/image326.png</v>
      </c>
      <c r="I250" t="e">
        <f>IF(A250="","",VLOOKUP(A250,lng!A:B,2,0))</f>
        <v>#N/A</v>
      </c>
    </row>
    <row r="251" spans="1:9" x14ac:dyDescent="0.15">
      <c r="A251">
        <f t="shared" si="23"/>
        <v>0</v>
      </c>
      <c r="B251">
        <f t="shared" si="24"/>
        <v>1</v>
      </c>
      <c r="C251">
        <f t="shared" si="22"/>
        <v>250</v>
      </c>
      <c r="D251">
        <f t="shared" si="20"/>
        <v>0</v>
      </c>
      <c r="E251" t="str">
        <f>VLOOKUP(D251,name!A:B,2,1)</f>
        <v>Player</v>
      </c>
      <c r="F251">
        <f t="shared" si="21"/>
        <v>0</v>
      </c>
      <c r="G251" t="str">
        <f t="shared" ref="G251:G286" si="25">IF(B251&lt;&gt;B252,"e",IF(D251=0,"q","a"))</f>
        <v>q</v>
      </c>
      <c r="H251" t="str">
        <f>VLOOKUP(D251,name!A:C,3,1)</f>
        <v>assets/icons/image326.png</v>
      </c>
      <c r="I251" t="s">
        <v>463</v>
      </c>
    </row>
    <row r="252" spans="1:9" x14ac:dyDescent="0.15">
      <c r="A252">
        <f t="shared" si="23"/>
        <v>0</v>
      </c>
      <c r="B252">
        <f t="shared" si="24"/>
        <v>1</v>
      </c>
      <c r="C252">
        <f t="shared" si="22"/>
        <v>251</v>
      </c>
      <c r="D252">
        <v>0</v>
      </c>
      <c r="E252" t="str">
        <f>VLOOKUP(D252,name!A:B,2,1)</f>
        <v>Player</v>
      </c>
      <c r="F252">
        <f t="shared" si="21"/>
        <v>0</v>
      </c>
      <c r="G252" t="str">
        <f t="shared" si="25"/>
        <v>q</v>
      </c>
      <c r="H252" t="str">
        <f>VLOOKUP(D252,name!A:C,3,1)</f>
        <v>assets/icons/image326.png</v>
      </c>
      <c r="I252" t="e">
        <f>IF(A252="","",VLOOKUP(A252,lng!A:B,2,0))</f>
        <v>#N/A</v>
      </c>
    </row>
    <row r="253" spans="1:9" x14ac:dyDescent="0.15">
      <c r="A253">
        <f t="shared" si="23"/>
        <v>0</v>
      </c>
      <c r="B253">
        <f t="shared" si="24"/>
        <v>1</v>
      </c>
      <c r="C253">
        <f t="shared" si="22"/>
        <v>252</v>
      </c>
      <c r="D253">
        <f t="shared" si="20"/>
        <v>0</v>
      </c>
      <c r="E253" t="str">
        <f>VLOOKUP(D253,name!A:B,2,1)</f>
        <v>Player</v>
      </c>
      <c r="F253">
        <f t="shared" si="21"/>
        <v>0</v>
      </c>
      <c r="G253" t="str">
        <f t="shared" si="25"/>
        <v>q</v>
      </c>
      <c r="H253" t="str">
        <f>VLOOKUP(D253,name!A:C,3,1)</f>
        <v>assets/icons/image326.png</v>
      </c>
      <c r="I253" t="s">
        <v>463</v>
      </c>
    </row>
    <row r="254" spans="1:9" x14ac:dyDescent="0.15">
      <c r="A254">
        <f t="shared" si="23"/>
        <v>0</v>
      </c>
      <c r="B254">
        <f t="shared" si="24"/>
        <v>1</v>
      </c>
      <c r="C254">
        <f t="shared" si="22"/>
        <v>253</v>
      </c>
      <c r="D254">
        <v>0</v>
      </c>
      <c r="E254" t="str">
        <f>VLOOKUP(D254,name!A:B,2,1)</f>
        <v>Player</v>
      </c>
      <c r="F254">
        <f t="shared" si="21"/>
        <v>0</v>
      </c>
      <c r="G254" t="str">
        <f t="shared" si="25"/>
        <v>q</v>
      </c>
      <c r="H254" t="str">
        <f>VLOOKUP(D254,name!A:C,3,1)</f>
        <v>assets/icons/image326.png</v>
      </c>
      <c r="I254" t="e">
        <f>IF(A254="","",VLOOKUP(A254,lng!A:B,2,0))</f>
        <v>#N/A</v>
      </c>
    </row>
    <row r="255" spans="1:9" x14ac:dyDescent="0.15">
      <c r="A255">
        <f t="shared" si="23"/>
        <v>0</v>
      </c>
      <c r="B255">
        <f t="shared" si="24"/>
        <v>1</v>
      </c>
      <c r="C255">
        <f t="shared" si="22"/>
        <v>254</v>
      </c>
      <c r="D255">
        <f t="shared" si="20"/>
        <v>0</v>
      </c>
      <c r="E255" t="str">
        <f>VLOOKUP(D255,name!A:B,2,1)</f>
        <v>Player</v>
      </c>
      <c r="F255">
        <f t="shared" si="21"/>
        <v>0</v>
      </c>
      <c r="G255" t="str">
        <f t="shared" si="25"/>
        <v>q</v>
      </c>
      <c r="H255" t="str">
        <f>VLOOKUP(D255,name!A:C,3,1)</f>
        <v>assets/icons/image326.png</v>
      </c>
      <c r="I255" t="s">
        <v>463</v>
      </c>
    </row>
    <row r="256" spans="1:9" x14ac:dyDescent="0.15">
      <c r="A256">
        <f t="shared" si="23"/>
        <v>0</v>
      </c>
      <c r="B256">
        <f t="shared" si="24"/>
        <v>1</v>
      </c>
      <c r="C256">
        <f t="shared" si="22"/>
        <v>255</v>
      </c>
      <c r="D256">
        <v>0</v>
      </c>
      <c r="E256" t="str">
        <f>VLOOKUP(D256,name!A:B,2,1)</f>
        <v>Player</v>
      </c>
      <c r="F256">
        <f t="shared" si="21"/>
        <v>0</v>
      </c>
      <c r="G256" t="str">
        <f t="shared" si="25"/>
        <v>q</v>
      </c>
      <c r="H256" t="str">
        <f>VLOOKUP(D256,name!A:C,3,1)</f>
        <v>assets/icons/image326.png</v>
      </c>
      <c r="I256" t="e">
        <f>IF(A256="","",VLOOKUP(A256,lng!A:B,2,0))</f>
        <v>#N/A</v>
      </c>
    </row>
    <row r="257" spans="1:9" x14ac:dyDescent="0.15">
      <c r="A257">
        <f t="shared" si="23"/>
        <v>0</v>
      </c>
      <c r="B257">
        <f t="shared" si="24"/>
        <v>1</v>
      </c>
      <c r="C257">
        <f t="shared" si="22"/>
        <v>256</v>
      </c>
      <c r="D257">
        <f t="shared" si="20"/>
        <v>0</v>
      </c>
      <c r="E257" t="str">
        <f>VLOOKUP(D257,name!A:B,2,1)</f>
        <v>Player</v>
      </c>
      <c r="F257">
        <f t="shared" si="21"/>
        <v>0</v>
      </c>
      <c r="G257" t="str">
        <f t="shared" si="25"/>
        <v>q</v>
      </c>
      <c r="H257" t="str">
        <f>VLOOKUP(D257,name!A:C,3,1)</f>
        <v>assets/icons/image326.png</v>
      </c>
      <c r="I257" t="s">
        <v>463</v>
      </c>
    </row>
    <row r="258" spans="1:9" x14ac:dyDescent="0.15">
      <c r="A258">
        <f t="shared" si="23"/>
        <v>0</v>
      </c>
      <c r="B258">
        <f t="shared" si="24"/>
        <v>1</v>
      </c>
      <c r="C258">
        <f t="shared" si="22"/>
        <v>257</v>
      </c>
      <c r="D258">
        <v>0</v>
      </c>
      <c r="E258" t="str">
        <f>VLOOKUP(D258,name!A:B,2,1)</f>
        <v>Player</v>
      </c>
      <c r="F258">
        <f t="shared" si="21"/>
        <v>0</v>
      </c>
      <c r="G258" t="str">
        <f t="shared" si="25"/>
        <v>q</v>
      </c>
      <c r="H258" t="str">
        <f>VLOOKUP(D258,name!A:C,3,1)</f>
        <v>assets/icons/image326.png</v>
      </c>
      <c r="I258" t="e">
        <f>IF(A258="","",VLOOKUP(A258,lng!A:B,2,0))</f>
        <v>#N/A</v>
      </c>
    </row>
    <row r="259" spans="1:9" x14ac:dyDescent="0.15">
      <c r="A259">
        <f t="shared" si="23"/>
        <v>0</v>
      </c>
      <c r="B259">
        <f t="shared" si="24"/>
        <v>1</v>
      </c>
      <c r="C259">
        <f t="shared" si="22"/>
        <v>258</v>
      </c>
      <c r="D259">
        <f t="shared" si="20"/>
        <v>0</v>
      </c>
      <c r="E259" t="str">
        <f>VLOOKUP(D259,name!A:B,2,1)</f>
        <v>Player</v>
      </c>
      <c r="F259">
        <f t="shared" si="21"/>
        <v>0</v>
      </c>
      <c r="G259" t="str">
        <f t="shared" si="25"/>
        <v>q</v>
      </c>
      <c r="H259" t="str">
        <f>VLOOKUP(D259,name!A:C,3,1)</f>
        <v>assets/icons/image326.png</v>
      </c>
      <c r="I259" t="s">
        <v>463</v>
      </c>
    </row>
    <row r="260" spans="1:9" x14ac:dyDescent="0.15">
      <c r="A260">
        <f t="shared" si="23"/>
        <v>0</v>
      </c>
      <c r="B260">
        <f t="shared" si="24"/>
        <v>1</v>
      </c>
      <c r="C260">
        <f t="shared" si="22"/>
        <v>259</v>
      </c>
      <c r="D260">
        <v>0</v>
      </c>
      <c r="E260" t="str">
        <f>VLOOKUP(D260,name!A:B,2,1)</f>
        <v>Player</v>
      </c>
      <c r="F260">
        <f t="shared" si="21"/>
        <v>0</v>
      </c>
      <c r="G260" t="str">
        <f t="shared" si="25"/>
        <v>q</v>
      </c>
      <c r="H260" t="str">
        <f>VLOOKUP(D260,name!A:C,3,1)</f>
        <v>assets/icons/image326.png</v>
      </c>
      <c r="I260" t="e">
        <f>IF(A260="","",VLOOKUP(A260,lng!A:B,2,0))</f>
        <v>#N/A</v>
      </c>
    </row>
    <row r="261" spans="1:9" x14ac:dyDescent="0.15">
      <c r="A261">
        <f t="shared" si="23"/>
        <v>0</v>
      </c>
      <c r="B261">
        <f t="shared" si="24"/>
        <v>1</v>
      </c>
      <c r="C261">
        <f t="shared" si="22"/>
        <v>260</v>
      </c>
      <c r="D261">
        <f t="shared" si="20"/>
        <v>0</v>
      </c>
      <c r="E261" t="str">
        <f>VLOOKUP(D261,name!A:B,2,1)</f>
        <v>Player</v>
      </c>
      <c r="F261">
        <f t="shared" si="21"/>
        <v>0</v>
      </c>
      <c r="G261" t="str">
        <f t="shared" si="25"/>
        <v>q</v>
      </c>
      <c r="H261" t="str">
        <f>VLOOKUP(D261,name!A:C,3,1)</f>
        <v>assets/icons/image326.png</v>
      </c>
      <c r="I261" t="s">
        <v>463</v>
      </c>
    </row>
    <row r="262" spans="1:9" x14ac:dyDescent="0.15">
      <c r="A262">
        <f t="shared" si="23"/>
        <v>0</v>
      </c>
      <c r="B262">
        <f t="shared" si="24"/>
        <v>1</v>
      </c>
      <c r="C262">
        <f t="shared" si="22"/>
        <v>261</v>
      </c>
      <c r="D262">
        <v>0</v>
      </c>
      <c r="E262" t="str">
        <f>VLOOKUP(D262,name!A:B,2,1)</f>
        <v>Player</v>
      </c>
      <c r="F262">
        <f t="shared" si="21"/>
        <v>0</v>
      </c>
      <c r="G262" t="str">
        <f t="shared" si="25"/>
        <v>q</v>
      </c>
      <c r="H262" t="str">
        <f>VLOOKUP(D262,name!A:C,3,1)</f>
        <v>assets/icons/image326.png</v>
      </c>
      <c r="I262" t="e">
        <f>IF(A262="","",VLOOKUP(A262,lng!A:B,2,0))</f>
        <v>#N/A</v>
      </c>
    </row>
    <row r="263" spans="1:9" x14ac:dyDescent="0.15">
      <c r="A263">
        <f t="shared" si="23"/>
        <v>0</v>
      </c>
      <c r="B263">
        <f t="shared" si="24"/>
        <v>1</v>
      </c>
      <c r="C263">
        <f t="shared" si="22"/>
        <v>262</v>
      </c>
      <c r="D263">
        <f t="shared" si="20"/>
        <v>0</v>
      </c>
      <c r="E263" t="str">
        <f>VLOOKUP(D263,name!A:B,2,1)</f>
        <v>Player</v>
      </c>
      <c r="F263">
        <f t="shared" si="21"/>
        <v>0</v>
      </c>
      <c r="G263" t="str">
        <f t="shared" si="25"/>
        <v>q</v>
      </c>
      <c r="H263" t="str">
        <f>VLOOKUP(D263,name!A:C,3,1)</f>
        <v>assets/icons/image326.png</v>
      </c>
      <c r="I263" t="s">
        <v>463</v>
      </c>
    </row>
    <row r="264" spans="1:9" x14ac:dyDescent="0.15">
      <c r="A264">
        <f t="shared" si="23"/>
        <v>0</v>
      </c>
      <c r="B264">
        <f t="shared" si="24"/>
        <v>1</v>
      </c>
      <c r="C264">
        <f t="shared" si="22"/>
        <v>263</v>
      </c>
      <c r="D264">
        <v>0</v>
      </c>
      <c r="E264" t="str">
        <f>VLOOKUP(D264,name!A:B,2,1)</f>
        <v>Player</v>
      </c>
      <c r="F264">
        <f t="shared" si="21"/>
        <v>0</v>
      </c>
      <c r="G264" t="str">
        <f t="shared" si="25"/>
        <v>q</v>
      </c>
      <c r="H264" t="str">
        <f>VLOOKUP(D264,name!A:C,3,1)</f>
        <v>assets/icons/image326.png</v>
      </c>
      <c r="I264" t="e">
        <f>IF(A264="","",VLOOKUP(A264,lng!A:B,2,0))</f>
        <v>#N/A</v>
      </c>
    </row>
    <row r="265" spans="1:9" x14ac:dyDescent="0.15">
      <c r="A265">
        <f t="shared" si="23"/>
        <v>0</v>
      </c>
      <c r="B265">
        <f t="shared" si="24"/>
        <v>1</v>
      </c>
      <c r="C265">
        <f t="shared" si="22"/>
        <v>264</v>
      </c>
      <c r="D265">
        <f t="shared" si="20"/>
        <v>0</v>
      </c>
      <c r="E265" t="str">
        <f>VLOOKUP(D265,name!A:B,2,1)</f>
        <v>Player</v>
      </c>
      <c r="F265">
        <f t="shared" si="21"/>
        <v>0</v>
      </c>
      <c r="G265" t="str">
        <f t="shared" si="25"/>
        <v>q</v>
      </c>
      <c r="H265" t="str">
        <f>VLOOKUP(D265,name!A:C,3,1)</f>
        <v>assets/icons/image326.png</v>
      </c>
      <c r="I265" t="s">
        <v>463</v>
      </c>
    </row>
    <row r="266" spans="1:9" x14ac:dyDescent="0.15">
      <c r="A266">
        <f t="shared" si="23"/>
        <v>0</v>
      </c>
      <c r="B266">
        <f t="shared" si="24"/>
        <v>1</v>
      </c>
      <c r="C266">
        <f t="shared" si="22"/>
        <v>265</v>
      </c>
      <c r="D266">
        <v>0</v>
      </c>
      <c r="E266" t="str">
        <f>VLOOKUP(D266,name!A:B,2,1)</f>
        <v>Player</v>
      </c>
      <c r="F266">
        <f t="shared" si="21"/>
        <v>0</v>
      </c>
      <c r="G266" t="str">
        <f t="shared" si="25"/>
        <v>q</v>
      </c>
      <c r="H266" t="str">
        <f>VLOOKUP(D266,name!A:C,3,1)</f>
        <v>assets/icons/image326.png</v>
      </c>
      <c r="I266" t="e">
        <f>IF(A266="","",VLOOKUP(A266,lng!A:B,2,0))</f>
        <v>#N/A</v>
      </c>
    </row>
    <row r="267" spans="1:9" x14ac:dyDescent="0.15">
      <c r="A267">
        <f t="shared" si="23"/>
        <v>0</v>
      </c>
      <c r="B267">
        <f t="shared" si="24"/>
        <v>1</v>
      </c>
      <c r="C267">
        <f t="shared" si="22"/>
        <v>266</v>
      </c>
      <c r="D267">
        <f t="shared" si="20"/>
        <v>0</v>
      </c>
      <c r="E267" t="str">
        <f>VLOOKUP(D267,name!A:B,2,1)</f>
        <v>Player</v>
      </c>
      <c r="F267">
        <f t="shared" si="21"/>
        <v>0</v>
      </c>
      <c r="G267" t="str">
        <f t="shared" si="25"/>
        <v>q</v>
      </c>
      <c r="H267" t="str">
        <f>VLOOKUP(D267,name!A:C,3,1)</f>
        <v>assets/icons/image326.png</v>
      </c>
      <c r="I267" t="s">
        <v>463</v>
      </c>
    </row>
    <row r="268" spans="1:9" x14ac:dyDescent="0.15">
      <c r="A268">
        <f t="shared" si="23"/>
        <v>0</v>
      </c>
      <c r="B268">
        <f t="shared" si="24"/>
        <v>1</v>
      </c>
      <c r="C268">
        <f t="shared" si="22"/>
        <v>267</v>
      </c>
      <c r="D268">
        <v>0</v>
      </c>
      <c r="E268" t="str">
        <f>VLOOKUP(D268,name!A:B,2,1)</f>
        <v>Player</v>
      </c>
      <c r="F268">
        <f t="shared" si="21"/>
        <v>0</v>
      </c>
      <c r="G268" t="str">
        <f t="shared" si="25"/>
        <v>q</v>
      </c>
      <c r="H268" t="str">
        <f>VLOOKUP(D268,name!A:C,3,1)</f>
        <v>assets/icons/image326.png</v>
      </c>
      <c r="I268" t="e">
        <f>IF(A268="","",VLOOKUP(A268,lng!A:B,2,0))</f>
        <v>#N/A</v>
      </c>
    </row>
    <row r="269" spans="1:9" x14ac:dyDescent="0.15">
      <c r="A269">
        <f t="shared" si="23"/>
        <v>0</v>
      </c>
      <c r="B269">
        <f t="shared" si="24"/>
        <v>1</v>
      </c>
      <c r="C269">
        <f t="shared" si="22"/>
        <v>268</v>
      </c>
      <c r="D269">
        <f t="shared" si="20"/>
        <v>0</v>
      </c>
      <c r="E269" t="str">
        <f>VLOOKUP(D269,name!A:B,2,1)</f>
        <v>Player</v>
      </c>
      <c r="F269">
        <f t="shared" si="21"/>
        <v>0</v>
      </c>
      <c r="G269" t="str">
        <f t="shared" si="25"/>
        <v>q</v>
      </c>
      <c r="H269" t="str">
        <f>VLOOKUP(D269,name!A:C,3,1)</f>
        <v>assets/icons/image326.png</v>
      </c>
      <c r="I269" t="s">
        <v>463</v>
      </c>
    </row>
    <row r="270" spans="1:9" x14ac:dyDescent="0.15">
      <c r="A270">
        <f t="shared" ref="A270:A287" si="26">A269</f>
        <v>0</v>
      </c>
      <c r="B270">
        <f t="shared" ref="B270:B287" si="27">B269</f>
        <v>1</v>
      </c>
      <c r="C270">
        <f t="shared" si="22"/>
        <v>269</v>
      </c>
      <c r="D270">
        <v>0</v>
      </c>
      <c r="E270" t="str">
        <f>VLOOKUP(D270,name!A:B,2,1)</f>
        <v>Player</v>
      </c>
      <c r="F270">
        <f t="shared" si="21"/>
        <v>0</v>
      </c>
      <c r="G270" t="str">
        <f t="shared" si="25"/>
        <v>q</v>
      </c>
      <c r="H270" t="str">
        <f>VLOOKUP(D270,name!A:C,3,1)</f>
        <v>assets/icons/image326.png</v>
      </c>
      <c r="I270" t="e">
        <f>IF(A270="","",VLOOKUP(A270,lng!A:B,2,0))</f>
        <v>#N/A</v>
      </c>
    </row>
    <row r="271" spans="1:9" x14ac:dyDescent="0.15">
      <c r="A271">
        <f t="shared" si="26"/>
        <v>0</v>
      </c>
      <c r="B271">
        <f t="shared" si="27"/>
        <v>1</v>
      </c>
      <c r="C271">
        <f t="shared" si="22"/>
        <v>270</v>
      </c>
      <c r="D271">
        <f t="shared" si="20"/>
        <v>0</v>
      </c>
      <c r="E271" t="str">
        <f>VLOOKUP(D271,name!A:B,2,1)</f>
        <v>Player</v>
      </c>
      <c r="F271">
        <f t="shared" si="21"/>
        <v>0</v>
      </c>
      <c r="G271" t="str">
        <f t="shared" si="25"/>
        <v>q</v>
      </c>
      <c r="H271" t="str">
        <f>VLOOKUP(D271,name!A:C,3,1)</f>
        <v>assets/icons/image326.png</v>
      </c>
      <c r="I271" t="s">
        <v>463</v>
      </c>
    </row>
    <row r="272" spans="1:9" x14ac:dyDescent="0.15">
      <c r="A272">
        <f t="shared" si="26"/>
        <v>0</v>
      </c>
      <c r="B272">
        <f t="shared" si="27"/>
        <v>1</v>
      </c>
      <c r="C272">
        <f t="shared" si="22"/>
        <v>271</v>
      </c>
      <c r="D272">
        <v>0</v>
      </c>
      <c r="E272" t="str">
        <f>VLOOKUP(D272,name!A:B,2,1)</f>
        <v>Player</v>
      </c>
      <c r="F272">
        <f t="shared" si="21"/>
        <v>0</v>
      </c>
      <c r="G272" t="str">
        <f t="shared" si="25"/>
        <v>q</v>
      </c>
      <c r="H272" t="str">
        <f>VLOOKUP(D272,name!A:C,3,1)</f>
        <v>assets/icons/image326.png</v>
      </c>
      <c r="I272" t="e">
        <f>IF(A272="","",VLOOKUP(A272,lng!A:B,2,0))</f>
        <v>#N/A</v>
      </c>
    </row>
    <row r="273" spans="1:9" x14ac:dyDescent="0.15">
      <c r="A273">
        <f t="shared" si="26"/>
        <v>0</v>
      </c>
      <c r="B273">
        <f t="shared" si="27"/>
        <v>1</v>
      </c>
      <c r="C273">
        <f t="shared" si="22"/>
        <v>272</v>
      </c>
      <c r="D273">
        <f t="shared" ref="D273:D285" si="28">D71</f>
        <v>0</v>
      </c>
      <c r="E273" t="str">
        <f>VLOOKUP(D273,name!A:B,2,1)</f>
        <v>Player</v>
      </c>
      <c r="F273">
        <f t="shared" ref="F273:F286" si="29">F71</f>
        <v>0</v>
      </c>
      <c r="G273" t="str">
        <f t="shared" si="25"/>
        <v>q</v>
      </c>
      <c r="H273" t="str">
        <f>VLOOKUP(D273,name!A:C,3,1)</f>
        <v>assets/icons/image326.png</v>
      </c>
      <c r="I273" t="s">
        <v>463</v>
      </c>
    </row>
    <row r="274" spans="1:9" x14ac:dyDescent="0.15">
      <c r="A274">
        <f t="shared" si="26"/>
        <v>0</v>
      </c>
      <c r="B274">
        <f t="shared" si="27"/>
        <v>1</v>
      </c>
      <c r="C274">
        <f t="shared" si="22"/>
        <v>273</v>
      </c>
      <c r="D274">
        <v>0</v>
      </c>
      <c r="E274" t="str">
        <f>VLOOKUP(D274,name!A:B,2,1)</f>
        <v>Player</v>
      </c>
      <c r="F274">
        <f t="shared" si="29"/>
        <v>0</v>
      </c>
      <c r="G274" t="str">
        <f t="shared" si="25"/>
        <v>q</v>
      </c>
      <c r="H274" t="str">
        <f>VLOOKUP(D274,name!A:C,3,1)</f>
        <v>assets/icons/image326.png</v>
      </c>
      <c r="I274" t="e">
        <f>IF(A274="","",VLOOKUP(A274,lng!A:B,2,0))</f>
        <v>#N/A</v>
      </c>
    </row>
    <row r="275" spans="1:9" x14ac:dyDescent="0.15">
      <c r="A275">
        <f t="shared" si="26"/>
        <v>0</v>
      </c>
      <c r="B275">
        <f t="shared" si="27"/>
        <v>1</v>
      </c>
      <c r="C275">
        <f t="shared" si="22"/>
        <v>274</v>
      </c>
      <c r="D275">
        <f t="shared" si="28"/>
        <v>0</v>
      </c>
      <c r="E275" t="str">
        <f>VLOOKUP(D275,name!A:B,2,1)</f>
        <v>Player</v>
      </c>
      <c r="F275">
        <f t="shared" si="29"/>
        <v>0</v>
      </c>
      <c r="G275" t="str">
        <f t="shared" si="25"/>
        <v>q</v>
      </c>
      <c r="H275" t="str">
        <f>VLOOKUP(D275,name!A:C,3,1)</f>
        <v>assets/icons/image326.png</v>
      </c>
      <c r="I275" t="s">
        <v>463</v>
      </c>
    </row>
    <row r="276" spans="1:9" x14ac:dyDescent="0.15">
      <c r="A276">
        <f t="shared" si="26"/>
        <v>0</v>
      </c>
      <c r="B276">
        <f t="shared" si="27"/>
        <v>1</v>
      </c>
      <c r="C276">
        <f t="shared" si="22"/>
        <v>275</v>
      </c>
      <c r="D276">
        <v>0</v>
      </c>
      <c r="E276" t="str">
        <f>VLOOKUP(D276,name!A:B,2,1)</f>
        <v>Player</v>
      </c>
      <c r="F276">
        <f t="shared" si="29"/>
        <v>0</v>
      </c>
      <c r="G276" t="str">
        <f t="shared" si="25"/>
        <v>q</v>
      </c>
      <c r="H276" t="str">
        <f>VLOOKUP(D276,name!A:C,3,1)</f>
        <v>assets/icons/image326.png</v>
      </c>
      <c r="I276" t="e">
        <f>IF(A276="","",VLOOKUP(A276,lng!A:B,2,0))</f>
        <v>#N/A</v>
      </c>
    </row>
    <row r="277" spans="1:9" x14ac:dyDescent="0.15">
      <c r="A277">
        <f t="shared" si="26"/>
        <v>0</v>
      </c>
      <c r="B277">
        <f t="shared" si="27"/>
        <v>1</v>
      </c>
      <c r="C277">
        <f t="shared" si="22"/>
        <v>276</v>
      </c>
      <c r="D277">
        <f t="shared" si="28"/>
        <v>0</v>
      </c>
      <c r="E277" t="str">
        <f>VLOOKUP(D277,name!A:B,2,1)</f>
        <v>Player</v>
      </c>
      <c r="F277">
        <f t="shared" si="29"/>
        <v>0</v>
      </c>
      <c r="G277" t="str">
        <f t="shared" si="25"/>
        <v>q</v>
      </c>
      <c r="H277" t="str">
        <f>VLOOKUP(D277,name!A:C,3,1)</f>
        <v>assets/icons/image326.png</v>
      </c>
      <c r="I277" t="s">
        <v>463</v>
      </c>
    </row>
    <row r="278" spans="1:9" x14ac:dyDescent="0.15">
      <c r="A278">
        <f t="shared" si="26"/>
        <v>0</v>
      </c>
      <c r="B278">
        <f t="shared" si="27"/>
        <v>1</v>
      </c>
      <c r="C278">
        <f t="shared" si="22"/>
        <v>277</v>
      </c>
      <c r="D278">
        <v>0</v>
      </c>
      <c r="E278" t="str">
        <f>VLOOKUP(D278,name!A:B,2,1)</f>
        <v>Player</v>
      </c>
      <c r="F278">
        <f t="shared" si="29"/>
        <v>0</v>
      </c>
      <c r="G278" t="str">
        <f t="shared" si="25"/>
        <v>q</v>
      </c>
      <c r="H278" t="str">
        <f>VLOOKUP(D278,name!A:C,3,1)</f>
        <v>assets/icons/image326.png</v>
      </c>
      <c r="I278" t="e">
        <f>IF(A278="","",VLOOKUP(A278,lng!A:B,2,0))</f>
        <v>#N/A</v>
      </c>
    </row>
    <row r="279" spans="1:9" x14ac:dyDescent="0.15">
      <c r="A279">
        <f t="shared" si="26"/>
        <v>0</v>
      </c>
      <c r="B279">
        <f t="shared" si="27"/>
        <v>1</v>
      </c>
      <c r="C279">
        <f t="shared" si="22"/>
        <v>278</v>
      </c>
      <c r="D279">
        <f t="shared" si="28"/>
        <v>0</v>
      </c>
      <c r="E279" t="str">
        <f>VLOOKUP(D279,name!A:B,2,1)</f>
        <v>Player</v>
      </c>
      <c r="F279">
        <f t="shared" si="29"/>
        <v>0</v>
      </c>
      <c r="G279" t="str">
        <f t="shared" si="25"/>
        <v>q</v>
      </c>
      <c r="H279" t="str">
        <f>VLOOKUP(D279,name!A:C,3,1)</f>
        <v>assets/icons/image326.png</v>
      </c>
      <c r="I279" t="s">
        <v>463</v>
      </c>
    </row>
    <row r="280" spans="1:9" x14ac:dyDescent="0.15">
      <c r="A280">
        <f t="shared" si="26"/>
        <v>0</v>
      </c>
      <c r="B280">
        <f t="shared" si="27"/>
        <v>1</v>
      </c>
      <c r="C280">
        <f t="shared" si="22"/>
        <v>279</v>
      </c>
      <c r="D280">
        <v>0</v>
      </c>
      <c r="E280" t="str">
        <f>VLOOKUP(D280,name!A:B,2,1)</f>
        <v>Player</v>
      </c>
      <c r="F280">
        <f t="shared" si="29"/>
        <v>0</v>
      </c>
      <c r="G280" t="str">
        <f t="shared" si="25"/>
        <v>q</v>
      </c>
      <c r="H280" t="str">
        <f>VLOOKUP(D280,name!A:C,3,1)</f>
        <v>assets/icons/image326.png</v>
      </c>
      <c r="I280" t="e">
        <f>IF(A280="","",VLOOKUP(A280,lng!A:B,2,0))</f>
        <v>#N/A</v>
      </c>
    </row>
    <row r="281" spans="1:9" x14ac:dyDescent="0.15">
      <c r="A281">
        <f t="shared" si="26"/>
        <v>0</v>
      </c>
      <c r="B281">
        <f t="shared" si="27"/>
        <v>1</v>
      </c>
      <c r="C281">
        <f t="shared" si="22"/>
        <v>280</v>
      </c>
      <c r="D281">
        <f t="shared" si="28"/>
        <v>0</v>
      </c>
      <c r="E281" t="str">
        <f>VLOOKUP(D281,name!A:B,2,1)</f>
        <v>Player</v>
      </c>
      <c r="F281">
        <f t="shared" si="29"/>
        <v>0</v>
      </c>
      <c r="G281" t="str">
        <f t="shared" si="25"/>
        <v>q</v>
      </c>
      <c r="H281" t="str">
        <f>VLOOKUP(D281,name!A:C,3,1)</f>
        <v>assets/icons/image326.png</v>
      </c>
      <c r="I281" t="s">
        <v>463</v>
      </c>
    </row>
    <row r="282" spans="1:9" x14ac:dyDescent="0.15">
      <c r="A282">
        <f t="shared" si="26"/>
        <v>0</v>
      </c>
      <c r="B282">
        <f t="shared" si="27"/>
        <v>1</v>
      </c>
      <c r="C282">
        <f t="shared" si="22"/>
        <v>281</v>
      </c>
      <c r="D282">
        <v>0</v>
      </c>
      <c r="E282" t="str">
        <f>VLOOKUP(D282,name!A:B,2,1)</f>
        <v>Player</v>
      </c>
      <c r="F282">
        <f t="shared" si="29"/>
        <v>0</v>
      </c>
      <c r="G282" t="str">
        <f t="shared" si="25"/>
        <v>q</v>
      </c>
      <c r="H282" t="str">
        <f>VLOOKUP(D282,name!A:C,3,1)</f>
        <v>assets/icons/image326.png</v>
      </c>
      <c r="I282" t="e">
        <f>IF(A282="","",VLOOKUP(A282,lng!A:B,2,0))</f>
        <v>#N/A</v>
      </c>
    </row>
    <row r="283" spans="1:9" x14ac:dyDescent="0.15">
      <c r="A283">
        <f t="shared" si="26"/>
        <v>0</v>
      </c>
      <c r="B283">
        <f t="shared" si="27"/>
        <v>1</v>
      </c>
      <c r="C283">
        <f t="shared" si="22"/>
        <v>282</v>
      </c>
      <c r="D283">
        <f t="shared" si="28"/>
        <v>0</v>
      </c>
      <c r="E283" t="str">
        <f>VLOOKUP(D283,name!A:B,2,1)</f>
        <v>Player</v>
      </c>
      <c r="F283">
        <f t="shared" si="29"/>
        <v>0</v>
      </c>
      <c r="G283" t="str">
        <f t="shared" si="25"/>
        <v>q</v>
      </c>
      <c r="H283" t="str">
        <f>VLOOKUP(D283,name!A:C,3,1)</f>
        <v>assets/icons/image326.png</v>
      </c>
      <c r="I283" t="s">
        <v>463</v>
      </c>
    </row>
    <row r="284" spans="1:9" x14ac:dyDescent="0.15">
      <c r="A284">
        <f t="shared" si="26"/>
        <v>0</v>
      </c>
      <c r="B284">
        <f t="shared" si="27"/>
        <v>1</v>
      </c>
      <c r="C284">
        <f t="shared" si="22"/>
        <v>283</v>
      </c>
      <c r="D284">
        <v>0</v>
      </c>
      <c r="E284" t="str">
        <f>VLOOKUP(D284,name!A:B,2,1)</f>
        <v>Player</v>
      </c>
      <c r="F284">
        <f t="shared" si="29"/>
        <v>0</v>
      </c>
      <c r="G284" t="str">
        <f t="shared" si="25"/>
        <v>q</v>
      </c>
      <c r="H284" t="str">
        <f>VLOOKUP(D284,name!A:C,3,1)</f>
        <v>assets/icons/image326.png</v>
      </c>
      <c r="I284" t="e">
        <f>IF(A284="","",VLOOKUP(A284,lng!A:B,2,0))</f>
        <v>#N/A</v>
      </c>
    </row>
    <row r="285" spans="1:9" x14ac:dyDescent="0.15">
      <c r="A285">
        <f t="shared" si="26"/>
        <v>0</v>
      </c>
      <c r="B285">
        <f t="shared" si="27"/>
        <v>1</v>
      </c>
      <c r="C285">
        <f t="shared" si="22"/>
        <v>284</v>
      </c>
      <c r="D285">
        <f t="shared" si="28"/>
        <v>0</v>
      </c>
      <c r="E285" t="str">
        <f>VLOOKUP(D285,name!A:B,2,1)</f>
        <v>Player</v>
      </c>
      <c r="F285">
        <f t="shared" si="29"/>
        <v>0</v>
      </c>
      <c r="G285" t="str">
        <f t="shared" si="25"/>
        <v>q</v>
      </c>
      <c r="H285" t="str">
        <f>VLOOKUP(D285,name!A:C,3,1)</f>
        <v>assets/icons/image326.png</v>
      </c>
      <c r="I285" t="s">
        <v>463</v>
      </c>
    </row>
    <row r="286" spans="1:9" x14ac:dyDescent="0.15">
      <c r="A286">
        <f t="shared" si="26"/>
        <v>0</v>
      </c>
      <c r="B286">
        <f t="shared" si="27"/>
        <v>1</v>
      </c>
      <c r="C286">
        <f t="shared" si="22"/>
        <v>285</v>
      </c>
      <c r="D286">
        <v>0</v>
      </c>
      <c r="E286" t="str">
        <f>VLOOKUP(D286,name!A:B,2,1)</f>
        <v>Player</v>
      </c>
      <c r="F286">
        <f t="shared" si="29"/>
        <v>0</v>
      </c>
      <c r="G286" t="str">
        <f t="shared" si="25"/>
        <v>q</v>
      </c>
      <c r="H286" t="str">
        <f>VLOOKUP(D286,name!A:C,3,1)</f>
        <v>assets/icons/image326.png</v>
      </c>
      <c r="I286" t="e">
        <f>IF(A286="","",VLOOKUP(A286,lng!A:B,2,0))</f>
        <v>#N/A</v>
      </c>
    </row>
    <row r="287" spans="1:9" x14ac:dyDescent="0.15">
      <c r="A287">
        <f t="shared" si="26"/>
        <v>0</v>
      </c>
      <c r="B287">
        <f t="shared" si="27"/>
        <v>1</v>
      </c>
      <c r="C287">
        <f t="shared" si="22"/>
        <v>286</v>
      </c>
      <c r="D287">
        <v>1</v>
      </c>
      <c r="E287" t="str">
        <f>VLOOKUP(D287,name!A:B,2,1)</f>
        <v>Navigator</v>
      </c>
      <c r="F287" t="str">
        <f>"とても良くできました。レッスン"&amp;B287&amp;"はこれで終了です。"</f>
        <v>とても良くできました。レッスン1はこれで終了です。</v>
      </c>
      <c r="G287" t="str">
        <f>IF(B287&lt;&gt;B288,"e",IF(D287=0,"q","a"))</f>
        <v>e</v>
      </c>
      <c r="H287" t="str">
        <f>VLOOKUP(D287,name!A:C,3,1)</f>
        <v>assets/icons/image014.png</v>
      </c>
      <c r="I287" t="s">
        <v>463</v>
      </c>
    </row>
  </sheetData>
  <sheetProtection algorithmName="SHA-512" hashValue="4Dq1VqZEjajIRXd2IhB0gbIQZ2RF5ugtsS2tFVXFD4HITwTIAk2qfRrmCeN5UomcCxTooUcPHdBFgtVWESD6fw==" saltValue="c/XTYuKGJBix64EAXq9mlA==" spinCount="100000" sheet="1" objects="1" scenarios="1"/>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290" operator="containsText" id="{0B57F934-680E-4B7B-9308-0DF3EB75A883}">
            <xm:f>NOT(ISERROR(SEARCH($G$84,G2)))</xm:f>
            <xm:f>$G$84</xm:f>
            <x14:dxf>
              <font>
                <color auto="1"/>
              </font>
              <fill>
                <patternFill>
                  <bgColor rgb="FFFFC000"/>
                </patternFill>
              </fill>
            </x14:dxf>
          </x14:cfRule>
          <xm:sqref>G2:G287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talk</vt:lpstr>
      <vt:lpstr>lng</vt:lpstr>
      <vt:lpstr>name</vt:lpstr>
      <vt:lpstr>img</vt:lpstr>
      <vt:lpstr>templete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角田真樹</dc:creator>
  <cp:lastModifiedBy>角田真樹</cp:lastModifiedBy>
  <dcterms:created xsi:type="dcterms:W3CDTF">2022-12-09T16:19:31Z</dcterms:created>
  <dcterms:modified xsi:type="dcterms:W3CDTF">2022-12-25T11:43:55Z</dcterms:modified>
</cp:coreProperties>
</file>