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真樹\Desktop\JohnDoes.github.io\assets\"/>
    </mc:Choice>
  </mc:AlternateContent>
  <bookViews>
    <workbookView xWindow="0" yWindow="0" windowWidth="11970" windowHeight="8985"/>
  </bookViews>
  <sheets>
    <sheet name="talk" sheetId="1" r:id="rId1"/>
    <sheet name="lng" sheetId="5" r:id="rId2"/>
    <sheet name="name" sheetId="2" r:id="rId3"/>
    <sheet name="img" sheetId="3" r:id="rId4"/>
    <sheet name="templete" sheetId="4" r:id="rId5"/>
    <sheet name="Sheet1" sheetId="6" r:id="rId6"/>
  </sheets>
  <functionGroups builtInGroupCount="18"/>
  <definedNames>
    <definedName name="_xlnm._FilterDatabase" localSheetId="0" hidden="1">talk!$A$1:$L$98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412" i="1" l="1"/>
  <c r="H412" i="1"/>
  <c r="G413" i="1"/>
  <c r="H413" i="1"/>
  <c r="G414" i="1"/>
  <c r="H414" i="1"/>
  <c r="G415" i="1"/>
  <c r="H415" i="1"/>
  <c r="G416" i="1"/>
  <c r="H416" i="1"/>
  <c r="G417" i="1"/>
  <c r="H417" i="1"/>
  <c r="G418" i="1"/>
  <c r="H418" i="1"/>
  <c r="G419" i="1"/>
  <c r="H419" i="1"/>
  <c r="G420" i="1"/>
  <c r="H420" i="1"/>
  <c r="G421" i="1"/>
  <c r="H421" i="1"/>
  <c r="G422" i="1"/>
  <c r="H422" i="1"/>
  <c r="G423" i="1"/>
  <c r="H423" i="1"/>
  <c r="G424" i="1"/>
  <c r="H424" i="1"/>
  <c r="G425" i="1"/>
  <c r="H425" i="1"/>
  <c r="G426" i="1"/>
  <c r="H426" i="1"/>
  <c r="G427" i="1"/>
  <c r="H427" i="1"/>
  <c r="G428" i="1"/>
  <c r="H428" i="1"/>
  <c r="G429" i="1"/>
  <c r="H429" i="1"/>
  <c r="G430" i="1"/>
  <c r="H430" i="1"/>
  <c r="G431" i="1"/>
  <c r="H431" i="1"/>
  <c r="G432" i="1"/>
  <c r="H432" i="1"/>
  <c r="G433" i="1"/>
  <c r="H433" i="1"/>
  <c r="G434" i="1"/>
  <c r="H434" i="1"/>
  <c r="G435" i="1"/>
  <c r="H435" i="1"/>
  <c r="G436" i="1"/>
  <c r="H436" i="1"/>
  <c r="G437" i="1"/>
  <c r="H437" i="1"/>
  <c r="G438" i="1"/>
  <c r="H438" i="1"/>
  <c r="G439" i="1"/>
  <c r="H439" i="1"/>
  <c r="G440" i="1"/>
  <c r="H440" i="1"/>
  <c r="G441" i="1"/>
  <c r="H441" i="1"/>
  <c r="G442" i="1"/>
  <c r="H442" i="1"/>
  <c r="G443" i="1"/>
  <c r="H443" i="1"/>
  <c r="G444" i="1"/>
  <c r="H444" i="1"/>
  <c r="G445" i="1"/>
  <c r="H445" i="1"/>
  <c r="G446" i="1"/>
  <c r="H446" i="1"/>
  <c r="G447" i="1"/>
  <c r="H447" i="1"/>
  <c r="G448" i="1"/>
  <c r="H448" i="1"/>
  <c r="G449" i="1"/>
  <c r="H449" i="1"/>
  <c r="G450" i="1"/>
  <c r="H450" i="1"/>
  <c r="G451" i="1"/>
  <c r="H451" i="1"/>
  <c r="G452" i="1"/>
  <c r="H452" i="1"/>
  <c r="G453" i="1"/>
  <c r="H453" i="1"/>
  <c r="G454" i="1"/>
  <c r="H454" i="1"/>
  <c r="G455" i="1"/>
  <c r="H455" i="1"/>
  <c r="G456" i="1"/>
  <c r="H456" i="1"/>
  <c r="G457" i="1"/>
  <c r="H457" i="1"/>
  <c r="G458" i="1"/>
  <c r="H458" i="1"/>
  <c r="G459" i="1"/>
  <c r="H459" i="1"/>
  <c r="G460" i="1"/>
  <c r="H460" i="1"/>
  <c r="G461" i="1"/>
  <c r="H461" i="1"/>
  <c r="G462" i="1"/>
  <c r="H462" i="1"/>
  <c r="G463" i="1"/>
  <c r="H463" i="1"/>
  <c r="G464" i="1"/>
  <c r="H464" i="1"/>
  <c r="G465" i="1"/>
  <c r="H465" i="1"/>
  <c r="G466" i="1"/>
  <c r="H466" i="1"/>
  <c r="G467" i="1"/>
  <c r="H467" i="1"/>
  <c r="G468" i="1"/>
  <c r="H468" i="1"/>
  <c r="G469" i="1"/>
  <c r="H469" i="1"/>
  <c r="G470" i="1"/>
  <c r="H470" i="1"/>
  <c r="G471" i="1"/>
  <c r="H471" i="1"/>
  <c r="G472" i="1"/>
  <c r="H472" i="1"/>
  <c r="G473" i="1"/>
  <c r="H473" i="1"/>
  <c r="G474" i="1"/>
  <c r="H474" i="1"/>
  <c r="G475" i="1"/>
  <c r="H475" i="1"/>
  <c r="G476" i="1"/>
  <c r="H476" i="1"/>
  <c r="G477" i="1"/>
  <c r="H477" i="1"/>
  <c r="G478" i="1"/>
  <c r="H478" i="1"/>
  <c r="G479" i="1"/>
  <c r="H479" i="1"/>
  <c r="G480" i="1"/>
  <c r="H480" i="1"/>
  <c r="G481" i="1"/>
  <c r="H481" i="1"/>
  <c r="G482" i="1"/>
  <c r="H482" i="1"/>
  <c r="G483" i="1"/>
  <c r="H483" i="1"/>
  <c r="G484" i="1"/>
  <c r="H484" i="1"/>
  <c r="G485" i="1"/>
  <c r="H485" i="1"/>
  <c r="G486" i="1"/>
  <c r="H486" i="1"/>
  <c r="G487" i="1"/>
  <c r="H487" i="1"/>
  <c r="G488" i="1"/>
  <c r="H488" i="1"/>
  <c r="G489" i="1"/>
  <c r="H489" i="1"/>
  <c r="G490" i="1"/>
  <c r="H490" i="1"/>
  <c r="G491" i="1"/>
  <c r="H491" i="1"/>
  <c r="G492" i="1"/>
  <c r="H492" i="1"/>
  <c r="G493" i="1"/>
  <c r="H493" i="1"/>
  <c r="G494" i="1"/>
  <c r="H494" i="1"/>
  <c r="G495" i="1"/>
  <c r="H495" i="1"/>
  <c r="G496" i="1"/>
  <c r="H496" i="1"/>
  <c r="G497" i="1"/>
  <c r="H497" i="1"/>
  <c r="G498" i="1"/>
  <c r="H498" i="1"/>
  <c r="G499" i="1"/>
  <c r="H499" i="1"/>
  <c r="G500" i="1"/>
  <c r="H500" i="1"/>
  <c r="A434" i="1"/>
  <c r="B434" i="1"/>
  <c r="C434" i="1"/>
  <c r="C435" i="1" s="1"/>
  <c r="C436" i="1" s="1"/>
  <c r="C437" i="1" s="1"/>
  <c r="C438" i="1" s="1"/>
  <c r="C439" i="1" s="1"/>
  <c r="C440" i="1" s="1"/>
  <c r="C441" i="1" s="1"/>
  <c r="C442" i="1" s="1"/>
  <c r="C443" i="1" s="1"/>
  <c r="C444" i="1" s="1"/>
  <c r="C445" i="1" s="1"/>
  <c r="C446" i="1" s="1"/>
  <c r="C447" i="1" s="1"/>
  <c r="C448" i="1" s="1"/>
  <c r="C449" i="1" s="1"/>
  <c r="C450" i="1" s="1"/>
  <c r="C451" i="1" s="1"/>
  <c r="C452" i="1" s="1"/>
  <c r="C453" i="1" s="1"/>
  <c r="C454" i="1" s="1"/>
  <c r="C455" i="1" s="1"/>
  <c r="C456" i="1" s="1"/>
  <c r="C457" i="1" s="1"/>
  <c r="C458" i="1" s="1"/>
  <c r="C459" i="1" s="1"/>
  <c r="C460" i="1" s="1"/>
  <c r="C461" i="1" s="1"/>
  <c r="C462" i="1" s="1"/>
  <c r="C463" i="1" s="1"/>
  <c r="C464" i="1" s="1"/>
  <c r="C465" i="1" s="1"/>
  <c r="C466" i="1" s="1"/>
  <c r="C467" i="1" s="1"/>
  <c r="C468" i="1" s="1"/>
  <c r="C469" i="1" s="1"/>
  <c r="C470" i="1" s="1"/>
  <c r="C471" i="1" s="1"/>
  <c r="C472" i="1" s="1"/>
  <c r="C473" i="1" s="1"/>
  <c r="C474" i="1" s="1"/>
  <c r="C475" i="1" s="1"/>
  <c r="C476" i="1" s="1"/>
  <c r="C477" i="1" s="1"/>
  <c r="C478" i="1" s="1"/>
  <c r="C479" i="1" s="1"/>
  <c r="C480" i="1" s="1"/>
  <c r="C481" i="1" s="1"/>
  <c r="C482" i="1" s="1"/>
  <c r="C483" i="1" s="1"/>
  <c r="C484" i="1" s="1"/>
  <c r="C485" i="1" s="1"/>
  <c r="C486" i="1" s="1"/>
  <c r="C487" i="1" s="1"/>
  <c r="C488" i="1" s="1"/>
  <c r="C489" i="1" s="1"/>
  <c r="C490" i="1" s="1"/>
  <c r="C491" i="1" s="1"/>
  <c r="C492" i="1" s="1"/>
  <c r="C493" i="1" s="1"/>
  <c r="C494" i="1" s="1"/>
  <c r="C495" i="1" s="1"/>
  <c r="C496" i="1" s="1"/>
  <c r="C497" i="1" s="1"/>
  <c r="C498" i="1" s="1"/>
  <c r="C499" i="1" s="1"/>
  <c r="C500" i="1" s="1"/>
  <c r="A435" i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B435" i="1"/>
  <c r="B436" i="1"/>
  <c r="B437" i="1" s="1"/>
  <c r="B438" i="1" s="1"/>
  <c r="B439" i="1" s="1"/>
  <c r="B440" i="1" s="1"/>
  <c r="B441" i="1" s="1"/>
  <c r="B442" i="1" s="1"/>
  <c r="B443" i="1" s="1"/>
  <c r="B444" i="1" s="1"/>
  <c r="B445" i="1" s="1"/>
  <c r="B446" i="1" s="1"/>
  <c r="B447" i="1" s="1"/>
  <c r="B448" i="1" s="1"/>
  <c r="B449" i="1" s="1"/>
  <c r="B450" i="1" s="1"/>
  <c r="B451" i="1" s="1"/>
  <c r="B452" i="1" s="1"/>
  <c r="B453" i="1" s="1"/>
  <c r="B454" i="1" s="1"/>
  <c r="B455" i="1" s="1"/>
  <c r="B456" i="1" s="1"/>
  <c r="B457" i="1" s="1"/>
  <c r="B458" i="1" s="1"/>
  <c r="B459" i="1" s="1"/>
  <c r="B460" i="1" s="1"/>
  <c r="B461" i="1" s="1"/>
  <c r="B462" i="1" s="1"/>
  <c r="B463" i="1" s="1"/>
  <c r="B464" i="1" s="1"/>
  <c r="B465" i="1" s="1"/>
  <c r="B466" i="1" s="1"/>
  <c r="B467" i="1" s="1"/>
  <c r="B468" i="1" s="1"/>
  <c r="B469" i="1" s="1"/>
  <c r="B470" i="1" s="1"/>
  <c r="B471" i="1" s="1"/>
  <c r="B472" i="1" s="1"/>
  <c r="B473" i="1" s="1"/>
  <c r="B474" i="1" s="1"/>
  <c r="B475" i="1" s="1"/>
  <c r="B476" i="1" s="1"/>
  <c r="B477" i="1" s="1"/>
  <c r="B478" i="1" s="1"/>
  <c r="B479" i="1" s="1"/>
  <c r="B480" i="1" s="1"/>
  <c r="B481" i="1" s="1"/>
  <c r="B482" i="1" s="1"/>
  <c r="B483" i="1" s="1"/>
  <c r="B484" i="1" s="1"/>
  <c r="B485" i="1" s="1"/>
  <c r="B486" i="1" s="1"/>
  <c r="B487" i="1" s="1"/>
  <c r="B488" i="1" s="1"/>
  <c r="B489" i="1" s="1"/>
  <c r="B490" i="1" s="1"/>
  <c r="B491" i="1" s="1"/>
  <c r="B492" i="1" s="1"/>
  <c r="B493" i="1" s="1"/>
  <c r="B494" i="1" s="1"/>
  <c r="B495" i="1" s="1"/>
  <c r="B496" i="1" s="1"/>
  <c r="B497" i="1" s="1"/>
  <c r="B498" i="1" s="1"/>
  <c r="B499" i="1" s="1"/>
  <c r="B500" i="1" s="1"/>
  <c r="E500" i="1"/>
  <c r="E499" i="1"/>
  <c r="E497" i="1"/>
  <c r="E495" i="1"/>
  <c r="E493" i="1"/>
  <c r="E491" i="1"/>
  <c r="E489" i="1"/>
  <c r="E487" i="1"/>
  <c r="E485" i="1"/>
  <c r="E483" i="1"/>
  <c r="E481" i="1"/>
  <c r="E479" i="1"/>
  <c r="E477" i="1"/>
  <c r="E475" i="1"/>
  <c r="E474" i="1"/>
  <c r="E471" i="1"/>
  <c r="E468" i="1"/>
  <c r="E465" i="1"/>
  <c r="E462" i="1"/>
  <c r="E459" i="1"/>
  <c r="E456" i="1"/>
  <c r="E453" i="1"/>
  <c r="E450" i="1"/>
  <c r="E447" i="1"/>
  <c r="E444" i="1"/>
  <c r="E441" i="1"/>
  <c r="E438" i="1"/>
  <c r="E413" i="1"/>
  <c r="E412" i="1"/>
  <c r="C412" i="1"/>
  <c r="C413" i="1" s="1"/>
  <c r="C414" i="1" s="1"/>
  <c r="C415" i="1" s="1"/>
  <c r="C416" i="1" s="1"/>
  <c r="C417" i="1" s="1"/>
  <c r="C418" i="1" s="1"/>
  <c r="C419" i="1" s="1"/>
  <c r="C420" i="1" s="1"/>
  <c r="C421" i="1" s="1"/>
  <c r="C422" i="1" s="1"/>
  <c r="C423" i="1" s="1"/>
  <c r="C424" i="1" s="1"/>
  <c r="C425" i="1" s="1"/>
  <c r="C426" i="1" s="1"/>
  <c r="C427" i="1" s="1"/>
  <c r="C428" i="1" s="1"/>
  <c r="C429" i="1" s="1"/>
  <c r="C430" i="1" s="1"/>
  <c r="C431" i="1" s="1"/>
  <c r="C432" i="1" s="1"/>
  <c r="C433" i="1" s="1"/>
  <c r="H411" i="1"/>
  <c r="E411" i="1"/>
  <c r="H300" i="1"/>
  <c r="H301" i="1"/>
  <c r="H302" i="1"/>
  <c r="H304" i="1"/>
  <c r="H306" i="1"/>
  <c r="H308" i="1"/>
  <c r="H310" i="1"/>
  <c r="H312" i="1"/>
  <c r="H314" i="1"/>
  <c r="H316" i="1"/>
  <c r="H318" i="1"/>
  <c r="H320" i="1"/>
  <c r="H322" i="1"/>
  <c r="H324" i="1"/>
  <c r="H326" i="1"/>
  <c r="H328" i="1"/>
  <c r="H330" i="1"/>
  <c r="H332" i="1"/>
  <c r="H333" i="1"/>
  <c r="H336" i="1"/>
  <c r="H339" i="1"/>
  <c r="H342" i="1"/>
  <c r="H345" i="1"/>
  <c r="H348" i="1"/>
  <c r="H351" i="1"/>
  <c r="H354" i="1"/>
  <c r="H357" i="1"/>
  <c r="H360" i="1"/>
  <c r="H363" i="1"/>
  <c r="H366" i="1"/>
  <c r="H369" i="1"/>
  <c r="H372" i="1"/>
  <c r="H375" i="1"/>
  <c r="H378" i="1"/>
  <c r="H379" i="1"/>
  <c r="H381" i="1"/>
  <c r="H383" i="1"/>
  <c r="H385" i="1"/>
  <c r="H387" i="1"/>
  <c r="H389" i="1"/>
  <c r="H391" i="1"/>
  <c r="H393" i="1"/>
  <c r="H395" i="1"/>
  <c r="H397" i="1"/>
  <c r="H399" i="1"/>
  <c r="H401" i="1"/>
  <c r="H403" i="1"/>
  <c r="H405" i="1"/>
  <c r="H407" i="1"/>
  <c r="H409" i="1"/>
  <c r="H410" i="1"/>
  <c r="E333" i="1"/>
  <c r="F334" i="1"/>
  <c r="D335" i="1"/>
  <c r="E335" i="1" s="1"/>
  <c r="F335" i="1"/>
  <c r="E336" i="1"/>
  <c r="F336" i="1"/>
  <c r="F337" i="1"/>
  <c r="D338" i="1"/>
  <c r="H338" i="1" s="1"/>
  <c r="F338" i="1"/>
  <c r="E339" i="1"/>
  <c r="F339" i="1"/>
  <c r="F340" i="1"/>
  <c r="D341" i="1"/>
  <c r="H341" i="1" s="1"/>
  <c r="F341" i="1"/>
  <c r="E342" i="1"/>
  <c r="F342" i="1"/>
  <c r="F343" i="1"/>
  <c r="D344" i="1"/>
  <c r="E344" i="1" s="1"/>
  <c r="F344" i="1"/>
  <c r="E345" i="1"/>
  <c r="F345" i="1"/>
  <c r="F346" i="1"/>
  <c r="D347" i="1"/>
  <c r="E347" i="1" s="1"/>
  <c r="F347" i="1"/>
  <c r="E348" i="1"/>
  <c r="F348" i="1"/>
  <c r="F349" i="1"/>
  <c r="D350" i="1"/>
  <c r="E350" i="1" s="1"/>
  <c r="F350" i="1"/>
  <c r="E351" i="1"/>
  <c r="F351" i="1"/>
  <c r="F352" i="1"/>
  <c r="D353" i="1"/>
  <c r="E353" i="1" s="1"/>
  <c r="F353" i="1"/>
  <c r="E354" i="1"/>
  <c r="F354" i="1"/>
  <c r="F355" i="1"/>
  <c r="D356" i="1"/>
  <c r="H356" i="1" s="1"/>
  <c r="F356" i="1"/>
  <c r="E357" i="1"/>
  <c r="F357" i="1"/>
  <c r="F358" i="1"/>
  <c r="D359" i="1"/>
  <c r="E359" i="1" s="1"/>
  <c r="F359" i="1"/>
  <c r="E360" i="1"/>
  <c r="F360" i="1"/>
  <c r="F361" i="1"/>
  <c r="D362" i="1"/>
  <c r="E362" i="1" s="1"/>
  <c r="F362" i="1"/>
  <c r="E363" i="1"/>
  <c r="F363" i="1"/>
  <c r="F364" i="1"/>
  <c r="D365" i="1"/>
  <c r="E365" i="1" s="1"/>
  <c r="F365" i="1"/>
  <c r="E366" i="1"/>
  <c r="F366" i="1"/>
  <c r="F367" i="1"/>
  <c r="D368" i="1"/>
  <c r="E368" i="1" s="1"/>
  <c r="F368" i="1"/>
  <c r="E369" i="1"/>
  <c r="F369" i="1"/>
  <c r="F370" i="1"/>
  <c r="D371" i="1"/>
  <c r="E371" i="1" s="1"/>
  <c r="F371" i="1"/>
  <c r="E372" i="1"/>
  <c r="F372" i="1"/>
  <c r="F373" i="1"/>
  <c r="D374" i="1"/>
  <c r="E374" i="1" s="1"/>
  <c r="F374" i="1"/>
  <c r="E375" i="1"/>
  <c r="F375" i="1"/>
  <c r="F376" i="1"/>
  <c r="D377" i="1"/>
  <c r="E377" i="1" s="1"/>
  <c r="F377" i="1"/>
  <c r="E378" i="1"/>
  <c r="F378" i="1"/>
  <c r="D307" i="1"/>
  <c r="D340" i="1" s="1"/>
  <c r="H340" i="1" s="1"/>
  <c r="F298" i="1"/>
  <c r="E410" i="1"/>
  <c r="E409" i="1"/>
  <c r="E407" i="1"/>
  <c r="E405" i="1"/>
  <c r="E403" i="1"/>
  <c r="E401" i="1"/>
  <c r="E399" i="1"/>
  <c r="E397" i="1"/>
  <c r="E395" i="1"/>
  <c r="E393" i="1"/>
  <c r="E391" i="1"/>
  <c r="E389" i="1"/>
  <c r="E387" i="1"/>
  <c r="E385" i="1"/>
  <c r="E383" i="1"/>
  <c r="E381" i="1"/>
  <c r="E379" i="1"/>
  <c r="E302" i="1"/>
  <c r="E301" i="1"/>
  <c r="C301" i="1"/>
  <c r="C302" i="1" s="1"/>
  <c r="C303" i="1" s="1"/>
  <c r="C304" i="1" s="1"/>
  <c r="C305" i="1" s="1"/>
  <c r="C306" i="1" s="1"/>
  <c r="C307" i="1" s="1"/>
  <c r="C308" i="1" s="1"/>
  <c r="C309" i="1" s="1"/>
  <c r="C310" i="1" s="1"/>
  <c r="C311" i="1" s="1"/>
  <c r="C312" i="1" s="1"/>
  <c r="C313" i="1" s="1"/>
  <c r="C314" i="1" s="1"/>
  <c r="C315" i="1" s="1"/>
  <c r="C316" i="1" s="1"/>
  <c r="C317" i="1" s="1"/>
  <c r="C318" i="1" s="1"/>
  <c r="C319" i="1" s="1"/>
  <c r="C320" i="1" s="1"/>
  <c r="C321" i="1" s="1"/>
  <c r="C322" i="1" s="1"/>
  <c r="C323" i="1" s="1"/>
  <c r="C324" i="1" s="1"/>
  <c r="C325" i="1" s="1"/>
  <c r="C326" i="1" s="1"/>
  <c r="C327" i="1" s="1"/>
  <c r="C328" i="1" s="1"/>
  <c r="C329" i="1" s="1"/>
  <c r="C330" i="1" s="1"/>
  <c r="C331" i="1" s="1"/>
  <c r="C332" i="1" s="1"/>
  <c r="C333" i="1" s="1"/>
  <c r="C334" i="1" s="1"/>
  <c r="C335" i="1" s="1"/>
  <c r="C336" i="1" s="1"/>
  <c r="C337" i="1" s="1"/>
  <c r="C338" i="1" s="1"/>
  <c r="C339" i="1" s="1"/>
  <c r="C340" i="1" s="1"/>
  <c r="C341" i="1" s="1"/>
  <c r="C342" i="1" s="1"/>
  <c r="C343" i="1" s="1"/>
  <c r="C344" i="1" s="1"/>
  <c r="C345" i="1" s="1"/>
  <c r="C346" i="1" s="1"/>
  <c r="C347" i="1" s="1"/>
  <c r="C348" i="1" s="1"/>
  <c r="C349" i="1" s="1"/>
  <c r="C350" i="1" s="1"/>
  <c r="C351" i="1" s="1"/>
  <c r="C352" i="1" s="1"/>
  <c r="C353" i="1" s="1"/>
  <c r="C354" i="1" s="1"/>
  <c r="C355" i="1" s="1"/>
  <c r="C356" i="1" s="1"/>
  <c r="C357" i="1" s="1"/>
  <c r="C358" i="1" s="1"/>
  <c r="C359" i="1" s="1"/>
  <c r="C360" i="1" s="1"/>
  <c r="C361" i="1" s="1"/>
  <c r="C362" i="1" s="1"/>
  <c r="C363" i="1" s="1"/>
  <c r="C364" i="1" s="1"/>
  <c r="C365" i="1" s="1"/>
  <c r="C366" i="1" s="1"/>
  <c r="C367" i="1" s="1"/>
  <c r="C368" i="1" s="1"/>
  <c r="C369" i="1" s="1"/>
  <c r="C370" i="1" s="1"/>
  <c r="C371" i="1" s="1"/>
  <c r="C372" i="1" s="1"/>
  <c r="C373" i="1" s="1"/>
  <c r="C374" i="1" s="1"/>
  <c r="C375" i="1" s="1"/>
  <c r="C376" i="1" s="1"/>
  <c r="C377" i="1" s="1"/>
  <c r="C378" i="1" s="1"/>
  <c r="C379" i="1" s="1"/>
  <c r="C380" i="1" s="1"/>
  <c r="C381" i="1" s="1"/>
  <c r="C382" i="1" s="1"/>
  <c r="C383" i="1" s="1"/>
  <c r="C384" i="1" s="1"/>
  <c r="C385" i="1" s="1"/>
  <c r="C386" i="1" s="1"/>
  <c r="C387" i="1" s="1"/>
  <c r="C388" i="1" s="1"/>
  <c r="C389" i="1" s="1"/>
  <c r="C390" i="1" s="1"/>
  <c r="C391" i="1" s="1"/>
  <c r="C392" i="1" s="1"/>
  <c r="C393" i="1" s="1"/>
  <c r="C394" i="1" s="1"/>
  <c r="C395" i="1" s="1"/>
  <c r="C396" i="1" s="1"/>
  <c r="C397" i="1" s="1"/>
  <c r="C398" i="1" s="1"/>
  <c r="C399" i="1" s="1"/>
  <c r="C400" i="1" s="1"/>
  <c r="C401" i="1" s="1"/>
  <c r="C402" i="1" s="1"/>
  <c r="C403" i="1" s="1"/>
  <c r="C404" i="1" s="1"/>
  <c r="C405" i="1" s="1"/>
  <c r="C406" i="1" s="1"/>
  <c r="C407" i="1" s="1"/>
  <c r="C408" i="1" s="1"/>
  <c r="C409" i="1" s="1"/>
  <c r="C410" i="1" s="1"/>
  <c r="E300" i="1"/>
  <c r="H377" i="1" l="1"/>
  <c r="H371" i="1"/>
  <c r="H365" i="1"/>
  <c r="H359" i="1"/>
  <c r="H353" i="1"/>
  <c r="H347" i="1"/>
  <c r="H335" i="1"/>
  <c r="H307" i="1"/>
  <c r="H374" i="1"/>
  <c r="H368" i="1"/>
  <c r="H362" i="1"/>
  <c r="H350" i="1"/>
  <c r="H344" i="1"/>
  <c r="E356" i="1"/>
  <c r="E338" i="1"/>
  <c r="E340" i="1"/>
  <c r="E341" i="1"/>
  <c r="H195" i="1"/>
  <c r="H197" i="1"/>
  <c r="H199" i="1"/>
  <c r="H201" i="1"/>
  <c r="H202" i="1"/>
  <c r="H203" i="1"/>
  <c r="H204" i="1"/>
  <c r="H205" i="1"/>
  <c r="H207" i="1"/>
  <c r="H209" i="1"/>
  <c r="H211" i="1"/>
  <c r="H213" i="1"/>
  <c r="H215" i="1"/>
  <c r="H216" i="1"/>
  <c r="H217" i="1"/>
  <c r="H219" i="1"/>
  <c r="H223" i="1"/>
  <c r="H225" i="1"/>
  <c r="H227" i="1"/>
  <c r="H231" i="1"/>
  <c r="H232" i="1"/>
  <c r="H235" i="1"/>
  <c r="H238" i="1"/>
  <c r="H241" i="1"/>
  <c r="H244" i="1"/>
  <c r="H247" i="1"/>
  <c r="H250" i="1"/>
  <c r="H253" i="1"/>
  <c r="H256" i="1"/>
  <c r="H259" i="1"/>
  <c r="H262" i="1"/>
  <c r="H265" i="1"/>
  <c r="H268" i="1"/>
  <c r="H271" i="1"/>
  <c r="H272" i="1"/>
  <c r="H274" i="1"/>
  <c r="H276" i="1"/>
  <c r="H278" i="1"/>
  <c r="H280" i="1"/>
  <c r="H282" i="1"/>
  <c r="H284" i="1"/>
  <c r="H286" i="1"/>
  <c r="H288" i="1"/>
  <c r="H290" i="1"/>
  <c r="H292" i="1"/>
  <c r="H294" i="1"/>
  <c r="H296" i="1"/>
  <c r="H298" i="1"/>
  <c r="H299" i="1"/>
  <c r="E299" i="1"/>
  <c r="E298" i="1"/>
  <c r="E296" i="1"/>
  <c r="E294" i="1"/>
  <c r="E292" i="1"/>
  <c r="E290" i="1"/>
  <c r="E288" i="1"/>
  <c r="E286" i="1"/>
  <c r="E284" i="1"/>
  <c r="E282" i="1"/>
  <c r="E280" i="1"/>
  <c r="E278" i="1"/>
  <c r="E276" i="1"/>
  <c r="E274" i="1"/>
  <c r="E272" i="1"/>
  <c r="E271" i="1"/>
  <c r="E268" i="1"/>
  <c r="E265" i="1"/>
  <c r="E262" i="1"/>
  <c r="E259" i="1"/>
  <c r="E256" i="1"/>
  <c r="E253" i="1"/>
  <c r="E250" i="1"/>
  <c r="E247" i="1"/>
  <c r="E244" i="1"/>
  <c r="E241" i="1"/>
  <c r="E238" i="1"/>
  <c r="E235" i="1"/>
  <c r="E232" i="1"/>
  <c r="E205" i="1"/>
  <c r="E204" i="1"/>
  <c r="C204" i="1"/>
  <c r="C205" i="1" s="1"/>
  <c r="C206" i="1" s="1"/>
  <c r="C207" i="1" s="1"/>
  <c r="C208" i="1" s="1"/>
  <c r="C209" i="1" s="1"/>
  <c r="C210" i="1" s="1"/>
  <c r="C211" i="1" s="1"/>
  <c r="C212" i="1" s="1"/>
  <c r="C213" i="1" s="1"/>
  <c r="C214" i="1" s="1"/>
  <c r="C215" i="1" s="1"/>
  <c r="C216" i="1" s="1"/>
  <c r="C217" i="1" s="1"/>
  <c r="C218" i="1" s="1"/>
  <c r="C219" i="1" s="1"/>
  <c r="C220" i="1" s="1"/>
  <c r="C221" i="1" s="1"/>
  <c r="C222" i="1" s="1"/>
  <c r="C223" i="1" s="1"/>
  <c r="C224" i="1" s="1"/>
  <c r="C225" i="1" s="1"/>
  <c r="C226" i="1" s="1"/>
  <c r="C227" i="1" s="1"/>
  <c r="C228" i="1" s="1"/>
  <c r="C229" i="1" s="1"/>
  <c r="C230" i="1" s="1"/>
  <c r="C231" i="1" s="1"/>
  <c r="C232" i="1" s="1"/>
  <c r="C233" i="1" s="1"/>
  <c r="C234" i="1" s="1"/>
  <c r="C235" i="1" s="1"/>
  <c r="C236" i="1" s="1"/>
  <c r="C237" i="1" s="1"/>
  <c r="C238" i="1" s="1"/>
  <c r="C239" i="1" s="1"/>
  <c r="C240" i="1" s="1"/>
  <c r="C241" i="1" s="1"/>
  <c r="C242" i="1" s="1"/>
  <c r="C243" i="1" s="1"/>
  <c r="C244" i="1" s="1"/>
  <c r="C245" i="1" s="1"/>
  <c r="C246" i="1" s="1"/>
  <c r="C247" i="1" s="1"/>
  <c r="C248" i="1" s="1"/>
  <c r="C249" i="1" s="1"/>
  <c r="C250" i="1" s="1"/>
  <c r="C251" i="1" s="1"/>
  <c r="C252" i="1" s="1"/>
  <c r="C253" i="1" s="1"/>
  <c r="C254" i="1" s="1"/>
  <c r="C255" i="1" s="1"/>
  <c r="C256" i="1" s="1"/>
  <c r="C257" i="1" s="1"/>
  <c r="C258" i="1" s="1"/>
  <c r="C259" i="1" s="1"/>
  <c r="C260" i="1" s="1"/>
  <c r="C261" i="1" s="1"/>
  <c r="C262" i="1" s="1"/>
  <c r="C263" i="1" s="1"/>
  <c r="C264" i="1" s="1"/>
  <c r="C265" i="1" s="1"/>
  <c r="C266" i="1" s="1"/>
  <c r="C267" i="1" s="1"/>
  <c r="C268" i="1" s="1"/>
  <c r="C269" i="1" s="1"/>
  <c r="C270" i="1" s="1"/>
  <c r="C271" i="1" s="1"/>
  <c r="C272" i="1" s="1"/>
  <c r="C273" i="1" s="1"/>
  <c r="C274" i="1" s="1"/>
  <c r="C275" i="1" s="1"/>
  <c r="C276" i="1" s="1"/>
  <c r="C277" i="1" s="1"/>
  <c r="C278" i="1" s="1"/>
  <c r="C279" i="1" s="1"/>
  <c r="C280" i="1" s="1"/>
  <c r="C281" i="1" s="1"/>
  <c r="C282" i="1" s="1"/>
  <c r="C283" i="1" s="1"/>
  <c r="C284" i="1" s="1"/>
  <c r="C285" i="1" s="1"/>
  <c r="C286" i="1" s="1"/>
  <c r="C287" i="1" s="1"/>
  <c r="C288" i="1" s="1"/>
  <c r="C289" i="1" s="1"/>
  <c r="C290" i="1" s="1"/>
  <c r="C291" i="1" s="1"/>
  <c r="C292" i="1" s="1"/>
  <c r="C293" i="1" s="1"/>
  <c r="C294" i="1" s="1"/>
  <c r="C295" i="1" s="1"/>
  <c r="C296" i="1" s="1"/>
  <c r="C297" i="1" s="1"/>
  <c r="C298" i="1" s="1"/>
  <c r="C299" i="1" s="1"/>
  <c r="E203" i="1"/>
  <c r="H97" i="1"/>
  <c r="H98" i="1"/>
  <c r="H99" i="1"/>
  <c r="H100" i="1"/>
  <c r="H101" i="1"/>
  <c r="H103" i="1"/>
  <c r="H107" i="1"/>
  <c r="H109" i="1"/>
  <c r="H113" i="1"/>
  <c r="H117" i="1"/>
  <c r="H119" i="1"/>
  <c r="H121" i="1"/>
  <c r="H123" i="1"/>
  <c r="H125" i="1"/>
  <c r="H127" i="1"/>
  <c r="H129" i="1"/>
  <c r="H130" i="1"/>
  <c r="H133" i="1"/>
  <c r="H136" i="1"/>
  <c r="H139" i="1"/>
  <c r="H142" i="1"/>
  <c r="H145" i="1"/>
  <c r="H148" i="1"/>
  <c r="H151" i="1"/>
  <c r="H154" i="1"/>
  <c r="H157" i="1"/>
  <c r="H160" i="1"/>
  <c r="H163" i="1"/>
  <c r="H166" i="1"/>
  <c r="H169" i="1"/>
  <c r="H172" i="1"/>
  <c r="H173" i="1"/>
  <c r="H175" i="1"/>
  <c r="H177" i="1"/>
  <c r="H179" i="1"/>
  <c r="H181" i="1"/>
  <c r="H183" i="1"/>
  <c r="H185" i="1"/>
  <c r="H187" i="1"/>
  <c r="H189" i="1"/>
  <c r="H191" i="1"/>
  <c r="H193" i="1"/>
  <c r="E202" i="1"/>
  <c r="E201" i="1"/>
  <c r="E199" i="1"/>
  <c r="E197" i="1"/>
  <c r="E195" i="1"/>
  <c r="E193" i="1"/>
  <c r="E191" i="1"/>
  <c r="E189" i="1"/>
  <c r="E187" i="1"/>
  <c r="E185" i="1"/>
  <c r="E183" i="1"/>
  <c r="E181" i="1"/>
  <c r="E179" i="1"/>
  <c r="E177" i="1"/>
  <c r="E175" i="1"/>
  <c r="E173" i="1"/>
  <c r="E172" i="1"/>
  <c r="E169" i="1"/>
  <c r="E166" i="1"/>
  <c r="E163" i="1"/>
  <c r="E160" i="1"/>
  <c r="E157" i="1"/>
  <c r="E154" i="1"/>
  <c r="E151" i="1"/>
  <c r="E148" i="1"/>
  <c r="E145" i="1"/>
  <c r="E142" i="1"/>
  <c r="E139" i="1"/>
  <c r="E136" i="1"/>
  <c r="E133" i="1"/>
  <c r="E130" i="1"/>
  <c r="E101" i="1"/>
  <c r="E100" i="1"/>
  <c r="C100" i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2" i="1" s="1"/>
  <c r="C123" i="1" s="1"/>
  <c r="C124" i="1" s="1"/>
  <c r="C125" i="1" s="1"/>
  <c r="C126" i="1" s="1"/>
  <c r="C127" i="1" s="1"/>
  <c r="C128" i="1" s="1"/>
  <c r="C129" i="1" s="1"/>
  <c r="C130" i="1" s="1"/>
  <c r="C131" i="1" s="1"/>
  <c r="C132" i="1" s="1"/>
  <c r="C133" i="1" s="1"/>
  <c r="C134" i="1" s="1"/>
  <c r="C135" i="1" s="1"/>
  <c r="C136" i="1" s="1"/>
  <c r="C137" i="1" s="1"/>
  <c r="C138" i="1" s="1"/>
  <c r="C139" i="1" s="1"/>
  <c r="C140" i="1" s="1"/>
  <c r="C141" i="1" s="1"/>
  <c r="C142" i="1" s="1"/>
  <c r="C143" i="1" s="1"/>
  <c r="C144" i="1" s="1"/>
  <c r="C145" i="1" s="1"/>
  <c r="C146" i="1" s="1"/>
  <c r="C147" i="1" s="1"/>
  <c r="C148" i="1" s="1"/>
  <c r="C149" i="1" s="1"/>
  <c r="C150" i="1" s="1"/>
  <c r="C151" i="1" s="1"/>
  <c r="C152" i="1" s="1"/>
  <c r="C153" i="1" s="1"/>
  <c r="C154" i="1" s="1"/>
  <c r="C155" i="1" s="1"/>
  <c r="C156" i="1" s="1"/>
  <c r="C157" i="1" s="1"/>
  <c r="C158" i="1" s="1"/>
  <c r="C159" i="1" s="1"/>
  <c r="C160" i="1" s="1"/>
  <c r="C161" i="1" s="1"/>
  <c r="C162" i="1" s="1"/>
  <c r="C163" i="1" s="1"/>
  <c r="C164" i="1" s="1"/>
  <c r="C165" i="1" s="1"/>
  <c r="C166" i="1" s="1"/>
  <c r="C167" i="1" s="1"/>
  <c r="C168" i="1" s="1"/>
  <c r="C169" i="1" s="1"/>
  <c r="C170" i="1" s="1"/>
  <c r="C171" i="1" s="1"/>
  <c r="C172" i="1" s="1"/>
  <c r="C173" i="1" s="1"/>
  <c r="C174" i="1" s="1"/>
  <c r="C175" i="1" s="1"/>
  <c r="C176" i="1" s="1"/>
  <c r="C177" i="1" s="1"/>
  <c r="C178" i="1" s="1"/>
  <c r="C179" i="1" s="1"/>
  <c r="C180" i="1" s="1"/>
  <c r="C181" i="1" s="1"/>
  <c r="C182" i="1" s="1"/>
  <c r="C183" i="1" s="1"/>
  <c r="C184" i="1" s="1"/>
  <c r="C185" i="1" s="1"/>
  <c r="C186" i="1" s="1"/>
  <c r="C187" i="1" s="1"/>
  <c r="C188" i="1" s="1"/>
  <c r="C189" i="1" s="1"/>
  <c r="C190" i="1" s="1"/>
  <c r="C191" i="1" s="1"/>
  <c r="C192" i="1" s="1"/>
  <c r="C193" i="1" s="1"/>
  <c r="C194" i="1" s="1"/>
  <c r="C195" i="1" s="1"/>
  <c r="C196" i="1" s="1"/>
  <c r="C197" i="1" s="1"/>
  <c r="C198" i="1" s="1"/>
  <c r="C199" i="1" s="1"/>
  <c r="C200" i="1" s="1"/>
  <c r="C201" i="1" s="1"/>
  <c r="C202" i="1" s="1"/>
  <c r="E99" i="1"/>
  <c r="H4" i="1"/>
  <c r="H6" i="1"/>
  <c r="H8" i="1"/>
  <c r="H10" i="1"/>
  <c r="H12" i="1"/>
  <c r="H14" i="1"/>
  <c r="H16" i="1"/>
  <c r="H20" i="1"/>
  <c r="H24" i="1"/>
  <c r="H26" i="1"/>
  <c r="H30" i="1"/>
  <c r="H31" i="1"/>
  <c r="H34" i="1"/>
  <c r="H37" i="1"/>
  <c r="H40" i="1"/>
  <c r="H43" i="1"/>
  <c r="H46" i="1"/>
  <c r="H49" i="1"/>
  <c r="H52" i="1"/>
  <c r="H55" i="1"/>
  <c r="H58" i="1"/>
  <c r="H61" i="1"/>
  <c r="H64" i="1"/>
  <c r="H67" i="1"/>
  <c r="H70" i="1"/>
  <c r="H71" i="1"/>
  <c r="H73" i="1"/>
  <c r="H75" i="1"/>
  <c r="H77" i="1"/>
  <c r="H79" i="1"/>
  <c r="H81" i="1"/>
  <c r="H83" i="1"/>
  <c r="H85" i="1"/>
  <c r="H87" i="1"/>
  <c r="H89" i="1"/>
  <c r="H91" i="1"/>
  <c r="H93" i="1"/>
  <c r="H95" i="1"/>
  <c r="I2" i="1"/>
  <c r="I286" i="4"/>
  <c r="I284" i="4"/>
  <c r="I282" i="4"/>
  <c r="I280" i="4"/>
  <c r="I278" i="4"/>
  <c r="I276" i="4"/>
  <c r="I274" i="4"/>
  <c r="I272" i="4"/>
  <c r="I270" i="4"/>
  <c r="I268" i="4"/>
  <c r="I266" i="4"/>
  <c r="I264" i="4"/>
  <c r="I262" i="4"/>
  <c r="I260" i="4"/>
  <c r="I258" i="4"/>
  <c r="I256" i="4"/>
  <c r="I254" i="4"/>
  <c r="I252" i="4"/>
  <c r="I250" i="4"/>
  <c r="I248" i="4"/>
  <c r="I246" i="4"/>
  <c r="I244" i="4"/>
  <c r="I242" i="4"/>
  <c r="I240" i="4"/>
  <c r="I238" i="4"/>
  <c r="I236" i="4"/>
  <c r="I234" i="4"/>
  <c r="I232" i="4"/>
  <c r="I230" i="4"/>
  <c r="I228" i="4"/>
  <c r="I226" i="4"/>
  <c r="I224" i="4"/>
  <c r="I222" i="4"/>
  <c r="I220" i="4"/>
  <c r="I218" i="4"/>
  <c r="I216" i="4"/>
  <c r="I214" i="4"/>
  <c r="I212" i="4"/>
  <c r="I210" i="4"/>
  <c r="I208" i="4"/>
  <c r="I205" i="4"/>
  <c r="I204" i="4"/>
  <c r="I202" i="4"/>
  <c r="I201" i="4"/>
  <c r="I199" i="4"/>
  <c r="I198" i="4"/>
  <c r="I196" i="4"/>
  <c r="I195" i="4"/>
  <c r="I193" i="4"/>
  <c r="I192" i="4"/>
  <c r="I190" i="4"/>
  <c r="I189" i="4"/>
  <c r="I187" i="4"/>
  <c r="I186" i="4"/>
  <c r="I184" i="4"/>
  <c r="I183" i="4"/>
  <c r="I181" i="4"/>
  <c r="I180" i="4"/>
  <c r="I178" i="4"/>
  <c r="I177" i="4"/>
  <c r="I175" i="4"/>
  <c r="I174" i="4"/>
  <c r="I172" i="4"/>
  <c r="I171" i="4"/>
  <c r="I169" i="4"/>
  <c r="I168" i="4"/>
  <c r="I166" i="4"/>
  <c r="I165" i="4"/>
  <c r="I163" i="4"/>
  <c r="I162" i="4"/>
  <c r="I160" i="4"/>
  <c r="I159" i="4"/>
  <c r="I157" i="4"/>
  <c r="I156" i="4"/>
  <c r="I154" i="4"/>
  <c r="I153" i="4"/>
  <c r="I151" i="4"/>
  <c r="I150" i="4"/>
  <c r="I148" i="4"/>
  <c r="I147" i="4"/>
  <c r="I145" i="4"/>
  <c r="I144" i="4"/>
  <c r="I142" i="4"/>
  <c r="I141" i="4"/>
  <c r="I139" i="4"/>
  <c r="I138" i="4"/>
  <c r="I136" i="4"/>
  <c r="I135" i="4"/>
  <c r="I133" i="4"/>
  <c r="I132" i="4"/>
  <c r="I130" i="4"/>
  <c r="I129" i="4"/>
  <c r="I127" i="4"/>
  <c r="I126" i="4"/>
  <c r="I124" i="4"/>
  <c r="I123" i="4"/>
  <c r="I121" i="4"/>
  <c r="I120" i="4"/>
  <c r="I118" i="4"/>
  <c r="I117" i="4"/>
  <c r="I115" i="4"/>
  <c r="I114" i="4"/>
  <c r="I112" i="4"/>
  <c r="I111" i="4"/>
  <c r="I109" i="4"/>
  <c r="I108" i="4"/>
  <c r="I106" i="4"/>
  <c r="I105" i="4"/>
  <c r="I103" i="4"/>
  <c r="I102" i="4"/>
  <c r="I100" i="4"/>
  <c r="I99" i="4"/>
  <c r="I97" i="4"/>
  <c r="I96" i="4"/>
  <c r="I94" i="4"/>
  <c r="I93" i="4"/>
  <c r="I91" i="4"/>
  <c r="I90" i="4"/>
  <c r="I88" i="4"/>
  <c r="I87" i="4"/>
  <c r="I84" i="4"/>
  <c r="I82" i="4"/>
  <c r="I80" i="4"/>
  <c r="I78" i="4"/>
  <c r="I76" i="4"/>
  <c r="I74" i="4"/>
  <c r="I72" i="4"/>
  <c r="I70" i="4"/>
  <c r="I68" i="4"/>
  <c r="I66" i="4"/>
  <c r="I64" i="4"/>
  <c r="I62" i="4"/>
  <c r="I60" i="4"/>
  <c r="I58" i="4"/>
  <c r="I56" i="4"/>
  <c r="I54" i="4"/>
  <c r="I52" i="4"/>
  <c r="I50" i="4"/>
  <c r="I48" i="4"/>
  <c r="I46" i="4"/>
  <c r="I44" i="4"/>
  <c r="I42" i="4"/>
  <c r="I40" i="4"/>
  <c r="I38" i="4"/>
  <c r="I36" i="4"/>
  <c r="I34" i="4"/>
  <c r="I32" i="4"/>
  <c r="I30" i="4"/>
  <c r="I28" i="4"/>
  <c r="I26" i="4"/>
  <c r="I24" i="4"/>
  <c r="I22" i="4"/>
  <c r="I20" i="4"/>
  <c r="I18" i="4"/>
  <c r="I16" i="4"/>
  <c r="I14" i="4"/>
  <c r="I12" i="4"/>
  <c r="I10" i="4"/>
  <c r="I8" i="4"/>
  <c r="I6" i="4"/>
  <c r="I2" i="4"/>
  <c r="A3" i="1"/>
  <c r="E98" i="1"/>
  <c r="E97" i="1"/>
  <c r="E95" i="1"/>
  <c r="E93" i="1"/>
  <c r="E91" i="1"/>
  <c r="E89" i="1"/>
  <c r="E87" i="1"/>
  <c r="E85" i="1"/>
  <c r="E83" i="1"/>
  <c r="E81" i="1"/>
  <c r="E79" i="1"/>
  <c r="E77" i="1"/>
  <c r="E75" i="1"/>
  <c r="E73" i="1"/>
  <c r="E71" i="1"/>
  <c r="E70" i="1"/>
  <c r="E67" i="1"/>
  <c r="E64" i="1"/>
  <c r="E61" i="1"/>
  <c r="E58" i="1"/>
  <c r="E55" i="1"/>
  <c r="E52" i="1"/>
  <c r="E49" i="1"/>
  <c r="E46" i="1"/>
  <c r="E43" i="1"/>
  <c r="E40" i="1"/>
  <c r="E37" i="1"/>
  <c r="E34" i="1"/>
  <c r="E31" i="1"/>
  <c r="E4" i="1"/>
  <c r="H3" i="1"/>
  <c r="E3" i="1"/>
  <c r="C3" i="1"/>
  <c r="C4" i="1" s="1"/>
  <c r="C5" i="1" s="1"/>
  <c r="C6" i="1" s="1"/>
  <c r="C7" i="1" s="1"/>
  <c r="C8" i="1" s="1"/>
  <c r="C9" i="1" s="1"/>
  <c r="C10" i="1" s="1"/>
  <c r="C11" i="1" s="1"/>
  <c r="C12" i="1" s="1"/>
  <c r="C13" i="1" s="1"/>
  <c r="C14" i="1" s="1"/>
  <c r="C15" i="1" s="1"/>
  <c r="C16" i="1" s="1"/>
  <c r="C17" i="1" s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C40" i="1" s="1"/>
  <c r="C41" i="1" s="1"/>
  <c r="C42" i="1" s="1"/>
  <c r="C43" i="1" s="1"/>
  <c r="C44" i="1" s="1"/>
  <c r="C45" i="1" s="1"/>
  <c r="C46" i="1" s="1"/>
  <c r="C47" i="1" s="1"/>
  <c r="C48" i="1" s="1"/>
  <c r="C49" i="1" s="1"/>
  <c r="C50" i="1" s="1"/>
  <c r="C51" i="1" s="1"/>
  <c r="C52" i="1" s="1"/>
  <c r="C53" i="1" s="1"/>
  <c r="C54" i="1" s="1"/>
  <c r="C55" i="1" s="1"/>
  <c r="C56" i="1" s="1"/>
  <c r="C57" i="1" s="1"/>
  <c r="C58" i="1" s="1"/>
  <c r="C59" i="1" s="1"/>
  <c r="C60" i="1" s="1"/>
  <c r="C61" i="1" s="1"/>
  <c r="C62" i="1" s="1"/>
  <c r="C63" i="1" s="1"/>
  <c r="C64" i="1" s="1"/>
  <c r="C65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1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H2" i="1"/>
  <c r="E2" i="1"/>
  <c r="B3" i="1"/>
  <c r="A4" i="1" l="1"/>
  <c r="A5" i="1" s="1"/>
  <c r="A6" i="1" s="1"/>
  <c r="I6" i="1" s="1"/>
  <c r="B4" i="1"/>
  <c r="F3" i="1"/>
  <c r="G2" i="1"/>
  <c r="F4" i="1" l="1"/>
  <c r="B5" i="1"/>
  <c r="G3" i="1"/>
  <c r="A7" i="1"/>
  <c r="A8" i="1" s="1"/>
  <c r="I8" i="1" s="1"/>
  <c r="G4" i="1" l="1"/>
  <c r="A9" i="1"/>
  <c r="A10" i="1" s="1"/>
  <c r="I10" i="1" s="1"/>
  <c r="B6" i="1"/>
  <c r="D204" i="4"/>
  <c r="H175" i="4"/>
  <c r="H163" i="4"/>
  <c r="H151" i="4"/>
  <c r="H139" i="4"/>
  <c r="H127" i="4"/>
  <c r="H115" i="4"/>
  <c r="H103" i="4"/>
  <c r="H91" i="4"/>
  <c r="D83" i="4"/>
  <c r="D82" i="4" s="1"/>
  <c r="D201" i="4" s="1"/>
  <c r="H201" i="4" s="1"/>
  <c r="F205" i="4"/>
  <c r="H205" i="4"/>
  <c r="H206" i="4"/>
  <c r="H83" i="4"/>
  <c r="H84" i="4"/>
  <c r="H85" i="4"/>
  <c r="H88" i="4"/>
  <c r="H97" i="4"/>
  <c r="H100" i="4"/>
  <c r="H109" i="4"/>
  <c r="H112" i="4"/>
  <c r="H121" i="4"/>
  <c r="H124" i="4"/>
  <c r="H133" i="4"/>
  <c r="H136" i="4"/>
  <c r="H145" i="4"/>
  <c r="H148" i="4"/>
  <c r="H157" i="4"/>
  <c r="H160" i="4"/>
  <c r="H169" i="4"/>
  <c r="H172" i="4"/>
  <c r="H181" i="4"/>
  <c r="H184" i="4"/>
  <c r="H187" i="4"/>
  <c r="H193" i="4"/>
  <c r="H196" i="4"/>
  <c r="H199" i="4"/>
  <c r="H204" i="4"/>
  <c r="H208" i="4"/>
  <c r="H210" i="4"/>
  <c r="H212" i="4"/>
  <c r="H214" i="4"/>
  <c r="H216" i="4"/>
  <c r="H218" i="4"/>
  <c r="H220" i="4"/>
  <c r="H222" i="4"/>
  <c r="H224" i="4"/>
  <c r="H226" i="4"/>
  <c r="H228" i="4"/>
  <c r="H230" i="4"/>
  <c r="H232" i="4"/>
  <c r="H234" i="4"/>
  <c r="H236" i="4"/>
  <c r="H238" i="4"/>
  <c r="H240" i="4"/>
  <c r="H242" i="4"/>
  <c r="H244" i="4"/>
  <c r="H246" i="4"/>
  <c r="H248" i="4"/>
  <c r="H250" i="4"/>
  <c r="H252" i="4"/>
  <c r="H254" i="4"/>
  <c r="H256" i="4"/>
  <c r="H258" i="4"/>
  <c r="H260" i="4"/>
  <c r="H262" i="4"/>
  <c r="H264" i="4"/>
  <c r="H266" i="4"/>
  <c r="H268" i="4"/>
  <c r="H270" i="4"/>
  <c r="H272" i="4"/>
  <c r="H274" i="4"/>
  <c r="H276" i="4"/>
  <c r="H278" i="4"/>
  <c r="H280" i="4"/>
  <c r="H282" i="4"/>
  <c r="H284" i="4"/>
  <c r="H286" i="4"/>
  <c r="E133" i="4"/>
  <c r="E127" i="4"/>
  <c r="E124" i="4"/>
  <c r="E121" i="4"/>
  <c r="E115" i="4"/>
  <c r="E112" i="4"/>
  <c r="E109" i="4"/>
  <c r="E103" i="4"/>
  <c r="E100" i="4"/>
  <c r="E97" i="4"/>
  <c r="E91" i="4"/>
  <c r="E88" i="4"/>
  <c r="E286" i="4"/>
  <c r="E284" i="4"/>
  <c r="E282" i="4"/>
  <c r="E280" i="4"/>
  <c r="E278" i="4"/>
  <c r="E276" i="4"/>
  <c r="E274" i="4"/>
  <c r="E272" i="4"/>
  <c r="E270" i="4"/>
  <c r="E268" i="4"/>
  <c r="E266" i="4"/>
  <c r="E264" i="4"/>
  <c r="E262" i="4"/>
  <c r="E260" i="4"/>
  <c r="E258" i="4"/>
  <c r="E256" i="4"/>
  <c r="E254" i="4"/>
  <c r="E252" i="4"/>
  <c r="E250" i="4"/>
  <c r="E248" i="4"/>
  <c r="E246" i="4"/>
  <c r="E244" i="4"/>
  <c r="E242" i="4"/>
  <c r="E240" i="4"/>
  <c r="E238" i="4"/>
  <c r="E236" i="4"/>
  <c r="E234" i="4"/>
  <c r="E232" i="4"/>
  <c r="E230" i="4"/>
  <c r="E228" i="4"/>
  <c r="E226" i="4"/>
  <c r="E224" i="4"/>
  <c r="E222" i="4"/>
  <c r="E220" i="4"/>
  <c r="E218" i="4"/>
  <c r="E216" i="4"/>
  <c r="E214" i="4"/>
  <c r="E212" i="4"/>
  <c r="E210" i="4"/>
  <c r="E208" i="4"/>
  <c r="E205" i="4"/>
  <c r="E204" i="4"/>
  <c r="E201" i="4"/>
  <c r="E199" i="4"/>
  <c r="E196" i="4"/>
  <c r="E193" i="4"/>
  <c r="E187" i="4"/>
  <c r="E184" i="4"/>
  <c r="E181" i="4"/>
  <c r="E175" i="4"/>
  <c r="E172" i="4"/>
  <c r="E169" i="4"/>
  <c r="E163" i="4"/>
  <c r="E160" i="4"/>
  <c r="E157" i="4"/>
  <c r="E151" i="4"/>
  <c r="E148" i="4"/>
  <c r="E145" i="4"/>
  <c r="E139" i="4"/>
  <c r="E136" i="4"/>
  <c r="E83" i="4"/>
  <c r="H3" i="4"/>
  <c r="H4" i="4"/>
  <c r="H287" i="4"/>
  <c r="H2" i="4"/>
  <c r="B7" i="1" l="1"/>
  <c r="A11" i="1"/>
  <c r="A12" i="1" s="1"/>
  <c r="I12" i="1" s="1"/>
  <c r="D285" i="4"/>
  <c r="D203" i="4"/>
  <c r="H94" i="4"/>
  <c r="E94" i="4"/>
  <c r="H118" i="4"/>
  <c r="E118" i="4"/>
  <c r="H130" i="4"/>
  <c r="E130" i="4"/>
  <c r="H142" i="4"/>
  <c r="E142" i="4"/>
  <c r="H154" i="4"/>
  <c r="E154" i="4"/>
  <c r="H178" i="4"/>
  <c r="E178" i="4"/>
  <c r="H190" i="4"/>
  <c r="E190" i="4"/>
  <c r="H202" i="4"/>
  <c r="E202" i="4"/>
  <c r="H106" i="4"/>
  <c r="E106" i="4"/>
  <c r="H166" i="4"/>
  <c r="E166" i="4"/>
  <c r="H82" i="4"/>
  <c r="E82" i="4"/>
  <c r="D81" i="4"/>
  <c r="F204" i="4"/>
  <c r="F83" i="4"/>
  <c r="F286" i="4"/>
  <c r="A2" i="4"/>
  <c r="B2" i="4"/>
  <c r="B3" i="4" s="1"/>
  <c r="B4" i="4" s="1"/>
  <c r="B5" i="4" s="1"/>
  <c r="G6" i="1" l="1"/>
  <c r="A13" i="1"/>
  <c r="A14" i="1" s="1"/>
  <c r="I14" i="1" s="1"/>
  <c r="B8" i="1"/>
  <c r="D283" i="4"/>
  <c r="D200" i="4"/>
  <c r="H203" i="4"/>
  <c r="E203" i="4"/>
  <c r="A3" i="4"/>
  <c r="A4" i="4" s="1"/>
  <c r="H285" i="4"/>
  <c r="E285" i="4"/>
  <c r="E81" i="4"/>
  <c r="H81" i="4"/>
  <c r="D80" i="4"/>
  <c r="D198" i="4" s="1"/>
  <c r="F285" i="4"/>
  <c r="F82" i="4"/>
  <c r="F203" i="4"/>
  <c r="B6" i="4"/>
  <c r="G2" i="4"/>
  <c r="G3" i="4"/>
  <c r="C3" i="4"/>
  <c r="C4" i="4" s="1"/>
  <c r="C5" i="4" s="1"/>
  <c r="C6" i="4" s="1"/>
  <c r="C7" i="4" s="1"/>
  <c r="C8" i="4" s="1"/>
  <c r="C9" i="4" s="1"/>
  <c r="C10" i="4" s="1"/>
  <c r="C11" i="4" s="1"/>
  <c r="C12" i="4" s="1"/>
  <c r="C13" i="4" s="1"/>
  <c r="C14" i="4" s="1"/>
  <c r="C15" i="4" s="1"/>
  <c r="C16" i="4" s="1"/>
  <c r="C17" i="4" s="1"/>
  <c r="C18" i="4" s="1"/>
  <c r="C19" i="4" s="1"/>
  <c r="C20" i="4" s="1"/>
  <c r="C21" i="4" s="1"/>
  <c r="C22" i="4" s="1"/>
  <c r="C23" i="4" s="1"/>
  <c r="C24" i="4" s="1"/>
  <c r="C25" i="4" s="1"/>
  <c r="C26" i="4" s="1"/>
  <c r="C27" i="4" s="1"/>
  <c r="C28" i="4" s="1"/>
  <c r="C29" i="4" s="1"/>
  <c r="C30" i="4" s="1"/>
  <c r="C31" i="4" s="1"/>
  <c r="C32" i="4" s="1"/>
  <c r="C33" i="4" s="1"/>
  <c r="C34" i="4" s="1"/>
  <c r="C35" i="4" s="1"/>
  <c r="C36" i="4" s="1"/>
  <c r="C37" i="4" s="1"/>
  <c r="C38" i="4" s="1"/>
  <c r="C39" i="4" s="1"/>
  <c r="C40" i="4" s="1"/>
  <c r="C41" i="4" s="1"/>
  <c r="C42" i="4" s="1"/>
  <c r="C43" i="4" s="1"/>
  <c r="C44" i="4" s="1"/>
  <c r="C45" i="4" s="1"/>
  <c r="C46" i="4" s="1"/>
  <c r="C47" i="4" s="1"/>
  <c r="C48" i="4" s="1"/>
  <c r="C49" i="4" s="1"/>
  <c r="C50" i="4" s="1"/>
  <c r="C51" i="4" s="1"/>
  <c r="C52" i="4" s="1"/>
  <c r="C53" i="4" s="1"/>
  <c r="C54" i="4" s="1"/>
  <c r="C55" i="4" s="1"/>
  <c r="C56" i="4" s="1"/>
  <c r="C57" i="4" s="1"/>
  <c r="C58" i="4" s="1"/>
  <c r="C59" i="4" s="1"/>
  <c r="C60" i="4" s="1"/>
  <c r="C61" i="4" s="1"/>
  <c r="C62" i="4" s="1"/>
  <c r="C63" i="4" s="1"/>
  <c r="C64" i="4" s="1"/>
  <c r="C65" i="4" s="1"/>
  <c r="C66" i="4" s="1"/>
  <c r="C67" i="4" s="1"/>
  <c r="C68" i="4" s="1"/>
  <c r="C69" i="4" s="1"/>
  <c r="C70" i="4" s="1"/>
  <c r="C71" i="4" s="1"/>
  <c r="C72" i="4" s="1"/>
  <c r="C73" i="4" s="1"/>
  <c r="C74" i="4" s="1"/>
  <c r="C75" i="4" s="1"/>
  <c r="C76" i="4" s="1"/>
  <c r="C77" i="4" s="1"/>
  <c r="C78" i="4" s="1"/>
  <c r="C79" i="4" s="1"/>
  <c r="C80" i="4" s="1"/>
  <c r="C81" i="4" s="1"/>
  <c r="C82" i="4" s="1"/>
  <c r="C83" i="4" s="1"/>
  <c r="C84" i="4" s="1"/>
  <c r="C85" i="4" s="1"/>
  <c r="C86" i="4" s="1"/>
  <c r="C87" i="4" s="1"/>
  <c r="C88" i="4" s="1"/>
  <c r="C89" i="4" s="1"/>
  <c r="C90" i="4" s="1"/>
  <c r="C91" i="4" s="1"/>
  <c r="C92" i="4" s="1"/>
  <c r="C93" i="4" s="1"/>
  <c r="C94" i="4" s="1"/>
  <c r="C95" i="4" s="1"/>
  <c r="C96" i="4" s="1"/>
  <c r="C97" i="4" s="1"/>
  <c r="C98" i="4" s="1"/>
  <c r="C99" i="4" s="1"/>
  <c r="C100" i="4" s="1"/>
  <c r="C101" i="4" s="1"/>
  <c r="C102" i="4" s="1"/>
  <c r="C103" i="4" s="1"/>
  <c r="C104" i="4" s="1"/>
  <c r="C105" i="4" s="1"/>
  <c r="C106" i="4" s="1"/>
  <c r="C107" i="4" s="1"/>
  <c r="C108" i="4" s="1"/>
  <c r="C109" i="4" s="1"/>
  <c r="C110" i="4" s="1"/>
  <c r="C111" i="4" s="1"/>
  <c r="C112" i="4" s="1"/>
  <c r="C113" i="4" s="1"/>
  <c r="C114" i="4" s="1"/>
  <c r="C115" i="4" s="1"/>
  <c r="C116" i="4" s="1"/>
  <c r="C117" i="4" s="1"/>
  <c r="C118" i="4" s="1"/>
  <c r="C119" i="4" s="1"/>
  <c r="C120" i="4" s="1"/>
  <c r="C121" i="4" s="1"/>
  <c r="C122" i="4" s="1"/>
  <c r="C123" i="4" s="1"/>
  <c r="C124" i="4" s="1"/>
  <c r="C125" i="4" s="1"/>
  <c r="C126" i="4" s="1"/>
  <c r="C127" i="4" s="1"/>
  <c r="C128" i="4" s="1"/>
  <c r="C129" i="4" s="1"/>
  <c r="C130" i="4" s="1"/>
  <c r="C131" i="4" s="1"/>
  <c r="C132" i="4" s="1"/>
  <c r="C133" i="4" s="1"/>
  <c r="C134" i="4" s="1"/>
  <c r="C135" i="4" s="1"/>
  <c r="C136" i="4" s="1"/>
  <c r="C137" i="4" s="1"/>
  <c r="C138" i="4" s="1"/>
  <c r="C139" i="4" s="1"/>
  <c r="C140" i="4" s="1"/>
  <c r="C141" i="4" s="1"/>
  <c r="C142" i="4" s="1"/>
  <c r="C143" i="4" s="1"/>
  <c r="C144" i="4" s="1"/>
  <c r="C145" i="4" s="1"/>
  <c r="C146" i="4" s="1"/>
  <c r="C147" i="4" s="1"/>
  <c r="C148" i="4" s="1"/>
  <c r="C149" i="4" s="1"/>
  <c r="C150" i="4" s="1"/>
  <c r="C151" i="4" s="1"/>
  <c r="C152" i="4" s="1"/>
  <c r="C153" i="4" s="1"/>
  <c r="C154" i="4" s="1"/>
  <c r="C155" i="4" s="1"/>
  <c r="C156" i="4" s="1"/>
  <c r="C157" i="4" s="1"/>
  <c r="C158" i="4" s="1"/>
  <c r="C159" i="4" s="1"/>
  <c r="C160" i="4" s="1"/>
  <c r="C161" i="4" s="1"/>
  <c r="C162" i="4" s="1"/>
  <c r="C163" i="4" s="1"/>
  <c r="C164" i="4" s="1"/>
  <c r="C165" i="4" s="1"/>
  <c r="C166" i="4" s="1"/>
  <c r="C167" i="4" s="1"/>
  <c r="C168" i="4" s="1"/>
  <c r="C169" i="4" s="1"/>
  <c r="C170" i="4" s="1"/>
  <c r="C171" i="4" s="1"/>
  <c r="C172" i="4" s="1"/>
  <c r="C173" i="4" s="1"/>
  <c r="C174" i="4" s="1"/>
  <c r="C175" i="4" s="1"/>
  <c r="C176" i="4" s="1"/>
  <c r="C177" i="4" s="1"/>
  <c r="C178" i="4" s="1"/>
  <c r="C179" i="4" s="1"/>
  <c r="C180" i="4" s="1"/>
  <c r="C181" i="4" s="1"/>
  <c r="C182" i="4" s="1"/>
  <c r="C183" i="4" s="1"/>
  <c r="C184" i="4" s="1"/>
  <c r="C185" i="4" s="1"/>
  <c r="C186" i="4" s="1"/>
  <c r="C187" i="4" s="1"/>
  <c r="C188" i="4" s="1"/>
  <c r="C189" i="4" s="1"/>
  <c r="C190" i="4" s="1"/>
  <c r="C191" i="4" s="1"/>
  <c r="C192" i="4" s="1"/>
  <c r="C193" i="4" s="1"/>
  <c r="C194" i="4" s="1"/>
  <c r="C195" i="4" s="1"/>
  <c r="C196" i="4" s="1"/>
  <c r="C197" i="4" s="1"/>
  <c r="C198" i="4" s="1"/>
  <c r="C199" i="4" s="1"/>
  <c r="C200" i="4" s="1"/>
  <c r="C201" i="4" s="1"/>
  <c r="C202" i="4" s="1"/>
  <c r="C203" i="4" s="1"/>
  <c r="C204" i="4" s="1"/>
  <c r="C205" i="4" s="1"/>
  <c r="C206" i="4" s="1"/>
  <c r="C207" i="4" s="1"/>
  <c r="C208" i="4" s="1"/>
  <c r="C209" i="4" s="1"/>
  <c r="C210" i="4" s="1"/>
  <c r="C211" i="4" s="1"/>
  <c r="C212" i="4" s="1"/>
  <c r="C213" i="4" s="1"/>
  <c r="C214" i="4" s="1"/>
  <c r="C215" i="4" s="1"/>
  <c r="C216" i="4" s="1"/>
  <c r="C217" i="4" s="1"/>
  <c r="C218" i="4" s="1"/>
  <c r="C219" i="4" s="1"/>
  <c r="C220" i="4" s="1"/>
  <c r="C221" i="4" s="1"/>
  <c r="C222" i="4" s="1"/>
  <c r="C223" i="4" s="1"/>
  <c r="C224" i="4" s="1"/>
  <c r="C225" i="4" s="1"/>
  <c r="C226" i="4" s="1"/>
  <c r="C227" i="4" s="1"/>
  <c r="C228" i="4" s="1"/>
  <c r="C229" i="4" s="1"/>
  <c r="C230" i="4" s="1"/>
  <c r="C231" i="4" s="1"/>
  <c r="C232" i="4" s="1"/>
  <c r="C233" i="4" s="1"/>
  <c r="C234" i="4" s="1"/>
  <c r="C235" i="4" s="1"/>
  <c r="C236" i="4" s="1"/>
  <c r="C237" i="4" s="1"/>
  <c r="C238" i="4" s="1"/>
  <c r="C239" i="4" s="1"/>
  <c r="C240" i="4" s="1"/>
  <c r="C241" i="4" s="1"/>
  <c r="C242" i="4" s="1"/>
  <c r="C243" i="4" s="1"/>
  <c r="C244" i="4" s="1"/>
  <c r="C245" i="4" s="1"/>
  <c r="C246" i="4" s="1"/>
  <c r="C247" i="4" s="1"/>
  <c r="C248" i="4" s="1"/>
  <c r="C249" i="4" s="1"/>
  <c r="C250" i="4" s="1"/>
  <c r="C251" i="4" s="1"/>
  <c r="C252" i="4" s="1"/>
  <c r="C253" i="4" s="1"/>
  <c r="C254" i="4" s="1"/>
  <c r="C255" i="4" s="1"/>
  <c r="C256" i="4" s="1"/>
  <c r="C257" i="4" s="1"/>
  <c r="C258" i="4" s="1"/>
  <c r="C259" i="4" s="1"/>
  <c r="C260" i="4" s="1"/>
  <c r="C261" i="4" s="1"/>
  <c r="C262" i="4" s="1"/>
  <c r="C263" i="4" s="1"/>
  <c r="C264" i="4" s="1"/>
  <c r="C265" i="4" s="1"/>
  <c r="C266" i="4" s="1"/>
  <c r="C267" i="4" s="1"/>
  <c r="C268" i="4" s="1"/>
  <c r="C269" i="4" s="1"/>
  <c r="C270" i="4" s="1"/>
  <c r="C271" i="4" s="1"/>
  <c r="C272" i="4" s="1"/>
  <c r="C273" i="4" s="1"/>
  <c r="C274" i="4" s="1"/>
  <c r="C275" i="4" s="1"/>
  <c r="C276" i="4" s="1"/>
  <c r="C277" i="4" s="1"/>
  <c r="C278" i="4" s="1"/>
  <c r="C279" i="4" s="1"/>
  <c r="C280" i="4" s="1"/>
  <c r="C281" i="4" s="1"/>
  <c r="C282" i="4" s="1"/>
  <c r="C283" i="4" s="1"/>
  <c r="C284" i="4" s="1"/>
  <c r="C285" i="4" s="1"/>
  <c r="C286" i="4" s="1"/>
  <c r="C287" i="4" s="1"/>
  <c r="A15" i="1" l="1"/>
  <c r="A16" i="1" s="1"/>
  <c r="I16" i="1" s="1"/>
  <c r="B9" i="1"/>
  <c r="H198" i="4"/>
  <c r="E198" i="4"/>
  <c r="E200" i="4"/>
  <c r="H200" i="4"/>
  <c r="A5" i="4"/>
  <c r="A6" i="4" s="1"/>
  <c r="F4" i="4"/>
  <c r="H283" i="4"/>
  <c r="E283" i="4"/>
  <c r="D79" i="4"/>
  <c r="H80" i="4"/>
  <c r="E80" i="4"/>
  <c r="F81" i="4"/>
  <c r="F202" i="4"/>
  <c r="F201" i="4"/>
  <c r="F284" i="4"/>
  <c r="B7" i="4"/>
  <c r="F3" i="4"/>
  <c r="E3" i="4"/>
  <c r="E4" i="4"/>
  <c r="E84" i="4"/>
  <c r="E85" i="4"/>
  <c r="E206" i="4"/>
  <c r="E287" i="4"/>
  <c r="E2" i="4"/>
  <c r="G8" i="1" l="1"/>
  <c r="B10" i="1"/>
  <c r="A17" i="1"/>
  <c r="A18" i="1" s="1"/>
  <c r="I18" i="1" s="1"/>
  <c r="D281" i="4"/>
  <c r="D197" i="4"/>
  <c r="A7" i="4"/>
  <c r="A8" i="4" s="1"/>
  <c r="D78" i="4"/>
  <c r="D195" i="4" s="1"/>
  <c r="H79" i="4"/>
  <c r="E79" i="4"/>
  <c r="F200" i="4"/>
  <c r="F283" i="4"/>
  <c r="F80" i="4"/>
  <c r="B8" i="4"/>
  <c r="A19" i="1" l="1"/>
  <c r="A20" i="1" s="1"/>
  <c r="I20" i="1" s="1"/>
  <c r="B11" i="1"/>
  <c r="E197" i="4"/>
  <c r="H197" i="4"/>
  <c r="A9" i="4"/>
  <c r="A10" i="4" s="1"/>
  <c r="E195" i="4"/>
  <c r="H195" i="4"/>
  <c r="H281" i="4"/>
  <c r="E281" i="4"/>
  <c r="H78" i="4"/>
  <c r="D77" i="4"/>
  <c r="E78" i="4"/>
  <c r="F198" i="4"/>
  <c r="F282" i="4"/>
  <c r="F199" i="4"/>
  <c r="F79" i="4"/>
  <c r="B9" i="4"/>
  <c r="G10" i="1" l="1"/>
  <c r="B12" i="1"/>
  <c r="A21" i="1"/>
  <c r="A22" i="1" s="1"/>
  <c r="I22" i="1" s="1"/>
  <c r="D279" i="4"/>
  <c r="D194" i="4"/>
  <c r="A11" i="4"/>
  <c r="A12" i="4" s="1"/>
  <c r="D76" i="4"/>
  <c r="D192" i="4" s="1"/>
  <c r="H77" i="4"/>
  <c r="E77" i="4"/>
  <c r="F281" i="4"/>
  <c r="F78" i="4"/>
  <c r="F197" i="4"/>
  <c r="B10" i="4"/>
  <c r="B13" i="1" l="1"/>
  <c r="A23" i="1"/>
  <c r="A24" i="1" s="1"/>
  <c r="I24" i="1" s="1"/>
  <c r="E192" i="4"/>
  <c r="H192" i="4"/>
  <c r="H279" i="4"/>
  <c r="E279" i="4"/>
  <c r="A13" i="4"/>
  <c r="A14" i="4" s="1"/>
  <c r="E194" i="4"/>
  <c r="H194" i="4"/>
  <c r="D75" i="4"/>
  <c r="E76" i="4"/>
  <c r="H76" i="4"/>
  <c r="F77" i="4"/>
  <c r="F196" i="4"/>
  <c r="F195" i="4"/>
  <c r="F280" i="4"/>
  <c r="B11" i="4"/>
  <c r="G12" i="1" l="1"/>
  <c r="A25" i="1"/>
  <c r="B14" i="1"/>
  <c r="D191" i="4"/>
  <c r="D277" i="4"/>
  <c r="A15" i="4"/>
  <c r="A16" i="4" s="1"/>
  <c r="D74" i="4"/>
  <c r="D189" i="4" s="1"/>
  <c r="H75" i="4"/>
  <c r="E75" i="4"/>
  <c r="F194" i="4"/>
  <c r="F279" i="4"/>
  <c r="F76" i="4"/>
  <c r="B12" i="4"/>
  <c r="A26" i="1" l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B15" i="1"/>
  <c r="G14" i="1" s="1"/>
  <c r="H277" i="4"/>
  <c r="E277" i="4"/>
  <c r="A17" i="4"/>
  <c r="A18" i="4" s="1"/>
  <c r="E189" i="4"/>
  <c r="H189" i="4"/>
  <c r="H191" i="4"/>
  <c r="E191" i="4"/>
  <c r="H74" i="4"/>
  <c r="D73" i="4"/>
  <c r="E74" i="4"/>
  <c r="F193" i="4"/>
  <c r="F278" i="4"/>
  <c r="F75" i="4"/>
  <c r="F192" i="4"/>
  <c r="B13" i="4"/>
  <c r="I28" i="1" l="1"/>
  <c r="A100" i="1"/>
  <c r="A101" i="1" s="1"/>
  <c r="I99" i="1"/>
  <c r="I26" i="1"/>
  <c r="I30" i="1"/>
  <c r="B16" i="1"/>
  <c r="A19" i="4"/>
  <c r="A20" i="4" s="1"/>
  <c r="D188" i="4"/>
  <c r="D275" i="4"/>
  <c r="E73" i="4"/>
  <c r="H73" i="4"/>
  <c r="D72" i="4"/>
  <c r="D186" i="4" s="1"/>
  <c r="F277" i="4"/>
  <c r="F74" i="4"/>
  <c r="F191" i="4"/>
  <c r="B14" i="4"/>
  <c r="A102" i="1" l="1"/>
  <c r="A103" i="1" s="1"/>
  <c r="F101" i="1"/>
  <c r="B17" i="1"/>
  <c r="H275" i="4"/>
  <c r="E275" i="4"/>
  <c r="H186" i="4"/>
  <c r="E186" i="4"/>
  <c r="H188" i="4"/>
  <c r="E188" i="4"/>
  <c r="A21" i="4"/>
  <c r="A22" i="4" s="1"/>
  <c r="D71" i="4"/>
  <c r="H72" i="4"/>
  <c r="E72" i="4"/>
  <c r="F73" i="4"/>
  <c r="F190" i="4"/>
  <c r="F189" i="4"/>
  <c r="F276" i="4"/>
  <c r="B15" i="4"/>
  <c r="A104" i="1" l="1"/>
  <c r="A105" i="1" s="1"/>
  <c r="I103" i="1"/>
  <c r="G16" i="1"/>
  <c r="B18" i="1"/>
  <c r="A23" i="4"/>
  <c r="A24" i="4" s="1"/>
  <c r="D273" i="4"/>
  <c r="D185" i="4"/>
  <c r="D70" i="4"/>
  <c r="D183" i="4" s="1"/>
  <c r="H71" i="4"/>
  <c r="E71" i="4"/>
  <c r="F188" i="4"/>
  <c r="F275" i="4"/>
  <c r="F72" i="4"/>
  <c r="B16" i="4"/>
  <c r="A106" i="1" l="1"/>
  <c r="A107" i="1" s="1"/>
  <c r="I105" i="1"/>
  <c r="B19" i="1"/>
  <c r="H185" i="4"/>
  <c r="E185" i="4"/>
  <c r="E273" i="4"/>
  <c r="H273" i="4"/>
  <c r="H183" i="4"/>
  <c r="E183" i="4"/>
  <c r="A25" i="4"/>
  <c r="A26" i="4" s="1"/>
  <c r="H70" i="4"/>
  <c r="D69" i="4"/>
  <c r="E70" i="4"/>
  <c r="F186" i="4"/>
  <c r="F274" i="4"/>
  <c r="F71" i="4"/>
  <c r="F187" i="4"/>
  <c r="B17" i="4"/>
  <c r="A108" i="1" l="1"/>
  <c r="A109" i="1" s="1"/>
  <c r="I107" i="1"/>
  <c r="B20" i="1"/>
  <c r="D271" i="4"/>
  <c r="D182" i="4"/>
  <c r="A27" i="4"/>
  <c r="A28" i="4" s="1"/>
  <c r="E69" i="4"/>
  <c r="D68" i="4"/>
  <c r="D180" i="4" s="1"/>
  <c r="H69" i="4"/>
  <c r="F273" i="4"/>
  <c r="F70" i="4"/>
  <c r="F185" i="4"/>
  <c r="B18" i="4"/>
  <c r="I109" i="1" l="1"/>
  <c r="A110" i="1"/>
  <c r="A111" i="1" s="1"/>
  <c r="B21" i="1"/>
  <c r="G20" i="1" s="1"/>
  <c r="A29" i="4"/>
  <c r="A30" i="4" s="1"/>
  <c r="H180" i="4"/>
  <c r="E180" i="4"/>
  <c r="E182" i="4"/>
  <c r="H182" i="4"/>
  <c r="H271" i="4"/>
  <c r="E271" i="4"/>
  <c r="D67" i="4"/>
  <c r="H68" i="4"/>
  <c r="E68" i="4"/>
  <c r="F69" i="4"/>
  <c r="F272" i="4"/>
  <c r="F184" i="4"/>
  <c r="F183" i="4"/>
  <c r="B19" i="4"/>
  <c r="A112" i="1" l="1"/>
  <c r="A113" i="1" s="1"/>
  <c r="I111" i="1"/>
  <c r="B22" i="1"/>
  <c r="D179" i="4"/>
  <c r="D269" i="4"/>
  <c r="A31" i="4"/>
  <c r="A32" i="4" s="1"/>
  <c r="A33" i="4" s="1"/>
  <c r="D66" i="4"/>
  <c r="D177" i="4" s="1"/>
  <c r="H67" i="4"/>
  <c r="E67" i="4"/>
  <c r="F182" i="4"/>
  <c r="F271" i="4"/>
  <c r="F68" i="4"/>
  <c r="B20" i="4"/>
  <c r="A114" i="1" l="1"/>
  <c r="A115" i="1" s="1"/>
  <c r="I113" i="1"/>
  <c r="B23" i="1"/>
  <c r="H269" i="4"/>
  <c r="E269" i="4"/>
  <c r="A34" i="4"/>
  <c r="A35" i="4" s="1"/>
  <c r="E177" i="4"/>
  <c r="H177" i="4"/>
  <c r="H179" i="4"/>
  <c r="E179" i="4"/>
  <c r="H66" i="4"/>
  <c r="D65" i="4"/>
  <c r="E66" i="4"/>
  <c r="F181" i="4"/>
  <c r="F270" i="4"/>
  <c r="F67" i="4"/>
  <c r="F180" i="4"/>
  <c r="B21" i="4"/>
  <c r="A116" i="1" l="1"/>
  <c r="A117" i="1" s="1"/>
  <c r="I115" i="1"/>
  <c r="B24" i="1"/>
  <c r="A36" i="4"/>
  <c r="A37" i="4" s="1"/>
  <c r="D267" i="4"/>
  <c r="D176" i="4"/>
  <c r="E65" i="4"/>
  <c r="D64" i="4"/>
  <c r="D174" i="4" s="1"/>
  <c r="H65" i="4"/>
  <c r="F269" i="4"/>
  <c r="F66" i="4"/>
  <c r="F179" i="4"/>
  <c r="B22" i="4"/>
  <c r="I117" i="1" l="1"/>
  <c r="A118" i="1"/>
  <c r="A119" i="1" s="1"/>
  <c r="B25" i="1"/>
  <c r="H176" i="4"/>
  <c r="E176" i="4"/>
  <c r="H267" i="4"/>
  <c r="E267" i="4"/>
  <c r="H174" i="4"/>
  <c r="E174" i="4"/>
  <c r="A38" i="4"/>
  <c r="A39" i="4" s="1"/>
  <c r="D63" i="4"/>
  <c r="H64" i="4"/>
  <c r="E64" i="4"/>
  <c r="F65" i="4"/>
  <c r="F178" i="4"/>
  <c r="F177" i="4"/>
  <c r="F268" i="4"/>
  <c r="B23" i="4"/>
  <c r="B26" i="1" l="1"/>
  <c r="A120" i="1"/>
  <c r="A121" i="1" s="1"/>
  <c r="I119" i="1"/>
  <c r="G24" i="1"/>
  <c r="A40" i="4"/>
  <c r="A41" i="4" s="1"/>
  <c r="D265" i="4"/>
  <c r="D173" i="4"/>
  <c r="E63" i="4"/>
  <c r="D62" i="4"/>
  <c r="D171" i="4" s="1"/>
  <c r="H63" i="4"/>
  <c r="F176" i="4"/>
  <c r="F267" i="4"/>
  <c r="F64" i="4"/>
  <c r="B24" i="4"/>
  <c r="A122" i="1" l="1"/>
  <c r="A123" i="1" s="1"/>
  <c r="I121" i="1"/>
  <c r="B27" i="1"/>
  <c r="G26" i="1" s="1"/>
  <c r="H173" i="4"/>
  <c r="E173" i="4"/>
  <c r="H265" i="4"/>
  <c r="E265" i="4"/>
  <c r="H171" i="4"/>
  <c r="E171" i="4"/>
  <c r="A42" i="4"/>
  <c r="A43" i="4" s="1"/>
  <c r="H62" i="4"/>
  <c r="E62" i="4"/>
  <c r="D61" i="4"/>
  <c r="F174" i="4"/>
  <c r="F266" i="4"/>
  <c r="F63" i="4"/>
  <c r="F175" i="4"/>
  <c r="B25" i="4"/>
  <c r="B28" i="1" l="1"/>
  <c r="A124" i="1"/>
  <c r="A125" i="1" s="1"/>
  <c r="I123" i="1"/>
  <c r="D170" i="4"/>
  <c r="D263" i="4"/>
  <c r="A44" i="4"/>
  <c r="A45" i="4" s="1"/>
  <c r="E61" i="4"/>
  <c r="D60" i="4"/>
  <c r="D168" i="4" s="1"/>
  <c r="H61" i="4"/>
  <c r="F265" i="4"/>
  <c r="F62" i="4"/>
  <c r="F173" i="4"/>
  <c r="B26" i="4"/>
  <c r="A126" i="1" l="1"/>
  <c r="A127" i="1" s="1"/>
  <c r="I125" i="1"/>
  <c r="B29" i="1"/>
  <c r="A46" i="4"/>
  <c r="A47" i="4" s="1"/>
  <c r="E168" i="4"/>
  <c r="H168" i="4"/>
  <c r="H263" i="4"/>
  <c r="E263" i="4"/>
  <c r="E170" i="4"/>
  <c r="H170" i="4"/>
  <c r="D59" i="4"/>
  <c r="H60" i="4"/>
  <c r="E60" i="4"/>
  <c r="F61" i="4"/>
  <c r="F172" i="4"/>
  <c r="F171" i="4"/>
  <c r="F264" i="4"/>
  <c r="B27" i="4"/>
  <c r="B30" i="1" l="1"/>
  <c r="A128" i="1"/>
  <c r="I127" i="1"/>
  <c r="D261" i="4"/>
  <c r="D167" i="4"/>
  <c r="A48" i="4"/>
  <c r="A49" i="4" s="1"/>
  <c r="E59" i="4"/>
  <c r="D58" i="4"/>
  <c r="D165" i="4" s="1"/>
  <c r="H59" i="4"/>
  <c r="F170" i="4"/>
  <c r="F263" i="4"/>
  <c r="F60" i="4"/>
  <c r="B28" i="4"/>
  <c r="A129" i="1" l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B31" i="1"/>
  <c r="G30" i="1" s="1"/>
  <c r="A50" i="4"/>
  <c r="A51" i="4" s="1"/>
  <c r="H165" i="4"/>
  <c r="E165" i="4"/>
  <c r="H167" i="4"/>
  <c r="E167" i="4"/>
  <c r="H261" i="4"/>
  <c r="E261" i="4"/>
  <c r="H58" i="4"/>
  <c r="E58" i="4"/>
  <c r="D57" i="4"/>
  <c r="F169" i="4"/>
  <c r="F262" i="4"/>
  <c r="F59" i="4"/>
  <c r="F168" i="4"/>
  <c r="B29" i="4"/>
  <c r="I203" i="1" l="1"/>
  <c r="A204" i="1"/>
  <c r="A205" i="1" s="1"/>
  <c r="I129" i="1"/>
  <c r="B32" i="1"/>
  <c r="G31" i="1" s="1"/>
  <c r="D164" i="4"/>
  <c r="D259" i="4"/>
  <c r="A52" i="4"/>
  <c r="A53" i="4" s="1"/>
  <c r="E57" i="4"/>
  <c r="D56" i="4"/>
  <c r="D162" i="4" s="1"/>
  <c r="H57" i="4"/>
  <c r="F261" i="4"/>
  <c r="F58" i="4"/>
  <c r="F167" i="4"/>
  <c r="B30" i="4"/>
  <c r="A206" i="1" l="1"/>
  <c r="A207" i="1" s="1"/>
  <c r="F205" i="1"/>
  <c r="B33" i="1"/>
  <c r="H162" i="4"/>
  <c r="E162" i="4"/>
  <c r="H259" i="4"/>
  <c r="E259" i="4"/>
  <c r="A54" i="4"/>
  <c r="A55" i="4" s="1"/>
  <c r="H164" i="4"/>
  <c r="E164" i="4"/>
  <c r="D55" i="4"/>
  <c r="H56" i="4"/>
  <c r="E56" i="4"/>
  <c r="F57" i="4"/>
  <c r="F166" i="4"/>
  <c r="F165" i="4"/>
  <c r="F260" i="4"/>
  <c r="B31" i="4"/>
  <c r="I207" i="1" l="1"/>
  <c r="A208" i="1"/>
  <c r="A209" i="1" s="1"/>
  <c r="B34" i="1"/>
  <c r="D257" i="4"/>
  <c r="D161" i="4"/>
  <c r="A56" i="4"/>
  <c r="A57" i="4" s="1"/>
  <c r="E55" i="4"/>
  <c r="D54" i="4"/>
  <c r="D159" i="4" s="1"/>
  <c r="H55" i="4"/>
  <c r="F164" i="4"/>
  <c r="F259" i="4"/>
  <c r="F56" i="4"/>
  <c r="B32" i="4"/>
  <c r="I209" i="1" l="1"/>
  <c r="A210" i="1"/>
  <c r="A211" i="1" s="1"/>
  <c r="B35" i="1"/>
  <c r="G34" i="1" s="1"/>
  <c r="H257" i="4"/>
  <c r="E257" i="4"/>
  <c r="A58" i="4"/>
  <c r="A59" i="4" s="1"/>
  <c r="A60" i="4" s="1"/>
  <c r="H159" i="4"/>
  <c r="E159" i="4"/>
  <c r="E161" i="4"/>
  <c r="H161" i="4"/>
  <c r="H54" i="4"/>
  <c r="E54" i="4"/>
  <c r="D53" i="4"/>
  <c r="F162" i="4"/>
  <c r="F258" i="4"/>
  <c r="F55" i="4"/>
  <c r="F163" i="4"/>
  <c r="B33" i="4"/>
  <c r="I211" i="1" l="1"/>
  <c r="A212" i="1"/>
  <c r="A213" i="1" s="1"/>
  <c r="B36" i="1"/>
  <c r="A61" i="4"/>
  <c r="A62" i="4" s="1"/>
  <c r="D255" i="4"/>
  <c r="D158" i="4"/>
  <c r="E53" i="4"/>
  <c r="D52" i="4"/>
  <c r="D156" i="4" s="1"/>
  <c r="H53" i="4"/>
  <c r="F257" i="4"/>
  <c r="F54" i="4"/>
  <c r="F161" i="4"/>
  <c r="B34" i="4"/>
  <c r="A214" i="1" l="1"/>
  <c r="A215" i="1" s="1"/>
  <c r="I213" i="1"/>
  <c r="B37" i="1"/>
  <c r="A63" i="4"/>
  <c r="A64" i="4" s="1"/>
  <c r="H158" i="4"/>
  <c r="E158" i="4"/>
  <c r="H255" i="4"/>
  <c r="E255" i="4"/>
  <c r="H156" i="4"/>
  <c r="E156" i="4"/>
  <c r="D51" i="4"/>
  <c r="H52" i="4"/>
  <c r="E52" i="4"/>
  <c r="F53" i="4"/>
  <c r="F160" i="4"/>
  <c r="F159" i="4"/>
  <c r="F256" i="4"/>
  <c r="B35" i="4"/>
  <c r="A216" i="1" l="1"/>
  <c r="A217" i="1" s="1"/>
  <c r="I215" i="1"/>
  <c r="B38" i="1"/>
  <c r="G37" i="1" s="1"/>
  <c r="D253" i="4"/>
  <c r="D155" i="4"/>
  <c r="A65" i="4"/>
  <c r="A66" i="4" s="1"/>
  <c r="E51" i="4"/>
  <c r="D50" i="4"/>
  <c r="D153" i="4" s="1"/>
  <c r="H51" i="4"/>
  <c r="F158" i="4"/>
  <c r="F52" i="4"/>
  <c r="F255" i="4"/>
  <c r="B36" i="4"/>
  <c r="I217" i="1" l="1"/>
  <c r="A218" i="1"/>
  <c r="A219" i="1" s="1"/>
  <c r="B39" i="1"/>
  <c r="H253" i="4"/>
  <c r="E253" i="4"/>
  <c r="A67" i="4"/>
  <c r="A68" i="4" s="1"/>
  <c r="H153" i="4"/>
  <c r="E153" i="4"/>
  <c r="H155" i="4"/>
  <c r="E155" i="4"/>
  <c r="H50" i="4"/>
  <c r="E50" i="4"/>
  <c r="D49" i="4"/>
  <c r="F157" i="4"/>
  <c r="F254" i="4"/>
  <c r="F51" i="4"/>
  <c r="F156" i="4"/>
  <c r="B37" i="4"/>
  <c r="I219" i="1" l="1"/>
  <c r="A220" i="1"/>
  <c r="A221" i="1" s="1"/>
  <c r="B40" i="1"/>
  <c r="A69" i="4"/>
  <c r="A70" i="4" s="1"/>
  <c r="D251" i="4"/>
  <c r="D152" i="4"/>
  <c r="E49" i="4"/>
  <c r="H49" i="4"/>
  <c r="D48" i="4"/>
  <c r="D150" i="4" s="1"/>
  <c r="F253" i="4"/>
  <c r="F50" i="4"/>
  <c r="F155" i="4"/>
  <c r="B38" i="4"/>
  <c r="A222" i="1" l="1"/>
  <c r="A223" i="1" s="1"/>
  <c r="I221" i="1"/>
  <c r="B41" i="1"/>
  <c r="G40" i="1" s="1"/>
  <c r="A71" i="4"/>
  <c r="A72" i="4" s="1"/>
  <c r="E152" i="4"/>
  <c r="H152" i="4"/>
  <c r="H150" i="4"/>
  <c r="E150" i="4"/>
  <c r="H251" i="4"/>
  <c r="E251" i="4"/>
  <c r="D47" i="4"/>
  <c r="H48" i="4"/>
  <c r="E48" i="4"/>
  <c r="F49" i="4"/>
  <c r="F154" i="4"/>
  <c r="F153" i="4"/>
  <c r="F252" i="4"/>
  <c r="B39" i="4"/>
  <c r="A224" i="1" l="1"/>
  <c r="A225" i="1" s="1"/>
  <c r="I223" i="1"/>
  <c r="B42" i="1"/>
  <c r="D249" i="4"/>
  <c r="D149" i="4"/>
  <c r="A73" i="4"/>
  <c r="A74" i="4" s="1"/>
  <c r="E47" i="4"/>
  <c r="D46" i="4"/>
  <c r="D147" i="4" s="1"/>
  <c r="H47" i="4"/>
  <c r="F152" i="4"/>
  <c r="F251" i="4"/>
  <c r="F48" i="4"/>
  <c r="B40" i="4"/>
  <c r="F438" i="1" l="1"/>
  <c r="I225" i="1"/>
  <c r="A226" i="1"/>
  <c r="A227" i="1" s="1"/>
  <c r="B43" i="1"/>
  <c r="H249" i="4"/>
  <c r="E249" i="4"/>
  <c r="A75" i="4"/>
  <c r="A76" i="4" s="1"/>
  <c r="H147" i="4"/>
  <c r="E147" i="4"/>
  <c r="H149" i="4"/>
  <c r="E149" i="4"/>
  <c r="H46" i="4"/>
  <c r="E46" i="4"/>
  <c r="D45" i="4"/>
  <c r="F150" i="4"/>
  <c r="F250" i="4"/>
  <c r="F151" i="4"/>
  <c r="F47" i="4"/>
  <c r="B41" i="4"/>
  <c r="I440" i="1" l="1"/>
  <c r="I227" i="1"/>
  <c r="A228" i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B44" i="1"/>
  <c r="G43" i="1" s="1"/>
  <c r="D247" i="4"/>
  <c r="D146" i="4"/>
  <c r="A77" i="4"/>
  <c r="A78" i="4" s="1"/>
  <c r="E45" i="4"/>
  <c r="D44" i="4"/>
  <c r="D144" i="4" s="1"/>
  <c r="H45" i="4"/>
  <c r="F249" i="4"/>
  <c r="F46" i="4"/>
  <c r="F149" i="4"/>
  <c r="B42" i="4"/>
  <c r="I441" i="1" l="1"/>
  <c r="I300" i="1"/>
  <c r="A301" i="1"/>
  <c r="A302" i="1" s="1"/>
  <c r="F232" i="1"/>
  <c r="I231" i="1"/>
  <c r="I229" i="1"/>
  <c r="I234" i="1"/>
  <c r="B45" i="1"/>
  <c r="F130" i="1"/>
  <c r="F31" i="1"/>
  <c r="I33" i="1"/>
  <c r="A79" i="4"/>
  <c r="A80" i="4" s="1"/>
  <c r="H144" i="4"/>
  <c r="E144" i="4"/>
  <c r="E146" i="4"/>
  <c r="H146" i="4"/>
  <c r="H247" i="4"/>
  <c r="E247" i="4"/>
  <c r="D43" i="4"/>
  <c r="H44" i="4"/>
  <c r="E44" i="4"/>
  <c r="F45" i="4"/>
  <c r="F248" i="4"/>
  <c r="F148" i="4"/>
  <c r="F147" i="4"/>
  <c r="B43" i="4"/>
  <c r="I443" i="1" l="1"/>
  <c r="F302" i="1"/>
  <c r="A303" i="1"/>
  <c r="A304" i="1" s="1"/>
  <c r="I235" i="1"/>
  <c r="B46" i="1"/>
  <c r="I132" i="1"/>
  <c r="I34" i="1"/>
  <c r="D143" i="4"/>
  <c r="D245" i="4"/>
  <c r="A81" i="4"/>
  <c r="A82" i="4" s="1"/>
  <c r="E43" i="4"/>
  <c r="D42" i="4"/>
  <c r="D141" i="4" s="1"/>
  <c r="H43" i="4"/>
  <c r="F146" i="4"/>
  <c r="F44" i="4"/>
  <c r="F247" i="4"/>
  <c r="B44" i="4"/>
  <c r="G43" i="4" s="1"/>
  <c r="I444" i="1" l="1"/>
  <c r="A305" i="1"/>
  <c r="A306" i="1" s="1"/>
  <c r="I304" i="1"/>
  <c r="I237" i="1"/>
  <c r="B47" i="1"/>
  <c r="G46" i="1" s="1"/>
  <c r="I133" i="1"/>
  <c r="I36" i="1"/>
  <c r="H143" i="4"/>
  <c r="E143" i="4"/>
  <c r="A83" i="4"/>
  <c r="A84" i="4" s="1"/>
  <c r="H141" i="4"/>
  <c r="E141" i="4"/>
  <c r="H245" i="4"/>
  <c r="E245" i="4"/>
  <c r="H42" i="4"/>
  <c r="E42" i="4"/>
  <c r="D41" i="4"/>
  <c r="G42" i="4"/>
  <c r="F43" i="4"/>
  <c r="F145" i="4"/>
  <c r="F246" i="4"/>
  <c r="F144" i="4"/>
  <c r="B45" i="4"/>
  <c r="G44" i="4" s="1"/>
  <c r="I446" i="1" l="1"/>
  <c r="I306" i="1"/>
  <c r="A307" i="1"/>
  <c r="A308" i="1" s="1"/>
  <c r="I238" i="1"/>
  <c r="B48" i="1"/>
  <c r="I135" i="1"/>
  <c r="I37" i="1"/>
  <c r="D243" i="4"/>
  <c r="D140" i="4"/>
  <c r="A85" i="4"/>
  <c r="E41" i="4"/>
  <c r="H41" i="4"/>
  <c r="D40" i="4"/>
  <c r="D138" i="4" s="1"/>
  <c r="G41" i="4"/>
  <c r="F42" i="4"/>
  <c r="F245" i="4"/>
  <c r="F143" i="4"/>
  <c r="B46" i="4"/>
  <c r="G45" i="4" s="1"/>
  <c r="I447" i="1" l="1"/>
  <c r="A309" i="1"/>
  <c r="A310" i="1" s="1"/>
  <c r="I308" i="1"/>
  <c r="I240" i="1"/>
  <c r="B49" i="1"/>
  <c r="I136" i="1"/>
  <c r="I39" i="1"/>
  <c r="H138" i="4"/>
  <c r="E138" i="4"/>
  <c r="A86" i="4"/>
  <c r="A87" i="4" s="1"/>
  <c r="F85" i="4"/>
  <c r="H140" i="4"/>
  <c r="E140" i="4"/>
  <c r="H243" i="4"/>
  <c r="E243" i="4"/>
  <c r="D39" i="4"/>
  <c r="H40" i="4"/>
  <c r="E40" i="4"/>
  <c r="G40" i="4"/>
  <c r="F41" i="4"/>
  <c r="F142" i="4"/>
  <c r="F244" i="4"/>
  <c r="F141" i="4"/>
  <c r="B47" i="4"/>
  <c r="G46" i="4" s="1"/>
  <c r="I449" i="1" l="1"/>
  <c r="A311" i="1"/>
  <c r="A312" i="1" s="1"/>
  <c r="I310" i="1"/>
  <c r="I241" i="1"/>
  <c r="B50" i="1"/>
  <c r="G49" i="1" s="1"/>
  <c r="I138" i="1"/>
  <c r="I40" i="1"/>
  <c r="A88" i="4"/>
  <c r="D241" i="4"/>
  <c r="D137" i="4"/>
  <c r="E39" i="4"/>
  <c r="D38" i="4"/>
  <c r="D135" i="4" s="1"/>
  <c r="H39" i="4"/>
  <c r="G39" i="4"/>
  <c r="F243" i="4"/>
  <c r="F40" i="4"/>
  <c r="F140" i="4"/>
  <c r="B48" i="4"/>
  <c r="G47" i="4" s="1"/>
  <c r="I450" i="1" l="1"/>
  <c r="I312" i="1"/>
  <c r="A313" i="1"/>
  <c r="A314" i="1" s="1"/>
  <c r="F409" i="1"/>
  <c r="E332" i="1"/>
  <c r="D331" i="1"/>
  <c r="I243" i="1"/>
  <c r="B51" i="1"/>
  <c r="F201" i="1"/>
  <c r="F171" i="1"/>
  <c r="F172" i="1"/>
  <c r="I139" i="1"/>
  <c r="I42" i="1"/>
  <c r="H137" i="4"/>
  <c r="E137" i="4"/>
  <c r="E241" i="4"/>
  <c r="H241" i="4"/>
  <c r="H135" i="4"/>
  <c r="E135" i="4"/>
  <c r="A89" i="4"/>
  <c r="A90" i="4" s="1"/>
  <c r="H38" i="4"/>
  <c r="E38" i="4"/>
  <c r="D37" i="4"/>
  <c r="G38" i="4"/>
  <c r="F242" i="4"/>
  <c r="F39" i="4"/>
  <c r="F138" i="4"/>
  <c r="F139" i="4"/>
  <c r="B49" i="4"/>
  <c r="G48" i="4" s="1"/>
  <c r="D376" i="1" l="1"/>
  <c r="H376" i="1" s="1"/>
  <c r="H331" i="1"/>
  <c r="I452" i="1"/>
  <c r="E376" i="1"/>
  <c r="I314" i="1"/>
  <c r="A315" i="1"/>
  <c r="A316" i="1" s="1"/>
  <c r="D408" i="1"/>
  <c r="H408" i="1" s="1"/>
  <c r="E331" i="1"/>
  <c r="F408" i="1"/>
  <c r="I244" i="1"/>
  <c r="B52" i="1"/>
  <c r="I141" i="1"/>
  <c r="F200" i="1"/>
  <c r="F170" i="1"/>
  <c r="I43" i="1"/>
  <c r="D239" i="4"/>
  <c r="D134" i="4"/>
  <c r="A91" i="4"/>
  <c r="E37" i="4"/>
  <c r="D36" i="4"/>
  <c r="D132" i="4" s="1"/>
  <c r="H37" i="4"/>
  <c r="G37" i="4"/>
  <c r="F241" i="4"/>
  <c r="F137" i="4"/>
  <c r="F38" i="4"/>
  <c r="B50" i="4"/>
  <c r="G49" i="4" s="1"/>
  <c r="I453" i="1" l="1"/>
  <c r="I316" i="1"/>
  <c r="A317" i="1"/>
  <c r="A318" i="1" s="1"/>
  <c r="E408" i="1"/>
  <c r="E330" i="1"/>
  <c r="D329" i="1"/>
  <c r="F407" i="1"/>
  <c r="I246" i="1"/>
  <c r="B53" i="1"/>
  <c r="G52" i="1" s="1"/>
  <c r="F199" i="1"/>
  <c r="F168" i="1"/>
  <c r="F169" i="1"/>
  <c r="I142" i="1"/>
  <c r="I45" i="1"/>
  <c r="H239" i="4"/>
  <c r="E239" i="4"/>
  <c r="A92" i="4"/>
  <c r="A93" i="4" s="1"/>
  <c r="E132" i="4"/>
  <c r="H132" i="4"/>
  <c r="E134" i="4"/>
  <c r="H134" i="4"/>
  <c r="D35" i="4"/>
  <c r="H36" i="4"/>
  <c r="E36" i="4"/>
  <c r="G36" i="4"/>
  <c r="F136" i="4"/>
  <c r="F240" i="4"/>
  <c r="F37" i="4"/>
  <c r="F135" i="4"/>
  <c r="B51" i="4"/>
  <c r="D373" i="1" l="1"/>
  <c r="H373" i="1" s="1"/>
  <c r="H329" i="1"/>
  <c r="D473" i="1"/>
  <c r="E437" i="1"/>
  <c r="D436" i="1"/>
  <c r="I455" i="1"/>
  <c r="E373" i="1"/>
  <c r="I318" i="1"/>
  <c r="A319" i="1"/>
  <c r="A320" i="1" s="1"/>
  <c r="F406" i="1"/>
  <c r="D406" i="1"/>
  <c r="H406" i="1" s="1"/>
  <c r="E329" i="1"/>
  <c r="I247" i="1"/>
  <c r="B54" i="1"/>
  <c r="F198" i="1"/>
  <c r="F167" i="1"/>
  <c r="I144" i="1"/>
  <c r="I46" i="1"/>
  <c r="A94" i="4"/>
  <c r="D131" i="4"/>
  <c r="D237" i="4"/>
  <c r="E35" i="4"/>
  <c r="D34" i="4"/>
  <c r="D129" i="4" s="1"/>
  <c r="H35" i="4"/>
  <c r="G35" i="4"/>
  <c r="F36" i="4"/>
  <c r="F134" i="4"/>
  <c r="F239" i="4"/>
  <c r="B52" i="4"/>
  <c r="G50" i="4"/>
  <c r="D498" i="1" l="1"/>
  <c r="D472" i="1"/>
  <c r="E436" i="1"/>
  <c r="I456" i="1"/>
  <c r="E473" i="1"/>
  <c r="I320" i="1"/>
  <c r="A321" i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E406" i="1"/>
  <c r="F405" i="1"/>
  <c r="D327" i="1"/>
  <c r="E328" i="1"/>
  <c r="I249" i="1"/>
  <c r="B55" i="1"/>
  <c r="I145" i="1"/>
  <c r="F197" i="1"/>
  <c r="F165" i="1"/>
  <c r="F166" i="1"/>
  <c r="D128" i="1"/>
  <c r="H128" i="1" s="1"/>
  <c r="D171" i="1"/>
  <c r="H171" i="1" s="1"/>
  <c r="E129" i="1"/>
  <c r="D69" i="1"/>
  <c r="H69" i="1" s="1"/>
  <c r="E30" i="1"/>
  <c r="D29" i="1"/>
  <c r="F70" i="1"/>
  <c r="F69" i="1"/>
  <c r="F97" i="1"/>
  <c r="I48" i="1"/>
  <c r="H237" i="4"/>
  <c r="E237" i="4"/>
  <c r="H131" i="4"/>
  <c r="E131" i="4"/>
  <c r="H129" i="4"/>
  <c r="E129" i="4"/>
  <c r="A95" i="4"/>
  <c r="A96" i="4" s="1"/>
  <c r="H34" i="4"/>
  <c r="E34" i="4"/>
  <c r="D33" i="4"/>
  <c r="G34" i="4"/>
  <c r="F132" i="4"/>
  <c r="F238" i="4"/>
  <c r="F133" i="4"/>
  <c r="F35" i="4"/>
  <c r="B53" i="4"/>
  <c r="G52" i="4" s="1"/>
  <c r="G51" i="4"/>
  <c r="D370" i="1" l="1"/>
  <c r="H370" i="1" s="1"/>
  <c r="H327" i="1"/>
  <c r="I411" i="1"/>
  <c r="A412" i="1"/>
  <c r="A413" i="1" s="1"/>
  <c r="D470" i="1"/>
  <c r="E435" i="1"/>
  <c r="D434" i="1"/>
  <c r="E498" i="1"/>
  <c r="E472" i="1"/>
  <c r="I458" i="1"/>
  <c r="E370" i="1"/>
  <c r="I322" i="1"/>
  <c r="D404" i="1"/>
  <c r="H404" i="1" s="1"/>
  <c r="E327" i="1"/>
  <c r="F404" i="1"/>
  <c r="I250" i="1"/>
  <c r="H29" i="1"/>
  <c r="G29" i="1"/>
  <c r="B56" i="1"/>
  <c r="G55" i="1" s="1"/>
  <c r="E171" i="1"/>
  <c r="F196" i="1"/>
  <c r="F164" i="1"/>
  <c r="D170" i="1"/>
  <c r="H170" i="1" s="1"/>
  <c r="D200" i="1"/>
  <c r="H200" i="1" s="1"/>
  <c r="E128" i="1"/>
  <c r="I147" i="1"/>
  <c r="I49" i="1"/>
  <c r="D96" i="1"/>
  <c r="H96" i="1" s="1"/>
  <c r="E29" i="1"/>
  <c r="D68" i="1"/>
  <c r="H68" i="1" s="1"/>
  <c r="D28" i="1"/>
  <c r="F96" i="1"/>
  <c r="F68" i="1"/>
  <c r="E69" i="1"/>
  <c r="D128" i="4"/>
  <c r="D235" i="4"/>
  <c r="A97" i="4"/>
  <c r="E33" i="4"/>
  <c r="H33" i="4"/>
  <c r="D32" i="4"/>
  <c r="D126" i="4" s="1"/>
  <c r="G33" i="4"/>
  <c r="F131" i="4"/>
  <c r="F237" i="4"/>
  <c r="F34" i="4"/>
  <c r="B54" i="4"/>
  <c r="G53" i="4" s="1"/>
  <c r="A414" i="1" l="1"/>
  <c r="A415" i="1" s="1"/>
  <c r="F413" i="1"/>
  <c r="I459" i="1"/>
  <c r="D496" i="1"/>
  <c r="D469" i="1"/>
  <c r="E434" i="1"/>
  <c r="E470" i="1"/>
  <c r="I324" i="1"/>
  <c r="E404" i="1"/>
  <c r="E326" i="1"/>
  <c r="D325" i="1"/>
  <c r="F403" i="1"/>
  <c r="F271" i="1"/>
  <c r="F270" i="1"/>
  <c r="I252" i="1"/>
  <c r="D270" i="1"/>
  <c r="H270" i="1" s="1"/>
  <c r="E231" i="1"/>
  <c r="D230" i="1"/>
  <c r="H230" i="1" s="1"/>
  <c r="H28" i="1"/>
  <c r="G28" i="1"/>
  <c r="B57" i="1"/>
  <c r="I148" i="1"/>
  <c r="D168" i="1"/>
  <c r="H168" i="1" s="1"/>
  <c r="E127" i="1"/>
  <c r="D126" i="1"/>
  <c r="H126" i="1" s="1"/>
  <c r="E200" i="1"/>
  <c r="E170" i="1"/>
  <c r="F195" i="1"/>
  <c r="F163" i="1"/>
  <c r="F162" i="1"/>
  <c r="D66" i="1"/>
  <c r="H66" i="1" s="1"/>
  <c r="E28" i="1"/>
  <c r="D27" i="1"/>
  <c r="E96" i="1"/>
  <c r="F95" i="1"/>
  <c r="F67" i="1"/>
  <c r="F66" i="1"/>
  <c r="E68" i="1"/>
  <c r="I51" i="1"/>
  <c r="H128" i="4"/>
  <c r="E128" i="4"/>
  <c r="H126" i="4"/>
  <c r="E126" i="4"/>
  <c r="A98" i="4"/>
  <c r="A99" i="4" s="1"/>
  <c r="H235" i="4"/>
  <c r="E235" i="4"/>
  <c r="D31" i="4"/>
  <c r="H32" i="4"/>
  <c r="E32" i="4"/>
  <c r="G32" i="4"/>
  <c r="F129" i="4"/>
  <c r="F33" i="4"/>
  <c r="F130" i="4"/>
  <c r="F236" i="4"/>
  <c r="B55" i="4"/>
  <c r="D367" i="1" l="1"/>
  <c r="H367" i="1" s="1"/>
  <c r="H325" i="1"/>
  <c r="I415" i="1"/>
  <c r="A416" i="1"/>
  <c r="A417" i="1" s="1"/>
  <c r="D467" i="1"/>
  <c r="D432" i="1"/>
  <c r="E433" i="1"/>
  <c r="I461" i="1"/>
  <c r="F499" i="1"/>
  <c r="F474" i="1"/>
  <c r="F473" i="1"/>
  <c r="E469" i="1"/>
  <c r="E496" i="1"/>
  <c r="E367" i="1"/>
  <c r="I326" i="1"/>
  <c r="D402" i="1"/>
  <c r="H402" i="1" s="1"/>
  <c r="E325" i="1"/>
  <c r="F402" i="1"/>
  <c r="I253" i="1"/>
  <c r="F297" i="1"/>
  <c r="F269" i="1"/>
  <c r="E270" i="1"/>
  <c r="D297" i="1"/>
  <c r="H297" i="1" s="1"/>
  <c r="D269" i="1"/>
  <c r="H269" i="1" s="1"/>
  <c r="D229" i="1"/>
  <c r="H229" i="1" s="1"/>
  <c r="E230" i="1"/>
  <c r="H27" i="1"/>
  <c r="G27" i="1"/>
  <c r="B58" i="1"/>
  <c r="E168" i="1"/>
  <c r="D167" i="1"/>
  <c r="H167" i="1" s="1"/>
  <c r="E126" i="1"/>
  <c r="D198" i="1"/>
  <c r="H198" i="1" s="1"/>
  <c r="F194" i="1"/>
  <c r="F161" i="1"/>
  <c r="I150" i="1"/>
  <c r="I52" i="1"/>
  <c r="F94" i="1"/>
  <c r="F65" i="1"/>
  <c r="E66" i="1"/>
  <c r="D94" i="1"/>
  <c r="H94" i="1" s="1"/>
  <c r="D65" i="1"/>
  <c r="H65" i="1" s="1"/>
  <c r="E27" i="1"/>
  <c r="D233" i="4"/>
  <c r="D125" i="4"/>
  <c r="A100" i="4"/>
  <c r="E31" i="4"/>
  <c r="D30" i="4"/>
  <c r="D123" i="4" s="1"/>
  <c r="H31" i="4"/>
  <c r="G31" i="4"/>
  <c r="F32" i="4"/>
  <c r="F235" i="4"/>
  <c r="F128" i="4"/>
  <c r="B56" i="4"/>
  <c r="G55" i="4" s="1"/>
  <c r="G54" i="4"/>
  <c r="A418" i="1" l="1"/>
  <c r="A419" i="1" s="1"/>
  <c r="I417" i="1"/>
  <c r="D494" i="1"/>
  <c r="D466" i="1"/>
  <c r="E432" i="1"/>
  <c r="F498" i="1"/>
  <c r="F472" i="1"/>
  <c r="I462" i="1"/>
  <c r="E467" i="1"/>
  <c r="I328" i="1"/>
  <c r="E324" i="1"/>
  <c r="D323" i="1"/>
  <c r="E402" i="1"/>
  <c r="F401" i="1"/>
  <c r="E269" i="1"/>
  <c r="E297" i="1"/>
  <c r="I255" i="1"/>
  <c r="D267" i="1"/>
  <c r="H267" i="1" s="1"/>
  <c r="E229" i="1"/>
  <c r="D228" i="1"/>
  <c r="H228" i="1" s="1"/>
  <c r="F296" i="1"/>
  <c r="F268" i="1"/>
  <c r="F267" i="1"/>
  <c r="B59" i="1"/>
  <c r="G58" i="1" s="1"/>
  <c r="D165" i="1"/>
  <c r="H165" i="1" s="1"/>
  <c r="D124" i="1"/>
  <c r="H124" i="1" s="1"/>
  <c r="E125" i="1"/>
  <c r="I151" i="1"/>
  <c r="F193" i="1"/>
  <c r="F159" i="1"/>
  <c r="F160" i="1"/>
  <c r="E198" i="1"/>
  <c r="E167" i="1"/>
  <c r="D63" i="1"/>
  <c r="H63" i="1" s="1"/>
  <c r="E26" i="1"/>
  <c r="D25" i="1"/>
  <c r="E94" i="1"/>
  <c r="E65" i="1"/>
  <c r="F93" i="1"/>
  <c r="F64" i="1"/>
  <c r="F63" i="1"/>
  <c r="I54" i="1"/>
  <c r="A101" i="4"/>
  <c r="A102" i="4" s="1"/>
  <c r="H123" i="4"/>
  <c r="E123" i="4"/>
  <c r="H125" i="4"/>
  <c r="E125" i="4"/>
  <c r="H233" i="4"/>
  <c r="E233" i="4"/>
  <c r="H30" i="4"/>
  <c r="D29" i="4"/>
  <c r="E30" i="4"/>
  <c r="G30" i="4"/>
  <c r="F234" i="4"/>
  <c r="F31" i="4"/>
  <c r="F127" i="4"/>
  <c r="F126" i="4"/>
  <c r="B57" i="4"/>
  <c r="D364" i="1" l="1"/>
  <c r="H364" i="1" s="1"/>
  <c r="H323" i="1"/>
  <c r="I419" i="1"/>
  <c r="A420" i="1"/>
  <c r="A421" i="1" s="1"/>
  <c r="E431" i="1"/>
  <c r="D430" i="1"/>
  <c r="D464" i="1"/>
  <c r="F497" i="1"/>
  <c r="F471" i="1"/>
  <c r="F470" i="1"/>
  <c r="E466" i="1"/>
  <c r="I464" i="1"/>
  <c r="E494" i="1"/>
  <c r="E364" i="1"/>
  <c r="I330" i="1"/>
  <c r="D400" i="1"/>
  <c r="H400" i="1" s="1"/>
  <c r="E323" i="1"/>
  <c r="F400" i="1"/>
  <c r="E267" i="1"/>
  <c r="D295" i="1"/>
  <c r="H295" i="1" s="1"/>
  <c r="D266" i="1"/>
  <c r="H266" i="1" s="1"/>
  <c r="E228" i="1"/>
  <c r="F295" i="1"/>
  <c r="F266" i="1"/>
  <c r="I256" i="1"/>
  <c r="H25" i="1"/>
  <c r="G25" i="1"/>
  <c r="B60" i="1"/>
  <c r="D196" i="1"/>
  <c r="H196" i="1" s="1"/>
  <c r="E124" i="1"/>
  <c r="D164" i="1"/>
  <c r="H164" i="1" s="1"/>
  <c r="F192" i="1"/>
  <c r="F158" i="1"/>
  <c r="I153" i="1"/>
  <c r="E165" i="1"/>
  <c r="D92" i="1"/>
  <c r="H92" i="1" s="1"/>
  <c r="D62" i="1"/>
  <c r="H62" i="1" s="1"/>
  <c r="E25" i="1"/>
  <c r="F92" i="1"/>
  <c r="F62" i="1"/>
  <c r="I55" i="1"/>
  <c r="E63" i="1"/>
  <c r="D122" i="4"/>
  <c r="D231" i="4"/>
  <c r="A103" i="4"/>
  <c r="E29" i="4"/>
  <c r="D28" i="4"/>
  <c r="D120" i="4" s="1"/>
  <c r="H29" i="4"/>
  <c r="G29" i="4"/>
  <c r="F233" i="4"/>
  <c r="F30" i="4"/>
  <c r="F125" i="4"/>
  <c r="B58" i="4"/>
  <c r="G57" i="4" s="1"/>
  <c r="G56" i="4"/>
  <c r="I421" i="1" l="1"/>
  <c r="A422" i="1"/>
  <c r="A423" i="1" s="1"/>
  <c r="I465" i="1"/>
  <c r="F496" i="1"/>
  <c r="F469" i="1"/>
  <c r="E464" i="1"/>
  <c r="D492" i="1"/>
  <c r="D463" i="1"/>
  <c r="E430" i="1"/>
  <c r="I332" i="1"/>
  <c r="F399" i="1"/>
  <c r="E322" i="1"/>
  <c r="D321" i="1"/>
  <c r="E400" i="1"/>
  <c r="I258" i="1"/>
  <c r="D264" i="1"/>
  <c r="H264" i="1" s="1"/>
  <c r="D226" i="1"/>
  <c r="H226" i="1" s="1"/>
  <c r="E227" i="1"/>
  <c r="E266" i="1"/>
  <c r="F294" i="1"/>
  <c r="F264" i="1"/>
  <c r="F265" i="1"/>
  <c r="E295" i="1"/>
  <c r="B61" i="1"/>
  <c r="E164" i="1"/>
  <c r="E196" i="1"/>
  <c r="F191" i="1"/>
  <c r="F156" i="1"/>
  <c r="F157" i="1"/>
  <c r="I154" i="1"/>
  <c r="D162" i="1"/>
  <c r="H162" i="1" s="1"/>
  <c r="E123" i="1"/>
  <c r="D122" i="1"/>
  <c r="H122" i="1" s="1"/>
  <c r="I57" i="1"/>
  <c r="D60" i="1"/>
  <c r="H60" i="1" s="1"/>
  <c r="D23" i="1"/>
  <c r="E24" i="1"/>
  <c r="F91" i="1"/>
  <c r="F61" i="1"/>
  <c r="F60" i="1"/>
  <c r="E62" i="1"/>
  <c r="E92" i="1"/>
  <c r="A104" i="4"/>
  <c r="A105" i="4" s="1"/>
  <c r="H120" i="4"/>
  <c r="E120" i="4"/>
  <c r="H231" i="4"/>
  <c r="E231" i="4"/>
  <c r="E122" i="4"/>
  <c r="H122" i="4"/>
  <c r="D27" i="4"/>
  <c r="H28" i="4"/>
  <c r="E28" i="4"/>
  <c r="G28" i="4"/>
  <c r="F29" i="4"/>
  <c r="F123" i="4"/>
  <c r="F232" i="4"/>
  <c r="F124" i="4"/>
  <c r="B59" i="4"/>
  <c r="G58" i="4"/>
  <c r="A424" i="1" l="1"/>
  <c r="A425" i="1" s="1"/>
  <c r="I423" i="1"/>
  <c r="D361" i="1"/>
  <c r="H361" i="1" s="1"/>
  <c r="H321" i="1"/>
  <c r="E463" i="1"/>
  <c r="D461" i="1"/>
  <c r="E429" i="1"/>
  <c r="D428" i="1"/>
  <c r="E492" i="1"/>
  <c r="F495" i="1"/>
  <c r="F468" i="1"/>
  <c r="F467" i="1"/>
  <c r="I467" i="1"/>
  <c r="D398" i="1"/>
  <c r="H398" i="1" s="1"/>
  <c r="E321" i="1"/>
  <c r="F398" i="1"/>
  <c r="F293" i="1"/>
  <c r="F263" i="1"/>
  <c r="E264" i="1"/>
  <c r="D293" i="1"/>
  <c r="H293" i="1" s="1"/>
  <c r="D263" i="1"/>
  <c r="H263" i="1" s="1"/>
  <c r="E226" i="1"/>
  <c r="I259" i="1"/>
  <c r="H23" i="1"/>
  <c r="G23" i="1"/>
  <c r="G60" i="1"/>
  <c r="B62" i="1"/>
  <c r="F190" i="1"/>
  <c r="F155" i="1"/>
  <c r="E162" i="1"/>
  <c r="I156" i="1"/>
  <c r="D194" i="1"/>
  <c r="H194" i="1" s="1"/>
  <c r="D161" i="1"/>
  <c r="H161" i="1" s="1"/>
  <c r="E122" i="1"/>
  <c r="F90" i="1"/>
  <c r="F59" i="1"/>
  <c r="E60" i="1"/>
  <c r="D90" i="1"/>
  <c r="H90" i="1" s="1"/>
  <c r="D59" i="1"/>
  <c r="D22" i="1"/>
  <c r="E23" i="1"/>
  <c r="I58" i="1"/>
  <c r="D229" i="4"/>
  <c r="D119" i="4"/>
  <c r="A106" i="4"/>
  <c r="E27" i="4"/>
  <c r="D26" i="4"/>
  <c r="D117" i="4" s="1"/>
  <c r="H27" i="4"/>
  <c r="G27" i="4"/>
  <c r="F122" i="4"/>
  <c r="F231" i="4"/>
  <c r="F28" i="4"/>
  <c r="B60" i="4"/>
  <c r="E361" i="1" l="1"/>
  <c r="I425" i="1"/>
  <c r="A426" i="1"/>
  <c r="A427" i="1" s="1"/>
  <c r="F494" i="1"/>
  <c r="F466" i="1"/>
  <c r="D490" i="1"/>
  <c r="D460" i="1"/>
  <c r="E428" i="1"/>
  <c r="I468" i="1"/>
  <c r="E461" i="1"/>
  <c r="F397" i="1"/>
  <c r="D319" i="1"/>
  <c r="E320" i="1"/>
  <c r="E398" i="1"/>
  <c r="E293" i="1"/>
  <c r="D261" i="1"/>
  <c r="H261" i="1" s="1"/>
  <c r="E225" i="1"/>
  <c r="D224" i="1"/>
  <c r="H224" i="1" s="1"/>
  <c r="I261" i="1"/>
  <c r="F292" i="1"/>
  <c r="F262" i="1"/>
  <c r="F261" i="1"/>
  <c r="E263" i="1"/>
  <c r="B63" i="1"/>
  <c r="G62" i="1" s="1"/>
  <c r="H22" i="1"/>
  <c r="G22" i="1"/>
  <c r="H59" i="1"/>
  <c r="G59" i="1"/>
  <c r="G61" i="1"/>
  <c r="E194" i="1"/>
  <c r="F189" i="1"/>
  <c r="F153" i="1"/>
  <c r="F154" i="1"/>
  <c r="E161" i="1"/>
  <c r="D159" i="1"/>
  <c r="H159" i="1" s="1"/>
  <c r="D120" i="1"/>
  <c r="H120" i="1" s="1"/>
  <c r="E121" i="1"/>
  <c r="I157" i="1"/>
  <c r="E90" i="1"/>
  <c r="E22" i="1"/>
  <c r="D21" i="1"/>
  <c r="D57" i="1"/>
  <c r="F89" i="1"/>
  <c r="F58" i="1"/>
  <c r="F57" i="1"/>
  <c r="I60" i="1"/>
  <c r="E59" i="1"/>
  <c r="H229" i="4"/>
  <c r="E229" i="4"/>
  <c r="A107" i="4"/>
  <c r="A108" i="4" s="1"/>
  <c r="H117" i="4"/>
  <c r="E117" i="4"/>
  <c r="H119" i="4"/>
  <c r="E119" i="4"/>
  <c r="H26" i="4"/>
  <c r="E26" i="4"/>
  <c r="D25" i="4"/>
  <c r="G26" i="4"/>
  <c r="F120" i="4"/>
  <c r="F230" i="4"/>
  <c r="F27" i="4"/>
  <c r="F121" i="4"/>
  <c r="B61" i="4"/>
  <c r="G60" i="4" s="1"/>
  <c r="G59" i="4"/>
  <c r="D358" i="1" l="1"/>
  <c r="H358" i="1" s="1"/>
  <c r="H319" i="1"/>
  <c r="I427" i="1"/>
  <c r="A428" i="1"/>
  <c r="A429" i="1" s="1"/>
  <c r="E490" i="1"/>
  <c r="I470" i="1"/>
  <c r="D458" i="1"/>
  <c r="D426" i="1"/>
  <c r="E427" i="1"/>
  <c r="F493" i="1"/>
  <c r="F465" i="1"/>
  <c r="F464" i="1"/>
  <c r="E460" i="1"/>
  <c r="E358" i="1"/>
  <c r="F396" i="1"/>
  <c r="D396" i="1"/>
  <c r="H396" i="1" s="1"/>
  <c r="E319" i="1"/>
  <c r="I262" i="1"/>
  <c r="E261" i="1"/>
  <c r="D291" i="1"/>
  <c r="H291" i="1" s="1"/>
  <c r="D260" i="1"/>
  <c r="H260" i="1" s="1"/>
  <c r="E224" i="1"/>
  <c r="F291" i="1"/>
  <c r="F260" i="1"/>
  <c r="H21" i="1"/>
  <c r="G21" i="1"/>
  <c r="H57" i="1"/>
  <c r="G57" i="1"/>
  <c r="B64" i="1"/>
  <c r="G63" i="1" s="1"/>
  <c r="F188" i="1"/>
  <c r="F152" i="1"/>
  <c r="E159" i="1"/>
  <c r="I159" i="1"/>
  <c r="D192" i="1"/>
  <c r="H192" i="1" s="1"/>
  <c r="D158" i="1"/>
  <c r="H158" i="1" s="1"/>
  <c r="E120" i="1"/>
  <c r="D88" i="1"/>
  <c r="H88" i="1" s="1"/>
  <c r="E21" i="1"/>
  <c r="D56" i="1"/>
  <c r="I61" i="1"/>
  <c r="F88" i="1"/>
  <c r="F56" i="1"/>
  <c r="E57" i="1"/>
  <c r="D116" i="4"/>
  <c r="D227" i="4"/>
  <c r="A109" i="4"/>
  <c r="E25" i="4"/>
  <c r="H25" i="4"/>
  <c r="D24" i="4"/>
  <c r="D114" i="4" s="1"/>
  <c r="G25" i="4"/>
  <c r="F229" i="4"/>
  <c r="F119" i="4"/>
  <c r="F26" i="4"/>
  <c r="B62" i="4"/>
  <c r="G61" i="4" s="1"/>
  <c r="I429" i="1" l="1"/>
  <c r="A430" i="1"/>
  <c r="A431" i="1" s="1"/>
  <c r="D488" i="1"/>
  <c r="D457" i="1"/>
  <c r="E426" i="1"/>
  <c r="I471" i="1"/>
  <c r="F492" i="1"/>
  <c r="F463" i="1"/>
  <c r="E458" i="1"/>
  <c r="E318" i="1"/>
  <c r="D317" i="1"/>
  <c r="E396" i="1"/>
  <c r="F395" i="1"/>
  <c r="E260" i="1"/>
  <c r="F290" i="1"/>
  <c r="F259" i="1"/>
  <c r="F258" i="1"/>
  <c r="D258" i="1"/>
  <c r="H258" i="1" s="1"/>
  <c r="E223" i="1"/>
  <c r="D222" i="1"/>
  <c r="H222" i="1" s="1"/>
  <c r="E291" i="1"/>
  <c r="I264" i="1"/>
  <c r="H56" i="1"/>
  <c r="G56" i="1"/>
  <c r="B65" i="1"/>
  <c r="G64" i="1" s="1"/>
  <c r="I160" i="1"/>
  <c r="F187" i="1"/>
  <c r="F151" i="1"/>
  <c r="F150" i="1"/>
  <c r="E158" i="1"/>
  <c r="D156" i="1"/>
  <c r="H156" i="1" s="1"/>
  <c r="E119" i="1"/>
  <c r="D118" i="1"/>
  <c r="H118" i="1" s="1"/>
  <c r="E192" i="1"/>
  <c r="E56" i="1"/>
  <c r="F87" i="1"/>
  <c r="F55" i="1"/>
  <c r="F54" i="1"/>
  <c r="I63" i="1"/>
  <c r="D54" i="1"/>
  <c r="E20" i="1"/>
  <c r="D19" i="1"/>
  <c r="E88" i="1"/>
  <c r="E114" i="4"/>
  <c r="H114" i="4"/>
  <c r="A110" i="4"/>
  <c r="A111" i="4" s="1"/>
  <c r="H227" i="4"/>
  <c r="E227" i="4"/>
  <c r="E116" i="4"/>
  <c r="H116" i="4"/>
  <c r="D23" i="4"/>
  <c r="H24" i="4"/>
  <c r="E24" i="4"/>
  <c r="G24" i="4"/>
  <c r="F117" i="4"/>
  <c r="F118" i="4"/>
  <c r="F228" i="4"/>
  <c r="F25" i="4"/>
  <c r="B63" i="4"/>
  <c r="G62" i="4"/>
  <c r="D355" i="1" l="1"/>
  <c r="H355" i="1" s="1"/>
  <c r="H317" i="1"/>
  <c r="A432" i="1"/>
  <c r="A433" i="1" s="1"/>
  <c r="I431" i="1"/>
  <c r="E488" i="1"/>
  <c r="E457" i="1"/>
  <c r="F491" i="1"/>
  <c r="F461" i="1"/>
  <c r="F462" i="1"/>
  <c r="I473" i="1"/>
  <c r="D455" i="1"/>
  <c r="D424" i="1"/>
  <c r="E425" i="1"/>
  <c r="E355" i="1"/>
  <c r="F394" i="1"/>
  <c r="D394" i="1"/>
  <c r="H394" i="1" s="1"/>
  <c r="E317" i="1"/>
  <c r="E258" i="1"/>
  <c r="D289" i="1"/>
  <c r="H289" i="1" s="1"/>
  <c r="E222" i="1"/>
  <c r="D257" i="1"/>
  <c r="H257" i="1" s="1"/>
  <c r="D221" i="1"/>
  <c r="H221" i="1" s="1"/>
  <c r="F289" i="1"/>
  <c r="F257" i="1"/>
  <c r="I265" i="1"/>
  <c r="B66" i="1"/>
  <c r="G65" i="1" s="1"/>
  <c r="H54" i="1"/>
  <c r="G54" i="1"/>
  <c r="H19" i="1"/>
  <c r="G19" i="1"/>
  <c r="F149" i="1"/>
  <c r="F186" i="1"/>
  <c r="E156" i="1"/>
  <c r="D190" i="1"/>
  <c r="H190" i="1" s="1"/>
  <c r="D155" i="1"/>
  <c r="H155" i="1" s="1"/>
  <c r="E118" i="1"/>
  <c r="I162" i="1"/>
  <c r="E54" i="1"/>
  <c r="D86" i="1"/>
  <c r="H86" i="1" s="1"/>
  <c r="D53" i="1"/>
  <c r="E19" i="1"/>
  <c r="D18" i="1"/>
  <c r="I64" i="1"/>
  <c r="F86" i="1"/>
  <c r="F53" i="1"/>
  <c r="D225" i="4"/>
  <c r="D113" i="4"/>
  <c r="A112" i="4"/>
  <c r="E23" i="4"/>
  <c r="D22" i="4"/>
  <c r="D111" i="4" s="1"/>
  <c r="H23" i="4"/>
  <c r="G23" i="4"/>
  <c r="F227" i="4"/>
  <c r="F24" i="4"/>
  <c r="F116" i="4"/>
  <c r="B64" i="4"/>
  <c r="G63" i="4" s="1"/>
  <c r="I433" i="1" l="1"/>
  <c r="E455" i="1"/>
  <c r="F490" i="1"/>
  <c r="F460" i="1"/>
  <c r="E424" i="1"/>
  <c r="D454" i="1"/>
  <c r="D486" i="1"/>
  <c r="I474" i="1"/>
  <c r="F393" i="1"/>
  <c r="D315" i="1"/>
  <c r="E316" i="1"/>
  <c r="E394" i="1"/>
  <c r="E257" i="1"/>
  <c r="I267" i="1"/>
  <c r="F288" i="1"/>
  <c r="F256" i="1"/>
  <c r="F255" i="1"/>
  <c r="D255" i="1"/>
  <c r="H255" i="1" s="1"/>
  <c r="E221" i="1"/>
  <c r="D220" i="1"/>
  <c r="H220" i="1" s="1"/>
  <c r="E289" i="1"/>
  <c r="H53" i="1"/>
  <c r="G53" i="1"/>
  <c r="H18" i="1"/>
  <c r="G18" i="1"/>
  <c r="B67" i="1"/>
  <c r="G66" i="1" s="1"/>
  <c r="I163" i="1"/>
  <c r="D153" i="1"/>
  <c r="H153" i="1" s="1"/>
  <c r="D116" i="1"/>
  <c r="H116" i="1" s="1"/>
  <c r="E117" i="1"/>
  <c r="F185" i="1"/>
  <c r="F147" i="1"/>
  <c r="F148" i="1"/>
  <c r="E155" i="1"/>
  <c r="E190" i="1"/>
  <c r="E86" i="1"/>
  <c r="F85" i="1"/>
  <c r="F52" i="1"/>
  <c r="F51" i="1"/>
  <c r="I66" i="1"/>
  <c r="E53" i="1"/>
  <c r="D51" i="1"/>
  <c r="E18" i="1"/>
  <c r="D17" i="1"/>
  <c r="E225" i="4"/>
  <c r="H225" i="4"/>
  <c r="A113" i="4"/>
  <c r="A114" i="4" s="1"/>
  <c r="H111" i="4"/>
  <c r="E111" i="4"/>
  <c r="H113" i="4"/>
  <c r="E113" i="4"/>
  <c r="H22" i="4"/>
  <c r="E22" i="4"/>
  <c r="D21" i="4"/>
  <c r="G22" i="4"/>
  <c r="F23" i="4"/>
  <c r="F115" i="4"/>
  <c r="F114" i="4"/>
  <c r="F226" i="4"/>
  <c r="B65" i="4"/>
  <c r="D352" i="1" l="1"/>
  <c r="H352" i="1" s="1"/>
  <c r="H315" i="1"/>
  <c r="I437" i="1"/>
  <c r="I435" i="1"/>
  <c r="D452" i="1"/>
  <c r="E423" i="1"/>
  <c r="D422" i="1"/>
  <c r="F489" i="1"/>
  <c r="F458" i="1"/>
  <c r="F459" i="1"/>
  <c r="E454" i="1"/>
  <c r="E486" i="1"/>
  <c r="E352" i="1"/>
  <c r="F392" i="1"/>
  <c r="D392" i="1"/>
  <c r="H392" i="1" s="1"/>
  <c r="E315" i="1"/>
  <c r="E255" i="1"/>
  <c r="I268" i="1"/>
  <c r="D287" i="1"/>
  <c r="H287" i="1" s="1"/>
  <c r="D254" i="1"/>
  <c r="H254" i="1" s="1"/>
  <c r="E220" i="1"/>
  <c r="F287" i="1"/>
  <c r="F254" i="1"/>
  <c r="H51" i="1"/>
  <c r="G51" i="1"/>
  <c r="H17" i="1"/>
  <c r="G17" i="1"/>
  <c r="B68" i="1"/>
  <c r="G67" i="1" s="1"/>
  <c r="F184" i="1"/>
  <c r="F146" i="1"/>
  <c r="E153" i="1"/>
  <c r="D188" i="1"/>
  <c r="H188" i="1" s="1"/>
  <c r="D152" i="1"/>
  <c r="H152" i="1" s="1"/>
  <c r="E116" i="1"/>
  <c r="D115" i="1"/>
  <c r="H115" i="1" s="1"/>
  <c r="I165" i="1"/>
  <c r="E51" i="1"/>
  <c r="D84" i="1"/>
  <c r="H84" i="1" s="1"/>
  <c r="D50" i="1"/>
  <c r="E17" i="1"/>
  <c r="F84" i="1"/>
  <c r="F50" i="1"/>
  <c r="I67" i="1"/>
  <c r="A115" i="4"/>
  <c r="D110" i="4"/>
  <c r="D223" i="4"/>
  <c r="E21" i="4"/>
  <c r="D20" i="4"/>
  <c r="D108" i="4" s="1"/>
  <c r="H21" i="4"/>
  <c r="G21" i="4"/>
  <c r="F225" i="4"/>
  <c r="F22" i="4"/>
  <c r="F113" i="4"/>
  <c r="B66" i="4"/>
  <c r="G65" i="4" s="1"/>
  <c r="G64" i="4"/>
  <c r="F488" i="1" l="1"/>
  <c r="F457" i="1"/>
  <c r="E452" i="1"/>
  <c r="D484" i="1"/>
  <c r="D451" i="1"/>
  <c r="E422" i="1"/>
  <c r="F391" i="1"/>
  <c r="E314" i="1"/>
  <c r="D313" i="1"/>
  <c r="E392" i="1"/>
  <c r="D252" i="1"/>
  <c r="H252" i="1" s="1"/>
  <c r="D218" i="1"/>
  <c r="H218" i="1" s="1"/>
  <c r="E219" i="1"/>
  <c r="I270" i="1"/>
  <c r="E254" i="1"/>
  <c r="F286" i="1"/>
  <c r="F252" i="1"/>
  <c r="F253" i="1"/>
  <c r="E287" i="1"/>
  <c r="H50" i="1"/>
  <c r="G50" i="1"/>
  <c r="B69" i="1"/>
  <c r="G68" i="1" s="1"/>
  <c r="I166" i="1"/>
  <c r="E152" i="1"/>
  <c r="D150" i="1"/>
  <c r="H150" i="1" s="1"/>
  <c r="E115" i="1"/>
  <c r="D114" i="1"/>
  <c r="H114" i="1" s="1"/>
  <c r="E188" i="1"/>
  <c r="F183" i="1"/>
  <c r="F144" i="1"/>
  <c r="F145" i="1"/>
  <c r="I69" i="1"/>
  <c r="D48" i="1"/>
  <c r="D15" i="1"/>
  <c r="E16" i="1"/>
  <c r="E50" i="1"/>
  <c r="E84" i="1"/>
  <c r="F83" i="1"/>
  <c r="F49" i="1"/>
  <c r="F48" i="1"/>
  <c r="A116" i="4"/>
  <c r="A117" i="4" s="1"/>
  <c r="H223" i="4"/>
  <c r="E223" i="4"/>
  <c r="E110" i="4"/>
  <c r="H110" i="4"/>
  <c r="H108" i="4"/>
  <c r="E108" i="4"/>
  <c r="D19" i="4"/>
  <c r="H20" i="4"/>
  <c r="E20" i="4"/>
  <c r="G20" i="4"/>
  <c r="F112" i="4"/>
  <c r="F21" i="4"/>
  <c r="F111" i="4"/>
  <c r="F224" i="4"/>
  <c r="B67" i="4"/>
  <c r="G66" i="4" s="1"/>
  <c r="D349" i="1" l="1"/>
  <c r="H349" i="1" s="1"/>
  <c r="H313" i="1"/>
  <c r="E451" i="1"/>
  <c r="F455" i="1"/>
  <c r="F487" i="1"/>
  <c r="F456" i="1"/>
  <c r="D449" i="1"/>
  <c r="E421" i="1"/>
  <c r="D420" i="1"/>
  <c r="E484" i="1"/>
  <c r="E349" i="1"/>
  <c r="D390" i="1"/>
  <c r="H390" i="1" s="1"/>
  <c r="E313" i="1"/>
  <c r="F390" i="1"/>
  <c r="F285" i="1"/>
  <c r="F251" i="1"/>
  <c r="I271" i="1"/>
  <c r="E252" i="1"/>
  <c r="D285" i="1"/>
  <c r="H285" i="1" s="1"/>
  <c r="D251" i="1"/>
  <c r="H251" i="1" s="1"/>
  <c r="E218" i="1"/>
  <c r="B70" i="1"/>
  <c r="G69" i="1" s="1"/>
  <c r="H48" i="1"/>
  <c r="G48" i="1"/>
  <c r="H15" i="1"/>
  <c r="G15" i="1"/>
  <c r="D186" i="1"/>
  <c r="H186" i="1" s="1"/>
  <c r="D149" i="1"/>
  <c r="H149" i="1" s="1"/>
  <c r="E114" i="1"/>
  <c r="F182" i="1"/>
  <c r="F143" i="1"/>
  <c r="I168" i="1"/>
  <c r="E150" i="1"/>
  <c r="F82" i="1"/>
  <c r="F47" i="1"/>
  <c r="E48" i="1"/>
  <c r="D82" i="1"/>
  <c r="H82" i="1" s="1"/>
  <c r="D47" i="1"/>
  <c r="E15" i="1"/>
  <c r="I70" i="1"/>
  <c r="D107" i="4"/>
  <c r="D221" i="4"/>
  <c r="A118" i="4"/>
  <c r="E19" i="4"/>
  <c r="D18" i="4"/>
  <c r="D105" i="4" s="1"/>
  <c r="H19" i="4"/>
  <c r="G19" i="4"/>
  <c r="F110" i="4"/>
  <c r="F223" i="4"/>
  <c r="F20" i="4"/>
  <c r="B68" i="4"/>
  <c r="G67" i="4" s="1"/>
  <c r="D482" i="1" l="1"/>
  <c r="D448" i="1"/>
  <c r="D419" i="1"/>
  <c r="E420" i="1"/>
  <c r="F486" i="1"/>
  <c r="F454" i="1"/>
  <c r="E449" i="1"/>
  <c r="F389" i="1"/>
  <c r="E390" i="1"/>
  <c r="D311" i="1"/>
  <c r="E312" i="1"/>
  <c r="E285" i="1"/>
  <c r="D249" i="1"/>
  <c r="H249" i="1" s="1"/>
  <c r="E217" i="1"/>
  <c r="F284" i="1"/>
  <c r="F250" i="1"/>
  <c r="F249" i="1"/>
  <c r="E251" i="1"/>
  <c r="H47" i="1"/>
  <c r="G47" i="1"/>
  <c r="B71" i="1"/>
  <c r="G70" i="1" s="1"/>
  <c r="E149" i="1"/>
  <c r="D147" i="1"/>
  <c r="H147" i="1" s="1"/>
  <c r="D112" i="1"/>
  <c r="H112" i="1" s="1"/>
  <c r="E113" i="1"/>
  <c r="I169" i="1"/>
  <c r="F181" i="1"/>
  <c r="F141" i="1"/>
  <c r="F142" i="1"/>
  <c r="E186" i="1"/>
  <c r="E14" i="1"/>
  <c r="D13" i="1"/>
  <c r="D45" i="1"/>
  <c r="E47" i="1"/>
  <c r="E82" i="1"/>
  <c r="F81" i="1"/>
  <c r="F46" i="1"/>
  <c r="F45" i="1"/>
  <c r="H107" i="4"/>
  <c r="E107" i="4"/>
  <c r="A119" i="4"/>
  <c r="A120" i="4" s="1"/>
  <c r="E105" i="4"/>
  <c r="H105" i="4"/>
  <c r="H221" i="4"/>
  <c r="E221" i="4"/>
  <c r="H18" i="4"/>
  <c r="E18" i="4"/>
  <c r="D17" i="4"/>
  <c r="G18" i="4"/>
  <c r="F108" i="4"/>
  <c r="F222" i="4"/>
  <c r="F19" i="4"/>
  <c r="F109" i="4"/>
  <c r="B69" i="4"/>
  <c r="D346" i="1" l="1"/>
  <c r="H346" i="1" s="1"/>
  <c r="H311" i="1"/>
  <c r="D446" i="1"/>
  <c r="E419" i="1"/>
  <c r="D418" i="1"/>
  <c r="E448" i="1"/>
  <c r="F485" i="1"/>
  <c r="F453" i="1"/>
  <c r="F452" i="1"/>
  <c r="E482" i="1"/>
  <c r="E346" i="1"/>
  <c r="D388" i="1"/>
  <c r="H388" i="1" s="1"/>
  <c r="E311" i="1"/>
  <c r="F388" i="1"/>
  <c r="F283" i="1"/>
  <c r="F248" i="1"/>
  <c r="D283" i="1"/>
  <c r="H283" i="1" s="1"/>
  <c r="D248" i="1"/>
  <c r="H248" i="1" s="1"/>
  <c r="E216" i="1"/>
  <c r="E249" i="1"/>
  <c r="B72" i="1"/>
  <c r="G71" i="1" s="1"/>
  <c r="H13" i="1"/>
  <c r="G13" i="1"/>
  <c r="H45" i="1"/>
  <c r="G45" i="1"/>
  <c r="F180" i="1"/>
  <c r="F140" i="1"/>
  <c r="D184" i="1"/>
  <c r="H184" i="1" s="1"/>
  <c r="D146" i="1"/>
  <c r="H146" i="1" s="1"/>
  <c r="D111" i="1"/>
  <c r="H111" i="1" s="1"/>
  <c r="E112" i="1"/>
  <c r="I171" i="1"/>
  <c r="E147" i="1"/>
  <c r="F80" i="1"/>
  <c r="F44" i="1"/>
  <c r="E45" i="1"/>
  <c r="D80" i="1"/>
  <c r="H80" i="1" s="1"/>
  <c r="D44" i="1"/>
  <c r="E13" i="1"/>
  <c r="A121" i="4"/>
  <c r="D219" i="4"/>
  <c r="D104" i="4"/>
  <c r="E17" i="4"/>
  <c r="H17" i="4"/>
  <c r="D16" i="4"/>
  <c r="D102" i="4" s="1"/>
  <c r="G17" i="4"/>
  <c r="F221" i="4"/>
  <c r="F107" i="4"/>
  <c r="F18" i="4"/>
  <c r="B70" i="4"/>
  <c r="G69" i="4" s="1"/>
  <c r="G68" i="4"/>
  <c r="E446" i="1" l="1"/>
  <c r="F484" i="1"/>
  <c r="F451" i="1"/>
  <c r="D445" i="1"/>
  <c r="D480" i="1"/>
  <c r="D417" i="1"/>
  <c r="E418" i="1"/>
  <c r="F387" i="1"/>
  <c r="E310" i="1"/>
  <c r="D309" i="1"/>
  <c r="E388" i="1"/>
  <c r="D246" i="1"/>
  <c r="H246" i="1" s="1"/>
  <c r="E215" i="1"/>
  <c r="D214" i="1"/>
  <c r="H214" i="1" s="1"/>
  <c r="E283" i="1"/>
  <c r="F282" i="1"/>
  <c r="F247" i="1"/>
  <c r="F246" i="1"/>
  <c r="E248" i="1"/>
  <c r="H44" i="1"/>
  <c r="G44" i="1"/>
  <c r="B73" i="1"/>
  <c r="D144" i="1"/>
  <c r="H144" i="1" s="1"/>
  <c r="D110" i="1"/>
  <c r="H110" i="1" s="1"/>
  <c r="E111" i="1"/>
  <c r="E146" i="1"/>
  <c r="F179" i="1"/>
  <c r="F139" i="1"/>
  <c r="F138" i="1"/>
  <c r="E184" i="1"/>
  <c r="I172" i="1"/>
  <c r="E44" i="1"/>
  <c r="D42" i="1"/>
  <c r="E12" i="1"/>
  <c r="D11" i="1"/>
  <c r="E80" i="1"/>
  <c r="F79" i="1"/>
  <c r="F43" i="1"/>
  <c r="F42" i="1"/>
  <c r="A122" i="4"/>
  <c r="A123" i="4" s="1"/>
  <c r="H104" i="4"/>
  <c r="E104" i="4"/>
  <c r="H102" i="4"/>
  <c r="E102" i="4"/>
  <c r="H219" i="4"/>
  <c r="E219" i="4"/>
  <c r="D15" i="4"/>
  <c r="H16" i="4"/>
  <c r="E16" i="4"/>
  <c r="G16" i="4"/>
  <c r="F106" i="4"/>
  <c r="F220" i="4"/>
  <c r="F17" i="4"/>
  <c r="F105" i="4"/>
  <c r="B71" i="4"/>
  <c r="D343" i="1" l="1"/>
  <c r="H343" i="1" s="1"/>
  <c r="H309" i="1"/>
  <c r="D443" i="1"/>
  <c r="D416" i="1"/>
  <c r="E417" i="1"/>
  <c r="F483" i="1"/>
  <c r="F449" i="1"/>
  <c r="F450" i="1"/>
  <c r="E480" i="1"/>
  <c r="E445" i="1"/>
  <c r="E343" i="1"/>
  <c r="D386" i="1"/>
  <c r="H386" i="1" s="1"/>
  <c r="E309" i="1"/>
  <c r="F386" i="1"/>
  <c r="F281" i="1"/>
  <c r="F245" i="1"/>
  <c r="E246" i="1"/>
  <c r="D281" i="1"/>
  <c r="H281" i="1" s="1"/>
  <c r="D245" i="1"/>
  <c r="H245" i="1" s="1"/>
  <c r="E214" i="1"/>
  <c r="B74" i="1"/>
  <c r="G73" i="1" s="1"/>
  <c r="H42" i="1"/>
  <c r="G42" i="1"/>
  <c r="H11" i="1"/>
  <c r="G11" i="1"/>
  <c r="F178" i="1"/>
  <c r="F137" i="1"/>
  <c r="D182" i="1"/>
  <c r="H182" i="1" s="1"/>
  <c r="D143" i="1"/>
  <c r="H143" i="1" s="1"/>
  <c r="E110" i="1"/>
  <c r="E144" i="1"/>
  <c r="F78" i="1"/>
  <c r="F41" i="1"/>
  <c r="E42" i="1"/>
  <c r="D78" i="1"/>
  <c r="H78" i="1" s="1"/>
  <c r="D41" i="1"/>
  <c r="E11" i="1"/>
  <c r="D217" i="4"/>
  <c r="D101" i="4"/>
  <c r="A124" i="4"/>
  <c r="E15" i="4"/>
  <c r="D14" i="4"/>
  <c r="D99" i="4" s="1"/>
  <c r="H15" i="4"/>
  <c r="G15" i="4"/>
  <c r="F16" i="4"/>
  <c r="F104" i="4"/>
  <c r="F219" i="4"/>
  <c r="B72" i="4"/>
  <c r="G70" i="4"/>
  <c r="E443" i="1" l="1"/>
  <c r="F482" i="1"/>
  <c r="F448" i="1"/>
  <c r="D442" i="1"/>
  <c r="D478" i="1"/>
  <c r="E416" i="1"/>
  <c r="F385" i="1"/>
  <c r="E386" i="1"/>
  <c r="E308" i="1"/>
  <c r="E245" i="1"/>
  <c r="E281" i="1"/>
  <c r="F280" i="1"/>
  <c r="F244" i="1"/>
  <c r="F243" i="1"/>
  <c r="D243" i="1"/>
  <c r="H243" i="1" s="1"/>
  <c r="D212" i="1"/>
  <c r="H212" i="1" s="1"/>
  <c r="E213" i="1"/>
  <c r="H41" i="1"/>
  <c r="G41" i="1"/>
  <c r="B75" i="1"/>
  <c r="D141" i="1"/>
  <c r="H141" i="1" s="1"/>
  <c r="E109" i="1"/>
  <c r="D108" i="1"/>
  <c r="H108" i="1" s="1"/>
  <c r="F177" i="1"/>
  <c r="F135" i="1"/>
  <c r="F136" i="1"/>
  <c r="E182" i="1"/>
  <c r="E143" i="1"/>
  <c r="E41" i="1"/>
  <c r="D39" i="1"/>
  <c r="E10" i="1"/>
  <c r="D9" i="1"/>
  <c r="E78" i="1"/>
  <c r="F77" i="1"/>
  <c r="F40" i="1"/>
  <c r="F39" i="1"/>
  <c r="H217" i="4"/>
  <c r="E217" i="4"/>
  <c r="A125" i="4"/>
  <c r="A126" i="4" s="1"/>
  <c r="H99" i="4"/>
  <c r="E99" i="4"/>
  <c r="H101" i="4"/>
  <c r="E101" i="4"/>
  <c r="H14" i="4"/>
  <c r="D13" i="4"/>
  <c r="E14" i="4"/>
  <c r="G14" i="4"/>
  <c r="F15" i="4"/>
  <c r="F103" i="4"/>
  <c r="F102" i="4"/>
  <c r="F218" i="4"/>
  <c r="B73" i="4"/>
  <c r="G71" i="4"/>
  <c r="E415" i="1" l="1"/>
  <c r="D440" i="1"/>
  <c r="D414" i="1"/>
  <c r="E478" i="1"/>
  <c r="F481" i="1"/>
  <c r="F446" i="1"/>
  <c r="F447" i="1"/>
  <c r="E442" i="1"/>
  <c r="F384" i="1"/>
  <c r="D384" i="1"/>
  <c r="H384" i="1" s="1"/>
  <c r="E307" i="1"/>
  <c r="E243" i="1"/>
  <c r="F279" i="1"/>
  <c r="F242" i="1"/>
  <c r="D279" i="1"/>
  <c r="H279" i="1" s="1"/>
  <c r="D242" i="1"/>
  <c r="H242" i="1" s="1"/>
  <c r="E212" i="1"/>
  <c r="B76" i="1"/>
  <c r="G75" i="1" s="1"/>
  <c r="H9" i="1"/>
  <c r="G9" i="1"/>
  <c r="H39" i="1"/>
  <c r="G39" i="1"/>
  <c r="D180" i="1"/>
  <c r="H180" i="1" s="1"/>
  <c r="D140" i="1"/>
  <c r="H140" i="1" s="1"/>
  <c r="E108" i="1"/>
  <c r="F176" i="1"/>
  <c r="F134" i="1"/>
  <c r="E141" i="1"/>
  <c r="E39" i="1"/>
  <c r="F76" i="1"/>
  <c r="F38" i="1"/>
  <c r="D76" i="1"/>
  <c r="H76" i="1" s="1"/>
  <c r="D38" i="1"/>
  <c r="E9" i="1"/>
  <c r="A127" i="4"/>
  <c r="D215" i="4"/>
  <c r="D98" i="4"/>
  <c r="E13" i="4"/>
  <c r="D12" i="4"/>
  <c r="D96" i="4" s="1"/>
  <c r="H13" i="4"/>
  <c r="G13" i="4"/>
  <c r="F101" i="4"/>
  <c r="F217" i="4"/>
  <c r="F14" i="4"/>
  <c r="B74" i="4"/>
  <c r="G72" i="4"/>
  <c r="D476" i="1" l="1"/>
  <c r="E414" i="1"/>
  <c r="D439" i="1"/>
  <c r="F480" i="1"/>
  <c r="F445" i="1"/>
  <c r="E440" i="1"/>
  <c r="E306" i="1"/>
  <c r="D305" i="1"/>
  <c r="E384" i="1"/>
  <c r="F383" i="1"/>
  <c r="E242" i="1"/>
  <c r="F278" i="1"/>
  <c r="F241" i="1"/>
  <c r="F240" i="1"/>
  <c r="D240" i="1"/>
  <c r="H240" i="1" s="1"/>
  <c r="E211" i="1"/>
  <c r="D210" i="1"/>
  <c r="H210" i="1" s="1"/>
  <c r="E279" i="1"/>
  <c r="H38" i="1"/>
  <c r="G38" i="1"/>
  <c r="B77" i="1"/>
  <c r="G76" i="1" s="1"/>
  <c r="E140" i="1"/>
  <c r="F175" i="1"/>
  <c r="F132" i="1"/>
  <c r="F133" i="1"/>
  <c r="D138" i="1"/>
  <c r="H138" i="1" s="1"/>
  <c r="E107" i="1"/>
  <c r="D106" i="1"/>
  <c r="H106" i="1" s="1"/>
  <c r="E180" i="1"/>
  <c r="F75" i="1"/>
  <c r="F37" i="1"/>
  <c r="F36" i="1"/>
  <c r="D36" i="1"/>
  <c r="D7" i="1"/>
  <c r="E8" i="1"/>
  <c r="E38" i="1"/>
  <c r="E76" i="1"/>
  <c r="A128" i="4"/>
  <c r="A129" i="4" s="1"/>
  <c r="E98" i="4"/>
  <c r="H98" i="4"/>
  <c r="H215" i="4"/>
  <c r="E215" i="4"/>
  <c r="H96" i="4"/>
  <c r="E96" i="4"/>
  <c r="D11" i="4"/>
  <c r="H12" i="4"/>
  <c r="E12" i="4"/>
  <c r="G12" i="4"/>
  <c r="F13" i="4"/>
  <c r="F99" i="4"/>
  <c r="F216" i="4"/>
  <c r="F100" i="4"/>
  <c r="B75" i="4"/>
  <c r="G74" i="4" s="1"/>
  <c r="G73" i="4"/>
  <c r="D337" i="1" l="1"/>
  <c r="H337" i="1" s="1"/>
  <c r="H305" i="1"/>
  <c r="E476" i="1"/>
  <c r="F479" i="1"/>
  <c r="F443" i="1"/>
  <c r="F444" i="1"/>
  <c r="E439" i="1"/>
  <c r="F382" i="1"/>
  <c r="D382" i="1"/>
  <c r="H382" i="1" s="1"/>
  <c r="E305" i="1"/>
  <c r="F277" i="1"/>
  <c r="F239" i="1"/>
  <c r="E240" i="1"/>
  <c r="D277" i="1"/>
  <c r="H277" i="1" s="1"/>
  <c r="D239" i="1"/>
  <c r="H239" i="1" s="1"/>
  <c r="E210" i="1"/>
  <c r="B78" i="1"/>
  <c r="G77" i="1" s="1"/>
  <c r="H7" i="1"/>
  <c r="G7" i="1"/>
  <c r="H36" i="1"/>
  <c r="G36" i="1"/>
  <c r="E138" i="1"/>
  <c r="D178" i="1"/>
  <c r="H178" i="1" s="1"/>
  <c r="D137" i="1"/>
  <c r="H137" i="1" s="1"/>
  <c r="E106" i="1"/>
  <c r="D105" i="1"/>
  <c r="H105" i="1" s="1"/>
  <c r="F174" i="1"/>
  <c r="F131" i="1"/>
  <c r="F74" i="1"/>
  <c r="F35" i="1"/>
  <c r="D74" i="1"/>
  <c r="D35" i="1"/>
  <c r="E7" i="1"/>
  <c r="E36" i="1"/>
  <c r="D95" i="4"/>
  <c r="D213" i="4"/>
  <c r="A130" i="4"/>
  <c r="E11" i="4"/>
  <c r="D10" i="4"/>
  <c r="D93" i="4" s="1"/>
  <c r="H11" i="4"/>
  <c r="G11" i="4"/>
  <c r="F98" i="4"/>
  <c r="F215" i="4"/>
  <c r="F12" i="4"/>
  <c r="B76" i="4"/>
  <c r="E337" i="1" l="1"/>
  <c r="F478" i="1"/>
  <c r="F442" i="1"/>
  <c r="E382" i="1"/>
  <c r="F381" i="1"/>
  <c r="D303" i="1"/>
  <c r="E304" i="1"/>
  <c r="D237" i="1"/>
  <c r="H237" i="1" s="1"/>
  <c r="D208" i="1"/>
  <c r="H208" i="1" s="1"/>
  <c r="E209" i="1"/>
  <c r="F276" i="1"/>
  <c r="F238" i="1"/>
  <c r="F237" i="1"/>
  <c r="E239" i="1"/>
  <c r="E277" i="1"/>
  <c r="H35" i="1"/>
  <c r="G35" i="1"/>
  <c r="H74" i="1"/>
  <c r="G74" i="1"/>
  <c r="B79" i="1"/>
  <c r="G78" i="1" s="1"/>
  <c r="D135" i="1"/>
  <c r="H135" i="1" s="1"/>
  <c r="D104" i="1"/>
  <c r="H104" i="1" s="1"/>
  <c r="E105" i="1"/>
  <c r="E137" i="1"/>
  <c r="E178" i="1"/>
  <c r="F34" i="1"/>
  <c r="F33" i="1"/>
  <c r="F73" i="1"/>
  <c r="E35" i="1"/>
  <c r="E74" i="1"/>
  <c r="D33" i="1"/>
  <c r="E6" i="1"/>
  <c r="D5" i="1"/>
  <c r="H95" i="4"/>
  <c r="E95" i="4"/>
  <c r="A131" i="4"/>
  <c r="A132" i="4" s="1"/>
  <c r="H93" i="4"/>
  <c r="E93" i="4"/>
  <c r="H213" i="4"/>
  <c r="E213" i="4"/>
  <c r="H10" i="4"/>
  <c r="E10" i="4"/>
  <c r="D9" i="4"/>
  <c r="G10" i="4"/>
  <c r="F214" i="4"/>
  <c r="F97" i="4"/>
  <c r="F11" i="4"/>
  <c r="F96" i="4"/>
  <c r="B77" i="4"/>
  <c r="G76" i="4" s="1"/>
  <c r="G75" i="4"/>
  <c r="D334" i="1" l="1"/>
  <c r="H334" i="1" s="1"/>
  <c r="H303" i="1"/>
  <c r="F477" i="1"/>
  <c r="F441" i="1"/>
  <c r="F440" i="1"/>
  <c r="E334" i="1"/>
  <c r="F380" i="1"/>
  <c r="D380" i="1"/>
  <c r="H380" i="1" s="1"/>
  <c r="E303" i="1"/>
  <c r="D275" i="1"/>
  <c r="H275" i="1" s="1"/>
  <c r="D236" i="1"/>
  <c r="H236" i="1" s="1"/>
  <c r="E208" i="1"/>
  <c r="F275" i="1"/>
  <c r="F236" i="1"/>
  <c r="E237" i="1"/>
  <c r="H33" i="1"/>
  <c r="G33" i="1"/>
  <c r="H5" i="1"/>
  <c r="G5" i="1"/>
  <c r="B80" i="1"/>
  <c r="G79" i="1" s="1"/>
  <c r="D176" i="1"/>
  <c r="H176" i="1" s="1"/>
  <c r="D134" i="1"/>
  <c r="H134" i="1" s="1"/>
  <c r="E104" i="1"/>
  <c r="E135" i="1"/>
  <c r="F72" i="1"/>
  <c r="F32" i="1"/>
  <c r="E33" i="1"/>
  <c r="D72" i="1"/>
  <c r="D32" i="1"/>
  <c r="E5" i="1"/>
  <c r="A133" i="4"/>
  <c r="D211" i="4"/>
  <c r="D92" i="4"/>
  <c r="E9" i="4"/>
  <c r="H9" i="4"/>
  <c r="D8" i="4"/>
  <c r="D90" i="4" s="1"/>
  <c r="G9" i="4"/>
  <c r="F95" i="4"/>
  <c r="F213" i="4"/>
  <c r="F10" i="4"/>
  <c r="B78" i="4"/>
  <c r="G77" i="4" s="1"/>
  <c r="F476" i="1" l="1"/>
  <c r="F439" i="1"/>
  <c r="E380" i="1"/>
  <c r="F274" i="1"/>
  <c r="F235" i="1"/>
  <c r="F234" i="1"/>
  <c r="E207" i="1"/>
  <c r="D206" i="1"/>
  <c r="H206" i="1" s="1"/>
  <c r="D234" i="1"/>
  <c r="H234" i="1" s="1"/>
  <c r="E236" i="1"/>
  <c r="E275" i="1"/>
  <c r="H32" i="1"/>
  <c r="G32" i="1"/>
  <c r="H72" i="1"/>
  <c r="G72" i="1"/>
  <c r="B81" i="1"/>
  <c r="G80" i="1" s="1"/>
  <c r="D132" i="1"/>
  <c r="H132" i="1" s="1"/>
  <c r="D102" i="1"/>
  <c r="H102" i="1" s="1"/>
  <c r="E103" i="1"/>
  <c r="E134" i="1"/>
  <c r="E176" i="1"/>
  <c r="E32" i="1"/>
  <c r="E72" i="1"/>
  <c r="A134" i="4"/>
  <c r="A135" i="4" s="1"/>
  <c r="H92" i="4"/>
  <c r="E92" i="4"/>
  <c r="H90" i="4"/>
  <c r="E90" i="4"/>
  <c r="H211" i="4"/>
  <c r="E211" i="4"/>
  <c r="D7" i="4"/>
  <c r="H8" i="4"/>
  <c r="E8" i="4"/>
  <c r="G8" i="4"/>
  <c r="F94" i="4"/>
  <c r="F93" i="4"/>
  <c r="F9" i="4"/>
  <c r="F212" i="4"/>
  <c r="B79" i="4"/>
  <c r="G78" i="4" s="1"/>
  <c r="E234" i="1" l="1"/>
  <c r="F273" i="1"/>
  <c r="F233" i="1"/>
  <c r="D273" i="1"/>
  <c r="H273" i="1" s="1"/>
  <c r="D233" i="1"/>
  <c r="H233" i="1" s="1"/>
  <c r="E206" i="1"/>
  <c r="B82" i="1"/>
  <c r="G81" i="1" s="1"/>
  <c r="E132" i="1"/>
  <c r="D131" i="1"/>
  <c r="H131" i="1" s="1"/>
  <c r="D174" i="1"/>
  <c r="H174" i="1" s="1"/>
  <c r="E102" i="1"/>
  <c r="D209" i="4"/>
  <c r="D89" i="4"/>
  <c r="A136" i="4"/>
  <c r="E7" i="4"/>
  <c r="D6" i="4"/>
  <c r="D87" i="4" s="1"/>
  <c r="H7" i="4"/>
  <c r="G7" i="4"/>
  <c r="F211" i="4"/>
  <c r="F8" i="4"/>
  <c r="F92" i="4"/>
  <c r="B80" i="4"/>
  <c r="G79" i="4" s="1"/>
  <c r="E233" i="1" l="1"/>
  <c r="E273" i="1"/>
  <c r="B83" i="1"/>
  <c r="G82" i="1" s="1"/>
  <c r="E174" i="1"/>
  <c r="E131" i="1"/>
  <c r="A137" i="4"/>
  <c r="A138" i="4" s="1"/>
  <c r="H87" i="4"/>
  <c r="E87" i="4"/>
  <c r="E89" i="4"/>
  <c r="H89" i="4"/>
  <c r="E209" i="4"/>
  <c r="H209" i="4"/>
  <c r="H6" i="4"/>
  <c r="D5" i="4"/>
  <c r="E6" i="4"/>
  <c r="G6" i="4"/>
  <c r="F210" i="4"/>
  <c r="F90" i="4"/>
  <c r="F7" i="4"/>
  <c r="F91" i="4"/>
  <c r="B81" i="4"/>
  <c r="G80" i="4" s="1"/>
  <c r="B84" i="1" l="1"/>
  <c r="G83" i="1" s="1"/>
  <c r="D207" i="4"/>
  <c r="D86" i="4"/>
  <c r="A139" i="4"/>
  <c r="E5" i="4"/>
  <c r="H5" i="4"/>
  <c r="G5" i="4"/>
  <c r="F89" i="4"/>
  <c r="F209" i="4"/>
  <c r="F6" i="4"/>
  <c r="B82" i="4"/>
  <c r="G81" i="4" s="1"/>
  <c r="B85" i="1" l="1"/>
  <c r="G84" i="1" s="1"/>
  <c r="H207" i="4"/>
  <c r="E207" i="4"/>
  <c r="A140" i="4"/>
  <c r="A141" i="4" s="1"/>
  <c r="H86" i="4"/>
  <c r="E86" i="4"/>
  <c r="F5" i="4"/>
  <c r="F88" i="4"/>
  <c r="F208" i="4"/>
  <c r="F87" i="4"/>
  <c r="B83" i="4"/>
  <c r="G82" i="4" s="1"/>
  <c r="B86" i="1" l="1"/>
  <c r="G85" i="1"/>
  <c r="A142" i="4"/>
  <c r="F207" i="4"/>
  <c r="F86" i="4"/>
  <c r="B84" i="4"/>
  <c r="G83" i="4" s="1"/>
  <c r="F333" i="1" l="1"/>
  <c r="B87" i="1"/>
  <c r="G86" i="1" s="1"/>
  <c r="A143" i="4"/>
  <c r="A144" i="4" s="1"/>
  <c r="B85" i="4"/>
  <c r="G84" i="4" s="1"/>
  <c r="G4" i="4"/>
  <c r="I335" i="1" l="1"/>
  <c r="B88" i="1"/>
  <c r="G87" i="1" s="1"/>
  <c r="A145" i="4"/>
  <c r="B86" i="4"/>
  <c r="G85" i="4" s="1"/>
  <c r="I336" i="1" l="1"/>
  <c r="B89" i="1"/>
  <c r="G88" i="1" s="1"/>
  <c r="A146" i="4"/>
  <c r="A147" i="4" s="1"/>
  <c r="B87" i="4"/>
  <c r="I338" i="1" l="1"/>
  <c r="B90" i="1"/>
  <c r="G89" i="1" s="1"/>
  <c r="A148" i="4"/>
  <c r="B88" i="4"/>
  <c r="G87" i="4" s="1"/>
  <c r="G86" i="4"/>
  <c r="I339" i="1" l="1"/>
  <c r="B91" i="1"/>
  <c r="G90" i="1"/>
  <c r="A149" i="4"/>
  <c r="A150" i="4" s="1"/>
  <c r="B89" i="4"/>
  <c r="G88" i="4" s="1"/>
  <c r="I341" i="1" l="1"/>
  <c r="B92" i="1"/>
  <c r="G91" i="1" s="1"/>
  <c r="A151" i="4"/>
  <c r="B90" i="4"/>
  <c r="G89" i="4"/>
  <c r="I342" i="1" l="1"/>
  <c r="B93" i="1"/>
  <c r="G92" i="1"/>
  <c r="A152" i="4"/>
  <c r="A153" i="4" s="1"/>
  <c r="B91" i="4"/>
  <c r="G90" i="4" s="1"/>
  <c r="I344" i="1" l="1"/>
  <c r="B94" i="1"/>
  <c r="G93" i="1" s="1"/>
  <c r="A154" i="4"/>
  <c r="B92" i="4"/>
  <c r="I345" i="1" l="1"/>
  <c r="B95" i="1"/>
  <c r="G94" i="1" s="1"/>
  <c r="A155" i="4"/>
  <c r="A156" i="4" s="1"/>
  <c r="B93" i="4"/>
  <c r="G91" i="4"/>
  <c r="I347" i="1" l="1"/>
  <c r="B96" i="1"/>
  <c r="G95" i="1" s="1"/>
  <c r="A157" i="4"/>
  <c r="B94" i="4"/>
  <c r="G92" i="4"/>
  <c r="I348" i="1" l="1"/>
  <c r="B97" i="1"/>
  <c r="A158" i="4"/>
  <c r="A159" i="4" s="1"/>
  <c r="B95" i="4"/>
  <c r="G93" i="4"/>
  <c r="I350" i="1" l="1"/>
  <c r="G96" i="1"/>
  <c r="B98" i="1"/>
  <c r="A160" i="4"/>
  <c r="B96" i="4"/>
  <c r="G94" i="4"/>
  <c r="I351" i="1" l="1"/>
  <c r="G97" i="1"/>
  <c r="B99" i="1"/>
  <c r="A161" i="4"/>
  <c r="A162" i="4" s="1"/>
  <c r="B97" i="4"/>
  <c r="G96" i="4" s="1"/>
  <c r="G95" i="4"/>
  <c r="I353" i="1" l="1"/>
  <c r="G98" i="1"/>
  <c r="B100" i="1"/>
  <c r="A163" i="4"/>
  <c r="B98" i="4"/>
  <c r="G97" i="4" s="1"/>
  <c r="I354" i="1" l="1"/>
  <c r="G99" i="1"/>
  <c r="F100" i="1"/>
  <c r="B101" i="1"/>
  <c r="A164" i="4"/>
  <c r="A165" i="4" s="1"/>
  <c r="B99" i="4"/>
  <c r="I356" i="1" l="1"/>
  <c r="G100" i="1"/>
  <c r="B102" i="1"/>
  <c r="A166" i="4"/>
  <c r="B100" i="4"/>
  <c r="G98" i="4"/>
  <c r="I357" i="1" l="1"/>
  <c r="G101" i="1"/>
  <c r="B103" i="1"/>
  <c r="A167" i="4"/>
  <c r="A168" i="4" s="1"/>
  <c r="B101" i="4"/>
  <c r="G99" i="4"/>
  <c r="I359" i="1" l="1"/>
  <c r="G102" i="1"/>
  <c r="B104" i="1"/>
  <c r="A169" i="4"/>
  <c r="B102" i="4"/>
  <c r="G101" i="4" s="1"/>
  <c r="G100" i="4"/>
  <c r="I360" i="1" l="1"/>
  <c r="G103" i="1"/>
  <c r="B105" i="1"/>
  <c r="A170" i="4"/>
  <c r="A171" i="4" s="1"/>
  <c r="B103" i="4"/>
  <c r="G102" i="4" s="1"/>
  <c r="I362" i="1" l="1"/>
  <c r="G104" i="1"/>
  <c r="B106" i="1"/>
  <c r="A172" i="4"/>
  <c r="B104" i="4"/>
  <c r="I363" i="1" l="1"/>
  <c r="G105" i="1"/>
  <c r="B107" i="1"/>
  <c r="A173" i="4"/>
  <c r="A174" i="4" s="1"/>
  <c r="B105" i="4"/>
  <c r="G103" i="4"/>
  <c r="I365" i="1" l="1"/>
  <c r="G106" i="1"/>
  <c r="B108" i="1"/>
  <c r="A175" i="4"/>
  <c r="B106" i="4"/>
  <c r="G105" i="4" s="1"/>
  <c r="G104" i="4"/>
  <c r="I366" i="1" l="1"/>
  <c r="G107" i="1"/>
  <c r="B109" i="1"/>
  <c r="A176" i="4"/>
  <c r="A177" i="4" s="1"/>
  <c r="B107" i="4"/>
  <c r="I368" i="1" l="1"/>
  <c r="G108" i="1"/>
  <c r="B110" i="1"/>
  <c r="A178" i="4"/>
  <c r="B108" i="4"/>
  <c r="G106" i="4"/>
  <c r="I369" i="1" l="1"/>
  <c r="G109" i="1"/>
  <c r="B111" i="1"/>
  <c r="A179" i="4"/>
  <c r="A180" i="4" s="1"/>
  <c r="B109" i="4"/>
  <c r="G107" i="4"/>
  <c r="I371" i="1" l="1"/>
  <c r="G110" i="1"/>
  <c r="B112" i="1"/>
  <c r="A181" i="4"/>
  <c r="B110" i="4"/>
  <c r="G108" i="4"/>
  <c r="I372" i="1" l="1"/>
  <c r="G111" i="1"/>
  <c r="B113" i="1"/>
  <c r="A182" i="4"/>
  <c r="A183" i="4" s="1"/>
  <c r="B111" i="4"/>
  <c r="G109" i="4"/>
  <c r="I374" i="1" l="1"/>
  <c r="G112" i="1"/>
  <c r="B114" i="1"/>
  <c r="A184" i="4"/>
  <c r="B112" i="4"/>
  <c r="G110" i="4"/>
  <c r="I375" i="1" l="1"/>
  <c r="G113" i="1"/>
  <c r="B115" i="1"/>
  <c r="A185" i="4"/>
  <c r="A186" i="4" s="1"/>
  <c r="B113" i="4"/>
  <c r="G112" i="4" s="1"/>
  <c r="G111" i="4"/>
  <c r="I377" i="1" l="1"/>
  <c r="G114" i="1"/>
  <c r="B116" i="1"/>
  <c r="A187" i="4"/>
  <c r="B114" i="4"/>
  <c r="G113" i="4" s="1"/>
  <c r="I378" i="1" l="1"/>
  <c r="G115" i="1"/>
  <c r="B117" i="1"/>
  <c r="A188" i="4"/>
  <c r="A189" i="4" s="1"/>
  <c r="B115" i="4"/>
  <c r="G116" i="1" l="1"/>
  <c r="B118" i="1"/>
  <c r="A190" i="4"/>
  <c r="B116" i="4"/>
  <c r="G114" i="4"/>
  <c r="G117" i="1" l="1"/>
  <c r="B119" i="1"/>
  <c r="A191" i="4"/>
  <c r="A192" i="4" s="1"/>
  <c r="B117" i="4"/>
  <c r="G116" i="4" s="1"/>
  <c r="G115" i="4"/>
  <c r="G118" i="1" l="1"/>
  <c r="B120" i="1"/>
  <c r="A193" i="4"/>
  <c r="B118" i="4"/>
  <c r="G117" i="4" s="1"/>
  <c r="G119" i="1" l="1"/>
  <c r="B121" i="1"/>
  <c r="A194" i="4"/>
  <c r="A195" i="4" s="1"/>
  <c r="B119" i="4"/>
  <c r="G120" i="1" l="1"/>
  <c r="B122" i="1"/>
  <c r="A196" i="4"/>
  <c r="B120" i="4"/>
  <c r="G119" i="4" s="1"/>
  <c r="G118" i="4"/>
  <c r="G121" i="1" l="1"/>
  <c r="B123" i="1"/>
  <c r="A197" i="4"/>
  <c r="A198" i="4" s="1"/>
  <c r="B121" i="4"/>
  <c r="G120" i="4" s="1"/>
  <c r="F475" i="1" l="1"/>
  <c r="G122" i="1"/>
  <c r="B124" i="1"/>
  <c r="A199" i="4"/>
  <c r="B122" i="4"/>
  <c r="I477" i="1" l="1"/>
  <c r="G123" i="1"/>
  <c r="F272" i="1"/>
  <c r="B125" i="1"/>
  <c r="A200" i="4"/>
  <c r="A201" i="4" s="1"/>
  <c r="B123" i="4"/>
  <c r="G121" i="4"/>
  <c r="I479" i="1" l="1"/>
  <c r="G124" i="1"/>
  <c r="I274" i="1"/>
  <c r="B126" i="1"/>
  <c r="F173" i="1"/>
  <c r="F71" i="1"/>
  <c r="I73" i="1"/>
  <c r="A202" i="4"/>
  <c r="B124" i="4"/>
  <c r="G122" i="4"/>
  <c r="I481" i="1" l="1"/>
  <c r="G125" i="1"/>
  <c r="I276" i="1"/>
  <c r="B127" i="1"/>
  <c r="I175" i="1"/>
  <c r="I75" i="1"/>
  <c r="A203" i="4"/>
  <c r="A204" i="4" s="1"/>
  <c r="B125" i="4"/>
  <c r="G124" i="4" s="1"/>
  <c r="G123" i="4"/>
  <c r="I483" i="1" l="1"/>
  <c r="G126" i="1"/>
  <c r="I278" i="1"/>
  <c r="B128" i="1"/>
  <c r="I177" i="1"/>
  <c r="I77" i="1"/>
  <c r="A205" i="4"/>
  <c r="B126" i="4"/>
  <c r="G125" i="4" s="1"/>
  <c r="I485" i="1" l="1"/>
  <c r="B129" i="1"/>
  <c r="G127" i="1"/>
  <c r="I280" i="1"/>
  <c r="I179" i="1"/>
  <c r="I79" i="1"/>
  <c r="A206" i="4"/>
  <c r="B127" i="4"/>
  <c r="G126" i="4" s="1"/>
  <c r="I487" i="1" l="1"/>
  <c r="B130" i="1"/>
  <c r="G128" i="1"/>
  <c r="I282" i="1"/>
  <c r="I181" i="1"/>
  <c r="I81" i="1"/>
  <c r="A207" i="4"/>
  <c r="A208" i="4" s="1"/>
  <c r="F206" i="4"/>
  <c r="B128" i="4"/>
  <c r="G127" i="4" s="1"/>
  <c r="I489" i="1" l="1"/>
  <c r="B131" i="1"/>
  <c r="G129" i="1"/>
  <c r="I284" i="1"/>
  <c r="I183" i="1"/>
  <c r="I83" i="1"/>
  <c r="A209" i="4"/>
  <c r="A210" i="4" s="1"/>
  <c r="B129" i="4"/>
  <c r="G128" i="4" s="1"/>
  <c r="I491" i="1" l="1"/>
  <c r="B132" i="1"/>
  <c r="G131" i="1" s="1"/>
  <c r="G130" i="1"/>
  <c r="I286" i="1"/>
  <c r="I185" i="1"/>
  <c r="I85" i="1"/>
  <c r="A211" i="4"/>
  <c r="A212" i="4" s="1"/>
  <c r="B130" i="4"/>
  <c r="G129" i="4" s="1"/>
  <c r="I493" i="1" l="1"/>
  <c r="B133" i="1"/>
  <c r="G132" i="1" s="1"/>
  <c r="I288" i="1"/>
  <c r="I187" i="1"/>
  <c r="I87" i="1"/>
  <c r="A213" i="4"/>
  <c r="A214" i="4" s="1"/>
  <c r="B131" i="4"/>
  <c r="G130" i="4" s="1"/>
  <c r="I495" i="1" l="1"/>
  <c r="B134" i="1"/>
  <c r="G133" i="1" s="1"/>
  <c r="I290" i="1"/>
  <c r="I189" i="1"/>
  <c r="I89" i="1"/>
  <c r="A215" i="4"/>
  <c r="A216" i="4" s="1"/>
  <c r="B132" i="4"/>
  <c r="G131" i="4" s="1"/>
  <c r="I497" i="1" l="1"/>
  <c r="B135" i="1"/>
  <c r="G134" i="1" s="1"/>
  <c r="I292" i="1"/>
  <c r="I191" i="1"/>
  <c r="I91" i="1"/>
  <c r="A217" i="4"/>
  <c r="A218" i="4" s="1"/>
  <c r="B133" i="4"/>
  <c r="G132" i="4" s="1"/>
  <c r="I499" i="1" l="1"/>
  <c r="B136" i="1"/>
  <c r="G135" i="1" s="1"/>
  <c r="I294" i="1"/>
  <c r="I193" i="1"/>
  <c r="I93" i="1"/>
  <c r="A219" i="4"/>
  <c r="A220" i="4" s="1"/>
  <c r="B134" i="4"/>
  <c r="G133" i="4" s="1"/>
  <c r="B137" i="1" l="1"/>
  <c r="G136" i="1" s="1"/>
  <c r="I296" i="1"/>
  <c r="I195" i="1"/>
  <c r="I95" i="1"/>
  <c r="A221" i="4"/>
  <c r="A222" i="4" s="1"/>
  <c r="B135" i="4"/>
  <c r="G134" i="4" s="1"/>
  <c r="B138" i="1" l="1"/>
  <c r="G137" i="1" s="1"/>
  <c r="I298" i="1"/>
  <c r="I197" i="1"/>
  <c r="I97" i="1"/>
  <c r="A223" i="4"/>
  <c r="A224" i="4" s="1"/>
  <c r="B136" i="4"/>
  <c r="G135" i="4" s="1"/>
  <c r="B139" i="1" l="1"/>
  <c r="G138" i="1" s="1"/>
  <c r="I199" i="1"/>
  <c r="A225" i="4"/>
  <c r="A226" i="4" s="1"/>
  <c r="B137" i="4"/>
  <c r="G136" i="4" s="1"/>
  <c r="B140" i="1" l="1"/>
  <c r="G139" i="1" s="1"/>
  <c r="I201" i="1"/>
  <c r="A227" i="4"/>
  <c r="A228" i="4" s="1"/>
  <c r="B138" i="4"/>
  <c r="G137" i="4" s="1"/>
  <c r="B141" i="1" l="1"/>
  <c r="G140" i="1" s="1"/>
  <c r="A229" i="4"/>
  <c r="A230" i="4" s="1"/>
  <c r="B139" i="4"/>
  <c r="G138" i="4" s="1"/>
  <c r="B142" i="1" l="1"/>
  <c r="G141" i="1" s="1"/>
  <c r="A231" i="4"/>
  <c r="A232" i="4" s="1"/>
  <c r="B140" i="4"/>
  <c r="G139" i="4" s="1"/>
  <c r="B143" i="1" l="1"/>
  <c r="G142" i="1" s="1"/>
  <c r="A233" i="4"/>
  <c r="A234" i="4" s="1"/>
  <c r="B141" i="4"/>
  <c r="G140" i="4" s="1"/>
  <c r="B144" i="1" l="1"/>
  <c r="A235" i="4"/>
  <c r="A236" i="4" s="1"/>
  <c r="B142" i="4"/>
  <c r="G141" i="4" s="1"/>
  <c r="B145" i="1" l="1"/>
  <c r="G144" i="1" s="1"/>
  <c r="G143" i="1"/>
  <c r="A237" i="4"/>
  <c r="A238" i="4" s="1"/>
  <c r="B143" i="4"/>
  <c r="G142" i="4" s="1"/>
  <c r="B146" i="1" l="1"/>
  <c r="G145" i="1" s="1"/>
  <c r="A239" i="4"/>
  <c r="A240" i="4" s="1"/>
  <c r="B144" i="4"/>
  <c r="B147" i="1" l="1"/>
  <c r="G146" i="1" s="1"/>
  <c r="A241" i="4"/>
  <c r="A242" i="4" s="1"/>
  <c r="B145" i="4"/>
  <c r="G143" i="4"/>
  <c r="B148" i="1" l="1"/>
  <c r="G147" i="1" s="1"/>
  <c r="A243" i="4"/>
  <c r="A244" i="4" s="1"/>
  <c r="B146" i="4"/>
  <c r="G144" i="4"/>
  <c r="B149" i="1" l="1"/>
  <c r="G148" i="1" s="1"/>
  <c r="A245" i="4"/>
  <c r="A246" i="4" s="1"/>
  <c r="B147" i="4"/>
  <c r="G146" i="4" s="1"/>
  <c r="G145" i="4"/>
  <c r="B150" i="1" l="1"/>
  <c r="G149" i="1" s="1"/>
  <c r="A247" i="4"/>
  <c r="A248" i="4" s="1"/>
  <c r="B148" i="4"/>
  <c r="G147" i="4" s="1"/>
  <c r="B151" i="1" l="1"/>
  <c r="G150" i="1" s="1"/>
  <c r="A249" i="4"/>
  <c r="A250" i="4" s="1"/>
  <c r="B149" i="4"/>
  <c r="G148" i="4" s="1"/>
  <c r="B152" i="1" l="1"/>
  <c r="G151" i="1" s="1"/>
  <c r="A251" i="4"/>
  <c r="A252" i="4" s="1"/>
  <c r="B150" i="4"/>
  <c r="B153" i="1" l="1"/>
  <c r="G152" i="1" s="1"/>
  <c r="A253" i="4"/>
  <c r="A254" i="4" s="1"/>
  <c r="B151" i="4"/>
  <c r="G150" i="4" s="1"/>
  <c r="G149" i="4"/>
  <c r="B154" i="1" l="1"/>
  <c r="G153" i="1" s="1"/>
  <c r="A255" i="4"/>
  <c r="A256" i="4" s="1"/>
  <c r="B152" i="4"/>
  <c r="G151" i="4" s="1"/>
  <c r="B155" i="1" l="1"/>
  <c r="G154" i="1" s="1"/>
  <c r="A257" i="4"/>
  <c r="A258" i="4" s="1"/>
  <c r="B153" i="4"/>
  <c r="G152" i="4" s="1"/>
  <c r="B156" i="1" l="1"/>
  <c r="A259" i="4"/>
  <c r="A260" i="4" s="1"/>
  <c r="B154" i="4"/>
  <c r="G153" i="4" s="1"/>
  <c r="B157" i="1" l="1"/>
  <c r="G156" i="1" s="1"/>
  <c r="G155" i="1"/>
  <c r="A261" i="4"/>
  <c r="A262" i="4" s="1"/>
  <c r="B155" i="4"/>
  <c r="G154" i="4" s="1"/>
  <c r="B158" i="1" l="1"/>
  <c r="G157" i="1" s="1"/>
  <c r="A263" i="4"/>
  <c r="A264" i="4" s="1"/>
  <c r="B156" i="4"/>
  <c r="G155" i="4" s="1"/>
  <c r="B159" i="1" l="1"/>
  <c r="G158" i="1" s="1"/>
  <c r="A265" i="4"/>
  <c r="A266" i="4" s="1"/>
  <c r="B157" i="4"/>
  <c r="G156" i="4" s="1"/>
  <c r="B160" i="1" l="1"/>
  <c r="G159" i="1" s="1"/>
  <c r="A267" i="4"/>
  <c r="A268" i="4" s="1"/>
  <c r="B158" i="4"/>
  <c r="G157" i="4" s="1"/>
  <c r="B161" i="1" l="1"/>
  <c r="G160" i="1" s="1"/>
  <c r="A269" i="4"/>
  <c r="A270" i="4" s="1"/>
  <c r="B159" i="4"/>
  <c r="G158" i="4" s="1"/>
  <c r="B162" i="1" l="1"/>
  <c r="G161" i="1" s="1"/>
  <c r="A271" i="4"/>
  <c r="A272" i="4" s="1"/>
  <c r="B160" i="4"/>
  <c r="G159" i="4" s="1"/>
  <c r="B163" i="1" l="1"/>
  <c r="G162" i="1" s="1"/>
  <c r="A273" i="4"/>
  <c r="A274" i="4" s="1"/>
  <c r="B161" i="4"/>
  <c r="G160" i="4" s="1"/>
  <c r="B164" i="1" l="1"/>
  <c r="G163" i="1" s="1"/>
  <c r="A275" i="4"/>
  <c r="A276" i="4" s="1"/>
  <c r="B162" i="4"/>
  <c r="B165" i="1" l="1"/>
  <c r="G164" i="1" s="1"/>
  <c r="A277" i="4"/>
  <c r="A278" i="4" s="1"/>
  <c r="B163" i="4"/>
  <c r="G162" i="4" s="1"/>
  <c r="G161" i="4"/>
  <c r="B166" i="1" l="1"/>
  <c r="G165" i="1" s="1"/>
  <c r="A279" i="4"/>
  <c r="A280" i="4" s="1"/>
  <c r="B164" i="4"/>
  <c r="G163" i="4" s="1"/>
  <c r="B167" i="1" l="1"/>
  <c r="G166" i="1" s="1"/>
  <c r="A281" i="4"/>
  <c r="A282" i="4" s="1"/>
  <c r="B165" i="4"/>
  <c r="F379" i="1" l="1"/>
  <c r="B168" i="1"/>
  <c r="G167" i="1" s="1"/>
  <c r="A283" i="4"/>
  <c r="A284" i="4" s="1"/>
  <c r="B166" i="4"/>
  <c r="G165" i="4" s="1"/>
  <c r="G164" i="4"/>
  <c r="I381" i="1" l="1"/>
  <c r="B169" i="1"/>
  <c r="G168" i="1" s="1"/>
  <c r="A285" i="4"/>
  <c r="A286" i="4" s="1"/>
  <c r="B167" i="4"/>
  <c r="I383" i="1" l="1"/>
  <c r="B170" i="1"/>
  <c r="G169" i="1" s="1"/>
  <c r="A287" i="4"/>
  <c r="B168" i="4"/>
  <c r="G166" i="4"/>
  <c r="I385" i="1" l="1"/>
  <c r="B171" i="1"/>
  <c r="G170" i="1" s="1"/>
  <c r="B169" i="4"/>
  <c r="G168" i="4" s="1"/>
  <c r="G167" i="4"/>
  <c r="I387" i="1" l="1"/>
  <c r="B172" i="1"/>
  <c r="G171" i="1" s="1"/>
  <c r="B170" i="4"/>
  <c r="I389" i="1" l="1"/>
  <c r="B173" i="1"/>
  <c r="G172" i="1" s="1"/>
  <c r="B171" i="4"/>
  <c r="G169" i="4"/>
  <c r="I391" i="1" l="1"/>
  <c r="B174" i="1"/>
  <c r="G173" i="1" s="1"/>
  <c r="B172" i="4"/>
  <c r="G171" i="4" s="1"/>
  <c r="G170" i="4"/>
  <c r="I393" i="1" l="1"/>
  <c r="B175" i="1"/>
  <c r="G174" i="1" s="1"/>
  <c r="B173" i="4"/>
  <c r="I395" i="1" l="1"/>
  <c r="B176" i="1"/>
  <c r="G175" i="1" s="1"/>
  <c r="B174" i="4"/>
  <c r="G172" i="4"/>
  <c r="I397" i="1" l="1"/>
  <c r="B177" i="1"/>
  <c r="G176" i="1" s="1"/>
  <c r="B175" i="4"/>
  <c r="G174" i="4" s="1"/>
  <c r="G173" i="4"/>
  <c r="I399" i="1" l="1"/>
  <c r="B178" i="1"/>
  <c r="G177" i="1" s="1"/>
  <c r="B176" i="4"/>
  <c r="G175" i="4" s="1"/>
  <c r="I401" i="1" l="1"/>
  <c r="B179" i="1"/>
  <c r="G178" i="1" s="1"/>
  <c r="B177" i="4"/>
  <c r="G176" i="4" s="1"/>
  <c r="I403" i="1" l="1"/>
  <c r="B180" i="1"/>
  <c r="G179" i="1" s="1"/>
  <c r="B178" i="4"/>
  <c r="G177" i="4" s="1"/>
  <c r="I405" i="1" l="1"/>
  <c r="B181" i="1"/>
  <c r="G180" i="1" s="1"/>
  <c r="B179" i="4"/>
  <c r="I407" i="1" l="1"/>
  <c r="B182" i="1"/>
  <c r="G181" i="1" s="1"/>
  <c r="B180" i="4"/>
  <c r="G178" i="4"/>
  <c r="I409" i="1" l="1"/>
  <c r="B183" i="1"/>
  <c r="G182" i="1" s="1"/>
  <c r="B181" i="4"/>
  <c r="G180" i="4" s="1"/>
  <c r="G179" i="4"/>
  <c r="B184" i="1" l="1"/>
  <c r="G183" i="1" s="1"/>
  <c r="B182" i="4"/>
  <c r="G181" i="4" s="1"/>
  <c r="B185" i="1" l="1"/>
  <c r="G184" i="1" s="1"/>
  <c r="B183" i="4"/>
  <c r="G182" i="4" s="1"/>
  <c r="B186" i="1" l="1"/>
  <c r="G185" i="1" s="1"/>
  <c r="B184" i="4"/>
  <c r="G183" i="4" s="1"/>
  <c r="B187" i="1" l="1"/>
  <c r="G186" i="1" s="1"/>
  <c r="B185" i="4"/>
  <c r="G184" i="4" s="1"/>
  <c r="B188" i="1" l="1"/>
  <c r="G187" i="1" s="1"/>
  <c r="B186" i="4"/>
  <c r="G185" i="4" s="1"/>
  <c r="B189" i="1" l="1"/>
  <c r="G188" i="1" s="1"/>
  <c r="B187" i="4"/>
  <c r="G186" i="4" s="1"/>
  <c r="B190" i="1" l="1"/>
  <c r="G189" i="1"/>
  <c r="B188" i="4"/>
  <c r="G187" i="4" s="1"/>
  <c r="B191" i="1" l="1"/>
  <c r="G190" i="1" s="1"/>
  <c r="B189" i="4"/>
  <c r="G188" i="4" s="1"/>
  <c r="B192" i="1" l="1"/>
  <c r="G191" i="1" s="1"/>
  <c r="B190" i="4"/>
  <c r="G189" i="4" s="1"/>
  <c r="B193" i="1" l="1"/>
  <c r="G192" i="1"/>
  <c r="B191" i="4"/>
  <c r="G190" i="4" s="1"/>
  <c r="B194" i="1" l="1"/>
  <c r="B192" i="4"/>
  <c r="G191" i="4" s="1"/>
  <c r="G193" i="1" l="1"/>
  <c r="B195" i="1"/>
  <c r="B193" i="4"/>
  <c r="G192" i="4" s="1"/>
  <c r="G194" i="1" l="1"/>
  <c r="B196" i="1"/>
  <c r="B194" i="4"/>
  <c r="G193" i="4" s="1"/>
  <c r="G195" i="1" l="1"/>
  <c r="B197" i="1"/>
  <c r="B195" i="4"/>
  <c r="G194" i="4" s="1"/>
  <c r="G196" i="1" l="1"/>
  <c r="B198" i="1"/>
  <c r="B196" i="4"/>
  <c r="G197" i="1" l="1"/>
  <c r="B199" i="1"/>
  <c r="B197" i="4"/>
  <c r="G195" i="4"/>
  <c r="G198" i="1" l="1"/>
  <c r="B200" i="1"/>
  <c r="B198" i="4"/>
  <c r="G197" i="4" s="1"/>
  <c r="G196" i="4"/>
  <c r="G199" i="1" l="1"/>
  <c r="B201" i="1"/>
  <c r="B199" i="4"/>
  <c r="G198" i="4" s="1"/>
  <c r="G200" i="1" l="1"/>
  <c r="B202" i="1"/>
  <c r="B200" i="4"/>
  <c r="G201" i="1" l="1"/>
  <c r="B203" i="1"/>
  <c r="B201" i="4"/>
  <c r="G199" i="4"/>
  <c r="G202" i="1" l="1"/>
  <c r="B204" i="1"/>
  <c r="B202" i="4"/>
  <c r="G200" i="4"/>
  <c r="G203" i="1" l="1"/>
  <c r="F204" i="1"/>
  <c r="B205" i="1"/>
  <c r="B203" i="4"/>
  <c r="G201" i="4"/>
  <c r="G204" i="1" l="1"/>
  <c r="B206" i="1"/>
  <c r="B204" i="4"/>
  <c r="G202" i="4"/>
  <c r="G205" i="1" l="1"/>
  <c r="B207" i="1"/>
  <c r="B205" i="4"/>
  <c r="G203" i="4"/>
  <c r="G206" i="1" l="1"/>
  <c r="B208" i="1"/>
  <c r="B206" i="4"/>
  <c r="G205" i="4" s="1"/>
  <c r="G204" i="4"/>
  <c r="G207" i="1" l="1"/>
  <c r="B209" i="1"/>
  <c r="B207" i="4"/>
  <c r="G206" i="4"/>
  <c r="G208" i="1" l="1"/>
  <c r="B210" i="1"/>
  <c r="B208" i="4"/>
  <c r="G209" i="1" l="1"/>
  <c r="B211" i="1"/>
  <c r="B209" i="4"/>
  <c r="G207" i="4"/>
  <c r="G210" i="1" l="1"/>
  <c r="B212" i="1"/>
  <c r="B210" i="4"/>
  <c r="G209" i="4" s="1"/>
  <c r="G208" i="4"/>
  <c r="G211" i="1" l="1"/>
  <c r="B213" i="1"/>
  <c r="B211" i="4"/>
  <c r="G210" i="4" s="1"/>
  <c r="G212" i="1" l="1"/>
  <c r="B214" i="1"/>
  <c r="B212" i="4"/>
  <c r="G213" i="1" l="1"/>
  <c r="B215" i="1"/>
  <c r="B213" i="4"/>
  <c r="G212" i="4" s="1"/>
  <c r="G211" i="4"/>
  <c r="G214" i="1" l="1"/>
  <c r="B216" i="1"/>
  <c r="B214" i="4"/>
  <c r="G213" i="4"/>
  <c r="G215" i="1" l="1"/>
  <c r="B217" i="1"/>
  <c r="B215" i="4"/>
  <c r="G214" i="4"/>
  <c r="G216" i="1" l="1"/>
  <c r="B218" i="1"/>
  <c r="B216" i="4"/>
  <c r="G215" i="4"/>
  <c r="G217" i="1" l="1"/>
  <c r="B219" i="1"/>
  <c r="B217" i="4"/>
  <c r="G216" i="4" s="1"/>
  <c r="G218" i="1" l="1"/>
  <c r="B220" i="1"/>
  <c r="B218" i="4"/>
  <c r="G217" i="4" s="1"/>
  <c r="G219" i="1" l="1"/>
  <c r="B221" i="1"/>
  <c r="B219" i="4"/>
  <c r="G218" i="4" s="1"/>
  <c r="G220" i="1" l="1"/>
  <c r="B222" i="1"/>
  <c r="B220" i="4"/>
  <c r="G219" i="4" s="1"/>
  <c r="G221" i="1" l="1"/>
  <c r="B223" i="1"/>
  <c r="B221" i="4"/>
  <c r="G222" i="1" l="1"/>
  <c r="B224" i="1"/>
  <c r="B222" i="4"/>
  <c r="G220" i="4"/>
  <c r="G223" i="1" l="1"/>
  <c r="B225" i="1"/>
  <c r="B223" i="4"/>
  <c r="G221" i="4"/>
  <c r="G224" i="1" l="1"/>
  <c r="B226" i="1"/>
  <c r="B224" i="4"/>
  <c r="G223" i="4" s="1"/>
  <c r="G222" i="4"/>
  <c r="G225" i="1" l="1"/>
  <c r="B227" i="1"/>
  <c r="B225" i="4"/>
  <c r="G224" i="4" s="1"/>
  <c r="G226" i="1" l="1"/>
  <c r="B228" i="1"/>
  <c r="B226" i="4"/>
  <c r="G227" i="1" l="1"/>
  <c r="B229" i="1"/>
  <c r="B227" i="4"/>
  <c r="G226" i="4"/>
  <c r="G225" i="4"/>
  <c r="B230" i="1" l="1"/>
  <c r="G228" i="1"/>
  <c r="B228" i="4"/>
  <c r="G227" i="4" s="1"/>
  <c r="B231" i="1" l="1"/>
  <c r="G230" i="1" s="1"/>
  <c r="G229" i="1"/>
  <c r="B229" i="4"/>
  <c r="B232" i="1" l="1"/>
  <c r="G231" i="1" s="1"/>
  <c r="B230" i="4"/>
  <c r="G228" i="4"/>
  <c r="B233" i="1" l="1"/>
  <c r="G232" i="1" s="1"/>
  <c r="B231" i="4"/>
  <c r="G230" i="4" s="1"/>
  <c r="G229" i="4"/>
  <c r="B234" i="1" l="1"/>
  <c r="G233" i="1" s="1"/>
  <c r="B232" i="4"/>
  <c r="B235" i="1" l="1"/>
  <c r="G234" i="1" s="1"/>
  <c r="B233" i="4"/>
  <c r="G231" i="4"/>
  <c r="B236" i="1" l="1"/>
  <c r="G235" i="1" s="1"/>
  <c r="B234" i="4"/>
  <c r="G233" i="4" s="1"/>
  <c r="G232" i="4"/>
  <c r="B237" i="1" l="1"/>
  <c r="G236" i="1"/>
  <c r="B235" i="4"/>
  <c r="B238" i="1" l="1"/>
  <c r="G237" i="1" s="1"/>
  <c r="B236" i="4"/>
  <c r="G235" i="4" s="1"/>
  <c r="G234" i="4"/>
  <c r="B239" i="1" l="1"/>
  <c r="G238" i="1" s="1"/>
  <c r="B237" i="4"/>
  <c r="G236" i="4"/>
  <c r="B240" i="1" l="1"/>
  <c r="B238" i="4"/>
  <c r="G237" i="4"/>
  <c r="B241" i="1" l="1"/>
  <c r="G240" i="1" s="1"/>
  <c r="G239" i="1"/>
  <c r="B239" i="4"/>
  <c r="G238" i="4" s="1"/>
  <c r="B242" i="1" l="1"/>
  <c r="G241" i="1" s="1"/>
  <c r="B240" i="4"/>
  <c r="B243" i="1" l="1"/>
  <c r="G242" i="1" s="1"/>
  <c r="B241" i="4"/>
  <c r="G239" i="4"/>
  <c r="B244" i="1" l="1"/>
  <c r="G243" i="1" s="1"/>
  <c r="B242" i="4"/>
  <c r="G241" i="4" s="1"/>
  <c r="G240" i="4"/>
  <c r="B245" i="1" l="1"/>
  <c r="G244" i="1" s="1"/>
  <c r="B243" i="4"/>
  <c r="B246" i="1" l="1"/>
  <c r="G245" i="1" s="1"/>
  <c r="B244" i="4"/>
  <c r="G242" i="4"/>
  <c r="B247" i="1" l="1"/>
  <c r="G246" i="1" s="1"/>
  <c r="B245" i="4"/>
  <c r="G243" i="4"/>
  <c r="B248" i="1" l="1"/>
  <c r="G247" i="1" s="1"/>
  <c r="B246" i="4"/>
  <c r="G245" i="4" s="1"/>
  <c r="G244" i="4"/>
  <c r="B249" i="1" l="1"/>
  <c r="G248" i="1" s="1"/>
  <c r="B247" i="4"/>
  <c r="B250" i="1" l="1"/>
  <c r="G249" i="1" s="1"/>
  <c r="B248" i="4"/>
  <c r="G247" i="4" s="1"/>
  <c r="G246" i="4"/>
  <c r="B251" i="1" l="1"/>
  <c r="G250" i="1" s="1"/>
  <c r="B249" i="4"/>
  <c r="B252" i="1" l="1"/>
  <c r="G251" i="1" s="1"/>
  <c r="B250" i="4"/>
  <c r="G248" i="4"/>
  <c r="B253" i="1" l="1"/>
  <c r="G252" i="1" s="1"/>
  <c r="B251" i="4"/>
  <c r="G249" i="4"/>
  <c r="B254" i="1" l="1"/>
  <c r="G253" i="1" s="1"/>
  <c r="B252" i="4"/>
  <c r="G250" i="4"/>
  <c r="B255" i="1" l="1"/>
  <c r="G254" i="1"/>
  <c r="B253" i="4"/>
  <c r="G251" i="4"/>
  <c r="B256" i="1" l="1"/>
  <c r="G255" i="1"/>
  <c r="B254" i="4"/>
  <c r="G252" i="4"/>
  <c r="B257" i="1" l="1"/>
  <c r="G256" i="1"/>
  <c r="B255" i="4"/>
  <c r="G254" i="4" s="1"/>
  <c r="G253" i="4"/>
  <c r="B258" i="1" l="1"/>
  <c r="G257" i="1"/>
  <c r="B256" i="4"/>
  <c r="B259" i="1" l="1"/>
  <c r="G258" i="1"/>
  <c r="B257" i="4"/>
  <c r="G255" i="4"/>
  <c r="B260" i="1" l="1"/>
  <c r="G259" i="1"/>
  <c r="B258" i="4"/>
  <c r="G257" i="4" s="1"/>
  <c r="G256" i="4"/>
  <c r="B261" i="1" l="1"/>
  <c r="G260" i="1" s="1"/>
  <c r="B259" i="4"/>
  <c r="B262" i="1" l="1"/>
  <c r="G261" i="1" s="1"/>
  <c r="B260" i="4"/>
  <c r="G259" i="4" s="1"/>
  <c r="G258" i="4"/>
  <c r="B263" i="1" l="1"/>
  <c r="G262" i="1" s="1"/>
  <c r="B261" i="4"/>
  <c r="G260" i="4" s="1"/>
  <c r="B264" i="1" l="1"/>
  <c r="G263" i="1" s="1"/>
  <c r="B262" i="4"/>
  <c r="G261" i="4" s="1"/>
  <c r="B265" i="1" l="1"/>
  <c r="G264" i="1" s="1"/>
  <c r="B263" i="4"/>
  <c r="G262" i="4" s="1"/>
  <c r="B266" i="1" l="1"/>
  <c r="B264" i="4"/>
  <c r="G263" i="4" s="1"/>
  <c r="B267" i="1" l="1"/>
  <c r="G266" i="1"/>
  <c r="G265" i="1"/>
  <c r="B265" i="4"/>
  <c r="G264" i="4" s="1"/>
  <c r="B268" i="1" l="1"/>
  <c r="G267" i="1" s="1"/>
  <c r="B266" i="4"/>
  <c r="G265" i="4"/>
  <c r="B269" i="1" l="1"/>
  <c r="G268" i="1" s="1"/>
  <c r="B267" i="4"/>
  <c r="G266" i="4" s="1"/>
  <c r="B270" i="1" l="1"/>
  <c r="B268" i="4"/>
  <c r="G267" i="4" s="1"/>
  <c r="B271" i="1" l="1"/>
  <c r="G270" i="1" s="1"/>
  <c r="G269" i="1"/>
  <c r="B269" i="4"/>
  <c r="B272" i="1" l="1"/>
  <c r="G271" i="1" s="1"/>
  <c r="B270" i="4"/>
  <c r="G268" i="4"/>
  <c r="B273" i="1" l="1"/>
  <c r="G272" i="1" s="1"/>
  <c r="B271" i="4"/>
  <c r="G270" i="4" s="1"/>
  <c r="G269" i="4"/>
  <c r="B274" i="1" l="1"/>
  <c r="G273" i="1"/>
  <c r="B272" i="4"/>
  <c r="B275" i="1" l="1"/>
  <c r="G274" i="1" s="1"/>
  <c r="B273" i="4"/>
  <c r="G272" i="4" s="1"/>
  <c r="G271" i="4"/>
  <c r="B276" i="1" l="1"/>
  <c r="G275" i="1" s="1"/>
  <c r="B274" i="4"/>
  <c r="G273" i="4" s="1"/>
  <c r="B277" i="1" l="1"/>
  <c r="G276" i="1" s="1"/>
  <c r="B275" i="4"/>
  <c r="B278" i="1" l="1"/>
  <c r="G277" i="1" s="1"/>
  <c r="B276" i="4"/>
  <c r="G274" i="4"/>
  <c r="B279" i="1" l="1"/>
  <c r="G278" i="1" s="1"/>
  <c r="B277" i="4"/>
  <c r="G275" i="4"/>
  <c r="B280" i="1" l="1"/>
  <c r="G279" i="1" s="1"/>
  <c r="B278" i="4"/>
  <c r="G277" i="4" s="1"/>
  <c r="G276" i="4"/>
  <c r="B281" i="1" l="1"/>
  <c r="G280" i="1"/>
  <c r="B279" i="4"/>
  <c r="B282" i="1" l="1"/>
  <c r="G281" i="1"/>
  <c r="B280" i="4"/>
  <c r="G279" i="4" s="1"/>
  <c r="G278" i="4"/>
  <c r="B283" i="1" l="1"/>
  <c r="G282" i="1" s="1"/>
  <c r="B281" i="4"/>
  <c r="B284" i="1" l="1"/>
  <c r="G283" i="1" s="1"/>
  <c r="B282" i="4"/>
  <c r="G280" i="4"/>
  <c r="B285" i="1" l="1"/>
  <c r="G284" i="1" s="1"/>
  <c r="B283" i="4"/>
  <c r="G282" i="4" s="1"/>
  <c r="G281" i="4"/>
  <c r="B286" i="1" l="1"/>
  <c r="G285" i="1"/>
  <c r="B284" i="4"/>
  <c r="B287" i="1" l="1"/>
  <c r="G286" i="1" s="1"/>
  <c r="B285" i="4"/>
  <c r="G283" i="4"/>
  <c r="F500" i="1" l="1"/>
  <c r="B288" i="1"/>
  <c r="G287" i="1" s="1"/>
  <c r="F202" i="1"/>
  <c r="F98" i="1"/>
  <c r="B286" i="4"/>
  <c r="G284" i="4"/>
  <c r="B289" i="1" l="1"/>
  <c r="G288" i="1" s="1"/>
  <c r="B287" i="4"/>
  <c r="G286" i="4"/>
  <c r="G285" i="4"/>
  <c r="B290" i="1" l="1"/>
  <c r="G289" i="1" s="1"/>
  <c r="G287" i="4"/>
  <c r="F287" i="4"/>
  <c r="B291" i="1" l="1"/>
  <c r="G290" i="1" s="1"/>
  <c r="B292" i="1" l="1"/>
  <c r="G291" i="1" s="1"/>
  <c r="B293" i="1" l="1"/>
  <c r="G292" i="1" s="1"/>
  <c r="B294" i="1" l="1"/>
  <c r="G293" i="1" s="1"/>
  <c r="B295" i="1" l="1"/>
  <c r="G294" i="1" s="1"/>
  <c r="B296" i="1" l="1"/>
  <c r="G295" i="1" s="1"/>
  <c r="B297" i="1" l="1"/>
  <c r="G296" i="1" s="1"/>
  <c r="B298" i="1" l="1"/>
  <c r="G297" i="1" s="1"/>
  <c r="B299" i="1" l="1"/>
  <c r="G298" i="1" s="1"/>
  <c r="B300" i="1" l="1"/>
  <c r="F299" i="1"/>
  <c r="G299" i="1" l="1"/>
  <c r="B301" i="1"/>
  <c r="G300" i="1" l="1"/>
  <c r="F301" i="1"/>
  <c r="B302" i="1"/>
  <c r="G301" i="1" l="1"/>
  <c r="B303" i="1"/>
  <c r="G302" i="1" l="1"/>
  <c r="B304" i="1"/>
  <c r="G303" i="1" l="1"/>
  <c r="B305" i="1"/>
  <c r="G304" i="1" l="1"/>
  <c r="B306" i="1"/>
  <c r="G305" i="1" l="1"/>
  <c r="B307" i="1"/>
  <c r="G306" i="1" l="1"/>
  <c r="B308" i="1"/>
  <c r="G307" i="1" l="1"/>
  <c r="B309" i="1"/>
  <c r="G308" i="1" l="1"/>
  <c r="B310" i="1"/>
  <c r="G309" i="1" l="1"/>
  <c r="B311" i="1"/>
  <c r="G310" i="1" s="1"/>
  <c r="B312" i="1" l="1"/>
  <c r="G311" i="1" l="1"/>
  <c r="B313" i="1"/>
  <c r="G312" i="1" l="1"/>
  <c r="B314" i="1"/>
  <c r="G313" i="1" l="1"/>
  <c r="B315" i="1"/>
  <c r="G314" i="1" s="1"/>
  <c r="B316" i="1" l="1"/>
  <c r="G315" i="1" l="1"/>
  <c r="B317" i="1"/>
  <c r="G316" i="1" l="1"/>
  <c r="B318" i="1"/>
  <c r="G317" i="1" l="1"/>
  <c r="B319" i="1"/>
  <c r="G318" i="1" l="1"/>
  <c r="B320" i="1"/>
  <c r="G319" i="1" s="1"/>
  <c r="B321" i="1" l="1"/>
  <c r="G320" i="1" l="1"/>
  <c r="B322" i="1"/>
  <c r="B323" i="1" l="1"/>
  <c r="G322" i="1"/>
  <c r="G321" i="1"/>
  <c r="B324" i="1" l="1"/>
  <c r="G323" i="1" s="1"/>
  <c r="B325" i="1" l="1"/>
  <c r="B326" i="1" l="1"/>
  <c r="G325" i="1" s="1"/>
  <c r="G324" i="1"/>
  <c r="B327" i="1" l="1"/>
  <c r="G326" i="1"/>
  <c r="B328" i="1" l="1"/>
  <c r="G327" i="1"/>
  <c r="B329" i="1" l="1"/>
  <c r="G328" i="1"/>
  <c r="B330" i="1" l="1"/>
  <c r="G329" i="1"/>
  <c r="B331" i="1" l="1"/>
  <c r="G330" i="1" s="1"/>
  <c r="B332" i="1" l="1"/>
  <c r="G331" i="1"/>
  <c r="B333" i="1" l="1"/>
  <c r="G332" i="1" s="1"/>
  <c r="B334" i="1" l="1"/>
  <c r="G333" i="1"/>
  <c r="B335" i="1" l="1"/>
  <c r="G334" i="1" s="1"/>
  <c r="B336" i="1" l="1"/>
  <c r="G335" i="1" s="1"/>
  <c r="B337" i="1" l="1"/>
  <c r="G336" i="1"/>
  <c r="B338" i="1" l="1"/>
  <c r="G337" i="1" s="1"/>
  <c r="B339" i="1" l="1"/>
  <c r="G338" i="1" s="1"/>
  <c r="B340" i="1" l="1"/>
  <c r="B341" i="1" l="1"/>
  <c r="G340" i="1" s="1"/>
  <c r="G339" i="1"/>
  <c r="B342" i="1" l="1"/>
  <c r="G341" i="1"/>
  <c r="B343" i="1" l="1"/>
  <c r="G342" i="1" s="1"/>
  <c r="B344" i="1" l="1"/>
  <c r="G343" i="1"/>
  <c r="B345" i="1" l="1"/>
  <c r="G344" i="1" s="1"/>
  <c r="B346" i="1" l="1"/>
  <c r="G345" i="1" s="1"/>
  <c r="B347" i="1" l="1"/>
  <c r="G346" i="1" s="1"/>
  <c r="B348" i="1" l="1"/>
  <c r="G347" i="1" s="1"/>
  <c r="B349" i="1" l="1"/>
  <c r="G348" i="1" s="1"/>
  <c r="B350" i="1" l="1"/>
  <c r="G349" i="1"/>
  <c r="B351" i="1" l="1"/>
  <c r="G350" i="1" s="1"/>
  <c r="B352" i="1" l="1"/>
  <c r="G351" i="1" s="1"/>
  <c r="B353" i="1" l="1"/>
  <c r="G352" i="1" s="1"/>
  <c r="B354" i="1" l="1"/>
  <c r="G353" i="1"/>
  <c r="B355" i="1" l="1"/>
  <c r="G354" i="1"/>
  <c r="B356" i="1" l="1"/>
  <c r="G355" i="1" s="1"/>
  <c r="B357" i="1" l="1"/>
  <c r="B358" i="1" l="1"/>
  <c r="G356" i="1"/>
  <c r="B359" i="1" l="1"/>
  <c r="G358" i="1" s="1"/>
  <c r="G357" i="1"/>
  <c r="B360" i="1" l="1"/>
  <c r="G359" i="1" s="1"/>
  <c r="B361" i="1" l="1"/>
  <c r="G360" i="1"/>
  <c r="B362" i="1" l="1"/>
  <c r="G361" i="1" s="1"/>
  <c r="B363" i="1" l="1"/>
  <c r="G362" i="1" s="1"/>
  <c r="B364" i="1" l="1"/>
  <c r="G363" i="1" s="1"/>
  <c r="B365" i="1" l="1"/>
  <c r="G364" i="1"/>
  <c r="B366" i="1" l="1"/>
  <c r="G365" i="1"/>
  <c r="B367" i="1" l="1"/>
  <c r="G366" i="1" s="1"/>
  <c r="B368" i="1" l="1"/>
  <c r="G367" i="1"/>
  <c r="B369" i="1" l="1"/>
  <c r="G368" i="1" s="1"/>
  <c r="B370" i="1" l="1"/>
  <c r="G369" i="1"/>
  <c r="B371" i="1" l="1"/>
  <c r="G370" i="1" s="1"/>
  <c r="B372" i="1" l="1"/>
  <c r="G371" i="1" s="1"/>
  <c r="B373" i="1" l="1"/>
  <c r="G372" i="1" s="1"/>
  <c r="B374" i="1" l="1"/>
  <c r="G373" i="1" s="1"/>
  <c r="B375" i="1" l="1"/>
  <c r="G374" i="1" s="1"/>
  <c r="B376" i="1" l="1"/>
  <c r="G375" i="1" s="1"/>
  <c r="B377" i="1" l="1"/>
  <c r="G376" i="1" s="1"/>
  <c r="B378" i="1" l="1"/>
  <c r="G377" i="1" s="1"/>
  <c r="B379" i="1" l="1"/>
  <c r="G378" i="1" s="1"/>
  <c r="B380" i="1" l="1"/>
  <c r="G379" i="1"/>
  <c r="B381" i="1" l="1"/>
  <c r="G380" i="1"/>
  <c r="B382" i="1" l="1"/>
  <c r="G381" i="1"/>
  <c r="B383" i="1" l="1"/>
  <c r="G382" i="1" s="1"/>
  <c r="B384" i="1" l="1"/>
  <c r="B385" i="1" l="1"/>
  <c r="G384" i="1"/>
  <c r="G383" i="1"/>
  <c r="B386" i="1" l="1"/>
  <c r="G385" i="1" s="1"/>
  <c r="B387" i="1" l="1"/>
  <c r="G386" i="1"/>
  <c r="B388" i="1" l="1"/>
  <c r="G387" i="1" s="1"/>
  <c r="B389" i="1" l="1"/>
  <c r="G388" i="1" s="1"/>
  <c r="B390" i="1" l="1"/>
  <c r="G389" i="1" s="1"/>
  <c r="B391" i="1" l="1"/>
  <c r="G390" i="1" s="1"/>
  <c r="B392" i="1" l="1"/>
  <c r="G391" i="1"/>
  <c r="B393" i="1" l="1"/>
  <c r="G392" i="1"/>
  <c r="B394" i="1" l="1"/>
  <c r="G393" i="1" s="1"/>
  <c r="B395" i="1" l="1"/>
  <c r="G394" i="1" s="1"/>
  <c r="B396" i="1" l="1"/>
  <c r="G395" i="1"/>
  <c r="B397" i="1" l="1"/>
  <c r="G396" i="1" s="1"/>
  <c r="B398" i="1" l="1"/>
  <c r="G397" i="1" s="1"/>
  <c r="B399" i="1" l="1"/>
  <c r="G398" i="1" s="1"/>
  <c r="B400" i="1" l="1"/>
  <c r="B401" i="1" l="1"/>
  <c r="G400" i="1"/>
  <c r="G399" i="1"/>
  <c r="B402" i="1" l="1"/>
  <c r="G401" i="1"/>
  <c r="B403" i="1" l="1"/>
  <c r="G402" i="1" s="1"/>
  <c r="B404" i="1" l="1"/>
  <c r="G403" i="1"/>
  <c r="B405" i="1" l="1"/>
  <c r="G404" i="1"/>
  <c r="B406" i="1" l="1"/>
  <c r="G405" i="1" s="1"/>
  <c r="B407" i="1" l="1"/>
  <c r="B408" i="1" l="1"/>
  <c r="G407" i="1"/>
  <c r="G406" i="1"/>
  <c r="B409" i="1" l="1"/>
  <c r="G408" i="1"/>
  <c r="B410" i="1" l="1"/>
  <c r="G409" i="1"/>
  <c r="B411" i="1" l="1"/>
  <c r="F410" i="1"/>
  <c r="G410" i="1" l="1"/>
  <c r="B412" i="1"/>
  <c r="G411" i="1"/>
  <c r="B413" i="1" l="1"/>
  <c r="F412" i="1"/>
  <c r="B414" i="1" l="1"/>
  <c r="B415" i="1" l="1"/>
  <c r="B416" i="1" l="1"/>
  <c r="B417" i="1" l="1"/>
  <c r="B418" i="1" l="1"/>
  <c r="B419" i="1" l="1"/>
  <c r="B420" i="1" l="1"/>
  <c r="B421" i="1" l="1"/>
  <c r="B422" i="1" l="1"/>
  <c r="B423" i="1" l="1"/>
  <c r="B424" i="1" l="1"/>
  <c r="B425" i="1" l="1"/>
  <c r="B426" i="1" l="1"/>
  <c r="B427" i="1" l="1"/>
  <c r="B428" i="1" l="1"/>
  <c r="B429" i="1" l="1"/>
  <c r="B430" i="1" l="1"/>
  <c r="B431" i="1" l="1"/>
  <c r="B432" i="1" l="1"/>
  <c r="B433" i="1" l="1"/>
</calcChain>
</file>

<file path=xl/sharedStrings.xml><?xml version="1.0" encoding="utf-8"?>
<sst xmlns="http://schemas.openxmlformats.org/spreadsheetml/2006/main" count="930" uniqueCount="565">
  <si>
    <t>LangID</t>
    <phoneticPr fontId="1"/>
  </si>
  <si>
    <t>StageID</t>
    <phoneticPr fontId="1"/>
  </si>
  <si>
    <t>LogID</t>
    <phoneticPr fontId="1"/>
  </si>
  <si>
    <t>Log</t>
    <phoneticPr fontId="1"/>
  </si>
  <si>
    <t>Chara</t>
    <phoneticPr fontId="1"/>
  </si>
  <si>
    <t>Name</t>
    <phoneticPr fontId="1"/>
  </si>
  <si>
    <t>Chara</t>
    <phoneticPr fontId="1"/>
  </si>
  <si>
    <t>Name</t>
    <phoneticPr fontId="1"/>
  </si>
  <si>
    <t>Schneider.</t>
    <phoneticPr fontId="1"/>
  </si>
  <si>
    <t>ドイツ語</t>
    <rPh sb="3" eb="4">
      <t>ゴ</t>
    </rPh>
    <phoneticPr fontId="1"/>
  </si>
  <si>
    <t>Weber</t>
  </si>
  <si>
    <t>パス</t>
    <phoneticPr fontId="1"/>
  </si>
  <si>
    <t>画像</t>
    <rPh sb="0" eb="2">
      <t>ガゾウ</t>
    </rPh>
    <phoneticPr fontId="1"/>
  </si>
  <si>
    <t>フランス語</t>
    <rPh sb="4" eb="5">
      <t>ゴ</t>
    </rPh>
    <phoneticPr fontId="1"/>
  </si>
  <si>
    <t>Leçon un</t>
  </si>
  <si>
    <t>Minako</t>
    <phoneticPr fontId="1"/>
  </si>
  <si>
    <t>Céline</t>
    <phoneticPr fontId="1"/>
  </si>
  <si>
    <t>Luigi</t>
    <phoneticPr fontId="1"/>
  </si>
  <si>
    <t>M. Dubois</t>
    <phoneticPr fontId="1"/>
  </si>
  <si>
    <t>type</t>
    <phoneticPr fontId="1"/>
  </si>
  <si>
    <t>icon</t>
    <phoneticPr fontId="1"/>
  </si>
  <si>
    <t>assets/icons/image326.png</t>
  </si>
  <si>
    <t>assets/icons/image014.png</t>
  </si>
  <si>
    <t>assets/icons/image013.png</t>
  </si>
  <si>
    <t>assets/icons/image003.png</t>
  </si>
  <si>
    <t>assets/icons/image016.png</t>
  </si>
  <si>
    <t>assets/icons/image086.png</t>
  </si>
  <si>
    <t>assets/icons/image078.png</t>
  </si>
  <si>
    <t>assets/icons/image023.png</t>
  </si>
  <si>
    <t>assets/icons/image033.png</t>
  </si>
  <si>
    <t>Tanaka</t>
    <phoneticPr fontId="1"/>
  </si>
  <si>
    <t>Navigator</t>
    <phoneticPr fontId="1"/>
  </si>
  <si>
    <t>Player</t>
    <phoneticPr fontId="1"/>
  </si>
  <si>
    <t>Bauer</t>
  </si>
  <si>
    <t>assets/icons/image009.png</t>
    <phoneticPr fontId="1"/>
  </si>
  <si>
    <t>Passantin</t>
  </si>
  <si>
    <t>assets/icons/image081.png</t>
    <phoneticPr fontId="1"/>
  </si>
  <si>
    <t>中国語</t>
    <rPh sb="0" eb="3">
      <t>チュウゴクゴ</t>
    </rPh>
    <phoneticPr fontId="1"/>
  </si>
  <si>
    <t>李明</t>
  </si>
  <si>
    <t>assets/icons/image144.png</t>
    <phoneticPr fontId="1"/>
  </si>
  <si>
    <t>鈴木</t>
    <rPh sb="0" eb="2">
      <t>スズキ</t>
    </rPh>
    <phoneticPr fontId="1"/>
  </si>
  <si>
    <t>assets/icons/image037.png</t>
    <phoneticPr fontId="1"/>
  </si>
  <si>
    <t>url</t>
    <phoneticPr fontId="1"/>
  </si>
  <si>
    <t>Kellnerin</t>
  </si>
  <si>
    <t>assets/icons/image021.png</t>
    <phoneticPr fontId="1"/>
  </si>
  <si>
    <t>Angestellte</t>
  </si>
  <si>
    <t>assets/icons/image022.png</t>
  </si>
  <si>
    <t>Verkäuferin</t>
  </si>
  <si>
    <t>assets/icons/image088.png</t>
    <phoneticPr fontId="1"/>
  </si>
  <si>
    <t>はい。</t>
  </si>
  <si>
    <t>Mayer</t>
  </si>
  <si>
    <t>assets/icons/image208.png</t>
    <phoneticPr fontId="1"/>
  </si>
  <si>
    <t>Herr Bauer</t>
    <phoneticPr fontId="1"/>
  </si>
  <si>
    <t>Frau Bauer</t>
    <phoneticPr fontId="1"/>
  </si>
  <si>
    <t>assets/icons/image026.png</t>
    <phoneticPr fontId="1"/>
  </si>
  <si>
    <t>assets/icons/image035.png</t>
    <phoneticPr fontId="1"/>
  </si>
  <si>
    <t>ドイツ語</t>
  </si>
  <si>
    <t>英語</t>
  </si>
  <si>
    <t>英語</t>
    <rPh sb="0" eb="2">
      <t>エイゴ</t>
    </rPh>
    <phoneticPr fontId="1"/>
  </si>
  <si>
    <t>フランス語</t>
  </si>
  <si>
    <t>中国語</t>
  </si>
  <si>
    <t>ロシア語</t>
  </si>
  <si>
    <t>ロシア語</t>
    <rPh sb="3" eb="4">
      <t>ゴ</t>
    </rPh>
    <phoneticPr fontId="1"/>
  </si>
  <si>
    <t>ウクライナ語</t>
  </si>
  <si>
    <t>ウクライナ語</t>
    <rPh sb="5" eb="6">
      <t>ゴ</t>
    </rPh>
    <phoneticPr fontId="1"/>
  </si>
  <si>
    <t>アラビア語</t>
  </si>
  <si>
    <t>アラビア語</t>
    <rPh sb="4" eb="5">
      <t>ゴ</t>
    </rPh>
    <phoneticPr fontId="1"/>
  </si>
  <si>
    <t>フィンランド語</t>
  </si>
  <si>
    <t>フィンランド語</t>
    <rPh sb="6" eb="7">
      <t>ゴ</t>
    </rPh>
    <phoneticPr fontId="1"/>
  </si>
  <si>
    <t>ラテン語</t>
  </si>
  <si>
    <t>ラテン語</t>
    <rPh sb="3" eb="4">
      <t>ゴ</t>
    </rPh>
    <phoneticPr fontId="1"/>
  </si>
  <si>
    <t>en</t>
  </si>
  <si>
    <t>de</t>
  </si>
  <si>
    <t>fr</t>
  </si>
  <si>
    <t>zh</t>
  </si>
  <si>
    <t>アフリカーンス語</t>
  </si>
  <si>
    <t>Afrikaans</t>
  </si>
  <si>
    <t>af</t>
  </si>
  <si>
    <t>アルバニア語</t>
  </si>
  <si>
    <t>Gjuha shqipe</t>
  </si>
  <si>
    <t>sq</t>
  </si>
  <si>
    <t>アムハラ語</t>
  </si>
  <si>
    <t>አማርኛ</t>
  </si>
  <si>
    <t>am</t>
  </si>
  <si>
    <t>العربية</t>
  </si>
  <si>
    <t>ar</t>
  </si>
  <si>
    <t>アルメニア語</t>
  </si>
  <si>
    <t>Հայերեն</t>
  </si>
  <si>
    <t>hy</t>
  </si>
  <si>
    <t>アゼルバイジャン語</t>
  </si>
  <si>
    <t>Azərbaycan dili,</t>
  </si>
  <si>
    <t>Azərbaycanca,</t>
  </si>
  <si>
    <t>تورک دیلی‎</t>
  </si>
  <si>
    <t>az</t>
  </si>
  <si>
    <t>euskara</t>
  </si>
  <si>
    <t>eu</t>
  </si>
  <si>
    <t>ベラルーシ語</t>
  </si>
  <si>
    <t>беларуская мова</t>
  </si>
  <si>
    <t>be</t>
  </si>
  <si>
    <t>ベンガル語</t>
  </si>
  <si>
    <t>বাংলা</t>
  </si>
  <si>
    <t>bn</t>
  </si>
  <si>
    <t>ボスニア語</t>
  </si>
  <si>
    <t>bosanski jezik</t>
  </si>
  <si>
    <t>bs</t>
  </si>
  <si>
    <t>ブルガリア語</t>
  </si>
  <si>
    <t>български език</t>
  </si>
  <si>
    <t>bg</t>
  </si>
  <si>
    <t>ミャンマー語</t>
  </si>
  <si>
    <t>မြန်မာဘာသာ</t>
  </si>
  <si>
    <t>my</t>
  </si>
  <si>
    <t>"カタルーニャ語、</t>
  </si>
  <si>
    <t>バレンシア語"</t>
  </si>
  <si>
    <t>català,</t>
  </si>
  <si>
    <t>valencià</t>
  </si>
  <si>
    <t>ca</t>
  </si>
  <si>
    <t>チェワ語</t>
  </si>
  <si>
    <t>Chicheŵa,</t>
  </si>
  <si>
    <t>Chichewa</t>
  </si>
  <si>
    <t>ny</t>
  </si>
  <si>
    <t>中文</t>
  </si>
  <si>
    <t>中国語（簡体字）</t>
  </si>
  <si>
    <t>汉语</t>
  </si>
  <si>
    <t>zh-CN</t>
  </si>
  <si>
    <t>中国語（繁体字）</t>
  </si>
  <si>
    <t>漢語</t>
  </si>
  <si>
    <t>zh-TW</t>
  </si>
  <si>
    <t>コルシカ語</t>
  </si>
  <si>
    <t>corsu,</t>
  </si>
  <si>
    <t>lingua corsa</t>
  </si>
  <si>
    <t>co</t>
  </si>
  <si>
    <t>クロアチア語</t>
  </si>
  <si>
    <t>hrvatski</t>
  </si>
  <si>
    <t>hr</t>
  </si>
  <si>
    <t>チェコ語</t>
  </si>
  <si>
    <t>čeština,</t>
  </si>
  <si>
    <t>český jazyk</t>
  </si>
  <si>
    <t>cs</t>
  </si>
  <si>
    <t>デンマーク語</t>
  </si>
  <si>
    <t>dansk</t>
  </si>
  <si>
    <t>da</t>
  </si>
  <si>
    <t>オランダ語</t>
  </si>
  <si>
    <t>Nederlands</t>
  </si>
  <si>
    <t>nl</t>
  </si>
  <si>
    <t>English</t>
  </si>
  <si>
    <t>エスペラント</t>
  </si>
  <si>
    <t>Esperanto</t>
  </si>
  <si>
    <t>eo</t>
  </si>
  <si>
    <t>エストニア語</t>
  </si>
  <si>
    <t>eesti keel</t>
  </si>
  <si>
    <t>et</t>
  </si>
  <si>
    <t>suomi,</t>
  </si>
  <si>
    <t>suomen kieli</t>
  </si>
  <si>
    <t>fi</t>
  </si>
  <si>
    <t>français</t>
  </si>
  <si>
    <t>ガリシア語</t>
  </si>
  <si>
    <t>galego</t>
  </si>
  <si>
    <t>gl</t>
  </si>
  <si>
    <t>グルジア語</t>
  </si>
  <si>
    <t>ქართული</t>
  </si>
  <si>
    <t>ka</t>
  </si>
  <si>
    <t>Deutsch</t>
  </si>
  <si>
    <t>ギリシア語</t>
  </si>
  <si>
    <t>ελληνικά</t>
  </si>
  <si>
    <t>el</t>
  </si>
  <si>
    <t>グジャラート語</t>
  </si>
  <si>
    <t>ગુજરાતી</t>
  </si>
  <si>
    <t>gu</t>
  </si>
  <si>
    <t>ハイチ語</t>
  </si>
  <si>
    <t>Kreyòl ayisyen</t>
  </si>
  <si>
    <t>ht</t>
  </si>
  <si>
    <t>ハウサ語</t>
  </si>
  <si>
    <t>Hausa,</t>
  </si>
  <si>
    <t>هَوُسَ</t>
  </si>
  <si>
    <t>ha</t>
  </si>
  <si>
    <t>ヘブライ語</t>
  </si>
  <si>
    <t>עברית</t>
  </si>
  <si>
    <t>he</t>
  </si>
  <si>
    <t>ヒンディー語</t>
  </si>
  <si>
    <t>हिन्दी</t>
  </si>
  <si>
    <t>hi</t>
  </si>
  <si>
    <t>ハンガリー語</t>
  </si>
  <si>
    <t>magyar</t>
  </si>
  <si>
    <t>hu</t>
  </si>
  <si>
    <t>インドネシア語</t>
  </si>
  <si>
    <t>Bahasa Indonesia</t>
  </si>
  <si>
    <t>id</t>
  </si>
  <si>
    <t>アイルランド語</t>
  </si>
  <si>
    <t>Gaeilge</t>
  </si>
  <si>
    <t>ga</t>
  </si>
  <si>
    <t>イボ語</t>
  </si>
  <si>
    <t>asụsụ Igbo</t>
  </si>
  <si>
    <t>ig</t>
  </si>
  <si>
    <t>アイスランド語</t>
  </si>
  <si>
    <t>íslenska</t>
  </si>
  <si>
    <t>is</t>
  </si>
  <si>
    <t>イタリア語</t>
  </si>
  <si>
    <t>Italiano</t>
  </si>
  <si>
    <t>it</t>
  </si>
  <si>
    <t>日本語</t>
  </si>
  <si>
    <t>ja</t>
  </si>
  <si>
    <t>ジャワ語</t>
  </si>
  <si>
    <t>Basa Jawa,</t>
  </si>
  <si>
    <t>ꦧꦱꦗꦮ</t>
  </si>
  <si>
    <t>jv</t>
  </si>
  <si>
    <t>カンナダ語</t>
  </si>
  <si>
    <t>ಕನ್ನಡ</t>
  </si>
  <si>
    <t>kn</t>
  </si>
  <si>
    <t>カザフ語</t>
  </si>
  <si>
    <t>Қазақ тілі,</t>
  </si>
  <si>
    <t>Qazaq tili,</t>
  </si>
  <si>
    <t>قازاق ٴتىلى‎</t>
  </si>
  <si>
    <t>kk</t>
  </si>
  <si>
    <t>クメール語</t>
  </si>
  <si>
    <t>ភាសាខ្មែរ</t>
  </si>
  <si>
    <t>km</t>
  </si>
  <si>
    <t>キルギス語</t>
  </si>
  <si>
    <t>Кыргызча,</t>
  </si>
  <si>
    <t>Кыргыз тили,</t>
  </si>
  <si>
    <t>قىرعىز تىلى‎</t>
  </si>
  <si>
    <t>ky</t>
  </si>
  <si>
    <t>韓国語</t>
  </si>
  <si>
    <t>한국어 (韓國語),</t>
  </si>
  <si>
    <t>조선어 (朝鮮語)</t>
  </si>
  <si>
    <t>ko</t>
  </si>
  <si>
    <t>クルド語</t>
  </si>
  <si>
    <t>Kurdî,</t>
  </si>
  <si>
    <t>كوردی‎</t>
  </si>
  <si>
    <t>ku</t>
  </si>
  <si>
    <t>latina</t>
  </si>
  <si>
    <t>la</t>
  </si>
  <si>
    <t>ルクセンブルク語</t>
  </si>
  <si>
    <t>Lëtzebuergesch</t>
  </si>
  <si>
    <t>lb</t>
  </si>
  <si>
    <t>ラーオ語</t>
  </si>
  <si>
    <t>ພາສາລາວ</t>
  </si>
  <si>
    <t>lo</t>
  </si>
  <si>
    <t>リトアニア語</t>
  </si>
  <si>
    <t>lietuvių</t>
  </si>
  <si>
    <t>lt</t>
  </si>
  <si>
    <t>ラトビア語</t>
  </si>
  <si>
    <t>latviešu</t>
  </si>
  <si>
    <t>lv</t>
  </si>
  <si>
    <t>マケドニア語</t>
  </si>
  <si>
    <t>македонски јазик</t>
  </si>
  <si>
    <t>mk</t>
  </si>
  <si>
    <t>マダガスカル語</t>
  </si>
  <si>
    <t>Malagasy</t>
  </si>
  <si>
    <t>mg</t>
  </si>
  <si>
    <t>マレー語</t>
  </si>
  <si>
    <t>bahasa Melayu,</t>
  </si>
  <si>
    <t>بهاس ملايو‎</t>
  </si>
  <si>
    <t>ms</t>
  </si>
  <si>
    <t>マラヤーラム語</t>
  </si>
  <si>
    <t>മലയാളം</t>
  </si>
  <si>
    <t>ml</t>
  </si>
  <si>
    <t>マルタ語</t>
  </si>
  <si>
    <t>Malti</t>
  </si>
  <si>
    <t>mt</t>
  </si>
  <si>
    <t>マオリ語</t>
  </si>
  <si>
    <t>reo Māori</t>
  </si>
  <si>
    <t>mi</t>
  </si>
  <si>
    <t>マラーティー語</t>
  </si>
  <si>
    <t>मराठी</t>
  </si>
  <si>
    <t>mr</t>
  </si>
  <si>
    <t>モンゴル語</t>
  </si>
  <si>
    <t>Монгол хэл,</t>
  </si>
  <si>
    <t>ᠮᠣᠨᠭᠭᠣᠯ ᠬᠡᠯᠡ</t>
  </si>
  <si>
    <t>mn</t>
  </si>
  <si>
    <t>"ノルウェー語</t>
  </si>
  <si>
    <t>(ブークモール)"</t>
  </si>
  <si>
    <t>norsk bokmål</t>
  </si>
  <si>
    <t>nb</t>
  </si>
  <si>
    <t>ネパール語</t>
  </si>
  <si>
    <t>नेपाली भाषा</t>
  </si>
  <si>
    <t>ne</t>
  </si>
  <si>
    <t>ノルウェー語</t>
  </si>
  <si>
    <t>norsk</t>
  </si>
  <si>
    <t>no</t>
  </si>
  <si>
    <t>パンジャーブ語</t>
  </si>
  <si>
    <t>ਪੰਜਾਬੀ,</t>
  </si>
  <si>
    <t>پنجابی‎</t>
  </si>
  <si>
    <t>pa</t>
  </si>
  <si>
    <t>ペルシア語</t>
  </si>
  <si>
    <t>فارسی</t>
  </si>
  <si>
    <t>fa</t>
  </si>
  <si>
    <t>ポーランド語</t>
  </si>
  <si>
    <t>język polski,</t>
  </si>
  <si>
    <t>polszczyzna</t>
  </si>
  <si>
    <t>pl</t>
  </si>
  <si>
    <t>パシュトー語</t>
  </si>
  <si>
    <t>پښتو</t>
  </si>
  <si>
    <t>ps</t>
  </si>
  <si>
    <t>ポルトガル語</t>
  </si>
  <si>
    <t>português</t>
  </si>
  <si>
    <t>pt</t>
  </si>
  <si>
    <t>ルーマニア語、</t>
  </si>
  <si>
    <t>モルドバ語[1]</t>
  </si>
  <si>
    <t>limba română,</t>
  </si>
  <si>
    <t>limba moldovenească</t>
  </si>
  <si>
    <t>ro</t>
  </si>
  <si>
    <t>русский язык</t>
  </si>
  <si>
    <t>ru</t>
  </si>
  <si>
    <t>シンド語</t>
  </si>
  <si>
    <t>सिन्धी,</t>
  </si>
  <si>
    <t>سنڌي‎</t>
  </si>
  <si>
    <t>sd</t>
  </si>
  <si>
    <t>サモア語</t>
  </si>
  <si>
    <t>Gagana fa'a Sāmoa</t>
  </si>
  <si>
    <t>sm</t>
  </si>
  <si>
    <t>セルビア語</t>
  </si>
  <si>
    <t>српски језик,</t>
  </si>
  <si>
    <t>srpski jezik</t>
  </si>
  <si>
    <t>sr</t>
  </si>
  <si>
    <t>スコットランド・ゲール語</t>
  </si>
  <si>
    <t>Gàidhlig</t>
  </si>
  <si>
    <t>gd</t>
  </si>
  <si>
    <t>ショナ語</t>
  </si>
  <si>
    <t>chiShona</t>
  </si>
  <si>
    <t>sn</t>
  </si>
  <si>
    <t>シンハラ語</t>
  </si>
  <si>
    <t>සිංහල</t>
  </si>
  <si>
    <t>si</t>
  </si>
  <si>
    <t>スロバキア語</t>
  </si>
  <si>
    <t>slovenčina,</t>
  </si>
  <si>
    <t>slovenský jazyk</t>
  </si>
  <si>
    <t>sk</t>
  </si>
  <si>
    <t>スロベニア語</t>
  </si>
  <si>
    <t>slovenščina,</t>
  </si>
  <si>
    <t>slovenski jezik</t>
  </si>
  <si>
    <t>sl</t>
  </si>
  <si>
    <t>ソマリ語</t>
  </si>
  <si>
    <t>af Soomaali</t>
  </si>
  <si>
    <t>so</t>
  </si>
  <si>
    <t>ソト語</t>
  </si>
  <si>
    <t>Sesotho</t>
  </si>
  <si>
    <t>st</t>
  </si>
  <si>
    <t>スペイン語</t>
  </si>
  <si>
    <t>español,</t>
  </si>
  <si>
    <t>castellano</t>
  </si>
  <si>
    <t>es</t>
  </si>
  <si>
    <t>スンダ語</t>
  </si>
  <si>
    <t>Basa Sunda</t>
  </si>
  <si>
    <t>su</t>
  </si>
  <si>
    <t>スワヒリ語</t>
  </si>
  <si>
    <t>Kiswahili</t>
  </si>
  <si>
    <t>sw</t>
  </si>
  <si>
    <t>スウェーデン語</t>
  </si>
  <si>
    <t>svenska</t>
  </si>
  <si>
    <t>sv</t>
  </si>
  <si>
    <t>タミル語</t>
  </si>
  <si>
    <t>தமிழ்</t>
  </si>
  <si>
    <t>ta</t>
  </si>
  <si>
    <t>テルグ語</t>
  </si>
  <si>
    <t>తెలుగు</t>
  </si>
  <si>
    <t>te</t>
  </si>
  <si>
    <t>タジク語</t>
  </si>
  <si>
    <t>тоҷикӣ,</t>
  </si>
  <si>
    <t>tojikī,</t>
  </si>
  <si>
    <t>تاجیکی‎</t>
  </si>
  <si>
    <t>tg</t>
  </si>
  <si>
    <t>タイ語</t>
  </si>
  <si>
    <t>ภาษาไทย</t>
  </si>
  <si>
    <t>th</t>
  </si>
  <si>
    <t>タガログ語</t>
  </si>
  <si>
    <t>Wikang Tagalog</t>
  </si>
  <si>
    <t>tl</t>
  </si>
  <si>
    <t>トルコ語</t>
  </si>
  <si>
    <t>Türkçe</t>
  </si>
  <si>
    <t>tr</t>
  </si>
  <si>
    <t>українська мова</t>
  </si>
  <si>
    <t>uk</t>
  </si>
  <si>
    <t>ウルドゥー語</t>
  </si>
  <si>
    <t>اردو</t>
  </si>
  <si>
    <t>ur</t>
  </si>
  <si>
    <t>ウズベク語</t>
  </si>
  <si>
    <t>Oʻzbek tili,</t>
  </si>
  <si>
    <t>Ўзбек тили,</t>
  </si>
  <si>
    <t>ئۇزبېك تیلى‎</t>
  </si>
  <si>
    <t>uz</t>
  </si>
  <si>
    <t>ベトナム語</t>
  </si>
  <si>
    <t>Tiếng Việt</t>
  </si>
  <si>
    <t>vi</t>
  </si>
  <si>
    <t>ウェールズ語</t>
  </si>
  <si>
    <t>Cymraeg</t>
  </si>
  <si>
    <t>cy</t>
  </si>
  <si>
    <t>西フリジア語</t>
  </si>
  <si>
    <t>Frysk</t>
  </si>
  <si>
    <t>fy</t>
  </si>
  <si>
    <t>コサ語</t>
  </si>
  <si>
    <t>isiXhosa</t>
  </si>
  <si>
    <t>xh</t>
  </si>
  <si>
    <t>イディッシュ語</t>
  </si>
  <si>
    <t>ייִדיש</t>
  </si>
  <si>
    <t>yi</t>
  </si>
  <si>
    <t>ヨルバ語</t>
  </si>
  <si>
    <t>èdè Yorùbá</t>
  </si>
  <si>
    <t>yo</t>
  </si>
  <si>
    <t>ズールー語</t>
  </si>
  <si>
    <t>isiZulu</t>
  </si>
  <si>
    <t>zu</t>
  </si>
  <si>
    <t>バスク語</t>
    <phoneticPr fontId="1"/>
  </si>
  <si>
    <t>say</t>
    <phoneticPr fontId="1"/>
  </si>
  <si>
    <t>ja</t>
    <phoneticPr fontId="1"/>
  </si>
  <si>
    <t>ja</t>
    <phoneticPr fontId="1"/>
  </si>
  <si>
    <t>ja</t>
    <phoneticPr fontId="1"/>
  </si>
  <si>
    <t>ja</t>
    <phoneticPr fontId="1"/>
  </si>
  <si>
    <t>Frau</t>
    <phoneticPr fontId="1"/>
  </si>
  <si>
    <t>assets/icons/image102.png</t>
    <phoneticPr fontId="1"/>
  </si>
  <si>
    <t>en-GB</t>
  </si>
  <si>
    <t>de-DE</t>
  </si>
  <si>
    <t>fr-FR</t>
  </si>
  <si>
    <t>fi-FI</t>
  </si>
  <si>
    <t>ar-SA</t>
  </si>
  <si>
    <t>ru-RU</t>
    <phoneticPr fontId="1"/>
  </si>
  <si>
    <t>zh-CN</t>
    <phoneticPr fontId="1"/>
  </si>
  <si>
    <t>uk</t>
    <phoneticPr fontId="1"/>
  </si>
  <si>
    <t>la</t>
    <phoneticPr fontId="1"/>
  </si>
  <si>
    <t>nl-NL</t>
    <phoneticPr fontId="1"/>
  </si>
  <si>
    <t>eo</t>
    <phoneticPr fontId="1"/>
  </si>
  <si>
    <t>ko-KR</t>
    <phoneticPr fontId="1"/>
  </si>
  <si>
    <t>es-ES</t>
    <phoneticPr fontId="1"/>
  </si>
  <si>
    <t>ロシア語</t>
    <phoneticPr fontId="1"/>
  </si>
  <si>
    <t>Это Наташа.</t>
  </si>
  <si>
    <t>assets/icons/image015.png</t>
    <phoneticPr fontId="1"/>
  </si>
  <si>
    <t>Анна</t>
  </si>
  <si>
    <t>Цубаса</t>
  </si>
  <si>
    <t>Она русская?</t>
  </si>
  <si>
    <t>Да, она русская.</t>
  </si>
  <si>
    <t>Кто это?</t>
  </si>
  <si>
    <t>Это её мать.</t>
  </si>
  <si>
    <t>Она тоже русская.</t>
  </si>
  <si>
    <t>А это?</t>
  </si>
  <si>
    <t>Это её отец?</t>
  </si>
  <si>
    <t xml:space="preserve">Да, её отец. </t>
  </si>
  <si>
    <t>Он японец.</t>
  </si>
  <si>
    <t xml:space="preserve">да. </t>
  </si>
  <si>
    <t>А я её сестра.</t>
  </si>
  <si>
    <t>Значит, отец-японец, а мать - русская.</t>
    <phoneticPr fontId="1"/>
  </si>
  <si>
    <t>彼女はロシア人ですか?</t>
  </si>
  <si>
    <t>これはナターシャです。</t>
    <phoneticPr fontId="1"/>
  </si>
  <si>
    <t>はい、彼女はロシア人です。</t>
  </si>
  <si>
    <t>これは誰ですか。</t>
  </si>
  <si>
    <t>それは彼女の母親です。</t>
  </si>
  <si>
    <t>彼女もロシア人です。</t>
  </si>
  <si>
    <t>で、これは？</t>
    <phoneticPr fontId="1"/>
  </si>
  <si>
    <t>それは彼女の父親ですか?</t>
  </si>
  <si>
    <t>はい、彼女の父親です。</t>
    <phoneticPr fontId="1"/>
  </si>
  <si>
    <t>彼は日本人です。</t>
  </si>
  <si>
    <t>つまり、父親は日本人で、母親はロシア人ですね。</t>
    <phoneticPr fontId="1"/>
  </si>
  <si>
    <t>そして私は彼女の姉です。</t>
    <rPh sb="8" eb="9">
      <t>アネ</t>
    </rPh>
    <phoneticPr fontId="1"/>
  </si>
  <si>
    <t>Урок один</t>
  </si>
  <si>
    <t>Урок два</t>
  </si>
  <si>
    <t>Здравствуйте, вы Цубаса?</t>
  </si>
  <si>
    <t>assets/icons/image017.png</t>
    <phoneticPr fontId="1"/>
  </si>
  <si>
    <t>Люда</t>
  </si>
  <si>
    <t>assets/icons/image024.png</t>
    <phoneticPr fontId="1"/>
  </si>
  <si>
    <t xml:space="preserve">Да, я Цубаса. </t>
  </si>
  <si>
    <t>А вы Наташа?</t>
  </si>
  <si>
    <t>Нет, я не Наташа.</t>
  </si>
  <si>
    <t>Странно.</t>
  </si>
  <si>
    <t>Извините, кто вы?</t>
  </si>
  <si>
    <t xml:space="preserve">Я Люда. </t>
  </si>
  <si>
    <t>Я её подруга.</t>
  </si>
  <si>
    <t>Очень приятно.</t>
  </si>
  <si>
    <t>А где Наташа?</t>
  </si>
  <si>
    <t>Она тоже здесь?</t>
  </si>
  <si>
    <t>Нет, сегодня работа.</t>
  </si>
  <si>
    <t>А, понятно.</t>
  </si>
  <si>
    <t>こんにちは、あなたは翼ですか?</t>
  </si>
  <si>
    <t>はい、翼です。</t>
  </si>
  <si>
    <t>あなたはナターシャですか?</t>
  </si>
  <si>
    <t>いいえ、私はナターシャではありません。</t>
  </si>
  <si>
    <t>すみません、あなたは誰ですか?</t>
  </si>
  <si>
    <t>私はリューダです。</t>
    <phoneticPr fontId="1"/>
  </si>
  <si>
    <t>私は彼女の友達です。</t>
  </si>
  <si>
    <t>ああ、わかりました。</t>
  </si>
  <si>
    <t>彼女もここにいますか?</t>
  </si>
  <si>
    <t>いいえ、今日は仕事です。</t>
  </si>
  <si>
    <t>おかしいな。</t>
  </si>
  <si>
    <t>はじめまして。</t>
  </si>
  <si>
    <t>そして、ナターシャはどこにいますか?</t>
    <phoneticPr fontId="1"/>
  </si>
  <si>
    <t>Урок три</t>
  </si>
  <si>
    <t>Это ваш чемодан?</t>
  </si>
  <si>
    <t>А это ваша сумка?</t>
  </si>
  <si>
    <t>Что это?</t>
  </si>
  <si>
    <t>Пальто?</t>
  </si>
  <si>
    <t>Это ваше пальто?</t>
  </si>
  <si>
    <t>Нет, это пальто не моё.</t>
  </si>
  <si>
    <t>Моё пальто здесь.</t>
  </si>
  <si>
    <t>Хорошо.</t>
  </si>
  <si>
    <t>Тогда пойдёмте?</t>
  </si>
  <si>
    <t xml:space="preserve">Пойдёмте. </t>
  </si>
  <si>
    <t>Там моя машина.</t>
  </si>
  <si>
    <t>それはあなたのスーツケースですか?</t>
  </si>
  <si>
    <t>ええ、それは私のスーツケースです。</t>
  </si>
  <si>
    <t>これはあなたのバッグですか?</t>
  </si>
  <si>
    <t>はい、このバッグも私のものです。</t>
    <phoneticPr fontId="1"/>
  </si>
  <si>
    <t>Да, это мой чемодан.</t>
    <phoneticPr fontId="1"/>
  </si>
  <si>
    <t>Да, эта сумка тоже моя.</t>
    <phoneticPr fontId="1"/>
  </si>
  <si>
    <t>これは、何ですか。</t>
  </si>
  <si>
    <t>それはあなたのコートですか?</t>
  </si>
  <si>
    <t>いいえ、このコートは私のものではありません。</t>
  </si>
  <si>
    <t>私のコートはここにあります。</t>
  </si>
  <si>
    <t>わかりました。</t>
  </si>
  <si>
    <t>それでは行きましょうか?</t>
  </si>
  <si>
    <t>私の車があります。</t>
  </si>
  <si>
    <t>行きましょう。</t>
    <rPh sb="0" eb="1">
      <t>イ</t>
    </rPh>
    <phoneticPr fontId="1"/>
  </si>
  <si>
    <t>上着？</t>
    <phoneticPr fontId="1"/>
  </si>
  <si>
    <t>Урок четыре</t>
  </si>
  <si>
    <t>Вот ваша комната.</t>
  </si>
  <si>
    <t>Наташа</t>
  </si>
  <si>
    <t>assets/icons/image035.png</t>
    <phoneticPr fontId="1"/>
  </si>
  <si>
    <t>Спасибо. О, это большая комната.</t>
  </si>
  <si>
    <t>Но очень старая.</t>
  </si>
  <si>
    <t>А телевизор маленький.</t>
  </si>
  <si>
    <t xml:space="preserve">Ничего. </t>
  </si>
  <si>
    <t>Там старая фотография.</t>
  </si>
  <si>
    <t>Это моя мать</t>
  </si>
  <si>
    <t>Онá красивая и молодая.</t>
  </si>
  <si>
    <t>А здесь новаяфотография.</t>
    <phoneticPr fontId="1"/>
  </si>
  <si>
    <t>Это моя сестра Анна.</t>
  </si>
  <si>
    <t>Цубаса, онá ваша учительница!</t>
  </si>
  <si>
    <t>こちらがあなたの部屋です。</t>
  </si>
  <si>
    <t xml:space="preserve">Спасибо. </t>
    <phoneticPr fontId="1"/>
  </si>
  <si>
    <t>ありがとうございます。</t>
    <phoneticPr fontId="1"/>
  </si>
  <si>
    <t>おお、大きな部屋ですね。</t>
    <phoneticPr fontId="1"/>
  </si>
  <si>
    <t>しかし、とても古いです。</t>
    <phoneticPr fontId="1"/>
  </si>
  <si>
    <t>Хорошо.</t>
    <phoneticPr fontId="1"/>
  </si>
  <si>
    <t>Окно тоже большое.</t>
    <phoneticPr fontId="1"/>
  </si>
  <si>
    <t>窓も大きい。</t>
    <phoneticPr fontId="1"/>
  </si>
  <si>
    <t>でもテレビは小さいです。</t>
    <phoneticPr fontId="1"/>
  </si>
  <si>
    <t>大丈夫。</t>
  </si>
  <si>
    <t>良いです。</t>
    <rPh sb="0" eb="1">
      <t>ヨ</t>
    </rPh>
    <phoneticPr fontId="1"/>
  </si>
  <si>
    <t>古い写真があります。</t>
  </si>
  <si>
    <t>これは私の母です</t>
  </si>
  <si>
    <t>彼女は美しくて若いです。</t>
    <rPh sb="1" eb="2">
      <t>ジョ</t>
    </rPh>
    <phoneticPr fontId="1"/>
  </si>
  <si>
    <t>これは私の姉アンナです。</t>
    <rPh sb="5" eb="6">
      <t>アネ</t>
    </rPh>
    <phoneticPr fontId="1"/>
  </si>
  <si>
    <t>つばさ、彼女はあなたの先生でしょ!</t>
    <rPh sb="5" eb="6">
      <t>ジョ</t>
    </rPh>
    <phoneticPr fontId="1"/>
  </si>
  <si>
    <t>そして、これは新しい写真ですね。</t>
    <phoneticPr fontId="1"/>
  </si>
  <si>
    <t>Урок пять</t>
  </si>
  <si>
    <t>Что вы делаете, Цубаса?</t>
  </si>
  <si>
    <t>А, Люда!</t>
  </si>
  <si>
    <t xml:space="preserve">Здравствуйте. </t>
  </si>
  <si>
    <t>Я отдыхаю.</t>
  </si>
  <si>
    <t>Как вы отдыхаете?</t>
  </si>
  <si>
    <t>Я читаю журнал.</t>
  </si>
  <si>
    <t>Какой журнал вы читаете?</t>
  </si>
  <si>
    <t>Я читаю исторический журнал.</t>
  </si>
  <si>
    <t>Этот журнал интересный?</t>
  </si>
  <si>
    <t>Совсем не интересный.</t>
  </si>
  <si>
    <t>А почему вы читаете?</t>
  </si>
  <si>
    <t>Я сам не знаю.</t>
  </si>
  <si>
    <t>つばさ、何してるの?</t>
  </si>
  <si>
    <t>ああ、リューダ!</t>
    <phoneticPr fontId="1"/>
  </si>
  <si>
    <t>こんにちは。</t>
  </si>
  <si>
    <t>私は休んでいます。</t>
  </si>
  <si>
    <t>この雑誌は面白いですか?</t>
  </si>
  <si>
    <t>全然面白くない。</t>
  </si>
  <si>
    <t>では、なぜあなたは読んでいるのですか?</t>
    <phoneticPr fontId="1"/>
  </si>
  <si>
    <t>わかりません。</t>
  </si>
  <si>
    <t>どのように休んでますか?</t>
    <rPh sb="5" eb="6">
      <t>ヤス</t>
    </rPh>
    <phoneticPr fontId="1"/>
  </si>
  <si>
    <t>雑誌を読んでいます。</t>
    <phoneticPr fontId="1"/>
  </si>
  <si>
    <t>どんな雑誌を読んでいますか?</t>
    <phoneticPr fontId="1"/>
  </si>
  <si>
    <t>歴史雑誌を読んでいます。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</si>
</sst>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10"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500"/>
  <sheetViews>
    <sheetView tabSelected="1" topLeftCell="A490" zoomScale="57" zoomScaleNormal="57" workbookViewId="0">
      <selection activeCell="P516" sqref="P516"/>
    </sheetView>
  </sheetViews>
  <sheetFormatPr defaultRowHeight="13.5" x14ac:dyDescent="0.15"/>
  <cols>
    <col min="1" max="1" width="9.625" bestFit="1" customWidth="1"/>
    <col min="2" max="2" width="7.75" bestFit="1" customWidth="1"/>
    <col min="3" max="4" width="6.125" bestFit="1" customWidth="1"/>
    <col min="5" max="5" width="9.875" bestFit="1" customWidth="1"/>
    <col min="6" max="6" width="48.125" bestFit="1" customWidth="1"/>
    <col min="7" max="7" width="4.875" bestFit="1" customWidth="1"/>
    <col min="12" max="12" width="48.125" customWidth="1"/>
  </cols>
  <sheetData>
    <row r="1" spans="1:12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402</v>
      </c>
    </row>
    <row r="2" spans="1:12" x14ac:dyDescent="0.15">
      <c r="A2" t="s">
        <v>422</v>
      </c>
      <c r="B2">
        <v>1</v>
      </c>
      <c r="C2">
        <v>1</v>
      </c>
      <c r="D2">
        <v>1</v>
      </c>
      <c r="E2" t="str">
        <f>VLOOKUP(D2,name!A:B,2,1)</f>
        <v>Navigator</v>
      </c>
      <c r="F2" t="s">
        <v>451</v>
      </c>
      <c r="G2" t="str">
        <f t="shared" ref="G2:G3" si="0">IF(B2&lt;&gt;B3,"e",IF(D2=0,"q","a"))</f>
        <v>a</v>
      </c>
      <c r="H2" t="str">
        <f>VLOOKUP(D2,name!A:C,3,1)</f>
        <v>assets/icons/image014.png</v>
      </c>
      <c r="I2" t="str">
        <f>IF(A2="","",VLOOKUP(A2,lng!A:B,2,0))</f>
        <v>ru-RU</v>
      </c>
    </row>
    <row r="3" spans="1:12" x14ac:dyDescent="0.15">
      <c r="A3" t="str">
        <f>A2</f>
        <v>ロシア語</v>
      </c>
      <c r="B3">
        <f>B2</f>
        <v>1</v>
      </c>
      <c r="C3">
        <f>C2+1</f>
        <v>2</v>
      </c>
      <c r="D3">
        <v>1</v>
      </c>
      <c r="E3" t="str">
        <f>VLOOKUP(D3,name!A:B,2,1)</f>
        <v>Navigator</v>
      </c>
      <c r="F3" t="str">
        <f>"レッスン"&amp;B3</f>
        <v>レッスン1</v>
      </c>
      <c r="G3" t="str">
        <f t="shared" si="0"/>
        <v>a</v>
      </c>
      <c r="H3" t="str">
        <f>VLOOKUP(D3,name!A:C,3,1)</f>
        <v>assets/icons/image014.png</v>
      </c>
      <c r="I3" t="s">
        <v>403</v>
      </c>
    </row>
    <row r="4" spans="1:12" ht="40.5" x14ac:dyDescent="0.15">
      <c r="A4" t="str">
        <f t="shared" ref="A4:B18" si="1">A3</f>
        <v>ロシア語</v>
      </c>
      <c r="B4">
        <f t="shared" si="1"/>
        <v>1</v>
      </c>
      <c r="C4">
        <f t="shared" ref="C4:C67" si="2">C3+1</f>
        <v>3</v>
      </c>
      <c r="D4">
        <v>1</v>
      </c>
      <c r="E4" t="str">
        <f>VLOOKUP(D4,name!A:B,2,1)</f>
        <v>Navigator</v>
      </c>
      <c r="F4" s="1" t="str">
        <f>"まずは対話文を流します。その後に、日本語と"&amp;A4&amp;"を一文ずつ流すので"&amp;A4&amp;"を真似して下さい。最後に日本語のみを流すので、"&amp;A4&amp;"で答えてください。"</f>
        <v>まずは対話文を流します。その後に、日本語とロシア語を一文ずつ流すのでロシア語を真似して下さい。最後に日本語のみを流すので、ロシア語で答えてください。</v>
      </c>
      <c r="G4" t="str">
        <f t="shared" ref="G4:G67" si="3">IF(B4&lt;&gt;B5,"e",IF(D4=0,"q","a"))</f>
        <v>a</v>
      </c>
      <c r="H4" t="str">
        <f>VLOOKUP(D4,name!A:C,3,1)</f>
        <v>assets/icons/image014.png</v>
      </c>
      <c r="I4" t="s">
        <v>404</v>
      </c>
      <c r="L4" s="1"/>
    </row>
    <row r="5" spans="1:12" x14ac:dyDescent="0.15">
      <c r="A5" t="str">
        <f t="shared" si="1"/>
        <v>ロシア語</v>
      </c>
      <c r="B5">
        <f t="shared" si="1"/>
        <v>1</v>
      </c>
      <c r="C5">
        <f t="shared" si="2"/>
        <v>4</v>
      </c>
      <c r="D5">
        <f>D6</f>
        <v>20</v>
      </c>
      <c r="E5" t="str">
        <f>VLOOKUP(D5,name!A:B,2,1)</f>
        <v>Анна</v>
      </c>
      <c r="F5" t="s">
        <v>440</v>
      </c>
      <c r="G5" t="str">
        <f t="shared" si="3"/>
        <v>a</v>
      </c>
      <c r="H5" t="str">
        <f>VLOOKUP(D5,name!A:C,3,1)</f>
        <v>assets/icons/image015.png</v>
      </c>
      <c r="I5" t="s">
        <v>405</v>
      </c>
    </row>
    <row r="6" spans="1:12" x14ac:dyDescent="0.15">
      <c r="A6" t="str">
        <f t="shared" si="1"/>
        <v>ロシア語</v>
      </c>
      <c r="B6">
        <f t="shared" si="1"/>
        <v>1</v>
      </c>
      <c r="C6">
        <f t="shared" si="2"/>
        <v>5</v>
      </c>
      <c r="D6">
        <v>20</v>
      </c>
      <c r="E6" t="str">
        <f>VLOOKUP(D6,name!A:B,2,1)</f>
        <v>Анна</v>
      </c>
      <c r="F6" t="s">
        <v>423</v>
      </c>
      <c r="G6" t="str">
        <f t="shared" si="3"/>
        <v>a</v>
      </c>
      <c r="H6" t="str">
        <f>VLOOKUP(D6,name!A:C,3,1)</f>
        <v>assets/icons/image015.png</v>
      </c>
      <c r="I6" t="str">
        <f>IF(A6="","",VLOOKUP(A6,lng!A:B,2,0))</f>
        <v>ru-RU</v>
      </c>
    </row>
    <row r="7" spans="1:12" x14ac:dyDescent="0.15">
      <c r="A7" t="str">
        <f t="shared" si="1"/>
        <v>ロシア語</v>
      </c>
      <c r="B7">
        <f t="shared" si="1"/>
        <v>1</v>
      </c>
      <c r="C7">
        <f t="shared" si="2"/>
        <v>6</v>
      </c>
      <c r="D7">
        <f t="shared" ref="D7:D29" si="4">D8</f>
        <v>21</v>
      </c>
      <c r="E7" t="str">
        <f>VLOOKUP(D7,name!A:B,2,1)</f>
        <v>Цубаса</v>
      </c>
      <c r="F7" t="s">
        <v>439</v>
      </c>
      <c r="G7" t="str">
        <f t="shared" si="3"/>
        <v>a</v>
      </c>
      <c r="H7" t="str">
        <f>VLOOKUP(D7,name!A:C,3,1)</f>
        <v>assets/icons/image017.png</v>
      </c>
      <c r="I7" t="s">
        <v>405</v>
      </c>
    </row>
    <row r="8" spans="1:12" x14ac:dyDescent="0.15">
      <c r="A8" t="str">
        <f t="shared" si="1"/>
        <v>ロシア語</v>
      </c>
      <c r="B8">
        <f t="shared" si="1"/>
        <v>1</v>
      </c>
      <c r="C8">
        <f t="shared" si="2"/>
        <v>7</v>
      </c>
      <c r="D8">
        <v>21</v>
      </c>
      <c r="E8" t="str">
        <f>VLOOKUP(D8,name!A:B,2,1)</f>
        <v>Цубаса</v>
      </c>
      <c r="F8" t="s">
        <v>427</v>
      </c>
      <c r="G8" t="str">
        <f t="shared" si="3"/>
        <v>a</v>
      </c>
      <c r="H8" t="str">
        <f>VLOOKUP(D8,name!A:C,3,1)</f>
        <v>assets/icons/image017.png</v>
      </c>
      <c r="I8" t="str">
        <f>IF(A8="","",VLOOKUP(A8,lng!A:B,2,0))</f>
        <v>ru-RU</v>
      </c>
    </row>
    <row r="9" spans="1:12" x14ac:dyDescent="0.15">
      <c r="A9" t="str">
        <f t="shared" si="1"/>
        <v>ロシア語</v>
      </c>
      <c r="B9">
        <f t="shared" si="1"/>
        <v>1</v>
      </c>
      <c r="C9">
        <f t="shared" si="2"/>
        <v>8</v>
      </c>
      <c r="D9">
        <f t="shared" si="4"/>
        <v>20</v>
      </c>
      <c r="E9" t="str">
        <f>VLOOKUP(D9,name!A:B,2,1)</f>
        <v>Анна</v>
      </c>
      <c r="F9" t="s">
        <v>441</v>
      </c>
      <c r="G9" t="str">
        <f t="shared" si="3"/>
        <v>a</v>
      </c>
      <c r="H9" t="str">
        <f>VLOOKUP(D9,name!A:C,3,1)</f>
        <v>assets/icons/image015.png</v>
      </c>
      <c r="I9" t="s">
        <v>405</v>
      </c>
    </row>
    <row r="10" spans="1:12" x14ac:dyDescent="0.15">
      <c r="A10" t="str">
        <f t="shared" si="1"/>
        <v>ロシア語</v>
      </c>
      <c r="B10">
        <f t="shared" si="1"/>
        <v>1</v>
      </c>
      <c r="C10">
        <f t="shared" si="2"/>
        <v>9</v>
      </c>
      <c r="D10">
        <v>20</v>
      </c>
      <c r="E10" t="str">
        <f>VLOOKUP(D10,name!A:B,2,1)</f>
        <v>Анна</v>
      </c>
      <c r="F10" t="s">
        <v>428</v>
      </c>
      <c r="G10" t="str">
        <f t="shared" si="3"/>
        <v>a</v>
      </c>
      <c r="H10" t="str">
        <f>VLOOKUP(D10,name!A:C,3,1)</f>
        <v>assets/icons/image015.png</v>
      </c>
      <c r="I10" t="str">
        <f>IF(A10="","",VLOOKUP(A10,lng!A:B,2,0))</f>
        <v>ru-RU</v>
      </c>
    </row>
    <row r="11" spans="1:12" x14ac:dyDescent="0.15">
      <c r="A11" t="str">
        <f t="shared" si="1"/>
        <v>ロシア語</v>
      </c>
      <c r="B11">
        <f t="shared" si="1"/>
        <v>1</v>
      </c>
      <c r="C11">
        <f t="shared" si="2"/>
        <v>10</v>
      </c>
      <c r="D11">
        <f t="shared" si="4"/>
        <v>21</v>
      </c>
      <c r="E11" t="str">
        <f>VLOOKUP(D11,name!A:B,2,1)</f>
        <v>Цубаса</v>
      </c>
      <c r="F11" t="s">
        <v>442</v>
      </c>
      <c r="G11" t="str">
        <f t="shared" si="3"/>
        <v>a</v>
      </c>
      <c r="H11" t="str">
        <f>VLOOKUP(D11,name!A:C,3,1)</f>
        <v>assets/icons/image017.png</v>
      </c>
      <c r="I11" t="s">
        <v>405</v>
      </c>
    </row>
    <row r="12" spans="1:12" x14ac:dyDescent="0.15">
      <c r="A12" t="str">
        <f t="shared" si="1"/>
        <v>ロシア語</v>
      </c>
      <c r="B12">
        <f t="shared" si="1"/>
        <v>1</v>
      </c>
      <c r="C12">
        <f t="shared" si="2"/>
        <v>11</v>
      </c>
      <c r="D12">
        <v>21</v>
      </c>
      <c r="E12" t="str">
        <f>VLOOKUP(D12,name!A:B,2,1)</f>
        <v>Цубаса</v>
      </c>
      <c r="F12" t="s">
        <v>429</v>
      </c>
      <c r="G12" t="str">
        <f t="shared" si="3"/>
        <v>a</v>
      </c>
      <c r="H12" t="str">
        <f>VLOOKUP(D12,name!A:C,3,1)</f>
        <v>assets/icons/image017.png</v>
      </c>
      <c r="I12" t="str">
        <f>IF(A12="","",VLOOKUP(A12,lng!A:B,2,0))</f>
        <v>ru-RU</v>
      </c>
    </row>
    <row r="13" spans="1:12" x14ac:dyDescent="0.15">
      <c r="A13" t="str">
        <f t="shared" si="1"/>
        <v>ロシア語</v>
      </c>
      <c r="B13">
        <f t="shared" si="1"/>
        <v>1</v>
      </c>
      <c r="C13">
        <f t="shared" si="2"/>
        <v>12</v>
      </c>
      <c r="D13">
        <f t="shared" si="4"/>
        <v>20</v>
      </c>
      <c r="E13" t="str">
        <f>VLOOKUP(D13,name!A:B,2,1)</f>
        <v>Анна</v>
      </c>
      <c r="F13" t="s">
        <v>443</v>
      </c>
      <c r="G13" t="str">
        <f t="shared" si="3"/>
        <v>a</v>
      </c>
      <c r="H13" t="str">
        <f>VLOOKUP(D13,name!A:C,3,1)</f>
        <v>assets/icons/image015.png</v>
      </c>
      <c r="I13" t="s">
        <v>405</v>
      </c>
    </row>
    <row r="14" spans="1:12" x14ac:dyDescent="0.15">
      <c r="A14" t="str">
        <f t="shared" si="1"/>
        <v>ロシア語</v>
      </c>
      <c r="B14">
        <f t="shared" si="1"/>
        <v>1</v>
      </c>
      <c r="C14">
        <f t="shared" si="2"/>
        <v>13</v>
      </c>
      <c r="D14">
        <v>20</v>
      </c>
      <c r="E14" t="str">
        <f>VLOOKUP(D14,name!A:B,2,1)</f>
        <v>Анна</v>
      </c>
      <c r="F14" t="s">
        <v>430</v>
      </c>
      <c r="G14" t="str">
        <f t="shared" si="3"/>
        <v>a</v>
      </c>
      <c r="H14" t="str">
        <f>VLOOKUP(D14,name!A:C,3,1)</f>
        <v>assets/icons/image015.png</v>
      </c>
      <c r="I14" t="str">
        <f>IF(A14="","",VLOOKUP(A14,lng!A:B,2,0))</f>
        <v>ru-RU</v>
      </c>
    </row>
    <row r="15" spans="1:12" x14ac:dyDescent="0.15">
      <c r="A15" t="str">
        <f t="shared" si="1"/>
        <v>ロシア語</v>
      </c>
      <c r="B15">
        <f t="shared" si="1"/>
        <v>1</v>
      </c>
      <c r="C15">
        <f t="shared" si="2"/>
        <v>14</v>
      </c>
      <c r="D15">
        <f t="shared" si="4"/>
        <v>20</v>
      </c>
      <c r="E15" t="str">
        <f>VLOOKUP(D15,name!A:B,2,1)</f>
        <v>Анна</v>
      </c>
      <c r="F15" t="s">
        <v>444</v>
      </c>
      <c r="G15" t="str">
        <f t="shared" si="3"/>
        <v>a</v>
      </c>
      <c r="H15" t="str">
        <f>VLOOKUP(D15,name!A:C,3,1)</f>
        <v>assets/icons/image015.png</v>
      </c>
      <c r="I15" t="s">
        <v>405</v>
      </c>
    </row>
    <row r="16" spans="1:12" x14ac:dyDescent="0.15">
      <c r="A16" t="str">
        <f t="shared" si="1"/>
        <v>ロシア語</v>
      </c>
      <c r="B16">
        <f t="shared" si="1"/>
        <v>1</v>
      </c>
      <c r="C16">
        <f t="shared" si="2"/>
        <v>15</v>
      </c>
      <c r="D16">
        <v>20</v>
      </c>
      <c r="E16" t="str">
        <f>VLOOKUP(D16,name!A:B,2,1)</f>
        <v>Анна</v>
      </c>
      <c r="F16" t="s">
        <v>431</v>
      </c>
      <c r="G16" t="str">
        <f t="shared" si="3"/>
        <v>a</v>
      </c>
      <c r="H16" t="str">
        <f>VLOOKUP(D16,name!A:C,3,1)</f>
        <v>assets/icons/image015.png</v>
      </c>
      <c r="I16" t="str">
        <f>IF(A16="","",VLOOKUP(A16,lng!A:B,2,0))</f>
        <v>ru-RU</v>
      </c>
    </row>
    <row r="17" spans="1:9" x14ac:dyDescent="0.15">
      <c r="A17" t="str">
        <f t="shared" si="1"/>
        <v>ロシア語</v>
      </c>
      <c r="B17">
        <f t="shared" si="1"/>
        <v>1</v>
      </c>
      <c r="C17">
        <f t="shared" si="2"/>
        <v>16</v>
      </c>
      <c r="D17">
        <f t="shared" si="4"/>
        <v>21</v>
      </c>
      <c r="E17" t="str">
        <f>VLOOKUP(D17,name!A:B,2,1)</f>
        <v>Цубаса</v>
      </c>
      <c r="F17" t="s">
        <v>445</v>
      </c>
      <c r="G17" t="str">
        <f t="shared" si="3"/>
        <v>a</v>
      </c>
      <c r="H17" t="str">
        <f>VLOOKUP(D17,name!A:C,3,1)</f>
        <v>assets/icons/image017.png</v>
      </c>
      <c r="I17" t="s">
        <v>405</v>
      </c>
    </row>
    <row r="18" spans="1:9" x14ac:dyDescent="0.15">
      <c r="A18" t="str">
        <f t="shared" si="1"/>
        <v>ロシア語</v>
      </c>
      <c r="B18">
        <f t="shared" si="1"/>
        <v>1</v>
      </c>
      <c r="C18">
        <f t="shared" si="2"/>
        <v>17</v>
      </c>
      <c r="D18">
        <f t="shared" si="4"/>
        <v>21</v>
      </c>
      <c r="E18" t="str">
        <f>VLOOKUP(D18,name!A:B,2,1)</f>
        <v>Цубаса</v>
      </c>
      <c r="F18" t="s">
        <v>432</v>
      </c>
      <c r="G18" t="str">
        <f t="shared" si="3"/>
        <v>a</v>
      </c>
      <c r="H18" t="str">
        <f>VLOOKUP(D18,name!A:C,3,1)</f>
        <v>assets/icons/image017.png</v>
      </c>
      <c r="I18" t="str">
        <f>IF(A18="","",VLOOKUP(A18,lng!A:B,2,0))</f>
        <v>ru-RU</v>
      </c>
    </row>
    <row r="19" spans="1:9" x14ac:dyDescent="0.15">
      <c r="A19" t="str">
        <f t="shared" ref="A19:B25" si="5">A18</f>
        <v>ロシア語</v>
      </c>
      <c r="B19">
        <f t="shared" si="5"/>
        <v>1</v>
      </c>
      <c r="C19">
        <f t="shared" si="2"/>
        <v>18</v>
      </c>
      <c r="D19">
        <f t="shared" si="4"/>
        <v>21</v>
      </c>
      <c r="E19" t="str">
        <f>VLOOKUP(D19,name!A:B,2,1)</f>
        <v>Цубаса</v>
      </c>
      <c r="F19" t="s">
        <v>446</v>
      </c>
      <c r="G19" t="str">
        <f t="shared" si="3"/>
        <v>a</v>
      </c>
      <c r="H19" t="str">
        <f>VLOOKUP(D19,name!A:C,3,1)</f>
        <v>assets/icons/image017.png</v>
      </c>
      <c r="I19" t="s">
        <v>405</v>
      </c>
    </row>
    <row r="20" spans="1:9" x14ac:dyDescent="0.15">
      <c r="A20" t="str">
        <f t="shared" si="5"/>
        <v>ロシア語</v>
      </c>
      <c r="B20">
        <f t="shared" si="5"/>
        <v>1</v>
      </c>
      <c r="C20">
        <f t="shared" si="2"/>
        <v>19</v>
      </c>
      <c r="D20">
        <v>21</v>
      </c>
      <c r="E20" t="str">
        <f>VLOOKUP(D20,name!A:B,2,1)</f>
        <v>Цубаса</v>
      </c>
      <c r="F20" t="s">
        <v>433</v>
      </c>
      <c r="G20" t="str">
        <f t="shared" si="3"/>
        <v>a</v>
      </c>
      <c r="H20" t="str">
        <f>VLOOKUP(D20,name!A:C,3,1)</f>
        <v>assets/icons/image017.png</v>
      </c>
      <c r="I20" t="str">
        <f>IF(A20="","",VLOOKUP(A20,lng!A:B,2,0))</f>
        <v>ru-RU</v>
      </c>
    </row>
    <row r="21" spans="1:9" x14ac:dyDescent="0.15">
      <c r="A21" t="str">
        <f t="shared" si="5"/>
        <v>ロシア語</v>
      </c>
      <c r="B21">
        <f t="shared" si="5"/>
        <v>1</v>
      </c>
      <c r="C21">
        <f t="shared" si="2"/>
        <v>20</v>
      </c>
      <c r="D21">
        <f t="shared" si="4"/>
        <v>20</v>
      </c>
      <c r="E21" t="str">
        <f>VLOOKUP(D21,name!A:B,2,1)</f>
        <v>Анна</v>
      </c>
      <c r="F21" t="s">
        <v>447</v>
      </c>
      <c r="G21" t="str">
        <f t="shared" si="3"/>
        <v>a</v>
      </c>
      <c r="H21" t="str">
        <f>VLOOKUP(D21,name!A:C,3,1)</f>
        <v>assets/icons/image015.png</v>
      </c>
      <c r="I21" t="s">
        <v>405</v>
      </c>
    </row>
    <row r="22" spans="1:9" x14ac:dyDescent="0.15">
      <c r="A22" t="str">
        <f t="shared" si="5"/>
        <v>ロシア語</v>
      </c>
      <c r="B22">
        <f t="shared" si="5"/>
        <v>1</v>
      </c>
      <c r="C22">
        <f t="shared" si="2"/>
        <v>21</v>
      </c>
      <c r="D22">
        <f t="shared" si="4"/>
        <v>20</v>
      </c>
      <c r="E22" t="str">
        <f>VLOOKUP(D22,name!A:B,2,1)</f>
        <v>Анна</v>
      </c>
      <c r="F22" t="s">
        <v>434</v>
      </c>
      <c r="G22" t="str">
        <f t="shared" si="3"/>
        <v>a</v>
      </c>
      <c r="H22" t="str">
        <f>VLOOKUP(D22,name!A:C,3,1)</f>
        <v>assets/icons/image015.png</v>
      </c>
      <c r="I22" t="str">
        <f>IF(A22="","",VLOOKUP(A22,lng!A:B,2,0))</f>
        <v>ru-RU</v>
      </c>
    </row>
    <row r="23" spans="1:9" x14ac:dyDescent="0.15">
      <c r="A23" t="str">
        <f t="shared" si="5"/>
        <v>ロシア語</v>
      </c>
      <c r="B23">
        <f t="shared" si="5"/>
        <v>1</v>
      </c>
      <c r="C23">
        <f t="shared" si="2"/>
        <v>22</v>
      </c>
      <c r="D23">
        <f t="shared" si="4"/>
        <v>20</v>
      </c>
      <c r="E23" t="str">
        <f>VLOOKUP(D23,name!A:B,2,1)</f>
        <v>Анна</v>
      </c>
      <c r="F23" t="s">
        <v>448</v>
      </c>
      <c r="G23" t="str">
        <f t="shared" si="3"/>
        <v>a</v>
      </c>
      <c r="H23" t="str">
        <f>VLOOKUP(D23,name!A:C,3,1)</f>
        <v>assets/icons/image015.png</v>
      </c>
      <c r="I23" t="s">
        <v>405</v>
      </c>
    </row>
    <row r="24" spans="1:9" x14ac:dyDescent="0.15">
      <c r="A24" t="str">
        <f t="shared" si="5"/>
        <v>ロシア語</v>
      </c>
      <c r="B24">
        <f t="shared" si="5"/>
        <v>1</v>
      </c>
      <c r="C24">
        <f t="shared" si="2"/>
        <v>23</v>
      </c>
      <c r="D24">
        <v>20</v>
      </c>
      <c r="E24" t="str">
        <f>VLOOKUP(D24,name!A:B,2,1)</f>
        <v>Анна</v>
      </c>
      <c r="F24" t="s">
        <v>435</v>
      </c>
      <c r="G24" t="str">
        <f t="shared" si="3"/>
        <v>a</v>
      </c>
      <c r="H24" t="str">
        <f>VLOOKUP(D24,name!A:C,3,1)</f>
        <v>assets/icons/image015.png</v>
      </c>
      <c r="I24" t="str">
        <f>IF(A24="","",VLOOKUP(A24,lng!A:B,2,0))</f>
        <v>ru-RU</v>
      </c>
    </row>
    <row r="25" spans="1:9" x14ac:dyDescent="0.15">
      <c r="A25" t="str">
        <f t="shared" si="5"/>
        <v>ロシア語</v>
      </c>
      <c r="B25">
        <f t="shared" si="5"/>
        <v>1</v>
      </c>
      <c r="C25">
        <f t="shared" si="2"/>
        <v>24</v>
      </c>
      <c r="D25">
        <f t="shared" si="4"/>
        <v>21</v>
      </c>
      <c r="E25" t="str">
        <f>VLOOKUP(D25,name!A:B,2,1)</f>
        <v>Цубаса</v>
      </c>
      <c r="F25" t="s">
        <v>449</v>
      </c>
      <c r="G25" t="str">
        <f t="shared" si="3"/>
        <v>a</v>
      </c>
      <c r="H25" t="str">
        <f>VLOOKUP(D25,name!A:C,3,1)</f>
        <v>assets/icons/image017.png</v>
      </c>
      <c r="I25" t="s">
        <v>405</v>
      </c>
    </row>
    <row r="26" spans="1:9" x14ac:dyDescent="0.15">
      <c r="A26" t="str">
        <f t="shared" ref="A26:B26" si="6">A25</f>
        <v>ロシア語</v>
      </c>
      <c r="B26">
        <f t="shared" si="6"/>
        <v>1</v>
      </c>
      <c r="C26">
        <f t="shared" si="2"/>
        <v>25</v>
      </c>
      <c r="D26">
        <v>21</v>
      </c>
      <c r="E26" t="str">
        <f>VLOOKUP(D26,name!A:B,2,1)</f>
        <v>Цубаса</v>
      </c>
      <c r="F26" t="s">
        <v>438</v>
      </c>
      <c r="G26" t="str">
        <f t="shared" si="3"/>
        <v>a</v>
      </c>
      <c r="H26" t="str">
        <f>VLOOKUP(D26,name!A:C,3,1)</f>
        <v>assets/icons/image017.png</v>
      </c>
      <c r="I26" t="str">
        <f>IF(A26="","",VLOOKUP(A26,lng!A:B,2,0))</f>
        <v>ru-RU</v>
      </c>
    </row>
    <row r="27" spans="1:9" x14ac:dyDescent="0.15">
      <c r="A27" t="str">
        <f t="shared" ref="A27:B27" si="7">A26</f>
        <v>ロシア語</v>
      </c>
      <c r="B27">
        <f t="shared" si="7"/>
        <v>1</v>
      </c>
      <c r="C27">
        <f t="shared" si="2"/>
        <v>26</v>
      </c>
      <c r="D27">
        <f t="shared" si="4"/>
        <v>20</v>
      </c>
      <c r="E27" t="str">
        <f>VLOOKUP(D27,name!A:B,2,1)</f>
        <v>Анна</v>
      </c>
      <c r="F27" t="s">
        <v>49</v>
      </c>
      <c r="G27" t="str">
        <f t="shared" si="3"/>
        <v>a</v>
      </c>
      <c r="H27" t="str">
        <f>VLOOKUP(D27,name!A:C,3,1)</f>
        <v>assets/icons/image015.png</v>
      </c>
      <c r="I27" t="s">
        <v>405</v>
      </c>
    </row>
    <row r="28" spans="1:9" x14ac:dyDescent="0.15">
      <c r="A28" t="str">
        <f t="shared" ref="A28:B28" si="8">A27</f>
        <v>ロシア語</v>
      </c>
      <c r="B28">
        <f t="shared" si="8"/>
        <v>1</v>
      </c>
      <c r="C28">
        <f t="shared" si="2"/>
        <v>27</v>
      </c>
      <c r="D28">
        <f t="shared" si="4"/>
        <v>20</v>
      </c>
      <c r="E28" t="str">
        <f>VLOOKUP(D28,name!A:B,2,1)</f>
        <v>Анна</v>
      </c>
      <c r="F28" t="s">
        <v>436</v>
      </c>
      <c r="G28" t="str">
        <f t="shared" si="3"/>
        <v>a</v>
      </c>
      <c r="H28" t="str">
        <f>VLOOKUP(D28,name!A:C,3,1)</f>
        <v>assets/icons/image015.png</v>
      </c>
      <c r="I28" t="str">
        <f>IF(A28="","",VLOOKUP(A28,lng!A:B,2,0))</f>
        <v>ru-RU</v>
      </c>
    </row>
    <row r="29" spans="1:9" x14ac:dyDescent="0.15">
      <c r="A29" t="str">
        <f t="shared" ref="A29:B29" si="9">A28</f>
        <v>ロシア語</v>
      </c>
      <c r="B29">
        <f t="shared" si="9"/>
        <v>1</v>
      </c>
      <c r="C29">
        <f t="shared" si="2"/>
        <v>28</v>
      </c>
      <c r="D29">
        <f t="shared" si="4"/>
        <v>20</v>
      </c>
      <c r="E29" t="str">
        <f>VLOOKUP(D29,name!A:B,2,1)</f>
        <v>Анна</v>
      </c>
      <c r="F29" t="s">
        <v>450</v>
      </c>
      <c r="G29" t="str">
        <f t="shared" si="3"/>
        <v>a</v>
      </c>
      <c r="H29" t="str">
        <f>VLOOKUP(D29,name!A:C,3,1)</f>
        <v>assets/icons/image015.png</v>
      </c>
      <c r="I29" t="s">
        <v>405</v>
      </c>
    </row>
    <row r="30" spans="1:9" x14ac:dyDescent="0.15">
      <c r="A30" t="str">
        <f t="shared" ref="A30:B30" si="10">A29</f>
        <v>ロシア語</v>
      </c>
      <c r="B30">
        <f t="shared" si="10"/>
        <v>1</v>
      </c>
      <c r="C30">
        <f t="shared" si="2"/>
        <v>29</v>
      </c>
      <c r="D30">
        <v>20</v>
      </c>
      <c r="E30" t="str">
        <f>VLOOKUP(D30,name!A:B,2,1)</f>
        <v>Анна</v>
      </c>
      <c r="F30" t="s">
        <v>437</v>
      </c>
      <c r="G30" t="str">
        <f t="shared" si="3"/>
        <v>a</v>
      </c>
      <c r="H30" t="str">
        <f>VLOOKUP(D30,name!A:C,3,1)</f>
        <v>assets/icons/image015.png</v>
      </c>
      <c r="I30" t="str">
        <f>IF(A30="","",VLOOKUP(A30,lng!A:B,2,0))</f>
        <v>ru-RU</v>
      </c>
    </row>
    <row r="31" spans="1:9" x14ac:dyDescent="0.15">
      <c r="A31" t="str">
        <f t="shared" ref="A31:B31" si="11">A30</f>
        <v>ロシア語</v>
      </c>
      <c r="B31">
        <f t="shared" si="11"/>
        <v>1</v>
      </c>
      <c r="C31">
        <f t="shared" si="2"/>
        <v>30</v>
      </c>
      <c r="D31">
        <v>1</v>
      </c>
      <c r="E31" t="str">
        <f>VLOOKUP(D31,name!A:B,2,1)</f>
        <v>Navigator</v>
      </c>
      <c r="F31" t="str">
        <f>"次の"&amp;A31&amp;"を真似してね！"</f>
        <v>次のロシア語を真似してね！</v>
      </c>
      <c r="G31" t="str">
        <f t="shared" si="3"/>
        <v>a</v>
      </c>
      <c r="H31" t="str">
        <f>VLOOKUP(D31,name!A:C,3,1)</f>
        <v>assets/icons/image014.png</v>
      </c>
      <c r="I31" t="s">
        <v>405</v>
      </c>
    </row>
    <row r="32" spans="1:9" x14ac:dyDescent="0.15">
      <c r="A32" t="str">
        <f t="shared" ref="A32:B32" si="12">A31</f>
        <v>ロシア語</v>
      </c>
      <c r="B32">
        <f t="shared" si="12"/>
        <v>1</v>
      </c>
      <c r="C32">
        <f t="shared" si="2"/>
        <v>31</v>
      </c>
      <c r="D32">
        <f>D5</f>
        <v>20</v>
      </c>
      <c r="E32" t="str">
        <f>VLOOKUP(D32,name!A:B,2,1)</f>
        <v>Анна</v>
      </c>
      <c r="F32" t="str">
        <f>F5</f>
        <v>これはナターシャです。</v>
      </c>
      <c r="G32" t="str">
        <f t="shared" si="3"/>
        <v>a</v>
      </c>
      <c r="H32" t="str">
        <f>VLOOKUP(D32,name!A:C,3,1)</f>
        <v>assets/icons/image015.png</v>
      </c>
      <c r="I32" t="s">
        <v>406</v>
      </c>
    </row>
    <row r="33" spans="1:9" x14ac:dyDescent="0.15">
      <c r="A33" t="str">
        <f t="shared" ref="A33:B33" si="13">A32</f>
        <v>ロシア語</v>
      </c>
      <c r="B33">
        <f t="shared" si="13"/>
        <v>1</v>
      </c>
      <c r="C33">
        <f t="shared" si="2"/>
        <v>32</v>
      </c>
      <c r="D33">
        <f>D6</f>
        <v>20</v>
      </c>
      <c r="E33" t="str">
        <f>VLOOKUP(D33,name!A:B,2,1)</f>
        <v>Анна</v>
      </c>
      <c r="F33" t="str">
        <f>F6</f>
        <v>Это Наташа.</v>
      </c>
      <c r="G33" t="str">
        <f t="shared" si="3"/>
        <v>a</v>
      </c>
      <c r="H33" t="str">
        <f>VLOOKUP(D33,name!A:C,3,1)</f>
        <v>assets/icons/image015.png</v>
      </c>
      <c r="I33" t="str">
        <f>IF(A33="","",VLOOKUP(A33,lng!A:B,2,0))</f>
        <v>ru-RU</v>
      </c>
    </row>
    <row r="34" spans="1:9" x14ac:dyDescent="0.15">
      <c r="A34" t="str">
        <f t="shared" ref="A34:B34" si="14">A33</f>
        <v>ロシア語</v>
      </c>
      <c r="B34">
        <f t="shared" si="14"/>
        <v>1</v>
      </c>
      <c r="C34">
        <f t="shared" si="2"/>
        <v>33</v>
      </c>
      <c r="D34">
        <v>0</v>
      </c>
      <c r="E34" t="str">
        <f>VLOOKUP(D34,name!A:B,2,1)</f>
        <v>Player</v>
      </c>
      <c r="F34" t="str">
        <f>F6</f>
        <v>Это Наташа.</v>
      </c>
      <c r="G34" t="str">
        <f t="shared" si="3"/>
        <v>q</v>
      </c>
      <c r="H34" t="str">
        <f>VLOOKUP(D34,name!A:C,3,1)</f>
        <v>assets/icons/image326.png</v>
      </c>
      <c r="I34" t="str">
        <f>IF(A34="","",VLOOKUP(A34,lng!A:B,2,0))</f>
        <v>ru-RU</v>
      </c>
    </row>
    <row r="35" spans="1:9" x14ac:dyDescent="0.15">
      <c r="A35" t="str">
        <f t="shared" ref="A35:B35" si="15">A34</f>
        <v>ロシア語</v>
      </c>
      <c r="B35">
        <f t="shared" si="15"/>
        <v>1</v>
      </c>
      <c r="C35">
        <f t="shared" si="2"/>
        <v>34</v>
      </c>
      <c r="D35">
        <f>D7</f>
        <v>21</v>
      </c>
      <c r="E35" t="str">
        <f>VLOOKUP(D35,name!A:B,2,1)</f>
        <v>Цубаса</v>
      </c>
      <c r="F35" t="str">
        <f>F7</f>
        <v>彼女はロシア人ですか?</v>
      </c>
      <c r="G35" t="str">
        <f t="shared" si="3"/>
        <v>a</v>
      </c>
      <c r="H35" t="str">
        <f>VLOOKUP(D35,name!A:C,3,1)</f>
        <v>assets/icons/image017.png</v>
      </c>
      <c r="I35" t="s">
        <v>406</v>
      </c>
    </row>
    <row r="36" spans="1:9" x14ac:dyDescent="0.15">
      <c r="A36" t="str">
        <f t="shared" ref="A36:B36" si="16">A35</f>
        <v>ロシア語</v>
      </c>
      <c r="B36">
        <f t="shared" si="16"/>
        <v>1</v>
      </c>
      <c r="C36">
        <f t="shared" si="2"/>
        <v>35</v>
      </c>
      <c r="D36">
        <f>D8</f>
        <v>21</v>
      </c>
      <c r="E36" t="str">
        <f>VLOOKUP(D36,name!A:B,2,1)</f>
        <v>Цубаса</v>
      </c>
      <c r="F36" t="str">
        <f>F8</f>
        <v>Она русская?</v>
      </c>
      <c r="G36" t="str">
        <f t="shared" si="3"/>
        <v>a</v>
      </c>
      <c r="H36" t="str">
        <f>VLOOKUP(D36,name!A:C,3,1)</f>
        <v>assets/icons/image017.png</v>
      </c>
      <c r="I36" t="str">
        <f>IF(A36="","",VLOOKUP(A36,lng!A:B,2,0))</f>
        <v>ru-RU</v>
      </c>
    </row>
    <row r="37" spans="1:9" x14ac:dyDescent="0.15">
      <c r="A37" t="str">
        <f t="shared" ref="A37:B37" si="17">A36</f>
        <v>ロシア語</v>
      </c>
      <c r="B37">
        <f t="shared" si="17"/>
        <v>1</v>
      </c>
      <c r="C37">
        <f t="shared" si="2"/>
        <v>36</v>
      </c>
      <c r="D37">
        <v>0</v>
      </c>
      <c r="E37" t="str">
        <f>VLOOKUP(D37,name!A:B,2,1)</f>
        <v>Player</v>
      </c>
      <c r="F37" t="str">
        <f>F8</f>
        <v>Она русская?</v>
      </c>
      <c r="G37" t="str">
        <f t="shared" si="3"/>
        <v>q</v>
      </c>
      <c r="H37" t="str">
        <f>VLOOKUP(D37,name!A:C,3,1)</f>
        <v>assets/icons/image326.png</v>
      </c>
      <c r="I37" t="str">
        <f>IF(A37="","",VLOOKUP(A37,lng!A:B,2,0))</f>
        <v>ru-RU</v>
      </c>
    </row>
    <row r="38" spans="1:9" x14ac:dyDescent="0.15">
      <c r="A38" t="str">
        <f t="shared" ref="A38:B38" si="18">A37</f>
        <v>ロシア語</v>
      </c>
      <c r="B38">
        <f t="shared" si="18"/>
        <v>1</v>
      </c>
      <c r="C38">
        <f t="shared" si="2"/>
        <v>37</v>
      </c>
      <c r="D38">
        <f>D9</f>
        <v>20</v>
      </c>
      <c r="E38" t="str">
        <f>VLOOKUP(D38,name!A:B,2,1)</f>
        <v>Анна</v>
      </c>
      <c r="F38" t="str">
        <f>F9</f>
        <v>はい、彼女はロシア人です。</v>
      </c>
      <c r="G38" t="str">
        <f t="shared" si="3"/>
        <v>a</v>
      </c>
      <c r="H38" t="str">
        <f>VLOOKUP(D38,name!A:C,3,1)</f>
        <v>assets/icons/image015.png</v>
      </c>
      <c r="I38" t="s">
        <v>406</v>
      </c>
    </row>
    <row r="39" spans="1:9" x14ac:dyDescent="0.15">
      <c r="A39" t="str">
        <f t="shared" ref="A39:B39" si="19">A38</f>
        <v>ロシア語</v>
      </c>
      <c r="B39">
        <f t="shared" si="19"/>
        <v>1</v>
      </c>
      <c r="C39">
        <f t="shared" si="2"/>
        <v>38</v>
      </c>
      <c r="D39">
        <f>D10</f>
        <v>20</v>
      </c>
      <c r="E39" t="str">
        <f>VLOOKUP(D39,name!A:B,2,1)</f>
        <v>Анна</v>
      </c>
      <c r="F39" t="str">
        <f>F10</f>
        <v>Да, она русская.</v>
      </c>
      <c r="G39" t="str">
        <f t="shared" si="3"/>
        <v>a</v>
      </c>
      <c r="H39" t="str">
        <f>VLOOKUP(D39,name!A:C,3,1)</f>
        <v>assets/icons/image015.png</v>
      </c>
      <c r="I39" t="str">
        <f>IF(A39="","",VLOOKUP(A39,lng!A:B,2,0))</f>
        <v>ru-RU</v>
      </c>
    </row>
    <row r="40" spans="1:9" x14ac:dyDescent="0.15">
      <c r="A40" t="str">
        <f t="shared" ref="A40:B40" si="20">A39</f>
        <v>ロシア語</v>
      </c>
      <c r="B40">
        <f t="shared" si="20"/>
        <v>1</v>
      </c>
      <c r="C40">
        <f t="shared" si="2"/>
        <v>39</v>
      </c>
      <c r="D40">
        <v>0</v>
      </c>
      <c r="E40" t="str">
        <f>VLOOKUP(D40,name!A:B,2,1)</f>
        <v>Player</v>
      </c>
      <c r="F40" t="str">
        <f>F10</f>
        <v>Да, она русская.</v>
      </c>
      <c r="G40" t="str">
        <f t="shared" si="3"/>
        <v>q</v>
      </c>
      <c r="H40" t="str">
        <f>VLOOKUP(D40,name!A:C,3,1)</f>
        <v>assets/icons/image326.png</v>
      </c>
      <c r="I40" t="str">
        <f>IF(A40="","",VLOOKUP(A40,lng!A:B,2,0))</f>
        <v>ru-RU</v>
      </c>
    </row>
    <row r="41" spans="1:9" x14ac:dyDescent="0.15">
      <c r="A41" t="str">
        <f t="shared" ref="A41:B41" si="21">A40</f>
        <v>ロシア語</v>
      </c>
      <c r="B41">
        <f t="shared" si="21"/>
        <v>1</v>
      </c>
      <c r="C41">
        <f t="shared" si="2"/>
        <v>40</v>
      </c>
      <c r="D41">
        <f>D11</f>
        <v>21</v>
      </c>
      <c r="E41" t="str">
        <f>VLOOKUP(D41,name!A:B,2,1)</f>
        <v>Цубаса</v>
      </c>
      <c r="F41" t="str">
        <f>F11</f>
        <v>これは誰ですか。</v>
      </c>
      <c r="G41" t="str">
        <f t="shared" si="3"/>
        <v>a</v>
      </c>
      <c r="H41" t="str">
        <f>VLOOKUP(D41,name!A:C,3,1)</f>
        <v>assets/icons/image017.png</v>
      </c>
      <c r="I41" t="s">
        <v>406</v>
      </c>
    </row>
    <row r="42" spans="1:9" x14ac:dyDescent="0.15">
      <c r="A42" t="str">
        <f t="shared" ref="A42:B42" si="22">A41</f>
        <v>ロシア語</v>
      </c>
      <c r="B42">
        <f t="shared" si="22"/>
        <v>1</v>
      </c>
      <c r="C42">
        <f t="shared" si="2"/>
        <v>41</v>
      </c>
      <c r="D42">
        <f>D12</f>
        <v>21</v>
      </c>
      <c r="E42" t="str">
        <f>VLOOKUP(D42,name!A:B,2,1)</f>
        <v>Цубаса</v>
      </c>
      <c r="F42" t="str">
        <f>F12</f>
        <v>Кто это?</v>
      </c>
      <c r="G42" t="str">
        <f t="shared" si="3"/>
        <v>a</v>
      </c>
      <c r="H42" t="str">
        <f>VLOOKUP(D42,name!A:C,3,1)</f>
        <v>assets/icons/image017.png</v>
      </c>
      <c r="I42" t="str">
        <f>IF(A42="","",VLOOKUP(A42,lng!A:B,2,0))</f>
        <v>ru-RU</v>
      </c>
    </row>
    <row r="43" spans="1:9" x14ac:dyDescent="0.15">
      <c r="A43" t="str">
        <f t="shared" ref="A43:B43" si="23">A42</f>
        <v>ロシア語</v>
      </c>
      <c r="B43">
        <f t="shared" si="23"/>
        <v>1</v>
      </c>
      <c r="C43">
        <f t="shared" si="2"/>
        <v>42</v>
      </c>
      <c r="D43">
        <v>0</v>
      </c>
      <c r="E43" t="str">
        <f>VLOOKUP(D43,name!A:B,2,1)</f>
        <v>Player</v>
      </c>
      <c r="F43" t="str">
        <f>F12</f>
        <v>Кто это?</v>
      </c>
      <c r="G43" t="str">
        <f t="shared" si="3"/>
        <v>q</v>
      </c>
      <c r="H43" t="str">
        <f>VLOOKUP(D43,name!A:C,3,1)</f>
        <v>assets/icons/image326.png</v>
      </c>
      <c r="I43" t="str">
        <f>IF(A43="","",VLOOKUP(A43,lng!A:B,2,0))</f>
        <v>ru-RU</v>
      </c>
    </row>
    <row r="44" spans="1:9" x14ac:dyDescent="0.15">
      <c r="A44" t="str">
        <f t="shared" ref="A44:B44" si="24">A43</f>
        <v>ロシア語</v>
      </c>
      <c r="B44">
        <f t="shared" si="24"/>
        <v>1</v>
      </c>
      <c r="C44">
        <f t="shared" si="2"/>
        <v>43</v>
      </c>
      <c r="D44">
        <f>D13</f>
        <v>20</v>
      </c>
      <c r="E44" t="str">
        <f>VLOOKUP(D44,name!A:B,2,1)</f>
        <v>Анна</v>
      </c>
      <c r="F44" t="str">
        <f>F13</f>
        <v>それは彼女の母親です。</v>
      </c>
      <c r="G44" t="str">
        <f t="shared" si="3"/>
        <v>a</v>
      </c>
      <c r="H44" t="str">
        <f>VLOOKUP(D44,name!A:C,3,1)</f>
        <v>assets/icons/image015.png</v>
      </c>
      <c r="I44" t="s">
        <v>406</v>
      </c>
    </row>
    <row r="45" spans="1:9" x14ac:dyDescent="0.15">
      <c r="A45" t="str">
        <f t="shared" ref="A45:B45" si="25">A44</f>
        <v>ロシア語</v>
      </c>
      <c r="B45">
        <f t="shared" si="25"/>
        <v>1</v>
      </c>
      <c r="C45">
        <f t="shared" si="2"/>
        <v>44</v>
      </c>
      <c r="D45">
        <f>D14</f>
        <v>20</v>
      </c>
      <c r="E45" t="str">
        <f>VLOOKUP(D45,name!A:B,2,1)</f>
        <v>Анна</v>
      </c>
      <c r="F45" t="str">
        <f>F14</f>
        <v>Это её мать.</v>
      </c>
      <c r="G45" t="str">
        <f t="shared" si="3"/>
        <v>a</v>
      </c>
      <c r="H45" t="str">
        <f>VLOOKUP(D45,name!A:C,3,1)</f>
        <v>assets/icons/image015.png</v>
      </c>
      <c r="I45" t="str">
        <f>IF(A45="","",VLOOKUP(A45,lng!A:B,2,0))</f>
        <v>ru-RU</v>
      </c>
    </row>
    <row r="46" spans="1:9" x14ac:dyDescent="0.15">
      <c r="A46" t="str">
        <f t="shared" ref="A46:B46" si="26">A45</f>
        <v>ロシア語</v>
      </c>
      <c r="B46">
        <f t="shared" si="26"/>
        <v>1</v>
      </c>
      <c r="C46">
        <f t="shared" si="2"/>
        <v>45</v>
      </c>
      <c r="D46">
        <v>0</v>
      </c>
      <c r="E46" t="str">
        <f>VLOOKUP(D46,name!A:B,2,1)</f>
        <v>Player</v>
      </c>
      <c r="F46" t="str">
        <f>F14</f>
        <v>Это её мать.</v>
      </c>
      <c r="G46" t="str">
        <f t="shared" si="3"/>
        <v>q</v>
      </c>
      <c r="H46" t="str">
        <f>VLOOKUP(D46,name!A:C,3,1)</f>
        <v>assets/icons/image326.png</v>
      </c>
      <c r="I46" t="str">
        <f>IF(A46="","",VLOOKUP(A46,lng!A:B,2,0))</f>
        <v>ru-RU</v>
      </c>
    </row>
    <row r="47" spans="1:9" x14ac:dyDescent="0.15">
      <c r="A47" t="str">
        <f t="shared" ref="A47:B47" si="27">A46</f>
        <v>ロシア語</v>
      </c>
      <c r="B47">
        <f t="shared" si="27"/>
        <v>1</v>
      </c>
      <c r="C47">
        <f t="shared" si="2"/>
        <v>46</v>
      </c>
      <c r="D47">
        <f>D15</f>
        <v>20</v>
      </c>
      <c r="E47" t="str">
        <f>VLOOKUP(D47,name!A:B,2,1)</f>
        <v>Анна</v>
      </c>
      <c r="F47" t="str">
        <f>F15</f>
        <v>彼女もロシア人です。</v>
      </c>
      <c r="G47" t="str">
        <f t="shared" si="3"/>
        <v>a</v>
      </c>
      <c r="H47" t="str">
        <f>VLOOKUP(D47,name!A:C,3,1)</f>
        <v>assets/icons/image015.png</v>
      </c>
      <c r="I47" t="s">
        <v>406</v>
      </c>
    </row>
    <row r="48" spans="1:9" x14ac:dyDescent="0.15">
      <c r="A48" t="str">
        <f t="shared" ref="A48:B48" si="28">A47</f>
        <v>ロシア語</v>
      </c>
      <c r="B48">
        <f t="shared" si="28"/>
        <v>1</v>
      </c>
      <c r="C48">
        <f t="shared" si="2"/>
        <v>47</v>
      </c>
      <c r="D48">
        <f>D16</f>
        <v>20</v>
      </c>
      <c r="E48" t="str">
        <f>VLOOKUP(D48,name!A:B,2,1)</f>
        <v>Анна</v>
      </c>
      <c r="F48" t="str">
        <f>F16</f>
        <v>Она тоже русская.</v>
      </c>
      <c r="G48" t="str">
        <f t="shared" si="3"/>
        <v>a</v>
      </c>
      <c r="H48" t="str">
        <f>VLOOKUP(D48,name!A:C,3,1)</f>
        <v>assets/icons/image015.png</v>
      </c>
      <c r="I48" t="str">
        <f>IF(A48="","",VLOOKUP(A48,lng!A:B,2,0))</f>
        <v>ru-RU</v>
      </c>
    </row>
    <row r="49" spans="1:9" x14ac:dyDescent="0.15">
      <c r="A49" t="str">
        <f t="shared" ref="A49:B49" si="29">A48</f>
        <v>ロシア語</v>
      </c>
      <c r="B49">
        <f t="shared" si="29"/>
        <v>1</v>
      </c>
      <c r="C49">
        <f t="shared" si="2"/>
        <v>48</v>
      </c>
      <c r="D49">
        <v>0</v>
      </c>
      <c r="E49" t="str">
        <f>VLOOKUP(D49,name!A:B,2,1)</f>
        <v>Player</v>
      </c>
      <c r="F49" t="str">
        <f>F16</f>
        <v>Она тоже русская.</v>
      </c>
      <c r="G49" t="str">
        <f t="shared" si="3"/>
        <v>q</v>
      </c>
      <c r="H49" t="str">
        <f>VLOOKUP(D49,name!A:C,3,1)</f>
        <v>assets/icons/image326.png</v>
      </c>
      <c r="I49" t="str">
        <f>IF(A49="","",VLOOKUP(A49,lng!A:B,2,0))</f>
        <v>ru-RU</v>
      </c>
    </row>
    <row r="50" spans="1:9" x14ac:dyDescent="0.15">
      <c r="A50" t="str">
        <f t="shared" ref="A50:B50" si="30">A49</f>
        <v>ロシア語</v>
      </c>
      <c r="B50">
        <f t="shared" si="30"/>
        <v>1</v>
      </c>
      <c r="C50">
        <f t="shared" si="2"/>
        <v>49</v>
      </c>
      <c r="D50">
        <f>D17</f>
        <v>21</v>
      </c>
      <c r="E50" t="str">
        <f>VLOOKUP(D50,name!A:B,2,1)</f>
        <v>Цубаса</v>
      </c>
      <c r="F50" t="str">
        <f>F17</f>
        <v>で、これは？</v>
      </c>
      <c r="G50" t="str">
        <f t="shared" si="3"/>
        <v>a</v>
      </c>
      <c r="H50" t="str">
        <f>VLOOKUP(D50,name!A:C,3,1)</f>
        <v>assets/icons/image017.png</v>
      </c>
      <c r="I50" t="s">
        <v>406</v>
      </c>
    </row>
    <row r="51" spans="1:9" x14ac:dyDescent="0.15">
      <c r="A51" t="str">
        <f t="shared" ref="A51:B51" si="31">A50</f>
        <v>ロシア語</v>
      </c>
      <c r="B51">
        <f t="shared" si="31"/>
        <v>1</v>
      </c>
      <c r="C51">
        <f t="shared" si="2"/>
        <v>50</v>
      </c>
      <c r="D51">
        <f>D18</f>
        <v>21</v>
      </c>
      <c r="E51" t="str">
        <f>VLOOKUP(D51,name!A:B,2,1)</f>
        <v>Цубаса</v>
      </c>
      <c r="F51" t="str">
        <f>F18</f>
        <v>А это?</v>
      </c>
      <c r="G51" t="str">
        <f t="shared" si="3"/>
        <v>a</v>
      </c>
      <c r="H51" t="str">
        <f>VLOOKUP(D51,name!A:C,3,1)</f>
        <v>assets/icons/image017.png</v>
      </c>
      <c r="I51" t="str">
        <f>IF(A51="","",VLOOKUP(A51,lng!A:B,2,0))</f>
        <v>ru-RU</v>
      </c>
    </row>
    <row r="52" spans="1:9" x14ac:dyDescent="0.15">
      <c r="A52" t="str">
        <f t="shared" ref="A52:B52" si="32">A51</f>
        <v>ロシア語</v>
      </c>
      <c r="B52">
        <f t="shared" si="32"/>
        <v>1</v>
      </c>
      <c r="C52">
        <f t="shared" si="2"/>
        <v>51</v>
      </c>
      <c r="D52">
        <v>0</v>
      </c>
      <c r="E52" t="str">
        <f>VLOOKUP(D52,name!A:B,2,1)</f>
        <v>Player</v>
      </c>
      <c r="F52" t="str">
        <f>F18</f>
        <v>А это?</v>
      </c>
      <c r="G52" t="str">
        <f t="shared" si="3"/>
        <v>q</v>
      </c>
      <c r="H52" t="str">
        <f>VLOOKUP(D52,name!A:C,3,1)</f>
        <v>assets/icons/image326.png</v>
      </c>
      <c r="I52" t="str">
        <f>IF(A52="","",VLOOKUP(A52,lng!A:B,2,0))</f>
        <v>ru-RU</v>
      </c>
    </row>
    <row r="53" spans="1:9" x14ac:dyDescent="0.15">
      <c r="A53" t="str">
        <f t="shared" ref="A53:B53" si="33">A52</f>
        <v>ロシア語</v>
      </c>
      <c r="B53">
        <f t="shared" si="33"/>
        <v>1</v>
      </c>
      <c r="C53">
        <f t="shared" si="2"/>
        <v>52</v>
      </c>
      <c r="D53">
        <f>D19</f>
        <v>21</v>
      </c>
      <c r="E53" t="str">
        <f>VLOOKUP(D53,name!A:B,2,1)</f>
        <v>Цубаса</v>
      </c>
      <c r="F53" t="str">
        <f>F19</f>
        <v>それは彼女の父親ですか?</v>
      </c>
      <c r="G53" t="str">
        <f t="shared" si="3"/>
        <v>a</v>
      </c>
      <c r="H53" t="str">
        <f>VLOOKUP(D53,name!A:C,3,1)</f>
        <v>assets/icons/image017.png</v>
      </c>
      <c r="I53" t="s">
        <v>406</v>
      </c>
    </row>
    <row r="54" spans="1:9" x14ac:dyDescent="0.15">
      <c r="A54" t="str">
        <f t="shared" ref="A54:B54" si="34">A53</f>
        <v>ロシア語</v>
      </c>
      <c r="B54">
        <f t="shared" si="34"/>
        <v>1</v>
      </c>
      <c r="C54">
        <f t="shared" si="2"/>
        <v>53</v>
      </c>
      <c r="D54">
        <f>D20</f>
        <v>21</v>
      </c>
      <c r="E54" t="str">
        <f>VLOOKUP(D54,name!A:B,2,1)</f>
        <v>Цубаса</v>
      </c>
      <c r="F54" t="str">
        <f>F20</f>
        <v>Это её отец?</v>
      </c>
      <c r="G54" t="str">
        <f t="shared" si="3"/>
        <v>a</v>
      </c>
      <c r="H54" t="str">
        <f>VLOOKUP(D54,name!A:C,3,1)</f>
        <v>assets/icons/image017.png</v>
      </c>
      <c r="I54" t="str">
        <f>IF(A54="","",VLOOKUP(A54,lng!A:B,2,0))</f>
        <v>ru-RU</v>
      </c>
    </row>
    <row r="55" spans="1:9" x14ac:dyDescent="0.15">
      <c r="A55" t="str">
        <f t="shared" ref="A55:B55" si="35">A54</f>
        <v>ロシア語</v>
      </c>
      <c r="B55">
        <f t="shared" si="35"/>
        <v>1</v>
      </c>
      <c r="C55">
        <f t="shared" si="2"/>
        <v>54</v>
      </c>
      <c r="D55">
        <v>0</v>
      </c>
      <c r="E55" t="str">
        <f>VLOOKUP(D55,name!A:B,2,1)</f>
        <v>Player</v>
      </c>
      <c r="F55" t="str">
        <f>F20</f>
        <v>Это её отец?</v>
      </c>
      <c r="G55" t="str">
        <f t="shared" si="3"/>
        <v>q</v>
      </c>
      <c r="H55" t="str">
        <f>VLOOKUP(D55,name!A:C,3,1)</f>
        <v>assets/icons/image326.png</v>
      </c>
      <c r="I55" t="str">
        <f>IF(A55="","",VLOOKUP(A55,lng!A:B,2,0))</f>
        <v>ru-RU</v>
      </c>
    </row>
    <row r="56" spans="1:9" x14ac:dyDescent="0.15">
      <c r="A56" t="str">
        <f t="shared" ref="A56:B56" si="36">A55</f>
        <v>ロシア語</v>
      </c>
      <c r="B56">
        <f t="shared" si="36"/>
        <v>1</v>
      </c>
      <c r="C56">
        <f t="shared" si="2"/>
        <v>55</v>
      </c>
      <c r="D56">
        <f>D21</f>
        <v>20</v>
      </c>
      <c r="E56" t="str">
        <f>VLOOKUP(D56,name!A:B,2,1)</f>
        <v>Анна</v>
      </c>
      <c r="F56" t="str">
        <f>F21</f>
        <v>はい、彼女の父親です。</v>
      </c>
      <c r="G56" t="str">
        <f t="shared" si="3"/>
        <v>a</v>
      </c>
      <c r="H56" t="str">
        <f>VLOOKUP(D56,name!A:C,3,1)</f>
        <v>assets/icons/image015.png</v>
      </c>
      <c r="I56" t="s">
        <v>406</v>
      </c>
    </row>
    <row r="57" spans="1:9" x14ac:dyDescent="0.15">
      <c r="A57" t="str">
        <f t="shared" ref="A57:B57" si="37">A56</f>
        <v>ロシア語</v>
      </c>
      <c r="B57">
        <f t="shared" si="37"/>
        <v>1</v>
      </c>
      <c r="C57">
        <f t="shared" si="2"/>
        <v>56</v>
      </c>
      <c r="D57">
        <f>D22</f>
        <v>20</v>
      </c>
      <c r="E57" t="str">
        <f>VLOOKUP(D57,name!A:B,2,1)</f>
        <v>Анна</v>
      </c>
      <c r="F57" t="str">
        <f>F22</f>
        <v xml:space="preserve">Да, её отец. </v>
      </c>
      <c r="G57" t="str">
        <f t="shared" si="3"/>
        <v>a</v>
      </c>
      <c r="H57" t="str">
        <f>VLOOKUP(D57,name!A:C,3,1)</f>
        <v>assets/icons/image015.png</v>
      </c>
      <c r="I57" t="str">
        <f>IF(A57="","",VLOOKUP(A57,lng!A:B,2,0))</f>
        <v>ru-RU</v>
      </c>
    </row>
    <row r="58" spans="1:9" x14ac:dyDescent="0.15">
      <c r="A58" t="str">
        <f t="shared" ref="A58:B58" si="38">A57</f>
        <v>ロシア語</v>
      </c>
      <c r="B58">
        <f t="shared" si="38"/>
        <v>1</v>
      </c>
      <c r="C58">
        <f t="shared" si="2"/>
        <v>57</v>
      </c>
      <c r="D58">
        <v>0</v>
      </c>
      <c r="E58" t="str">
        <f>VLOOKUP(D58,name!A:B,2,1)</f>
        <v>Player</v>
      </c>
      <c r="F58" t="str">
        <f>F22</f>
        <v xml:space="preserve">Да, её отец. </v>
      </c>
      <c r="G58" t="str">
        <f t="shared" si="3"/>
        <v>q</v>
      </c>
      <c r="H58" t="str">
        <f>VLOOKUP(D58,name!A:C,3,1)</f>
        <v>assets/icons/image326.png</v>
      </c>
      <c r="I58" t="str">
        <f>IF(A58="","",VLOOKUP(A58,lng!A:B,2,0))</f>
        <v>ru-RU</v>
      </c>
    </row>
    <row r="59" spans="1:9" x14ac:dyDescent="0.15">
      <c r="A59" t="str">
        <f t="shared" ref="A59:B59" si="39">A58</f>
        <v>ロシア語</v>
      </c>
      <c r="B59">
        <f t="shared" si="39"/>
        <v>1</v>
      </c>
      <c r="C59">
        <f t="shared" si="2"/>
        <v>58</v>
      </c>
      <c r="D59">
        <f>D23</f>
        <v>20</v>
      </c>
      <c r="E59" t="str">
        <f>VLOOKUP(D59,name!A:B,2,1)</f>
        <v>Анна</v>
      </c>
      <c r="F59" t="str">
        <f>F23</f>
        <v>彼は日本人です。</v>
      </c>
      <c r="G59" t="str">
        <f t="shared" si="3"/>
        <v>a</v>
      </c>
      <c r="H59" t="str">
        <f>VLOOKUP(D59,name!A:C,3,1)</f>
        <v>assets/icons/image015.png</v>
      </c>
      <c r="I59" t="s">
        <v>406</v>
      </c>
    </row>
    <row r="60" spans="1:9" x14ac:dyDescent="0.15">
      <c r="A60" t="str">
        <f t="shared" ref="A60:B60" si="40">A59</f>
        <v>ロシア語</v>
      </c>
      <c r="B60">
        <f t="shared" si="40"/>
        <v>1</v>
      </c>
      <c r="C60">
        <f t="shared" si="2"/>
        <v>59</v>
      </c>
      <c r="D60">
        <f>D24</f>
        <v>20</v>
      </c>
      <c r="E60" t="str">
        <f>VLOOKUP(D60,name!A:B,2,1)</f>
        <v>Анна</v>
      </c>
      <c r="F60" t="str">
        <f>F24</f>
        <v>Он японец.</v>
      </c>
      <c r="G60" t="str">
        <f t="shared" si="3"/>
        <v>a</v>
      </c>
      <c r="H60" t="str">
        <f>VLOOKUP(D60,name!A:C,3,1)</f>
        <v>assets/icons/image015.png</v>
      </c>
      <c r="I60" t="str">
        <f>IF(A60="","",VLOOKUP(A60,lng!A:B,2,0))</f>
        <v>ru-RU</v>
      </c>
    </row>
    <row r="61" spans="1:9" x14ac:dyDescent="0.15">
      <c r="A61" t="str">
        <f t="shared" ref="A61:B61" si="41">A60</f>
        <v>ロシア語</v>
      </c>
      <c r="B61">
        <f t="shared" si="41"/>
        <v>1</v>
      </c>
      <c r="C61">
        <f t="shared" si="2"/>
        <v>60</v>
      </c>
      <c r="D61">
        <v>0</v>
      </c>
      <c r="E61" t="str">
        <f>VLOOKUP(D61,name!A:B,2,1)</f>
        <v>Player</v>
      </c>
      <c r="F61" t="str">
        <f>F24</f>
        <v>Он японец.</v>
      </c>
      <c r="G61" t="str">
        <f t="shared" si="3"/>
        <v>q</v>
      </c>
      <c r="H61" t="str">
        <f>VLOOKUP(D61,name!A:C,3,1)</f>
        <v>assets/icons/image326.png</v>
      </c>
      <c r="I61" t="str">
        <f>IF(A61="","",VLOOKUP(A61,lng!A:B,2,0))</f>
        <v>ru-RU</v>
      </c>
    </row>
    <row r="62" spans="1:9" x14ac:dyDescent="0.15">
      <c r="A62" t="str">
        <f t="shared" ref="A62:B62" si="42">A61</f>
        <v>ロシア語</v>
      </c>
      <c r="B62">
        <f t="shared" si="42"/>
        <v>1</v>
      </c>
      <c r="C62">
        <f t="shared" si="2"/>
        <v>61</v>
      </c>
      <c r="D62">
        <f>D25</f>
        <v>21</v>
      </c>
      <c r="E62" t="str">
        <f>VLOOKUP(D62,name!A:B,2,1)</f>
        <v>Цубаса</v>
      </c>
      <c r="F62" t="str">
        <f>F25</f>
        <v>つまり、父親は日本人で、母親はロシア人ですね。</v>
      </c>
      <c r="G62" t="str">
        <f t="shared" si="3"/>
        <v>a</v>
      </c>
      <c r="H62" t="str">
        <f>VLOOKUP(D62,name!A:C,3,1)</f>
        <v>assets/icons/image017.png</v>
      </c>
      <c r="I62" t="s">
        <v>406</v>
      </c>
    </row>
    <row r="63" spans="1:9" x14ac:dyDescent="0.15">
      <c r="A63" t="str">
        <f t="shared" ref="A63:B63" si="43">A62</f>
        <v>ロシア語</v>
      </c>
      <c r="B63">
        <f t="shared" si="43"/>
        <v>1</v>
      </c>
      <c r="C63">
        <f t="shared" si="2"/>
        <v>62</v>
      </c>
      <c r="D63">
        <f>D26</f>
        <v>21</v>
      </c>
      <c r="E63" t="str">
        <f>VLOOKUP(D63,name!A:B,2,1)</f>
        <v>Цубаса</v>
      </c>
      <c r="F63" t="str">
        <f>F26</f>
        <v>Значит, отец-японец, а мать - русская.</v>
      </c>
      <c r="G63" t="str">
        <f t="shared" si="3"/>
        <v>a</v>
      </c>
      <c r="H63" t="str">
        <f>VLOOKUP(D63,name!A:C,3,1)</f>
        <v>assets/icons/image017.png</v>
      </c>
      <c r="I63" t="str">
        <f>IF(A63="","",VLOOKUP(A63,lng!A:B,2,0))</f>
        <v>ru-RU</v>
      </c>
    </row>
    <row r="64" spans="1:9" x14ac:dyDescent="0.15">
      <c r="A64" t="str">
        <f t="shared" ref="A64:B64" si="44">A63</f>
        <v>ロシア語</v>
      </c>
      <c r="B64">
        <f t="shared" si="44"/>
        <v>1</v>
      </c>
      <c r="C64">
        <f t="shared" si="2"/>
        <v>63</v>
      </c>
      <c r="D64">
        <v>0</v>
      </c>
      <c r="E64" t="str">
        <f>VLOOKUP(D64,name!A:B,2,1)</f>
        <v>Player</v>
      </c>
      <c r="F64" t="str">
        <f>F26</f>
        <v>Значит, отец-японец, а мать - русская.</v>
      </c>
      <c r="G64" t="str">
        <f t="shared" si="3"/>
        <v>q</v>
      </c>
      <c r="H64" t="str">
        <f>VLOOKUP(D64,name!A:C,3,1)</f>
        <v>assets/icons/image326.png</v>
      </c>
      <c r="I64" t="str">
        <f>IF(A64="","",VLOOKUP(A64,lng!A:B,2,0))</f>
        <v>ru-RU</v>
      </c>
    </row>
    <row r="65" spans="1:9" x14ac:dyDescent="0.15">
      <c r="A65" t="str">
        <f t="shared" ref="A65:B65" si="45">A64</f>
        <v>ロシア語</v>
      </c>
      <c r="B65">
        <f t="shared" si="45"/>
        <v>1</v>
      </c>
      <c r="C65">
        <f t="shared" si="2"/>
        <v>64</v>
      </c>
      <c r="D65">
        <f>D27</f>
        <v>20</v>
      </c>
      <c r="E65" t="str">
        <f>VLOOKUP(D65,name!A:B,2,1)</f>
        <v>Анна</v>
      </c>
      <c r="F65" t="str">
        <f>F27</f>
        <v>はい。</v>
      </c>
      <c r="G65" t="str">
        <f t="shared" si="3"/>
        <v>a</v>
      </c>
      <c r="H65" t="str">
        <f>VLOOKUP(D65,name!A:C,3,1)</f>
        <v>assets/icons/image015.png</v>
      </c>
      <c r="I65" t="s">
        <v>406</v>
      </c>
    </row>
    <row r="66" spans="1:9" x14ac:dyDescent="0.15">
      <c r="A66" t="str">
        <f t="shared" ref="A66:B66" si="46">A65</f>
        <v>ロシア語</v>
      </c>
      <c r="B66">
        <f t="shared" si="46"/>
        <v>1</v>
      </c>
      <c r="C66">
        <f t="shared" si="2"/>
        <v>65</v>
      </c>
      <c r="D66">
        <f>D28</f>
        <v>20</v>
      </c>
      <c r="E66" t="str">
        <f>VLOOKUP(D66,name!A:B,2,1)</f>
        <v>Анна</v>
      </c>
      <c r="F66" t="str">
        <f>F28</f>
        <v xml:space="preserve">да. </v>
      </c>
      <c r="G66" t="str">
        <f t="shared" si="3"/>
        <v>a</v>
      </c>
      <c r="H66" t="str">
        <f>VLOOKUP(D66,name!A:C,3,1)</f>
        <v>assets/icons/image015.png</v>
      </c>
      <c r="I66" t="str">
        <f>IF(A66="","",VLOOKUP(A66,lng!A:B,2,0))</f>
        <v>ru-RU</v>
      </c>
    </row>
    <row r="67" spans="1:9" x14ac:dyDescent="0.15">
      <c r="A67" t="str">
        <f t="shared" ref="A67:B67" si="47">A66</f>
        <v>ロシア語</v>
      </c>
      <c r="B67">
        <f t="shared" si="47"/>
        <v>1</v>
      </c>
      <c r="C67">
        <f t="shared" si="2"/>
        <v>66</v>
      </c>
      <c r="D67">
        <v>0</v>
      </c>
      <c r="E67" t="str">
        <f>VLOOKUP(D67,name!A:B,2,1)</f>
        <v>Player</v>
      </c>
      <c r="F67" t="str">
        <f>F28</f>
        <v xml:space="preserve">да. </v>
      </c>
      <c r="G67" t="str">
        <f t="shared" si="3"/>
        <v>q</v>
      </c>
      <c r="H67" t="str">
        <f>VLOOKUP(D67,name!A:C,3,1)</f>
        <v>assets/icons/image326.png</v>
      </c>
      <c r="I67" t="str">
        <f>IF(A67="","",VLOOKUP(A67,lng!A:B,2,0))</f>
        <v>ru-RU</v>
      </c>
    </row>
    <row r="68" spans="1:9" x14ac:dyDescent="0.15">
      <c r="A68" t="str">
        <f t="shared" ref="A68:B68" si="48">A67</f>
        <v>ロシア語</v>
      </c>
      <c r="B68">
        <f t="shared" si="48"/>
        <v>1</v>
      </c>
      <c r="C68">
        <f t="shared" ref="C68:C98" si="49">C67+1</f>
        <v>67</v>
      </c>
      <c r="D68">
        <f>D29</f>
        <v>20</v>
      </c>
      <c r="E68" t="str">
        <f>VLOOKUP(D68,name!A:B,2,1)</f>
        <v>Анна</v>
      </c>
      <c r="F68" t="str">
        <f>F29</f>
        <v>そして私は彼女の姉です。</v>
      </c>
      <c r="G68" t="str">
        <f t="shared" ref="G68:G96" si="50">IF(B68&lt;&gt;B69,"e",IF(D68=0,"q","a"))</f>
        <v>a</v>
      </c>
      <c r="H68" t="str">
        <f>VLOOKUP(D68,name!A:C,3,1)</f>
        <v>assets/icons/image015.png</v>
      </c>
      <c r="I68" t="s">
        <v>406</v>
      </c>
    </row>
    <row r="69" spans="1:9" x14ac:dyDescent="0.15">
      <c r="A69" t="str">
        <f t="shared" ref="A69:B69" si="51">A68</f>
        <v>ロシア語</v>
      </c>
      <c r="B69">
        <f t="shared" si="51"/>
        <v>1</v>
      </c>
      <c r="C69">
        <f t="shared" si="49"/>
        <v>68</v>
      </c>
      <c r="D69">
        <f>D30</f>
        <v>20</v>
      </c>
      <c r="E69" t="str">
        <f>VLOOKUP(D69,name!A:B,2,1)</f>
        <v>Анна</v>
      </c>
      <c r="F69" t="str">
        <f>F30</f>
        <v>А я её сестра.</v>
      </c>
      <c r="G69" t="str">
        <f t="shared" si="50"/>
        <v>a</v>
      </c>
      <c r="H69" t="str">
        <f>VLOOKUP(D69,name!A:C,3,1)</f>
        <v>assets/icons/image015.png</v>
      </c>
      <c r="I69" t="str">
        <f>IF(A69="","",VLOOKUP(A69,lng!A:B,2,0))</f>
        <v>ru-RU</v>
      </c>
    </row>
    <row r="70" spans="1:9" x14ac:dyDescent="0.15">
      <c r="A70" t="str">
        <f t="shared" ref="A70:B70" si="52">A69</f>
        <v>ロシア語</v>
      </c>
      <c r="B70">
        <f t="shared" si="52"/>
        <v>1</v>
      </c>
      <c r="C70">
        <f t="shared" si="49"/>
        <v>69</v>
      </c>
      <c r="D70">
        <v>0</v>
      </c>
      <c r="E70" t="str">
        <f>VLOOKUP(D70,name!A:B,2,1)</f>
        <v>Player</v>
      </c>
      <c r="F70" t="str">
        <f>F30</f>
        <v>А я её сестра.</v>
      </c>
      <c r="G70" t="str">
        <f t="shared" si="50"/>
        <v>q</v>
      </c>
      <c r="H70" t="str">
        <f>VLOOKUP(D70,name!A:C,3,1)</f>
        <v>assets/icons/image326.png</v>
      </c>
      <c r="I70" t="str">
        <f>IF(A70="","",VLOOKUP(A70,lng!A:B,2,0))</f>
        <v>ru-RU</v>
      </c>
    </row>
    <row r="71" spans="1:9" x14ac:dyDescent="0.15">
      <c r="A71" t="str">
        <f t="shared" ref="A71:B71" si="53">A70</f>
        <v>ロシア語</v>
      </c>
      <c r="B71">
        <f t="shared" si="53"/>
        <v>1</v>
      </c>
      <c r="C71">
        <f t="shared" si="49"/>
        <v>70</v>
      </c>
      <c r="D71">
        <v>1</v>
      </c>
      <c r="E71" t="str">
        <f>VLOOKUP(D71,name!A:B,2,1)</f>
        <v>Navigator</v>
      </c>
      <c r="F71" t="str">
        <f>"次の日本語を"&amp;A71&amp;"に訳して答えてね！"</f>
        <v>次の日本語をロシア語に訳して答えてね！</v>
      </c>
      <c r="G71" t="str">
        <f t="shared" si="50"/>
        <v>a</v>
      </c>
      <c r="H71" t="str">
        <f>VLOOKUP(D71,name!A:C,3,1)</f>
        <v>assets/icons/image014.png</v>
      </c>
      <c r="I71" t="s">
        <v>403</v>
      </c>
    </row>
    <row r="72" spans="1:9" x14ac:dyDescent="0.15">
      <c r="A72" t="str">
        <f t="shared" ref="A72:B72" si="54">A71</f>
        <v>ロシア語</v>
      </c>
      <c r="B72">
        <f t="shared" si="54"/>
        <v>1</v>
      </c>
      <c r="C72">
        <f t="shared" si="49"/>
        <v>71</v>
      </c>
      <c r="D72">
        <f>D5</f>
        <v>20</v>
      </c>
      <c r="E72" t="str">
        <f>VLOOKUP(D72,name!A:B,2,1)</f>
        <v>Анна</v>
      </c>
      <c r="F72" t="str">
        <f t="shared" ref="F72:F97" si="55">F5</f>
        <v>これはナターシャです。</v>
      </c>
      <c r="G72" t="str">
        <f t="shared" si="50"/>
        <v>a</v>
      </c>
      <c r="H72" t="str">
        <f>VLOOKUP(D72,name!A:C,3,1)</f>
        <v>assets/icons/image015.png</v>
      </c>
      <c r="I72" t="s">
        <v>403</v>
      </c>
    </row>
    <row r="73" spans="1:9" x14ac:dyDescent="0.15">
      <c r="A73" t="str">
        <f t="shared" ref="A73:B73" si="56">A72</f>
        <v>ロシア語</v>
      </c>
      <c r="B73">
        <f t="shared" si="56"/>
        <v>1</v>
      </c>
      <c r="C73">
        <f t="shared" si="49"/>
        <v>72</v>
      </c>
      <c r="D73">
        <v>0</v>
      </c>
      <c r="E73" t="str">
        <f>VLOOKUP(D73,name!A:B,2,1)</f>
        <v>Player</v>
      </c>
      <c r="F73" t="str">
        <f t="shared" si="55"/>
        <v>Это Наташа.</v>
      </c>
      <c r="G73" t="str">
        <f t="shared" si="50"/>
        <v>q</v>
      </c>
      <c r="H73" t="str">
        <f>VLOOKUP(D73,name!A:C,3,1)</f>
        <v>assets/icons/image326.png</v>
      </c>
      <c r="I73" t="str">
        <f>IF(A73="","",VLOOKUP(A73,lng!A:B,2,0))</f>
        <v>ru-RU</v>
      </c>
    </row>
    <row r="74" spans="1:9" x14ac:dyDescent="0.15">
      <c r="A74" t="str">
        <f t="shared" ref="A74:B74" si="57">A73</f>
        <v>ロシア語</v>
      </c>
      <c r="B74">
        <f t="shared" si="57"/>
        <v>1</v>
      </c>
      <c r="C74">
        <f t="shared" si="49"/>
        <v>73</v>
      </c>
      <c r="D74">
        <f>D7</f>
        <v>21</v>
      </c>
      <c r="E74" t="str">
        <f>VLOOKUP(D74,name!A:B,2,1)</f>
        <v>Цубаса</v>
      </c>
      <c r="F74" t="str">
        <f t="shared" si="55"/>
        <v>彼女はロシア人ですか?</v>
      </c>
      <c r="G74" t="str">
        <f t="shared" si="50"/>
        <v>a</v>
      </c>
      <c r="H74" t="str">
        <f>VLOOKUP(D74,name!A:C,3,1)</f>
        <v>assets/icons/image017.png</v>
      </c>
      <c r="I74" t="s">
        <v>403</v>
      </c>
    </row>
    <row r="75" spans="1:9" x14ac:dyDescent="0.15">
      <c r="A75" t="str">
        <f t="shared" ref="A75:B75" si="58">A74</f>
        <v>ロシア語</v>
      </c>
      <c r="B75">
        <f t="shared" si="58"/>
        <v>1</v>
      </c>
      <c r="C75">
        <f t="shared" si="49"/>
        <v>74</v>
      </c>
      <c r="D75">
        <v>0</v>
      </c>
      <c r="E75" t="str">
        <f>VLOOKUP(D75,name!A:B,2,1)</f>
        <v>Player</v>
      </c>
      <c r="F75" t="str">
        <f t="shared" si="55"/>
        <v>Она русская?</v>
      </c>
      <c r="G75" t="str">
        <f t="shared" si="50"/>
        <v>q</v>
      </c>
      <c r="H75" t="str">
        <f>VLOOKUP(D75,name!A:C,3,1)</f>
        <v>assets/icons/image326.png</v>
      </c>
      <c r="I75" t="str">
        <f>IF(A75="","",VLOOKUP(A75,lng!A:B,2,0))</f>
        <v>ru-RU</v>
      </c>
    </row>
    <row r="76" spans="1:9" x14ac:dyDescent="0.15">
      <c r="A76" t="str">
        <f t="shared" ref="A76:B76" si="59">A75</f>
        <v>ロシア語</v>
      </c>
      <c r="B76">
        <f t="shared" si="59"/>
        <v>1</v>
      </c>
      <c r="C76">
        <f t="shared" si="49"/>
        <v>75</v>
      </c>
      <c r="D76">
        <f>D9</f>
        <v>20</v>
      </c>
      <c r="E76" t="str">
        <f>VLOOKUP(D76,name!A:B,2,1)</f>
        <v>Анна</v>
      </c>
      <c r="F76" t="str">
        <f t="shared" si="55"/>
        <v>はい、彼女はロシア人です。</v>
      </c>
      <c r="G76" t="str">
        <f t="shared" si="50"/>
        <v>a</v>
      </c>
      <c r="H76" t="str">
        <f>VLOOKUP(D76,name!A:C,3,1)</f>
        <v>assets/icons/image015.png</v>
      </c>
      <c r="I76" t="s">
        <v>403</v>
      </c>
    </row>
    <row r="77" spans="1:9" x14ac:dyDescent="0.15">
      <c r="A77" t="str">
        <f t="shared" ref="A77:B77" si="60">A76</f>
        <v>ロシア語</v>
      </c>
      <c r="B77">
        <f t="shared" si="60"/>
        <v>1</v>
      </c>
      <c r="C77">
        <f t="shared" si="49"/>
        <v>76</v>
      </c>
      <c r="D77">
        <v>0</v>
      </c>
      <c r="E77" t="str">
        <f>VLOOKUP(D77,name!A:B,2,1)</f>
        <v>Player</v>
      </c>
      <c r="F77" t="str">
        <f t="shared" si="55"/>
        <v>Да, она русская.</v>
      </c>
      <c r="G77" t="str">
        <f t="shared" si="50"/>
        <v>q</v>
      </c>
      <c r="H77" t="str">
        <f>VLOOKUP(D77,name!A:C,3,1)</f>
        <v>assets/icons/image326.png</v>
      </c>
      <c r="I77" t="str">
        <f>IF(A77="","",VLOOKUP(A77,lng!A:B,2,0))</f>
        <v>ru-RU</v>
      </c>
    </row>
    <row r="78" spans="1:9" x14ac:dyDescent="0.15">
      <c r="A78" t="str">
        <f t="shared" ref="A78:B78" si="61">A77</f>
        <v>ロシア語</v>
      </c>
      <c r="B78">
        <f t="shared" si="61"/>
        <v>1</v>
      </c>
      <c r="C78">
        <f t="shared" si="49"/>
        <v>77</v>
      </c>
      <c r="D78">
        <f>D11</f>
        <v>21</v>
      </c>
      <c r="E78" t="str">
        <f>VLOOKUP(D78,name!A:B,2,1)</f>
        <v>Цубаса</v>
      </c>
      <c r="F78" t="str">
        <f t="shared" si="55"/>
        <v>これは誰ですか。</v>
      </c>
      <c r="G78" t="str">
        <f t="shared" si="50"/>
        <v>a</v>
      </c>
      <c r="H78" t="str">
        <f>VLOOKUP(D78,name!A:C,3,1)</f>
        <v>assets/icons/image017.png</v>
      </c>
      <c r="I78" t="s">
        <v>403</v>
      </c>
    </row>
    <row r="79" spans="1:9" x14ac:dyDescent="0.15">
      <c r="A79" t="str">
        <f t="shared" ref="A79:B79" si="62">A78</f>
        <v>ロシア語</v>
      </c>
      <c r="B79">
        <f t="shared" si="62"/>
        <v>1</v>
      </c>
      <c r="C79">
        <f t="shared" si="49"/>
        <v>78</v>
      </c>
      <c r="D79">
        <v>0</v>
      </c>
      <c r="E79" t="str">
        <f>VLOOKUP(D79,name!A:B,2,1)</f>
        <v>Player</v>
      </c>
      <c r="F79" t="str">
        <f t="shared" si="55"/>
        <v>Кто это?</v>
      </c>
      <c r="G79" t="str">
        <f t="shared" si="50"/>
        <v>q</v>
      </c>
      <c r="H79" t="str">
        <f>VLOOKUP(D79,name!A:C,3,1)</f>
        <v>assets/icons/image326.png</v>
      </c>
      <c r="I79" t="str">
        <f>IF(A79="","",VLOOKUP(A79,lng!A:B,2,0))</f>
        <v>ru-RU</v>
      </c>
    </row>
    <row r="80" spans="1:9" x14ac:dyDescent="0.15">
      <c r="A80" t="str">
        <f t="shared" ref="A80:B80" si="63">A79</f>
        <v>ロシア語</v>
      </c>
      <c r="B80">
        <f t="shared" si="63"/>
        <v>1</v>
      </c>
      <c r="C80">
        <f t="shared" si="49"/>
        <v>79</v>
      </c>
      <c r="D80">
        <f>D13</f>
        <v>20</v>
      </c>
      <c r="E80" t="str">
        <f>VLOOKUP(D80,name!A:B,2,1)</f>
        <v>Анна</v>
      </c>
      <c r="F80" t="str">
        <f t="shared" si="55"/>
        <v>それは彼女の母親です。</v>
      </c>
      <c r="G80" t="str">
        <f t="shared" si="50"/>
        <v>a</v>
      </c>
      <c r="H80" t="str">
        <f>VLOOKUP(D80,name!A:C,3,1)</f>
        <v>assets/icons/image015.png</v>
      </c>
      <c r="I80" t="s">
        <v>403</v>
      </c>
    </row>
    <row r="81" spans="1:9" x14ac:dyDescent="0.15">
      <c r="A81" t="str">
        <f t="shared" ref="A81:B81" si="64">A80</f>
        <v>ロシア語</v>
      </c>
      <c r="B81">
        <f t="shared" si="64"/>
        <v>1</v>
      </c>
      <c r="C81">
        <f t="shared" si="49"/>
        <v>80</v>
      </c>
      <c r="D81">
        <v>0</v>
      </c>
      <c r="E81" t="str">
        <f>VLOOKUP(D81,name!A:B,2,1)</f>
        <v>Player</v>
      </c>
      <c r="F81" t="str">
        <f t="shared" si="55"/>
        <v>Это её мать.</v>
      </c>
      <c r="G81" t="str">
        <f t="shared" si="50"/>
        <v>q</v>
      </c>
      <c r="H81" t="str">
        <f>VLOOKUP(D81,name!A:C,3,1)</f>
        <v>assets/icons/image326.png</v>
      </c>
      <c r="I81" t="str">
        <f>IF(A81="","",VLOOKUP(A81,lng!A:B,2,0))</f>
        <v>ru-RU</v>
      </c>
    </row>
    <row r="82" spans="1:9" x14ac:dyDescent="0.15">
      <c r="A82" t="str">
        <f t="shared" ref="A82:B82" si="65">A81</f>
        <v>ロシア語</v>
      </c>
      <c r="B82">
        <f t="shared" si="65"/>
        <v>1</v>
      </c>
      <c r="C82">
        <f t="shared" si="49"/>
        <v>81</v>
      </c>
      <c r="D82">
        <f>D15</f>
        <v>20</v>
      </c>
      <c r="E82" t="str">
        <f>VLOOKUP(D82,name!A:B,2,1)</f>
        <v>Анна</v>
      </c>
      <c r="F82" t="str">
        <f t="shared" si="55"/>
        <v>彼女もロシア人です。</v>
      </c>
      <c r="G82" t="str">
        <f t="shared" si="50"/>
        <v>a</v>
      </c>
      <c r="H82" t="str">
        <f>VLOOKUP(D82,name!A:C,3,1)</f>
        <v>assets/icons/image015.png</v>
      </c>
      <c r="I82" t="s">
        <v>403</v>
      </c>
    </row>
    <row r="83" spans="1:9" x14ac:dyDescent="0.15">
      <c r="A83" t="str">
        <f t="shared" ref="A83:B83" si="66">A82</f>
        <v>ロシア語</v>
      </c>
      <c r="B83">
        <f t="shared" si="66"/>
        <v>1</v>
      </c>
      <c r="C83">
        <f t="shared" si="49"/>
        <v>82</v>
      </c>
      <c r="D83">
        <v>0</v>
      </c>
      <c r="E83" t="str">
        <f>VLOOKUP(D83,name!A:B,2,1)</f>
        <v>Player</v>
      </c>
      <c r="F83" t="str">
        <f t="shared" si="55"/>
        <v>Она тоже русская.</v>
      </c>
      <c r="G83" t="str">
        <f t="shared" si="50"/>
        <v>q</v>
      </c>
      <c r="H83" t="str">
        <f>VLOOKUP(D83,name!A:C,3,1)</f>
        <v>assets/icons/image326.png</v>
      </c>
      <c r="I83" t="str">
        <f>IF(A83="","",VLOOKUP(A83,lng!A:B,2,0))</f>
        <v>ru-RU</v>
      </c>
    </row>
    <row r="84" spans="1:9" x14ac:dyDescent="0.15">
      <c r="A84" t="str">
        <f t="shared" ref="A84:B84" si="67">A83</f>
        <v>ロシア語</v>
      </c>
      <c r="B84">
        <f t="shared" si="67"/>
        <v>1</v>
      </c>
      <c r="C84">
        <f t="shared" si="49"/>
        <v>83</v>
      </c>
      <c r="D84">
        <f>D17</f>
        <v>21</v>
      </c>
      <c r="E84" t="str">
        <f>VLOOKUP(D84,name!A:B,2,1)</f>
        <v>Цубаса</v>
      </c>
      <c r="F84" t="str">
        <f t="shared" si="55"/>
        <v>で、これは？</v>
      </c>
      <c r="G84" t="str">
        <f t="shared" si="50"/>
        <v>a</v>
      </c>
      <c r="H84" t="str">
        <f>VLOOKUP(D84,name!A:C,3,1)</f>
        <v>assets/icons/image017.png</v>
      </c>
      <c r="I84" t="s">
        <v>403</v>
      </c>
    </row>
    <row r="85" spans="1:9" x14ac:dyDescent="0.15">
      <c r="A85" t="str">
        <f t="shared" ref="A85:B85" si="68">A84</f>
        <v>ロシア語</v>
      </c>
      <c r="B85">
        <f t="shared" si="68"/>
        <v>1</v>
      </c>
      <c r="C85">
        <f t="shared" si="49"/>
        <v>84</v>
      </c>
      <c r="D85">
        <v>0</v>
      </c>
      <c r="E85" t="str">
        <f>VLOOKUP(D85,name!A:B,2,1)</f>
        <v>Player</v>
      </c>
      <c r="F85" t="str">
        <f t="shared" si="55"/>
        <v>А это?</v>
      </c>
      <c r="G85" t="str">
        <f t="shared" si="50"/>
        <v>q</v>
      </c>
      <c r="H85" t="str">
        <f>VLOOKUP(D85,name!A:C,3,1)</f>
        <v>assets/icons/image326.png</v>
      </c>
      <c r="I85" t="str">
        <f>IF(A85="","",VLOOKUP(A85,lng!A:B,2,0))</f>
        <v>ru-RU</v>
      </c>
    </row>
    <row r="86" spans="1:9" x14ac:dyDescent="0.15">
      <c r="A86" t="str">
        <f t="shared" ref="A86:B86" si="69">A85</f>
        <v>ロシア語</v>
      </c>
      <c r="B86">
        <f t="shared" si="69"/>
        <v>1</v>
      </c>
      <c r="C86">
        <f t="shared" si="49"/>
        <v>85</v>
      </c>
      <c r="D86">
        <f>D19</f>
        <v>21</v>
      </c>
      <c r="E86" t="str">
        <f>VLOOKUP(D86,name!A:B,2,1)</f>
        <v>Цубаса</v>
      </c>
      <c r="F86" t="str">
        <f t="shared" si="55"/>
        <v>それは彼女の父親ですか?</v>
      </c>
      <c r="G86" t="str">
        <f t="shared" si="50"/>
        <v>a</v>
      </c>
      <c r="H86" t="str">
        <f>VLOOKUP(D86,name!A:C,3,1)</f>
        <v>assets/icons/image017.png</v>
      </c>
      <c r="I86" t="s">
        <v>403</v>
      </c>
    </row>
    <row r="87" spans="1:9" x14ac:dyDescent="0.15">
      <c r="A87" t="str">
        <f t="shared" ref="A87:B87" si="70">A86</f>
        <v>ロシア語</v>
      </c>
      <c r="B87">
        <f t="shared" si="70"/>
        <v>1</v>
      </c>
      <c r="C87">
        <f t="shared" si="49"/>
        <v>86</v>
      </c>
      <c r="D87">
        <v>0</v>
      </c>
      <c r="E87" t="str">
        <f>VLOOKUP(D87,name!A:B,2,1)</f>
        <v>Player</v>
      </c>
      <c r="F87" t="str">
        <f t="shared" si="55"/>
        <v>Это её отец?</v>
      </c>
      <c r="G87" t="str">
        <f t="shared" si="50"/>
        <v>q</v>
      </c>
      <c r="H87" t="str">
        <f>VLOOKUP(D87,name!A:C,3,1)</f>
        <v>assets/icons/image326.png</v>
      </c>
      <c r="I87" t="str">
        <f>IF(A87="","",VLOOKUP(A87,lng!A:B,2,0))</f>
        <v>ru-RU</v>
      </c>
    </row>
    <row r="88" spans="1:9" x14ac:dyDescent="0.15">
      <c r="A88" t="str">
        <f t="shared" ref="A88:B88" si="71">A87</f>
        <v>ロシア語</v>
      </c>
      <c r="B88">
        <f t="shared" si="71"/>
        <v>1</v>
      </c>
      <c r="C88">
        <f t="shared" si="49"/>
        <v>87</v>
      </c>
      <c r="D88">
        <f>D21</f>
        <v>20</v>
      </c>
      <c r="E88" t="str">
        <f>VLOOKUP(D88,name!A:B,2,1)</f>
        <v>Анна</v>
      </c>
      <c r="F88" t="str">
        <f t="shared" si="55"/>
        <v>はい、彼女の父親です。</v>
      </c>
      <c r="G88" t="str">
        <f t="shared" si="50"/>
        <v>a</v>
      </c>
      <c r="H88" t="str">
        <f>VLOOKUP(D88,name!A:C,3,1)</f>
        <v>assets/icons/image015.png</v>
      </c>
      <c r="I88" t="s">
        <v>403</v>
      </c>
    </row>
    <row r="89" spans="1:9" x14ac:dyDescent="0.15">
      <c r="A89" t="str">
        <f t="shared" ref="A89:B89" si="72">A88</f>
        <v>ロシア語</v>
      </c>
      <c r="B89">
        <f t="shared" si="72"/>
        <v>1</v>
      </c>
      <c r="C89">
        <f t="shared" si="49"/>
        <v>88</v>
      </c>
      <c r="D89">
        <v>0</v>
      </c>
      <c r="E89" t="str">
        <f>VLOOKUP(D89,name!A:B,2,1)</f>
        <v>Player</v>
      </c>
      <c r="F89" t="str">
        <f t="shared" si="55"/>
        <v xml:space="preserve">Да, её отец. </v>
      </c>
      <c r="G89" t="str">
        <f t="shared" si="50"/>
        <v>q</v>
      </c>
      <c r="H89" t="str">
        <f>VLOOKUP(D89,name!A:C,3,1)</f>
        <v>assets/icons/image326.png</v>
      </c>
      <c r="I89" t="str">
        <f>IF(A89="","",VLOOKUP(A89,lng!A:B,2,0))</f>
        <v>ru-RU</v>
      </c>
    </row>
    <row r="90" spans="1:9" x14ac:dyDescent="0.15">
      <c r="A90" t="str">
        <f t="shared" ref="A90:B90" si="73">A89</f>
        <v>ロシア語</v>
      </c>
      <c r="B90">
        <f t="shared" si="73"/>
        <v>1</v>
      </c>
      <c r="C90">
        <f t="shared" si="49"/>
        <v>89</v>
      </c>
      <c r="D90">
        <f>D23</f>
        <v>20</v>
      </c>
      <c r="E90" t="str">
        <f>VLOOKUP(D90,name!A:B,2,1)</f>
        <v>Анна</v>
      </c>
      <c r="F90" t="str">
        <f t="shared" si="55"/>
        <v>彼は日本人です。</v>
      </c>
      <c r="G90" t="str">
        <f t="shared" si="50"/>
        <v>a</v>
      </c>
      <c r="H90" t="str">
        <f>VLOOKUP(D90,name!A:C,3,1)</f>
        <v>assets/icons/image015.png</v>
      </c>
      <c r="I90" t="s">
        <v>403</v>
      </c>
    </row>
    <row r="91" spans="1:9" x14ac:dyDescent="0.15">
      <c r="A91" t="str">
        <f t="shared" ref="A91:B91" si="74">A90</f>
        <v>ロシア語</v>
      </c>
      <c r="B91">
        <f t="shared" si="74"/>
        <v>1</v>
      </c>
      <c r="C91">
        <f t="shared" si="49"/>
        <v>90</v>
      </c>
      <c r="D91">
        <v>0</v>
      </c>
      <c r="E91" t="str">
        <f>VLOOKUP(D91,name!A:B,2,1)</f>
        <v>Player</v>
      </c>
      <c r="F91" t="str">
        <f t="shared" si="55"/>
        <v>Он японец.</v>
      </c>
      <c r="G91" t="str">
        <f t="shared" si="50"/>
        <v>q</v>
      </c>
      <c r="H91" t="str">
        <f>VLOOKUP(D91,name!A:C,3,1)</f>
        <v>assets/icons/image326.png</v>
      </c>
      <c r="I91" t="str">
        <f>IF(A91="","",VLOOKUP(A91,lng!A:B,2,0))</f>
        <v>ru-RU</v>
      </c>
    </row>
    <row r="92" spans="1:9" x14ac:dyDescent="0.15">
      <c r="A92" t="str">
        <f t="shared" ref="A92:B92" si="75">A91</f>
        <v>ロシア語</v>
      </c>
      <c r="B92">
        <f t="shared" si="75"/>
        <v>1</v>
      </c>
      <c r="C92">
        <f t="shared" si="49"/>
        <v>91</v>
      </c>
      <c r="D92">
        <f>D25</f>
        <v>21</v>
      </c>
      <c r="E92" t="str">
        <f>VLOOKUP(D92,name!A:B,2,1)</f>
        <v>Цубаса</v>
      </c>
      <c r="F92" t="str">
        <f t="shared" si="55"/>
        <v>つまり、父親は日本人で、母親はロシア人ですね。</v>
      </c>
      <c r="G92" t="str">
        <f t="shared" si="50"/>
        <v>a</v>
      </c>
      <c r="H92" t="str">
        <f>VLOOKUP(D92,name!A:C,3,1)</f>
        <v>assets/icons/image017.png</v>
      </c>
      <c r="I92" t="s">
        <v>403</v>
      </c>
    </row>
    <row r="93" spans="1:9" x14ac:dyDescent="0.15">
      <c r="A93" t="str">
        <f t="shared" ref="A93:B93" si="76">A92</f>
        <v>ロシア語</v>
      </c>
      <c r="B93">
        <f t="shared" si="76"/>
        <v>1</v>
      </c>
      <c r="C93">
        <f t="shared" si="49"/>
        <v>92</v>
      </c>
      <c r="D93">
        <v>0</v>
      </c>
      <c r="E93" t="str">
        <f>VLOOKUP(D93,name!A:B,2,1)</f>
        <v>Player</v>
      </c>
      <c r="F93" t="str">
        <f t="shared" si="55"/>
        <v>Значит, отец-японец, а мать - русская.</v>
      </c>
      <c r="G93" t="str">
        <f t="shared" si="50"/>
        <v>q</v>
      </c>
      <c r="H93" t="str">
        <f>VLOOKUP(D93,name!A:C,3,1)</f>
        <v>assets/icons/image326.png</v>
      </c>
      <c r="I93" t="str">
        <f>IF(A93="","",VLOOKUP(A93,lng!A:B,2,0))</f>
        <v>ru-RU</v>
      </c>
    </row>
    <row r="94" spans="1:9" x14ac:dyDescent="0.15">
      <c r="A94" t="str">
        <f t="shared" ref="A94:B94" si="77">A93</f>
        <v>ロシア語</v>
      </c>
      <c r="B94">
        <f t="shared" si="77"/>
        <v>1</v>
      </c>
      <c r="C94">
        <f t="shared" si="49"/>
        <v>93</v>
      </c>
      <c r="D94">
        <f>D27</f>
        <v>20</v>
      </c>
      <c r="E94" t="str">
        <f>VLOOKUP(D94,name!A:B,2,1)</f>
        <v>Анна</v>
      </c>
      <c r="F94" t="str">
        <f t="shared" si="55"/>
        <v>はい。</v>
      </c>
      <c r="G94" t="str">
        <f t="shared" si="50"/>
        <v>a</v>
      </c>
      <c r="H94" t="str">
        <f>VLOOKUP(D94,name!A:C,3,1)</f>
        <v>assets/icons/image015.png</v>
      </c>
      <c r="I94" t="s">
        <v>403</v>
      </c>
    </row>
    <row r="95" spans="1:9" x14ac:dyDescent="0.15">
      <c r="A95" t="str">
        <f t="shared" ref="A95:B95" si="78">A94</f>
        <v>ロシア語</v>
      </c>
      <c r="B95">
        <f t="shared" si="78"/>
        <v>1</v>
      </c>
      <c r="C95">
        <f t="shared" si="49"/>
        <v>94</v>
      </c>
      <c r="D95">
        <v>0</v>
      </c>
      <c r="E95" t="str">
        <f>VLOOKUP(D95,name!A:B,2,1)</f>
        <v>Player</v>
      </c>
      <c r="F95" t="str">
        <f t="shared" si="55"/>
        <v xml:space="preserve">да. </v>
      </c>
      <c r="G95" t="str">
        <f t="shared" si="50"/>
        <v>q</v>
      </c>
      <c r="H95" t="str">
        <f>VLOOKUP(D95,name!A:C,3,1)</f>
        <v>assets/icons/image326.png</v>
      </c>
      <c r="I95" t="str">
        <f>IF(A95="","",VLOOKUP(A95,lng!A:B,2,0))</f>
        <v>ru-RU</v>
      </c>
    </row>
    <row r="96" spans="1:9" x14ac:dyDescent="0.15">
      <c r="A96" t="str">
        <f t="shared" ref="A96:B96" si="79">A95</f>
        <v>ロシア語</v>
      </c>
      <c r="B96">
        <f t="shared" si="79"/>
        <v>1</v>
      </c>
      <c r="C96">
        <f t="shared" si="49"/>
        <v>95</v>
      </c>
      <c r="D96">
        <f>D29</f>
        <v>20</v>
      </c>
      <c r="E96" t="str">
        <f>VLOOKUP(D96,name!A:B,2,1)</f>
        <v>Анна</v>
      </c>
      <c r="F96" t="str">
        <f t="shared" si="55"/>
        <v>そして私は彼女の姉です。</v>
      </c>
      <c r="G96" t="str">
        <f t="shared" si="50"/>
        <v>a</v>
      </c>
      <c r="H96" t="str">
        <f>VLOOKUP(D96,name!A:C,3,1)</f>
        <v>assets/icons/image015.png</v>
      </c>
      <c r="I96" t="s">
        <v>403</v>
      </c>
    </row>
    <row r="97" spans="1:12" x14ac:dyDescent="0.15">
      <c r="A97" t="str">
        <f t="shared" ref="A97:B97" si="80">A96</f>
        <v>ロシア語</v>
      </c>
      <c r="B97">
        <f t="shared" si="80"/>
        <v>1</v>
      </c>
      <c r="C97">
        <f t="shared" si="49"/>
        <v>96</v>
      </c>
      <c r="D97">
        <v>0</v>
      </c>
      <c r="E97" t="str">
        <f>VLOOKUP(D97,name!A:B,2,1)</f>
        <v>Player</v>
      </c>
      <c r="F97" t="str">
        <f t="shared" si="55"/>
        <v>А я её сестра.</v>
      </c>
      <c r="G97" t="str">
        <f t="shared" ref="G97:G160" si="81">IF(B97&lt;&gt;B98,"e",IF(D97=0,"q","a"))</f>
        <v>q</v>
      </c>
      <c r="H97" t="str">
        <f>VLOOKUP(D97,name!A:C,3,1)</f>
        <v>assets/icons/image326.png</v>
      </c>
      <c r="I97" t="str">
        <f>IF(A97="","",VLOOKUP(A97,lng!A:B,2,0))</f>
        <v>ru-RU</v>
      </c>
    </row>
    <row r="98" spans="1:12" x14ac:dyDescent="0.15">
      <c r="A98" t="str">
        <f t="shared" ref="A98:B98" si="82">A97</f>
        <v>ロシア語</v>
      </c>
      <c r="B98">
        <f t="shared" si="82"/>
        <v>1</v>
      </c>
      <c r="C98">
        <f t="shared" si="49"/>
        <v>97</v>
      </c>
      <c r="D98">
        <v>1</v>
      </c>
      <c r="E98" t="str">
        <f>VLOOKUP(D98,name!A:B,2,1)</f>
        <v>Navigator</v>
      </c>
      <c r="F98" t="str">
        <f>"とても良くできました。レッスン"&amp;B98&amp;"はこれで終了です。"</f>
        <v>とても良くできました。レッスン1はこれで終了です。</v>
      </c>
      <c r="G98" t="str">
        <f t="shared" si="81"/>
        <v>e</v>
      </c>
      <c r="H98" t="str">
        <f>VLOOKUP(D98,name!A:C,3,1)</f>
        <v>assets/icons/image014.png</v>
      </c>
      <c r="I98" t="s">
        <v>403</v>
      </c>
    </row>
    <row r="99" spans="1:12" x14ac:dyDescent="0.15">
      <c r="A99" t="str">
        <f>A98</f>
        <v>ロシア語</v>
      </c>
      <c r="B99">
        <f>B98+1</f>
        <v>2</v>
      </c>
      <c r="C99">
        <v>1</v>
      </c>
      <c r="D99">
        <v>1</v>
      </c>
      <c r="E99" t="str">
        <f>VLOOKUP(D99,name!A:B,2,1)</f>
        <v>Navigator</v>
      </c>
      <c r="F99" t="s">
        <v>452</v>
      </c>
      <c r="G99" t="str">
        <f t="shared" si="81"/>
        <v>a</v>
      </c>
      <c r="H99" t="str">
        <f>VLOOKUP(D99,name!A:C,3,1)</f>
        <v>assets/icons/image014.png</v>
      </c>
      <c r="I99" t="str">
        <f>IF(A99="","",VLOOKUP(A99,lng!A:B,2,0))</f>
        <v>ru-RU</v>
      </c>
    </row>
    <row r="100" spans="1:12" x14ac:dyDescent="0.15">
      <c r="A100" t="str">
        <f t="shared" ref="A100:B115" si="83">A99</f>
        <v>ロシア語</v>
      </c>
      <c r="B100">
        <f>B99</f>
        <v>2</v>
      </c>
      <c r="C100">
        <f>C99+1</f>
        <v>2</v>
      </c>
      <c r="D100">
        <v>1</v>
      </c>
      <c r="E100" t="str">
        <f>VLOOKUP(D100,name!A:B,2,1)</f>
        <v>Navigator</v>
      </c>
      <c r="F100" t="str">
        <f>"レッスン"&amp;B100</f>
        <v>レッスン2</v>
      </c>
      <c r="G100" t="str">
        <f t="shared" si="81"/>
        <v>a</v>
      </c>
      <c r="H100" t="str">
        <f>VLOOKUP(D100,name!A:C,3,1)</f>
        <v>assets/icons/image014.png</v>
      </c>
      <c r="I100" t="s">
        <v>403</v>
      </c>
    </row>
    <row r="101" spans="1:12" ht="40.5" x14ac:dyDescent="0.15">
      <c r="A101" t="str">
        <f t="shared" si="83"/>
        <v>ロシア語</v>
      </c>
      <c r="B101">
        <f t="shared" si="83"/>
        <v>2</v>
      </c>
      <c r="C101">
        <f t="shared" ref="C101:C164" si="84">C100+1</f>
        <v>3</v>
      </c>
      <c r="D101">
        <v>1</v>
      </c>
      <c r="E101" t="str">
        <f>VLOOKUP(D101,name!A:B,2,1)</f>
        <v>Navigator</v>
      </c>
      <c r="F101" s="1" t="str">
        <f>"まずは対話文を流します。その後に、日本語と"&amp;A101&amp;"を一文ずつ流すので"&amp;A101&amp;"を真似して下さい。最後に日本語のみを流すので、"&amp;A101&amp;"で答えてください。"</f>
        <v>まずは対話文を流します。その後に、日本語とロシア語を一文ずつ流すのでロシア語を真似して下さい。最後に日本語のみを流すので、ロシア語で答えてください。</v>
      </c>
      <c r="G101" t="str">
        <f t="shared" si="81"/>
        <v>a</v>
      </c>
      <c r="H101" t="str">
        <f>VLOOKUP(D101,name!A:C,3,1)</f>
        <v>assets/icons/image014.png</v>
      </c>
      <c r="I101" t="s">
        <v>404</v>
      </c>
      <c r="L101" s="1"/>
    </row>
    <row r="102" spans="1:12" x14ac:dyDescent="0.15">
      <c r="A102" t="str">
        <f t="shared" si="83"/>
        <v>ロシア語</v>
      </c>
      <c r="B102">
        <f t="shared" si="83"/>
        <v>2</v>
      </c>
      <c r="C102">
        <f t="shared" si="84"/>
        <v>4</v>
      </c>
      <c r="D102">
        <f>D103</f>
        <v>22</v>
      </c>
      <c r="E102" t="str">
        <f>VLOOKUP(D102,name!A:B,2,1)</f>
        <v>Люда</v>
      </c>
      <c r="F102" t="s">
        <v>469</v>
      </c>
      <c r="G102" t="str">
        <f t="shared" si="81"/>
        <v>a</v>
      </c>
      <c r="H102" t="str">
        <f>VLOOKUP(D102,name!A:C,3,1)</f>
        <v>assets/icons/image024.png</v>
      </c>
      <c r="I102" t="s">
        <v>405</v>
      </c>
    </row>
    <row r="103" spans="1:12" x14ac:dyDescent="0.15">
      <c r="A103" t="str">
        <f t="shared" si="83"/>
        <v>ロシア語</v>
      </c>
      <c r="B103">
        <f t="shared" si="83"/>
        <v>2</v>
      </c>
      <c r="C103">
        <f t="shared" si="84"/>
        <v>5</v>
      </c>
      <c r="D103">
        <v>22</v>
      </c>
      <c r="E103" t="str">
        <f>VLOOKUP(D103,name!A:B,2,1)</f>
        <v>Люда</v>
      </c>
      <c r="F103" t="s">
        <v>453</v>
      </c>
      <c r="G103" t="str">
        <f t="shared" si="81"/>
        <v>a</v>
      </c>
      <c r="H103" t="str">
        <f>VLOOKUP(D103,name!A:C,3,1)</f>
        <v>assets/icons/image024.png</v>
      </c>
      <c r="I103" t="str">
        <f>IF(A103="","",VLOOKUP(A103,lng!A:B,2,0))</f>
        <v>ru-RU</v>
      </c>
    </row>
    <row r="104" spans="1:12" x14ac:dyDescent="0.15">
      <c r="A104" t="str">
        <f t="shared" si="83"/>
        <v>ロシア語</v>
      </c>
      <c r="B104">
        <f t="shared" si="83"/>
        <v>2</v>
      </c>
      <c r="C104">
        <f t="shared" si="84"/>
        <v>6</v>
      </c>
      <c r="D104">
        <f t="shared" ref="D104:D128" si="85">D105</f>
        <v>21</v>
      </c>
      <c r="E104" t="str">
        <f>VLOOKUP(D104,name!A:B,2,1)</f>
        <v>Цубаса</v>
      </c>
      <c r="F104" t="s">
        <v>470</v>
      </c>
      <c r="G104" t="str">
        <f t="shared" si="81"/>
        <v>a</v>
      </c>
      <c r="H104" t="str">
        <f>VLOOKUP(D104,name!A:C,3,1)</f>
        <v>assets/icons/image017.png</v>
      </c>
      <c r="I104" t="s">
        <v>405</v>
      </c>
    </row>
    <row r="105" spans="1:12" x14ac:dyDescent="0.15">
      <c r="A105" t="str">
        <f t="shared" si="83"/>
        <v>ロシア語</v>
      </c>
      <c r="B105">
        <f t="shared" si="83"/>
        <v>2</v>
      </c>
      <c r="C105">
        <f t="shared" si="84"/>
        <v>7</v>
      </c>
      <c r="D105">
        <f t="shared" si="85"/>
        <v>21</v>
      </c>
      <c r="E105" t="str">
        <f>VLOOKUP(D105,name!A:B,2,1)</f>
        <v>Цубаса</v>
      </c>
      <c r="F105" t="s">
        <v>457</v>
      </c>
      <c r="G105" t="str">
        <f t="shared" si="81"/>
        <v>a</v>
      </c>
      <c r="H105" t="str">
        <f>VLOOKUP(D105,name!A:C,3,1)</f>
        <v>assets/icons/image017.png</v>
      </c>
      <c r="I105" t="str">
        <f>IF(A105="","",VLOOKUP(A105,lng!A:B,2,0))</f>
        <v>ru-RU</v>
      </c>
    </row>
    <row r="106" spans="1:12" x14ac:dyDescent="0.15">
      <c r="A106" t="str">
        <f t="shared" si="83"/>
        <v>ロシア語</v>
      </c>
      <c r="B106">
        <f t="shared" si="83"/>
        <v>2</v>
      </c>
      <c r="C106">
        <f t="shared" si="84"/>
        <v>8</v>
      </c>
      <c r="D106">
        <f t="shared" si="85"/>
        <v>21</v>
      </c>
      <c r="E106" t="str">
        <f>VLOOKUP(D106,name!A:B,2,1)</f>
        <v>Цубаса</v>
      </c>
      <c r="F106" t="s">
        <v>471</v>
      </c>
      <c r="G106" t="str">
        <f t="shared" si="81"/>
        <v>a</v>
      </c>
      <c r="H106" t="str">
        <f>VLOOKUP(D106,name!A:C,3,1)</f>
        <v>assets/icons/image017.png</v>
      </c>
      <c r="I106" t="s">
        <v>405</v>
      </c>
    </row>
    <row r="107" spans="1:12" x14ac:dyDescent="0.15">
      <c r="A107" t="str">
        <f t="shared" si="83"/>
        <v>ロシア語</v>
      </c>
      <c r="B107">
        <f t="shared" si="83"/>
        <v>2</v>
      </c>
      <c r="C107">
        <f t="shared" si="84"/>
        <v>9</v>
      </c>
      <c r="D107">
        <v>21</v>
      </c>
      <c r="E107" t="str">
        <f>VLOOKUP(D107,name!A:B,2,1)</f>
        <v>Цубаса</v>
      </c>
      <c r="F107" t="s">
        <v>458</v>
      </c>
      <c r="G107" t="str">
        <f t="shared" si="81"/>
        <v>a</v>
      </c>
      <c r="H107" t="str">
        <f>VLOOKUP(D107,name!A:C,3,1)</f>
        <v>assets/icons/image017.png</v>
      </c>
      <c r="I107" t="str">
        <f>IF(A107="","",VLOOKUP(A107,lng!A:B,2,0))</f>
        <v>ru-RU</v>
      </c>
    </row>
    <row r="108" spans="1:12" x14ac:dyDescent="0.15">
      <c r="A108" t="str">
        <f t="shared" si="83"/>
        <v>ロシア語</v>
      </c>
      <c r="B108">
        <f t="shared" si="83"/>
        <v>2</v>
      </c>
      <c r="C108">
        <f t="shared" si="84"/>
        <v>10</v>
      </c>
      <c r="D108">
        <f t="shared" si="85"/>
        <v>22</v>
      </c>
      <c r="E108" t="str">
        <f>VLOOKUP(D108,name!A:B,2,1)</f>
        <v>Люда</v>
      </c>
      <c r="F108" t="s">
        <v>472</v>
      </c>
      <c r="G108" t="str">
        <f t="shared" si="81"/>
        <v>a</v>
      </c>
      <c r="H108" t="str">
        <f>VLOOKUP(D108,name!A:C,3,1)</f>
        <v>assets/icons/image024.png</v>
      </c>
      <c r="I108" t="s">
        <v>405</v>
      </c>
    </row>
    <row r="109" spans="1:12" x14ac:dyDescent="0.15">
      <c r="A109" t="str">
        <f t="shared" si="83"/>
        <v>ロシア語</v>
      </c>
      <c r="B109">
        <f t="shared" si="83"/>
        <v>2</v>
      </c>
      <c r="C109">
        <f t="shared" si="84"/>
        <v>11</v>
      </c>
      <c r="D109">
        <v>22</v>
      </c>
      <c r="E109" t="str">
        <f>VLOOKUP(D109,name!A:B,2,1)</f>
        <v>Люда</v>
      </c>
      <c r="F109" t="s">
        <v>459</v>
      </c>
      <c r="G109" t="str">
        <f t="shared" si="81"/>
        <v>a</v>
      </c>
      <c r="H109" t="str">
        <f>VLOOKUP(D109,name!A:C,3,1)</f>
        <v>assets/icons/image024.png</v>
      </c>
      <c r="I109" t="str">
        <f>IF(A109="","",VLOOKUP(A109,lng!A:B,2,0))</f>
        <v>ru-RU</v>
      </c>
    </row>
    <row r="110" spans="1:12" x14ac:dyDescent="0.15">
      <c r="A110" t="str">
        <f t="shared" si="83"/>
        <v>ロシア語</v>
      </c>
      <c r="B110">
        <f t="shared" si="83"/>
        <v>2</v>
      </c>
      <c r="C110">
        <f t="shared" si="84"/>
        <v>12</v>
      </c>
      <c r="D110">
        <f t="shared" si="85"/>
        <v>21</v>
      </c>
      <c r="E110" t="str">
        <f>VLOOKUP(D110,name!A:B,2,1)</f>
        <v>Цубаса</v>
      </c>
      <c r="F110" t="s">
        <v>479</v>
      </c>
      <c r="G110" t="str">
        <f t="shared" si="81"/>
        <v>a</v>
      </c>
      <c r="H110" t="str">
        <f>VLOOKUP(D110,name!A:C,3,1)</f>
        <v>assets/icons/image017.png</v>
      </c>
      <c r="I110" t="s">
        <v>405</v>
      </c>
    </row>
    <row r="111" spans="1:12" x14ac:dyDescent="0.15">
      <c r="A111" t="str">
        <f t="shared" si="83"/>
        <v>ロシア語</v>
      </c>
      <c r="B111">
        <f t="shared" si="83"/>
        <v>2</v>
      </c>
      <c r="C111">
        <f t="shared" si="84"/>
        <v>13</v>
      </c>
      <c r="D111">
        <f t="shared" si="85"/>
        <v>21</v>
      </c>
      <c r="E111" t="str">
        <f>VLOOKUP(D111,name!A:B,2,1)</f>
        <v>Цубаса</v>
      </c>
      <c r="F111" t="s">
        <v>460</v>
      </c>
      <c r="G111" t="str">
        <f t="shared" si="81"/>
        <v>a</v>
      </c>
      <c r="H111" t="str">
        <f>VLOOKUP(D111,name!A:C,3,1)</f>
        <v>assets/icons/image017.png</v>
      </c>
      <c r="I111" t="str">
        <f>IF(A111="","",VLOOKUP(A111,lng!A:B,2,0))</f>
        <v>ru-RU</v>
      </c>
    </row>
    <row r="112" spans="1:12" x14ac:dyDescent="0.15">
      <c r="A112" t="str">
        <f t="shared" si="83"/>
        <v>ロシア語</v>
      </c>
      <c r="B112">
        <f t="shared" si="83"/>
        <v>2</v>
      </c>
      <c r="C112">
        <f t="shared" si="84"/>
        <v>14</v>
      </c>
      <c r="D112">
        <f t="shared" si="85"/>
        <v>21</v>
      </c>
      <c r="E112" t="str">
        <f>VLOOKUP(D112,name!A:B,2,1)</f>
        <v>Цубаса</v>
      </c>
      <c r="F112" t="s">
        <v>473</v>
      </c>
      <c r="G112" t="str">
        <f t="shared" si="81"/>
        <v>a</v>
      </c>
      <c r="H112" t="str">
        <f>VLOOKUP(D112,name!A:C,3,1)</f>
        <v>assets/icons/image017.png</v>
      </c>
      <c r="I112" t="s">
        <v>405</v>
      </c>
    </row>
    <row r="113" spans="1:9" x14ac:dyDescent="0.15">
      <c r="A113" t="str">
        <f t="shared" si="83"/>
        <v>ロシア語</v>
      </c>
      <c r="B113">
        <f t="shared" si="83"/>
        <v>2</v>
      </c>
      <c r="C113">
        <f t="shared" si="84"/>
        <v>15</v>
      </c>
      <c r="D113">
        <v>21</v>
      </c>
      <c r="E113" t="str">
        <f>VLOOKUP(D113,name!A:B,2,1)</f>
        <v>Цубаса</v>
      </c>
      <c r="F113" t="s">
        <v>461</v>
      </c>
      <c r="G113" t="str">
        <f t="shared" si="81"/>
        <v>a</v>
      </c>
      <c r="H113" t="str">
        <f>VLOOKUP(D113,name!A:C,3,1)</f>
        <v>assets/icons/image017.png</v>
      </c>
      <c r="I113" t="str">
        <f>IF(A113="","",VLOOKUP(A113,lng!A:B,2,0))</f>
        <v>ru-RU</v>
      </c>
    </row>
    <row r="114" spans="1:9" x14ac:dyDescent="0.15">
      <c r="A114" t="str">
        <f t="shared" si="83"/>
        <v>ロシア語</v>
      </c>
      <c r="B114">
        <f t="shared" si="83"/>
        <v>2</v>
      </c>
      <c r="C114">
        <f t="shared" si="84"/>
        <v>16</v>
      </c>
      <c r="D114">
        <f t="shared" si="85"/>
        <v>22</v>
      </c>
      <c r="E114" t="str">
        <f>VLOOKUP(D114,name!A:B,2,1)</f>
        <v>Люда</v>
      </c>
      <c r="F114" t="s">
        <v>474</v>
      </c>
      <c r="G114" t="str">
        <f t="shared" si="81"/>
        <v>a</v>
      </c>
      <c r="H114" t="str">
        <f>VLOOKUP(D114,name!A:C,3,1)</f>
        <v>assets/icons/image024.png</v>
      </c>
      <c r="I114" t="s">
        <v>405</v>
      </c>
    </row>
    <row r="115" spans="1:9" x14ac:dyDescent="0.15">
      <c r="A115" t="str">
        <f t="shared" si="83"/>
        <v>ロシア語</v>
      </c>
      <c r="B115">
        <f t="shared" si="83"/>
        <v>2</v>
      </c>
      <c r="C115">
        <f t="shared" si="84"/>
        <v>17</v>
      </c>
      <c r="D115">
        <f t="shared" si="85"/>
        <v>22</v>
      </c>
      <c r="E115" t="str">
        <f>VLOOKUP(D115,name!A:B,2,1)</f>
        <v>Люда</v>
      </c>
      <c r="F115" t="s">
        <v>462</v>
      </c>
      <c r="G115" t="str">
        <f t="shared" si="81"/>
        <v>a</v>
      </c>
      <c r="H115" t="str">
        <f>VLOOKUP(D115,name!A:C,3,1)</f>
        <v>assets/icons/image024.png</v>
      </c>
      <c r="I115" t="str">
        <f>IF(A115="","",VLOOKUP(A115,lng!A:B,2,0))</f>
        <v>ru-RU</v>
      </c>
    </row>
    <row r="116" spans="1:9" x14ac:dyDescent="0.15">
      <c r="A116" t="str">
        <f t="shared" ref="A116:B128" si="86">A115</f>
        <v>ロシア語</v>
      </c>
      <c r="B116">
        <f t="shared" si="86"/>
        <v>2</v>
      </c>
      <c r="C116">
        <f t="shared" si="84"/>
        <v>18</v>
      </c>
      <c r="D116">
        <f t="shared" si="85"/>
        <v>22</v>
      </c>
      <c r="E116" t="str">
        <f>VLOOKUP(D116,name!A:B,2,1)</f>
        <v>Люда</v>
      </c>
      <c r="F116" t="s">
        <v>475</v>
      </c>
      <c r="G116" t="str">
        <f t="shared" si="81"/>
        <v>a</v>
      </c>
      <c r="H116" t="str">
        <f>VLOOKUP(D116,name!A:C,3,1)</f>
        <v>assets/icons/image024.png</v>
      </c>
      <c r="I116" t="s">
        <v>405</v>
      </c>
    </row>
    <row r="117" spans="1:9" x14ac:dyDescent="0.15">
      <c r="A117" t="str">
        <f t="shared" si="86"/>
        <v>ロシア語</v>
      </c>
      <c r="B117">
        <f t="shared" si="86"/>
        <v>2</v>
      </c>
      <c r="C117">
        <f t="shared" si="84"/>
        <v>19</v>
      </c>
      <c r="D117">
        <v>22</v>
      </c>
      <c r="E117" t="str">
        <f>VLOOKUP(D117,name!A:B,2,1)</f>
        <v>Люда</v>
      </c>
      <c r="F117" t="s">
        <v>463</v>
      </c>
      <c r="G117" t="str">
        <f t="shared" si="81"/>
        <v>a</v>
      </c>
      <c r="H117" t="str">
        <f>VLOOKUP(D117,name!A:C,3,1)</f>
        <v>assets/icons/image024.png</v>
      </c>
      <c r="I117" t="str">
        <f>IF(A117="","",VLOOKUP(A117,lng!A:B,2,0))</f>
        <v>ru-RU</v>
      </c>
    </row>
    <row r="118" spans="1:9" x14ac:dyDescent="0.15">
      <c r="A118" t="str">
        <f t="shared" si="86"/>
        <v>ロシア語</v>
      </c>
      <c r="B118">
        <f t="shared" si="86"/>
        <v>2</v>
      </c>
      <c r="C118">
        <f t="shared" si="84"/>
        <v>20</v>
      </c>
      <c r="D118">
        <f t="shared" si="85"/>
        <v>21</v>
      </c>
      <c r="E118" t="str">
        <f>VLOOKUP(D118,name!A:B,2,1)</f>
        <v>Цубаса</v>
      </c>
      <c r="F118" t="s">
        <v>476</v>
      </c>
      <c r="G118" t="str">
        <f t="shared" si="81"/>
        <v>a</v>
      </c>
      <c r="H118" t="str">
        <f>VLOOKUP(D118,name!A:C,3,1)</f>
        <v>assets/icons/image017.png</v>
      </c>
      <c r="I118" t="s">
        <v>405</v>
      </c>
    </row>
    <row r="119" spans="1:9" x14ac:dyDescent="0.15">
      <c r="A119" t="str">
        <f t="shared" si="86"/>
        <v>ロシア語</v>
      </c>
      <c r="B119">
        <f t="shared" si="86"/>
        <v>2</v>
      </c>
      <c r="C119">
        <f t="shared" si="84"/>
        <v>21</v>
      </c>
      <c r="D119">
        <v>21</v>
      </c>
      <c r="E119" t="str">
        <f>VLOOKUP(D119,name!A:B,2,1)</f>
        <v>Цубаса</v>
      </c>
      <c r="F119" t="s">
        <v>468</v>
      </c>
      <c r="G119" t="str">
        <f t="shared" si="81"/>
        <v>a</v>
      </c>
      <c r="H119" t="str">
        <f>VLOOKUP(D119,name!A:C,3,1)</f>
        <v>assets/icons/image017.png</v>
      </c>
      <c r="I119" t="str">
        <f>IF(A119="","",VLOOKUP(A119,lng!A:B,2,0))</f>
        <v>ru-RU</v>
      </c>
    </row>
    <row r="120" spans="1:9" x14ac:dyDescent="0.15">
      <c r="A120" t="str">
        <f t="shared" si="86"/>
        <v>ロシア語</v>
      </c>
      <c r="B120">
        <f t="shared" si="86"/>
        <v>2</v>
      </c>
      <c r="C120">
        <f t="shared" si="84"/>
        <v>22</v>
      </c>
      <c r="D120">
        <f t="shared" si="85"/>
        <v>21</v>
      </c>
      <c r="E120" t="str">
        <f>VLOOKUP(D120,name!A:B,2,1)</f>
        <v>Цубаса</v>
      </c>
      <c r="F120" t="s">
        <v>480</v>
      </c>
      <c r="G120" t="str">
        <f t="shared" si="81"/>
        <v>a</v>
      </c>
      <c r="H120" t="str">
        <f>VLOOKUP(D120,name!A:C,3,1)</f>
        <v>assets/icons/image017.png</v>
      </c>
      <c r="I120" t="s">
        <v>405</v>
      </c>
    </row>
    <row r="121" spans="1:9" x14ac:dyDescent="0.15">
      <c r="A121" t="str">
        <f t="shared" si="86"/>
        <v>ロシア語</v>
      </c>
      <c r="B121">
        <f t="shared" si="86"/>
        <v>2</v>
      </c>
      <c r="C121">
        <f t="shared" si="84"/>
        <v>23</v>
      </c>
      <c r="D121">
        <v>21</v>
      </c>
      <c r="E121" t="str">
        <f>VLOOKUP(D121,name!A:B,2,1)</f>
        <v>Цубаса</v>
      </c>
      <c r="F121" t="s">
        <v>464</v>
      </c>
      <c r="G121" t="str">
        <f t="shared" si="81"/>
        <v>a</v>
      </c>
      <c r="H121" t="str">
        <f>VLOOKUP(D121,name!A:C,3,1)</f>
        <v>assets/icons/image017.png</v>
      </c>
      <c r="I121" t="str">
        <f>IF(A121="","",VLOOKUP(A121,lng!A:B,2,0))</f>
        <v>ru-RU</v>
      </c>
    </row>
    <row r="122" spans="1:9" x14ac:dyDescent="0.15">
      <c r="A122" t="str">
        <f t="shared" si="86"/>
        <v>ロシア語</v>
      </c>
      <c r="B122">
        <f t="shared" si="86"/>
        <v>2</v>
      </c>
      <c r="C122">
        <f t="shared" si="84"/>
        <v>24</v>
      </c>
      <c r="D122">
        <f t="shared" si="85"/>
        <v>22</v>
      </c>
      <c r="E122" t="str">
        <f>VLOOKUP(D122,name!A:B,2,1)</f>
        <v>Люда</v>
      </c>
      <c r="F122" t="s">
        <v>480</v>
      </c>
      <c r="G122" t="str">
        <f t="shared" si="81"/>
        <v>a</v>
      </c>
      <c r="H122" t="str">
        <f>VLOOKUP(D122,name!A:C,3,1)</f>
        <v>assets/icons/image024.png</v>
      </c>
      <c r="I122" t="s">
        <v>405</v>
      </c>
    </row>
    <row r="123" spans="1:9" x14ac:dyDescent="0.15">
      <c r="A123" t="str">
        <f t="shared" si="86"/>
        <v>ロシア語</v>
      </c>
      <c r="B123">
        <f t="shared" si="86"/>
        <v>2</v>
      </c>
      <c r="C123">
        <f t="shared" si="84"/>
        <v>25</v>
      </c>
      <c r="D123">
        <v>22</v>
      </c>
      <c r="E123" t="str">
        <f>VLOOKUP(D123,name!A:B,2,1)</f>
        <v>Люда</v>
      </c>
      <c r="F123" t="s">
        <v>464</v>
      </c>
      <c r="G123" t="str">
        <f t="shared" si="81"/>
        <v>a</v>
      </c>
      <c r="H123" t="str">
        <f>VLOOKUP(D123,name!A:C,3,1)</f>
        <v>assets/icons/image024.png</v>
      </c>
      <c r="I123" t="str">
        <f>IF(A123="","",VLOOKUP(A123,lng!A:B,2,0))</f>
        <v>ru-RU</v>
      </c>
    </row>
    <row r="124" spans="1:9" x14ac:dyDescent="0.15">
      <c r="A124" t="str">
        <f t="shared" si="86"/>
        <v>ロシア語</v>
      </c>
      <c r="B124">
        <f t="shared" si="86"/>
        <v>2</v>
      </c>
      <c r="C124">
        <f t="shared" si="84"/>
        <v>26</v>
      </c>
      <c r="D124">
        <f t="shared" si="85"/>
        <v>21</v>
      </c>
      <c r="E124" t="str">
        <f>VLOOKUP(D124,name!A:B,2,1)</f>
        <v>Цубаса</v>
      </c>
      <c r="F124" t="s">
        <v>481</v>
      </c>
      <c r="G124" t="str">
        <f t="shared" si="81"/>
        <v>a</v>
      </c>
      <c r="H124" t="str">
        <f>VLOOKUP(D124,name!A:C,3,1)</f>
        <v>assets/icons/image017.png</v>
      </c>
      <c r="I124" t="s">
        <v>405</v>
      </c>
    </row>
    <row r="125" spans="1:9" x14ac:dyDescent="0.15">
      <c r="A125" t="str">
        <f t="shared" si="86"/>
        <v>ロシア語</v>
      </c>
      <c r="B125">
        <f t="shared" si="86"/>
        <v>2</v>
      </c>
      <c r="C125">
        <f t="shared" si="84"/>
        <v>27</v>
      </c>
      <c r="D125">
        <v>21</v>
      </c>
      <c r="E125" t="str">
        <f>VLOOKUP(D125,name!A:B,2,1)</f>
        <v>Цубаса</v>
      </c>
      <c r="F125" t="s">
        <v>465</v>
      </c>
      <c r="G125" t="str">
        <f t="shared" si="81"/>
        <v>a</v>
      </c>
      <c r="H125" t="str">
        <f>VLOOKUP(D125,name!A:C,3,1)</f>
        <v>assets/icons/image017.png</v>
      </c>
      <c r="I125" t="str">
        <f>IF(A125="","",VLOOKUP(A125,lng!A:B,2,0))</f>
        <v>ru-RU</v>
      </c>
    </row>
    <row r="126" spans="1:9" x14ac:dyDescent="0.15">
      <c r="A126" t="str">
        <f t="shared" si="86"/>
        <v>ロシア語</v>
      </c>
      <c r="B126">
        <f t="shared" si="86"/>
        <v>2</v>
      </c>
      <c r="C126">
        <f t="shared" si="84"/>
        <v>28</v>
      </c>
      <c r="D126">
        <f t="shared" si="85"/>
        <v>21</v>
      </c>
      <c r="E126" t="str">
        <f>VLOOKUP(D126,name!A:B,2,1)</f>
        <v>Цубаса</v>
      </c>
      <c r="F126" t="s">
        <v>477</v>
      </c>
      <c r="G126" t="str">
        <f t="shared" si="81"/>
        <v>a</v>
      </c>
      <c r="H126" t="str">
        <f>VLOOKUP(D126,name!A:C,3,1)</f>
        <v>assets/icons/image017.png</v>
      </c>
      <c r="I126" t="s">
        <v>405</v>
      </c>
    </row>
    <row r="127" spans="1:9" x14ac:dyDescent="0.15">
      <c r="A127" t="str">
        <f t="shared" si="86"/>
        <v>ロシア語</v>
      </c>
      <c r="B127">
        <f t="shared" si="86"/>
        <v>2</v>
      </c>
      <c r="C127">
        <f t="shared" si="84"/>
        <v>29</v>
      </c>
      <c r="D127">
        <v>21</v>
      </c>
      <c r="E127" t="str">
        <f>VLOOKUP(D127,name!A:B,2,1)</f>
        <v>Цубаса</v>
      </c>
      <c r="F127" t="s">
        <v>466</v>
      </c>
      <c r="G127" t="str">
        <f t="shared" si="81"/>
        <v>a</v>
      </c>
      <c r="H127" t="str">
        <f>VLOOKUP(D127,name!A:C,3,1)</f>
        <v>assets/icons/image017.png</v>
      </c>
      <c r="I127" t="str">
        <f>IF(A127="","",VLOOKUP(A127,lng!A:B,2,0))</f>
        <v>ru-RU</v>
      </c>
    </row>
    <row r="128" spans="1:9" x14ac:dyDescent="0.15">
      <c r="A128" t="str">
        <f t="shared" si="86"/>
        <v>ロシア語</v>
      </c>
      <c r="B128">
        <f t="shared" si="86"/>
        <v>2</v>
      </c>
      <c r="C128">
        <f t="shared" si="84"/>
        <v>30</v>
      </c>
      <c r="D128">
        <f t="shared" si="85"/>
        <v>22</v>
      </c>
      <c r="E128" t="str">
        <f>VLOOKUP(D128,name!A:B,2,1)</f>
        <v>Люда</v>
      </c>
      <c r="F128" t="s">
        <v>478</v>
      </c>
      <c r="G128" t="str">
        <f t="shared" si="81"/>
        <v>a</v>
      </c>
      <c r="H128" t="str">
        <f>VLOOKUP(D128,name!A:C,3,1)</f>
        <v>assets/icons/image024.png</v>
      </c>
      <c r="I128" t="s">
        <v>403</v>
      </c>
    </row>
    <row r="129" spans="1:9" x14ac:dyDescent="0.15">
      <c r="A129" t="str">
        <f t="shared" ref="A129:B129" si="87">A128</f>
        <v>ロシア語</v>
      </c>
      <c r="B129">
        <f t="shared" si="87"/>
        <v>2</v>
      </c>
      <c r="C129">
        <f t="shared" si="84"/>
        <v>31</v>
      </c>
      <c r="D129">
        <v>22</v>
      </c>
      <c r="E129" t="str">
        <f>VLOOKUP(D129,name!A:B,2,1)</f>
        <v>Люда</v>
      </c>
      <c r="F129" t="s">
        <v>467</v>
      </c>
      <c r="G129" t="str">
        <f t="shared" si="81"/>
        <v>a</v>
      </c>
      <c r="H129" t="str">
        <f>VLOOKUP(D129,name!A:C,3,1)</f>
        <v>assets/icons/image024.png</v>
      </c>
      <c r="I129" t="str">
        <f>IF(A129="","",VLOOKUP(A129,lng!A:B,2,0))</f>
        <v>ru-RU</v>
      </c>
    </row>
    <row r="130" spans="1:9" x14ac:dyDescent="0.15">
      <c r="A130" t="str">
        <f t="shared" ref="A130:B130" si="88">A129</f>
        <v>ロシア語</v>
      </c>
      <c r="B130">
        <f t="shared" si="88"/>
        <v>2</v>
      </c>
      <c r="C130">
        <f t="shared" si="84"/>
        <v>32</v>
      </c>
      <c r="D130">
        <v>1</v>
      </c>
      <c r="E130" t="str">
        <f>VLOOKUP(D130,name!A:B,2,1)</f>
        <v>Navigator</v>
      </c>
      <c r="F130" t="str">
        <f>"次の"&amp;A130&amp;"を真似してね！"</f>
        <v>次のロシア語を真似してね！</v>
      </c>
      <c r="G130" t="str">
        <f t="shared" si="81"/>
        <v>a</v>
      </c>
      <c r="H130" t="str">
        <f>VLOOKUP(D130,name!A:C,3,1)</f>
        <v>assets/icons/image014.png</v>
      </c>
      <c r="I130" t="s">
        <v>405</v>
      </c>
    </row>
    <row r="131" spans="1:9" x14ac:dyDescent="0.15">
      <c r="A131" t="str">
        <f t="shared" ref="A131:B131" si="89">A130</f>
        <v>ロシア語</v>
      </c>
      <c r="B131">
        <f t="shared" si="89"/>
        <v>2</v>
      </c>
      <c r="C131">
        <f t="shared" si="84"/>
        <v>33</v>
      </c>
      <c r="D131">
        <f>D102</f>
        <v>22</v>
      </c>
      <c r="E131" t="str">
        <f>VLOOKUP(D131,name!A:B,2,1)</f>
        <v>Люда</v>
      </c>
      <c r="F131" t="str">
        <f>F102</f>
        <v>こんにちは、あなたは翼ですか?</v>
      </c>
      <c r="G131" t="str">
        <f t="shared" si="81"/>
        <v>a</v>
      </c>
      <c r="H131" t="str">
        <f>VLOOKUP(D131,name!A:C,3,1)</f>
        <v>assets/icons/image024.png</v>
      </c>
      <c r="I131" t="s">
        <v>406</v>
      </c>
    </row>
    <row r="132" spans="1:9" x14ac:dyDescent="0.15">
      <c r="A132" t="str">
        <f t="shared" ref="A132:B132" si="90">A131</f>
        <v>ロシア語</v>
      </c>
      <c r="B132">
        <f t="shared" si="90"/>
        <v>2</v>
      </c>
      <c r="C132">
        <f t="shared" si="84"/>
        <v>34</v>
      </c>
      <c r="D132">
        <f>D103</f>
        <v>22</v>
      </c>
      <c r="E132" t="str">
        <f>VLOOKUP(D132,name!A:B,2,1)</f>
        <v>Люда</v>
      </c>
      <c r="F132" t="str">
        <f>F103</f>
        <v>Здравствуйте, вы Цубаса?</v>
      </c>
      <c r="G132" t="str">
        <f t="shared" si="81"/>
        <v>a</v>
      </c>
      <c r="H132" t="str">
        <f>VLOOKUP(D132,name!A:C,3,1)</f>
        <v>assets/icons/image024.png</v>
      </c>
      <c r="I132" t="str">
        <f>IF(A132="","",VLOOKUP(A132,lng!A:B,2,0))</f>
        <v>ru-RU</v>
      </c>
    </row>
    <row r="133" spans="1:9" x14ac:dyDescent="0.15">
      <c r="A133" t="str">
        <f t="shared" ref="A133:B133" si="91">A132</f>
        <v>ロシア語</v>
      </c>
      <c r="B133">
        <f t="shared" si="91"/>
        <v>2</v>
      </c>
      <c r="C133">
        <f t="shared" si="84"/>
        <v>35</v>
      </c>
      <c r="D133">
        <v>0</v>
      </c>
      <c r="E133" t="str">
        <f>VLOOKUP(D133,name!A:B,2,1)</f>
        <v>Player</v>
      </c>
      <c r="F133" t="str">
        <f>F103</f>
        <v>Здравствуйте, вы Цубаса?</v>
      </c>
      <c r="G133" t="str">
        <f t="shared" si="81"/>
        <v>q</v>
      </c>
      <c r="H133" t="str">
        <f>VLOOKUP(D133,name!A:C,3,1)</f>
        <v>assets/icons/image326.png</v>
      </c>
      <c r="I133" t="str">
        <f>IF(A133="","",VLOOKUP(A133,lng!A:B,2,0))</f>
        <v>ru-RU</v>
      </c>
    </row>
    <row r="134" spans="1:9" x14ac:dyDescent="0.15">
      <c r="A134" t="str">
        <f t="shared" ref="A134:B134" si="92">A133</f>
        <v>ロシア語</v>
      </c>
      <c r="B134">
        <f t="shared" si="92"/>
        <v>2</v>
      </c>
      <c r="C134">
        <f t="shared" si="84"/>
        <v>36</v>
      </c>
      <c r="D134">
        <f>D104</f>
        <v>21</v>
      </c>
      <c r="E134" t="str">
        <f>VLOOKUP(D134,name!A:B,2,1)</f>
        <v>Цубаса</v>
      </c>
      <c r="F134" t="str">
        <f>F104</f>
        <v>はい、翼です。</v>
      </c>
      <c r="G134" t="str">
        <f t="shared" si="81"/>
        <v>a</v>
      </c>
      <c r="H134" t="str">
        <f>VLOOKUP(D134,name!A:C,3,1)</f>
        <v>assets/icons/image017.png</v>
      </c>
      <c r="I134" t="s">
        <v>406</v>
      </c>
    </row>
    <row r="135" spans="1:9" x14ac:dyDescent="0.15">
      <c r="A135" t="str">
        <f t="shared" ref="A135:B135" si="93">A134</f>
        <v>ロシア語</v>
      </c>
      <c r="B135">
        <f t="shared" si="93"/>
        <v>2</v>
      </c>
      <c r="C135">
        <f t="shared" si="84"/>
        <v>37</v>
      </c>
      <c r="D135">
        <f>D105</f>
        <v>21</v>
      </c>
      <c r="E135" t="str">
        <f>VLOOKUP(D135,name!A:B,2,1)</f>
        <v>Цубаса</v>
      </c>
      <c r="F135" t="str">
        <f>F105</f>
        <v xml:space="preserve">Да, я Цубаса. </v>
      </c>
      <c r="G135" t="str">
        <f t="shared" si="81"/>
        <v>a</v>
      </c>
      <c r="H135" t="str">
        <f>VLOOKUP(D135,name!A:C,3,1)</f>
        <v>assets/icons/image017.png</v>
      </c>
      <c r="I135" t="str">
        <f>IF(A135="","",VLOOKUP(A135,lng!A:B,2,0))</f>
        <v>ru-RU</v>
      </c>
    </row>
    <row r="136" spans="1:9" x14ac:dyDescent="0.15">
      <c r="A136" t="str">
        <f t="shared" ref="A136:B136" si="94">A135</f>
        <v>ロシア語</v>
      </c>
      <c r="B136">
        <f t="shared" si="94"/>
        <v>2</v>
      </c>
      <c r="C136">
        <f t="shared" si="84"/>
        <v>38</v>
      </c>
      <c r="D136">
        <v>0</v>
      </c>
      <c r="E136" t="str">
        <f>VLOOKUP(D136,name!A:B,2,1)</f>
        <v>Player</v>
      </c>
      <c r="F136" t="str">
        <f>F105</f>
        <v xml:space="preserve">Да, я Цубаса. </v>
      </c>
      <c r="G136" t="str">
        <f t="shared" si="81"/>
        <v>q</v>
      </c>
      <c r="H136" t="str">
        <f>VLOOKUP(D136,name!A:C,3,1)</f>
        <v>assets/icons/image326.png</v>
      </c>
      <c r="I136" t="str">
        <f>IF(A136="","",VLOOKUP(A136,lng!A:B,2,0))</f>
        <v>ru-RU</v>
      </c>
    </row>
    <row r="137" spans="1:9" x14ac:dyDescent="0.15">
      <c r="A137" t="str">
        <f t="shared" ref="A137:B137" si="95">A136</f>
        <v>ロシア語</v>
      </c>
      <c r="B137">
        <f t="shared" si="95"/>
        <v>2</v>
      </c>
      <c r="C137">
        <f t="shared" si="84"/>
        <v>39</v>
      </c>
      <c r="D137">
        <f>D106</f>
        <v>21</v>
      </c>
      <c r="E137" t="str">
        <f>VLOOKUP(D137,name!A:B,2,1)</f>
        <v>Цубаса</v>
      </c>
      <c r="F137" t="str">
        <f>F106</f>
        <v>あなたはナターシャですか?</v>
      </c>
      <c r="G137" t="str">
        <f t="shared" si="81"/>
        <v>a</v>
      </c>
      <c r="H137" t="str">
        <f>VLOOKUP(D137,name!A:C,3,1)</f>
        <v>assets/icons/image017.png</v>
      </c>
      <c r="I137" t="s">
        <v>406</v>
      </c>
    </row>
    <row r="138" spans="1:9" x14ac:dyDescent="0.15">
      <c r="A138" t="str">
        <f t="shared" ref="A138:B138" si="96">A137</f>
        <v>ロシア語</v>
      </c>
      <c r="B138">
        <f t="shared" si="96"/>
        <v>2</v>
      </c>
      <c r="C138">
        <f t="shared" si="84"/>
        <v>40</v>
      </c>
      <c r="D138">
        <f>D107</f>
        <v>21</v>
      </c>
      <c r="E138" t="str">
        <f>VLOOKUP(D138,name!A:B,2,1)</f>
        <v>Цубаса</v>
      </c>
      <c r="F138" t="str">
        <f>F107</f>
        <v>А вы Наташа?</v>
      </c>
      <c r="G138" t="str">
        <f t="shared" si="81"/>
        <v>a</v>
      </c>
      <c r="H138" t="str">
        <f>VLOOKUP(D138,name!A:C,3,1)</f>
        <v>assets/icons/image017.png</v>
      </c>
      <c r="I138" t="str">
        <f>IF(A138="","",VLOOKUP(A138,lng!A:B,2,0))</f>
        <v>ru-RU</v>
      </c>
    </row>
    <row r="139" spans="1:9" x14ac:dyDescent="0.15">
      <c r="A139" t="str">
        <f t="shared" ref="A139:B139" si="97">A138</f>
        <v>ロシア語</v>
      </c>
      <c r="B139">
        <f t="shared" si="97"/>
        <v>2</v>
      </c>
      <c r="C139">
        <f t="shared" si="84"/>
        <v>41</v>
      </c>
      <c r="D139">
        <v>0</v>
      </c>
      <c r="E139" t="str">
        <f>VLOOKUP(D139,name!A:B,2,1)</f>
        <v>Player</v>
      </c>
      <c r="F139" t="str">
        <f>F107</f>
        <v>А вы Наташа?</v>
      </c>
      <c r="G139" t="str">
        <f t="shared" si="81"/>
        <v>q</v>
      </c>
      <c r="H139" t="str">
        <f>VLOOKUP(D139,name!A:C,3,1)</f>
        <v>assets/icons/image326.png</v>
      </c>
      <c r="I139" t="str">
        <f>IF(A139="","",VLOOKUP(A139,lng!A:B,2,0))</f>
        <v>ru-RU</v>
      </c>
    </row>
    <row r="140" spans="1:9" x14ac:dyDescent="0.15">
      <c r="A140" t="str">
        <f t="shared" ref="A140:B140" si="98">A139</f>
        <v>ロシア語</v>
      </c>
      <c r="B140">
        <f t="shared" si="98"/>
        <v>2</v>
      </c>
      <c r="C140">
        <f t="shared" si="84"/>
        <v>42</v>
      </c>
      <c r="D140">
        <f>D108</f>
        <v>22</v>
      </c>
      <c r="E140" t="str">
        <f>VLOOKUP(D140,name!A:B,2,1)</f>
        <v>Люда</v>
      </c>
      <c r="F140" t="str">
        <f>F108</f>
        <v>いいえ、私はナターシャではありません。</v>
      </c>
      <c r="G140" t="str">
        <f t="shared" si="81"/>
        <v>a</v>
      </c>
      <c r="H140" t="str">
        <f>VLOOKUP(D140,name!A:C,3,1)</f>
        <v>assets/icons/image024.png</v>
      </c>
      <c r="I140" t="s">
        <v>406</v>
      </c>
    </row>
    <row r="141" spans="1:9" x14ac:dyDescent="0.15">
      <c r="A141" t="str">
        <f t="shared" ref="A141:B141" si="99">A140</f>
        <v>ロシア語</v>
      </c>
      <c r="B141">
        <f t="shared" si="99"/>
        <v>2</v>
      </c>
      <c r="C141">
        <f t="shared" si="84"/>
        <v>43</v>
      </c>
      <c r="D141">
        <f>D109</f>
        <v>22</v>
      </c>
      <c r="E141" t="str">
        <f>VLOOKUP(D141,name!A:B,2,1)</f>
        <v>Люда</v>
      </c>
      <c r="F141" t="str">
        <f>F109</f>
        <v>Нет, я не Наташа.</v>
      </c>
      <c r="G141" t="str">
        <f t="shared" si="81"/>
        <v>a</v>
      </c>
      <c r="H141" t="str">
        <f>VLOOKUP(D141,name!A:C,3,1)</f>
        <v>assets/icons/image024.png</v>
      </c>
      <c r="I141" t="str">
        <f>IF(A141="","",VLOOKUP(A141,lng!A:B,2,0))</f>
        <v>ru-RU</v>
      </c>
    </row>
    <row r="142" spans="1:9" x14ac:dyDescent="0.15">
      <c r="A142" t="str">
        <f t="shared" ref="A142:B142" si="100">A141</f>
        <v>ロシア語</v>
      </c>
      <c r="B142">
        <f t="shared" si="100"/>
        <v>2</v>
      </c>
      <c r="C142">
        <f t="shared" si="84"/>
        <v>44</v>
      </c>
      <c r="D142">
        <v>0</v>
      </c>
      <c r="E142" t="str">
        <f>VLOOKUP(D142,name!A:B,2,1)</f>
        <v>Player</v>
      </c>
      <c r="F142" t="str">
        <f>F109</f>
        <v>Нет, я не Наташа.</v>
      </c>
      <c r="G142" t="str">
        <f t="shared" si="81"/>
        <v>q</v>
      </c>
      <c r="H142" t="str">
        <f>VLOOKUP(D142,name!A:C,3,1)</f>
        <v>assets/icons/image326.png</v>
      </c>
      <c r="I142" t="str">
        <f>IF(A142="","",VLOOKUP(A142,lng!A:B,2,0))</f>
        <v>ru-RU</v>
      </c>
    </row>
    <row r="143" spans="1:9" x14ac:dyDescent="0.15">
      <c r="A143" t="str">
        <f t="shared" ref="A143:B143" si="101">A142</f>
        <v>ロシア語</v>
      </c>
      <c r="B143">
        <f t="shared" si="101"/>
        <v>2</v>
      </c>
      <c r="C143">
        <f t="shared" si="84"/>
        <v>45</v>
      </c>
      <c r="D143">
        <f>D110</f>
        <v>21</v>
      </c>
      <c r="E143" t="str">
        <f>VLOOKUP(D143,name!A:B,2,1)</f>
        <v>Цубаса</v>
      </c>
      <c r="F143" t="str">
        <f>F110</f>
        <v>おかしいな。</v>
      </c>
      <c r="G143" t="str">
        <f t="shared" si="81"/>
        <v>a</v>
      </c>
      <c r="H143" t="str">
        <f>VLOOKUP(D143,name!A:C,3,1)</f>
        <v>assets/icons/image017.png</v>
      </c>
      <c r="I143" t="s">
        <v>406</v>
      </c>
    </row>
    <row r="144" spans="1:9" x14ac:dyDescent="0.15">
      <c r="A144" t="str">
        <f t="shared" ref="A144:B144" si="102">A143</f>
        <v>ロシア語</v>
      </c>
      <c r="B144">
        <f t="shared" si="102"/>
        <v>2</v>
      </c>
      <c r="C144">
        <f t="shared" si="84"/>
        <v>46</v>
      </c>
      <c r="D144">
        <f>D111</f>
        <v>21</v>
      </c>
      <c r="E144" t="str">
        <f>VLOOKUP(D144,name!A:B,2,1)</f>
        <v>Цубаса</v>
      </c>
      <c r="F144" t="str">
        <f>F111</f>
        <v>Странно.</v>
      </c>
      <c r="G144" t="str">
        <f t="shared" si="81"/>
        <v>a</v>
      </c>
      <c r="H144" t="str">
        <f>VLOOKUP(D144,name!A:C,3,1)</f>
        <v>assets/icons/image017.png</v>
      </c>
      <c r="I144" t="str">
        <f>IF(A144="","",VLOOKUP(A144,lng!A:B,2,0))</f>
        <v>ru-RU</v>
      </c>
    </row>
    <row r="145" spans="1:9" x14ac:dyDescent="0.15">
      <c r="A145" t="str">
        <f t="shared" ref="A145:B145" si="103">A144</f>
        <v>ロシア語</v>
      </c>
      <c r="B145">
        <f t="shared" si="103"/>
        <v>2</v>
      </c>
      <c r="C145">
        <f t="shared" si="84"/>
        <v>47</v>
      </c>
      <c r="D145">
        <v>0</v>
      </c>
      <c r="E145" t="str">
        <f>VLOOKUP(D145,name!A:B,2,1)</f>
        <v>Player</v>
      </c>
      <c r="F145" t="str">
        <f>F111</f>
        <v>Странно.</v>
      </c>
      <c r="G145" t="str">
        <f t="shared" si="81"/>
        <v>q</v>
      </c>
      <c r="H145" t="str">
        <f>VLOOKUP(D145,name!A:C,3,1)</f>
        <v>assets/icons/image326.png</v>
      </c>
      <c r="I145" t="str">
        <f>IF(A145="","",VLOOKUP(A145,lng!A:B,2,0))</f>
        <v>ru-RU</v>
      </c>
    </row>
    <row r="146" spans="1:9" x14ac:dyDescent="0.15">
      <c r="A146" t="str">
        <f t="shared" ref="A146:B146" si="104">A145</f>
        <v>ロシア語</v>
      </c>
      <c r="B146">
        <f t="shared" si="104"/>
        <v>2</v>
      </c>
      <c r="C146">
        <f t="shared" si="84"/>
        <v>48</v>
      </c>
      <c r="D146">
        <f>D112</f>
        <v>21</v>
      </c>
      <c r="E146" t="str">
        <f>VLOOKUP(D146,name!A:B,2,1)</f>
        <v>Цубаса</v>
      </c>
      <c r="F146" t="str">
        <f>F112</f>
        <v>すみません、あなたは誰ですか?</v>
      </c>
      <c r="G146" t="str">
        <f t="shared" si="81"/>
        <v>a</v>
      </c>
      <c r="H146" t="str">
        <f>VLOOKUP(D146,name!A:C,3,1)</f>
        <v>assets/icons/image017.png</v>
      </c>
      <c r="I146" t="s">
        <v>406</v>
      </c>
    </row>
    <row r="147" spans="1:9" x14ac:dyDescent="0.15">
      <c r="A147" t="str">
        <f t="shared" ref="A147:B147" si="105">A146</f>
        <v>ロシア語</v>
      </c>
      <c r="B147">
        <f t="shared" si="105"/>
        <v>2</v>
      </c>
      <c r="C147">
        <f t="shared" si="84"/>
        <v>49</v>
      </c>
      <c r="D147">
        <f>D113</f>
        <v>21</v>
      </c>
      <c r="E147" t="str">
        <f>VLOOKUP(D147,name!A:B,2,1)</f>
        <v>Цубаса</v>
      </c>
      <c r="F147" t="str">
        <f>F113</f>
        <v>Извините, кто вы?</v>
      </c>
      <c r="G147" t="str">
        <f t="shared" si="81"/>
        <v>a</v>
      </c>
      <c r="H147" t="str">
        <f>VLOOKUP(D147,name!A:C,3,1)</f>
        <v>assets/icons/image017.png</v>
      </c>
      <c r="I147" t="str">
        <f>IF(A147="","",VLOOKUP(A147,lng!A:B,2,0))</f>
        <v>ru-RU</v>
      </c>
    </row>
    <row r="148" spans="1:9" x14ac:dyDescent="0.15">
      <c r="A148" t="str">
        <f t="shared" ref="A148:B148" si="106">A147</f>
        <v>ロシア語</v>
      </c>
      <c r="B148">
        <f t="shared" si="106"/>
        <v>2</v>
      </c>
      <c r="C148">
        <f t="shared" si="84"/>
        <v>50</v>
      </c>
      <c r="D148">
        <v>0</v>
      </c>
      <c r="E148" t="str">
        <f>VLOOKUP(D148,name!A:B,2,1)</f>
        <v>Player</v>
      </c>
      <c r="F148" t="str">
        <f>F113</f>
        <v>Извините, кто вы?</v>
      </c>
      <c r="G148" t="str">
        <f t="shared" si="81"/>
        <v>q</v>
      </c>
      <c r="H148" t="str">
        <f>VLOOKUP(D148,name!A:C,3,1)</f>
        <v>assets/icons/image326.png</v>
      </c>
      <c r="I148" t="str">
        <f>IF(A148="","",VLOOKUP(A148,lng!A:B,2,0))</f>
        <v>ru-RU</v>
      </c>
    </row>
    <row r="149" spans="1:9" x14ac:dyDescent="0.15">
      <c r="A149" t="str">
        <f t="shared" ref="A149:B149" si="107">A148</f>
        <v>ロシア語</v>
      </c>
      <c r="B149">
        <f t="shared" si="107"/>
        <v>2</v>
      </c>
      <c r="C149">
        <f t="shared" si="84"/>
        <v>51</v>
      </c>
      <c r="D149">
        <f>D114</f>
        <v>22</v>
      </c>
      <c r="E149" t="str">
        <f>VLOOKUP(D149,name!A:B,2,1)</f>
        <v>Люда</v>
      </c>
      <c r="F149" t="str">
        <f>F114</f>
        <v>私はリューダです。</v>
      </c>
      <c r="G149" t="str">
        <f t="shared" si="81"/>
        <v>a</v>
      </c>
      <c r="H149" t="str">
        <f>VLOOKUP(D149,name!A:C,3,1)</f>
        <v>assets/icons/image024.png</v>
      </c>
      <c r="I149" t="s">
        <v>406</v>
      </c>
    </row>
    <row r="150" spans="1:9" x14ac:dyDescent="0.15">
      <c r="A150" t="str">
        <f t="shared" ref="A150:B150" si="108">A149</f>
        <v>ロシア語</v>
      </c>
      <c r="B150">
        <f t="shared" si="108"/>
        <v>2</v>
      </c>
      <c r="C150">
        <f t="shared" si="84"/>
        <v>52</v>
      </c>
      <c r="D150">
        <f>D115</f>
        <v>22</v>
      </c>
      <c r="E150" t="str">
        <f>VLOOKUP(D150,name!A:B,2,1)</f>
        <v>Люда</v>
      </c>
      <c r="F150" t="str">
        <f>F115</f>
        <v xml:space="preserve">Я Люда. </v>
      </c>
      <c r="G150" t="str">
        <f t="shared" si="81"/>
        <v>a</v>
      </c>
      <c r="H150" t="str">
        <f>VLOOKUP(D150,name!A:C,3,1)</f>
        <v>assets/icons/image024.png</v>
      </c>
      <c r="I150" t="str">
        <f>IF(A150="","",VLOOKUP(A150,lng!A:B,2,0))</f>
        <v>ru-RU</v>
      </c>
    </row>
    <row r="151" spans="1:9" x14ac:dyDescent="0.15">
      <c r="A151" t="str">
        <f t="shared" ref="A151:B151" si="109">A150</f>
        <v>ロシア語</v>
      </c>
      <c r="B151">
        <f t="shared" si="109"/>
        <v>2</v>
      </c>
      <c r="C151">
        <f t="shared" si="84"/>
        <v>53</v>
      </c>
      <c r="D151">
        <v>0</v>
      </c>
      <c r="E151" t="str">
        <f>VLOOKUP(D151,name!A:B,2,1)</f>
        <v>Player</v>
      </c>
      <c r="F151" t="str">
        <f>F115</f>
        <v xml:space="preserve">Я Люда. </v>
      </c>
      <c r="G151" t="str">
        <f t="shared" si="81"/>
        <v>q</v>
      </c>
      <c r="H151" t="str">
        <f>VLOOKUP(D151,name!A:C,3,1)</f>
        <v>assets/icons/image326.png</v>
      </c>
      <c r="I151" t="str">
        <f>IF(A151="","",VLOOKUP(A151,lng!A:B,2,0))</f>
        <v>ru-RU</v>
      </c>
    </row>
    <row r="152" spans="1:9" x14ac:dyDescent="0.15">
      <c r="A152" t="str">
        <f t="shared" ref="A152:B152" si="110">A151</f>
        <v>ロシア語</v>
      </c>
      <c r="B152">
        <f t="shared" si="110"/>
        <v>2</v>
      </c>
      <c r="C152">
        <f t="shared" si="84"/>
        <v>54</v>
      </c>
      <c r="D152">
        <f>D116</f>
        <v>22</v>
      </c>
      <c r="E152" t="str">
        <f>VLOOKUP(D152,name!A:B,2,1)</f>
        <v>Люда</v>
      </c>
      <c r="F152" t="str">
        <f>F116</f>
        <v>私は彼女の友達です。</v>
      </c>
      <c r="G152" t="str">
        <f t="shared" si="81"/>
        <v>a</v>
      </c>
      <c r="H152" t="str">
        <f>VLOOKUP(D152,name!A:C,3,1)</f>
        <v>assets/icons/image024.png</v>
      </c>
      <c r="I152" t="s">
        <v>406</v>
      </c>
    </row>
    <row r="153" spans="1:9" x14ac:dyDescent="0.15">
      <c r="A153" t="str">
        <f t="shared" ref="A153:B153" si="111">A152</f>
        <v>ロシア語</v>
      </c>
      <c r="B153">
        <f t="shared" si="111"/>
        <v>2</v>
      </c>
      <c r="C153">
        <f t="shared" si="84"/>
        <v>55</v>
      </c>
      <c r="D153">
        <f>D117</f>
        <v>22</v>
      </c>
      <c r="E153" t="str">
        <f>VLOOKUP(D153,name!A:B,2,1)</f>
        <v>Люда</v>
      </c>
      <c r="F153" t="str">
        <f>F117</f>
        <v>Я её подруга.</v>
      </c>
      <c r="G153" t="str">
        <f t="shared" si="81"/>
        <v>a</v>
      </c>
      <c r="H153" t="str">
        <f>VLOOKUP(D153,name!A:C,3,1)</f>
        <v>assets/icons/image024.png</v>
      </c>
      <c r="I153" t="str">
        <f>IF(A153="","",VLOOKUP(A153,lng!A:B,2,0))</f>
        <v>ru-RU</v>
      </c>
    </row>
    <row r="154" spans="1:9" x14ac:dyDescent="0.15">
      <c r="A154" t="str">
        <f t="shared" ref="A154:B154" si="112">A153</f>
        <v>ロシア語</v>
      </c>
      <c r="B154">
        <f t="shared" si="112"/>
        <v>2</v>
      </c>
      <c r="C154">
        <f t="shared" si="84"/>
        <v>56</v>
      </c>
      <c r="D154">
        <v>0</v>
      </c>
      <c r="E154" t="str">
        <f>VLOOKUP(D154,name!A:B,2,1)</f>
        <v>Player</v>
      </c>
      <c r="F154" t="str">
        <f>F117</f>
        <v>Я её подруга.</v>
      </c>
      <c r="G154" t="str">
        <f t="shared" si="81"/>
        <v>q</v>
      </c>
      <c r="H154" t="str">
        <f>VLOOKUP(D154,name!A:C,3,1)</f>
        <v>assets/icons/image326.png</v>
      </c>
      <c r="I154" t="str">
        <f>IF(A154="","",VLOOKUP(A154,lng!A:B,2,0))</f>
        <v>ru-RU</v>
      </c>
    </row>
    <row r="155" spans="1:9" x14ac:dyDescent="0.15">
      <c r="A155" t="str">
        <f t="shared" ref="A155:B155" si="113">A154</f>
        <v>ロシア語</v>
      </c>
      <c r="B155">
        <f t="shared" si="113"/>
        <v>2</v>
      </c>
      <c r="C155">
        <f t="shared" si="84"/>
        <v>57</v>
      </c>
      <c r="D155">
        <f>D118</f>
        <v>21</v>
      </c>
      <c r="E155" t="str">
        <f>VLOOKUP(D155,name!A:B,2,1)</f>
        <v>Цубаса</v>
      </c>
      <c r="F155" t="str">
        <f>F118</f>
        <v>ああ、わかりました。</v>
      </c>
      <c r="G155" t="str">
        <f t="shared" si="81"/>
        <v>a</v>
      </c>
      <c r="H155" t="str">
        <f>VLOOKUP(D155,name!A:C,3,1)</f>
        <v>assets/icons/image017.png</v>
      </c>
      <c r="I155" t="s">
        <v>406</v>
      </c>
    </row>
    <row r="156" spans="1:9" x14ac:dyDescent="0.15">
      <c r="A156" t="str">
        <f t="shared" ref="A156:B156" si="114">A155</f>
        <v>ロシア語</v>
      </c>
      <c r="B156">
        <f t="shared" si="114"/>
        <v>2</v>
      </c>
      <c r="C156">
        <f t="shared" si="84"/>
        <v>58</v>
      </c>
      <c r="D156">
        <f>D119</f>
        <v>21</v>
      </c>
      <c r="E156" t="str">
        <f>VLOOKUP(D156,name!A:B,2,1)</f>
        <v>Цубаса</v>
      </c>
      <c r="F156" t="str">
        <f>F119</f>
        <v>А, понятно.</v>
      </c>
      <c r="G156" t="str">
        <f t="shared" si="81"/>
        <v>a</v>
      </c>
      <c r="H156" t="str">
        <f>VLOOKUP(D156,name!A:C,3,1)</f>
        <v>assets/icons/image017.png</v>
      </c>
      <c r="I156" t="str">
        <f>IF(A156="","",VLOOKUP(A156,lng!A:B,2,0))</f>
        <v>ru-RU</v>
      </c>
    </row>
    <row r="157" spans="1:9" x14ac:dyDescent="0.15">
      <c r="A157" t="str">
        <f t="shared" ref="A157:B157" si="115">A156</f>
        <v>ロシア語</v>
      </c>
      <c r="B157">
        <f t="shared" si="115"/>
        <v>2</v>
      </c>
      <c r="C157">
        <f t="shared" si="84"/>
        <v>59</v>
      </c>
      <c r="D157">
        <v>0</v>
      </c>
      <c r="E157" t="str">
        <f>VLOOKUP(D157,name!A:B,2,1)</f>
        <v>Player</v>
      </c>
      <c r="F157" t="str">
        <f>F119</f>
        <v>А, понятно.</v>
      </c>
      <c r="G157" t="str">
        <f t="shared" si="81"/>
        <v>q</v>
      </c>
      <c r="H157" t="str">
        <f>VLOOKUP(D157,name!A:C,3,1)</f>
        <v>assets/icons/image326.png</v>
      </c>
      <c r="I157" t="str">
        <f>IF(A157="","",VLOOKUP(A157,lng!A:B,2,0))</f>
        <v>ru-RU</v>
      </c>
    </row>
    <row r="158" spans="1:9" x14ac:dyDescent="0.15">
      <c r="A158" t="str">
        <f t="shared" ref="A158:B158" si="116">A157</f>
        <v>ロシア語</v>
      </c>
      <c r="B158">
        <f t="shared" si="116"/>
        <v>2</v>
      </c>
      <c r="C158">
        <f t="shared" si="84"/>
        <v>60</v>
      </c>
      <c r="D158">
        <f>D120</f>
        <v>21</v>
      </c>
      <c r="E158" t="str">
        <f>VLOOKUP(D158,name!A:B,2,1)</f>
        <v>Цубаса</v>
      </c>
      <c r="F158" t="str">
        <f>F120</f>
        <v>はじめまして。</v>
      </c>
      <c r="G158" t="str">
        <f t="shared" si="81"/>
        <v>a</v>
      </c>
      <c r="H158" t="str">
        <f>VLOOKUP(D158,name!A:C,3,1)</f>
        <v>assets/icons/image017.png</v>
      </c>
      <c r="I158" t="s">
        <v>406</v>
      </c>
    </row>
    <row r="159" spans="1:9" x14ac:dyDescent="0.15">
      <c r="A159" t="str">
        <f t="shared" ref="A159:B159" si="117">A158</f>
        <v>ロシア語</v>
      </c>
      <c r="B159">
        <f t="shared" si="117"/>
        <v>2</v>
      </c>
      <c r="C159">
        <f t="shared" si="84"/>
        <v>61</v>
      </c>
      <c r="D159">
        <f>D121</f>
        <v>21</v>
      </c>
      <c r="E159" t="str">
        <f>VLOOKUP(D159,name!A:B,2,1)</f>
        <v>Цубаса</v>
      </c>
      <c r="F159" t="str">
        <f>F121</f>
        <v>Очень приятно.</v>
      </c>
      <c r="G159" t="str">
        <f t="shared" si="81"/>
        <v>a</v>
      </c>
      <c r="H159" t="str">
        <f>VLOOKUP(D159,name!A:C,3,1)</f>
        <v>assets/icons/image017.png</v>
      </c>
      <c r="I159" t="str">
        <f>IF(A159="","",VLOOKUP(A159,lng!A:B,2,0))</f>
        <v>ru-RU</v>
      </c>
    </row>
    <row r="160" spans="1:9" x14ac:dyDescent="0.15">
      <c r="A160" t="str">
        <f t="shared" ref="A160:B160" si="118">A159</f>
        <v>ロシア語</v>
      </c>
      <c r="B160">
        <f t="shared" si="118"/>
        <v>2</v>
      </c>
      <c r="C160">
        <f t="shared" si="84"/>
        <v>62</v>
      </c>
      <c r="D160">
        <v>0</v>
      </c>
      <c r="E160" t="str">
        <f>VLOOKUP(D160,name!A:B,2,1)</f>
        <v>Player</v>
      </c>
      <c r="F160" t="str">
        <f>F121</f>
        <v>Очень приятно.</v>
      </c>
      <c r="G160" t="str">
        <f t="shared" si="81"/>
        <v>q</v>
      </c>
      <c r="H160" t="str">
        <f>VLOOKUP(D160,name!A:C,3,1)</f>
        <v>assets/icons/image326.png</v>
      </c>
      <c r="I160" t="str">
        <f>IF(A160="","",VLOOKUP(A160,lng!A:B,2,0))</f>
        <v>ru-RU</v>
      </c>
    </row>
    <row r="161" spans="1:9" x14ac:dyDescent="0.15">
      <c r="A161" t="str">
        <f t="shared" ref="A161:B161" si="119">A160</f>
        <v>ロシア語</v>
      </c>
      <c r="B161">
        <f t="shared" si="119"/>
        <v>2</v>
      </c>
      <c r="C161">
        <f t="shared" si="84"/>
        <v>63</v>
      </c>
      <c r="D161">
        <f>D122</f>
        <v>22</v>
      </c>
      <c r="E161" t="str">
        <f>VLOOKUP(D161,name!A:B,2,1)</f>
        <v>Люда</v>
      </c>
      <c r="F161" t="str">
        <f>F122</f>
        <v>はじめまして。</v>
      </c>
      <c r="G161" t="str">
        <f t="shared" ref="G161:G193" si="120">IF(B161&lt;&gt;B162,"e",IF(D161=0,"q","a"))</f>
        <v>a</v>
      </c>
      <c r="H161" t="str">
        <f>VLOOKUP(D161,name!A:C,3,1)</f>
        <v>assets/icons/image024.png</v>
      </c>
      <c r="I161" t="s">
        <v>406</v>
      </c>
    </row>
    <row r="162" spans="1:9" x14ac:dyDescent="0.15">
      <c r="A162" t="str">
        <f t="shared" ref="A162:B162" si="121">A161</f>
        <v>ロシア語</v>
      </c>
      <c r="B162">
        <f t="shared" si="121"/>
        <v>2</v>
      </c>
      <c r="C162">
        <f t="shared" si="84"/>
        <v>64</v>
      </c>
      <c r="D162">
        <f>D123</f>
        <v>22</v>
      </c>
      <c r="E162" t="str">
        <f>VLOOKUP(D162,name!A:B,2,1)</f>
        <v>Люда</v>
      </c>
      <c r="F162" t="str">
        <f>F123</f>
        <v>Очень приятно.</v>
      </c>
      <c r="G162" t="str">
        <f t="shared" si="120"/>
        <v>a</v>
      </c>
      <c r="H162" t="str">
        <f>VLOOKUP(D162,name!A:C,3,1)</f>
        <v>assets/icons/image024.png</v>
      </c>
      <c r="I162" t="str">
        <f>IF(A162="","",VLOOKUP(A162,lng!A:B,2,0))</f>
        <v>ru-RU</v>
      </c>
    </row>
    <row r="163" spans="1:9" x14ac:dyDescent="0.15">
      <c r="A163" t="str">
        <f t="shared" ref="A163:B163" si="122">A162</f>
        <v>ロシア語</v>
      </c>
      <c r="B163">
        <f t="shared" si="122"/>
        <v>2</v>
      </c>
      <c r="C163">
        <f t="shared" si="84"/>
        <v>65</v>
      </c>
      <c r="D163">
        <v>0</v>
      </c>
      <c r="E163" t="str">
        <f>VLOOKUP(D163,name!A:B,2,1)</f>
        <v>Player</v>
      </c>
      <c r="F163" t="str">
        <f>F123</f>
        <v>Очень приятно.</v>
      </c>
      <c r="G163" t="str">
        <f t="shared" si="120"/>
        <v>q</v>
      </c>
      <c r="H163" t="str">
        <f>VLOOKUP(D163,name!A:C,3,1)</f>
        <v>assets/icons/image326.png</v>
      </c>
      <c r="I163" t="str">
        <f>IF(A163="","",VLOOKUP(A163,lng!A:B,2,0))</f>
        <v>ru-RU</v>
      </c>
    </row>
    <row r="164" spans="1:9" x14ac:dyDescent="0.15">
      <c r="A164" t="str">
        <f t="shared" ref="A164:B164" si="123">A163</f>
        <v>ロシア語</v>
      </c>
      <c r="B164">
        <f t="shared" si="123"/>
        <v>2</v>
      </c>
      <c r="C164">
        <f t="shared" si="84"/>
        <v>66</v>
      </c>
      <c r="D164">
        <f>D124</f>
        <v>21</v>
      </c>
      <c r="E164" t="str">
        <f>VLOOKUP(D164,name!A:B,2,1)</f>
        <v>Цубаса</v>
      </c>
      <c r="F164" t="str">
        <f>F124</f>
        <v>そして、ナターシャはどこにいますか?</v>
      </c>
      <c r="G164" t="str">
        <f t="shared" si="120"/>
        <v>a</v>
      </c>
      <c r="H164" t="str">
        <f>VLOOKUP(D164,name!A:C,3,1)</f>
        <v>assets/icons/image017.png</v>
      </c>
      <c r="I164" t="s">
        <v>406</v>
      </c>
    </row>
    <row r="165" spans="1:9" x14ac:dyDescent="0.15">
      <c r="A165" t="str">
        <f t="shared" ref="A165:B165" si="124">A164</f>
        <v>ロシア語</v>
      </c>
      <c r="B165">
        <f t="shared" si="124"/>
        <v>2</v>
      </c>
      <c r="C165">
        <f t="shared" ref="C165:C202" si="125">C164+1</f>
        <v>67</v>
      </c>
      <c r="D165">
        <f>D125</f>
        <v>21</v>
      </c>
      <c r="E165" t="str">
        <f>VLOOKUP(D165,name!A:B,2,1)</f>
        <v>Цубаса</v>
      </c>
      <c r="F165" t="str">
        <f>F125</f>
        <v>А где Наташа?</v>
      </c>
      <c r="G165" t="str">
        <f t="shared" si="120"/>
        <v>a</v>
      </c>
      <c r="H165" t="str">
        <f>VLOOKUP(D165,name!A:C,3,1)</f>
        <v>assets/icons/image017.png</v>
      </c>
      <c r="I165" t="str">
        <f>IF(A165="","",VLOOKUP(A165,lng!A:B,2,0))</f>
        <v>ru-RU</v>
      </c>
    </row>
    <row r="166" spans="1:9" x14ac:dyDescent="0.15">
      <c r="A166" t="str">
        <f t="shared" ref="A166:B166" si="126">A165</f>
        <v>ロシア語</v>
      </c>
      <c r="B166">
        <f t="shared" si="126"/>
        <v>2</v>
      </c>
      <c r="C166">
        <f t="shared" si="125"/>
        <v>68</v>
      </c>
      <c r="D166">
        <v>0</v>
      </c>
      <c r="E166" t="str">
        <f>VLOOKUP(D166,name!A:B,2,1)</f>
        <v>Player</v>
      </c>
      <c r="F166" t="str">
        <f>F125</f>
        <v>А где Наташа?</v>
      </c>
      <c r="G166" t="str">
        <f t="shared" si="120"/>
        <v>q</v>
      </c>
      <c r="H166" t="str">
        <f>VLOOKUP(D166,name!A:C,3,1)</f>
        <v>assets/icons/image326.png</v>
      </c>
      <c r="I166" t="str">
        <f>IF(A166="","",VLOOKUP(A166,lng!A:B,2,0))</f>
        <v>ru-RU</v>
      </c>
    </row>
    <row r="167" spans="1:9" x14ac:dyDescent="0.15">
      <c r="A167" t="str">
        <f t="shared" ref="A167:B167" si="127">A166</f>
        <v>ロシア語</v>
      </c>
      <c r="B167">
        <f t="shared" si="127"/>
        <v>2</v>
      </c>
      <c r="C167">
        <f t="shared" si="125"/>
        <v>69</v>
      </c>
      <c r="D167">
        <f>D126</f>
        <v>21</v>
      </c>
      <c r="E167" t="str">
        <f>VLOOKUP(D167,name!A:B,2,1)</f>
        <v>Цубаса</v>
      </c>
      <c r="F167" t="str">
        <f>F126</f>
        <v>彼女もここにいますか?</v>
      </c>
      <c r="G167" t="str">
        <f t="shared" si="120"/>
        <v>a</v>
      </c>
      <c r="H167" t="str">
        <f>VLOOKUP(D167,name!A:C,3,1)</f>
        <v>assets/icons/image017.png</v>
      </c>
      <c r="I167" t="s">
        <v>406</v>
      </c>
    </row>
    <row r="168" spans="1:9" x14ac:dyDescent="0.15">
      <c r="A168" t="str">
        <f t="shared" ref="A168:B168" si="128">A167</f>
        <v>ロシア語</v>
      </c>
      <c r="B168">
        <f t="shared" si="128"/>
        <v>2</v>
      </c>
      <c r="C168">
        <f t="shared" si="125"/>
        <v>70</v>
      </c>
      <c r="D168">
        <f>D127</f>
        <v>21</v>
      </c>
      <c r="E168" t="str">
        <f>VLOOKUP(D168,name!A:B,2,1)</f>
        <v>Цубаса</v>
      </c>
      <c r="F168" t="str">
        <f>F127</f>
        <v>Она тоже здесь?</v>
      </c>
      <c r="G168" t="str">
        <f t="shared" si="120"/>
        <v>a</v>
      </c>
      <c r="H168" t="str">
        <f>VLOOKUP(D168,name!A:C,3,1)</f>
        <v>assets/icons/image017.png</v>
      </c>
      <c r="I168" t="str">
        <f>IF(A168="","",VLOOKUP(A168,lng!A:B,2,0))</f>
        <v>ru-RU</v>
      </c>
    </row>
    <row r="169" spans="1:9" x14ac:dyDescent="0.15">
      <c r="A169" t="str">
        <f t="shared" ref="A169:B169" si="129">A168</f>
        <v>ロシア語</v>
      </c>
      <c r="B169">
        <f t="shared" si="129"/>
        <v>2</v>
      </c>
      <c r="C169">
        <f t="shared" si="125"/>
        <v>71</v>
      </c>
      <c r="D169">
        <v>0</v>
      </c>
      <c r="E169" t="str">
        <f>VLOOKUP(D169,name!A:B,2,1)</f>
        <v>Player</v>
      </c>
      <c r="F169" t="str">
        <f>F127</f>
        <v>Она тоже здесь?</v>
      </c>
      <c r="G169" t="str">
        <f t="shared" si="120"/>
        <v>q</v>
      </c>
      <c r="H169" t="str">
        <f>VLOOKUP(D169,name!A:C,3,1)</f>
        <v>assets/icons/image326.png</v>
      </c>
      <c r="I169" t="str">
        <f>IF(A169="","",VLOOKUP(A169,lng!A:B,2,0))</f>
        <v>ru-RU</v>
      </c>
    </row>
    <row r="170" spans="1:9" x14ac:dyDescent="0.15">
      <c r="A170" t="str">
        <f t="shared" ref="A170:B170" si="130">A169</f>
        <v>ロシア語</v>
      </c>
      <c r="B170">
        <f t="shared" si="130"/>
        <v>2</v>
      </c>
      <c r="C170">
        <f t="shared" si="125"/>
        <v>72</v>
      </c>
      <c r="D170">
        <f>D128</f>
        <v>22</v>
      </c>
      <c r="E170" t="str">
        <f>VLOOKUP(D170,name!A:B,2,1)</f>
        <v>Люда</v>
      </c>
      <c r="F170" t="str">
        <f>F128</f>
        <v>いいえ、今日は仕事です。</v>
      </c>
      <c r="G170" t="str">
        <f t="shared" si="120"/>
        <v>a</v>
      </c>
      <c r="H170" t="str">
        <f>VLOOKUP(D170,name!A:C,3,1)</f>
        <v>assets/icons/image024.png</v>
      </c>
      <c r="I170" t="s">
        <v>406</v>
      </c>
    </row>
    <row r="171" spans="1:9" x14ac:dyDescent="0.15">
      <c r="A171" t="str">
        <f t="shared" ref="A171:B171" si="131">A170</f>
        <v>ロシア語</v>
      </c>
      <c r="B171">
        <f t="shared" si="131"/>
        <v>2</v>
      </c>
      <c r="C171">
        <f t="shared" si="125"/>
        <v>73</v>
      </c>
      <c r="D171">
        <f>D129</f>
        <v>22</v>
      </c>
      <c r="E171" t="str">
        <f>VLOOKUP(D171,name!A:B,2,1)</f>
        <v>Люда</v>
      </c>
      <c r="F171" t="str">
        <f>F129</f>
        <v>Нет, сегодня работа.</v>
      </c>
      <c r="G171" t="str">
        <f t="shared" si="120"/>
        <v>a</v>
      </c>
      <c r="H171" t="str">
        <f>VLOOKUP(D171,name!A:C,3,1)</f>
        <v>assets/icons/image024.png</v>
      </c>
      <c r="I171" t="str">
        <f>IF(A171="","",VLOOKUP(A171,lng!A:B,2,0))</f>
        <v>ru-RU</v>
      </c>
    </row>
    <row r="172" spans="1:9" x14ac:dyDescent="0.15">
      <c r="A172" t="str">
        <f t="shared" ref="A172:B172" si="132">A171</f>
        <v>ロシア語</v>
      </c>
      <c r="B172">
        <f t="shared" si="132"/>
        <v>2</v>
      </c>
      <c r="C172">
        <f t="shared" si="125"/>
        <v>74</v>
      </c>
      <c r="D172">
        <v>0</v>
      </c>
      <c r="E172" t="str">
        <f>VLOOKUP(D172,name!A:B,2,1)</f>
        <v>Player</v>
      </c>
      <c r="F172" t="str">
        <f>F129</f>
        <v>Нет, сегодня работа.</v>
      </c>
      <c r="G172" t="str">
        <f t="shared" si="120"/>
        <v>q</v>
      </c>
      <c r="H172" t="str">
        <f>VLOOKUP(D172,name!A:C,3,1)</f>
        <v>assets/icons/image326.png</v>
      </c>
      <c r="I172" t="str">
        <f>IF(A172="","",VLOOKUP(A172,lng!A:B,2,0))</f>
        <v>ru-RU</v>
      </c>
    </row>
    <row r="173" spans="1:9" x14ac:dyDescent="0.15">
      <c r="A173" t="str">
        <f t="shared" ref="A173:B173" si="133">A172</f>
        <v>ロシア語</v>
      </c>
      <c r="B173">
        <f t="shared" si="133"/>
        <v>2</v>
      </c>
      <c r="C173">
        <f t="shared" si="125"/>
        <v>75</v>
      </c>
      <c r="D173">
        <v>1</v>
      </c>
      <c r="E173" t="str">
        <f>VLOOKUP(D173,name!A:B,2,1)</f>
        <v>Navigator</v>
      </c>
      <c r="F173" t="str">
        <f>"次の日本語を"&amp;A173&amp;"に訳して答えてね！"</f>
        <v>次の日本語をロシア語に訳して答えてね！</v>
      </c>
      <c r="G173" t="str">
        <f t="shared" si="120"/>
        <v>a</v>
      </c>
      <c r="H173" t="str">
        <f>VLOOKUP(D173,name!A:C,3,1)</f>
        <v>assets/icons/image014.png</v>
      </c>
      <c r="I173" t="s">
        <v>403</v>
      </c>
    </row>
    <row r="174" spans="1:9" x14ac:dyDescent="0.15">
      <c r="A174" t="str">
        <f t="shared" ref="A174:B174" si="134">A173</f>
        <v>ロシア語</v>
      </c>
      <c r="B174">
        <f t="shared" si="134"/>
        <v>2</v>
      </c>
      <c r="C174">
        <f t="shared" si="125"/>
        <v>76</v>
      </c>
      <c r="D174">
        <f>D102</f>
        <v>22</v>
      </c>
      <c r="E174" t="str">
        <f>VLOOKUP(D174,name!A:B,2,1)</f>
        <v>Люда</v>
      </c>
      <c r="F174" t="str">
        <f t="shared" ref="F174:F201" si="135">F102</f>
        <v>こんにちは、あなたは翼ですか?</v>
      </c>
      <c r="G174" t="str">
        <f t="shared" si="120"/>
        <v>a</v>
      </c>
      <c r="H174" t="str">
        <f>VLOOKUP(D174,name!A:C,3,1)</f>
        <v>assets/icons/image024.png</v>
      </c>
      <c r="I174" t="s">
        <v>403</v>
      </c>
    </row>
    <row r="175" spans="1:9" x14ac:dyDescent="0.15">
      <c r="A175" t="str">
        <f t="shared" ref="A175:B175" si="136">A174</f>
        <v>ロシア語</v>
      </c>
      <c r="B175">
        <f t="shared" si="136"/>
        <v>2</v>
      </c>
      <c r="C175">
        <f t="shared" si="125"/>
        <v>77</v>
      </c>
      <c r="D175">
        <v>0</v>
      </c>
      <c r="E175" t="str">
        <f>VLOOKUP(D175,name!A:B,2,1)</f>
        <v>Player</v>
      </c>
      <c r="F175" t="str">
        <f t="shared" si="135"/>
        <v>Здравствуйте, вы Цубаса?</v>
      </c>
      <c r="G175" t="str">
        <f t="shared" si="120"/>
        <v>q</v>
      </c>
      <c r="H175" t="str">
        <f>VLOOKUP(D175,name!A:C,3,1)</f>
        <v>assets/icons/image326.png</v>
      </c>
      <c r="I175" t="str">
        <f>IF(A175="","",VLOOKUP(A175,lng!A:B,2,0))</f>
        <v>ru-RU</v>
      </c>
    </row>
    <row r="176" spans="1:9" x14ac:dyDescent="0.15">
      <c r="A176" t="str">
        <f t="shared" ref="A176:B176" si="137">A175</f>
        <v>ロシア語</v>
      </c>
      <c r="B176">
        <f t="shared" si="137"/>
        <v>2</v>
      </c>
      <c r="C176">
        <f t="shared" si="125"/>
        <v>78</v>
      </c>
      <c r="D176">
        <f>D104</f>
        <v>21</v>
      </c>
      <c r="E176" t="str">
        <f>VLOOKUP(D176,name!A:B,2,1)</f>
        <v>Цубаса</v>
      </c>
      <c r="F176" t="str">
        <f t="shared" si="135"/>
        <v>はい、翼です。</v>
      </c>
      <c r="G176" t="str">
        <f t="shared" si="120"/>
        <v>a</v>
      </c>
      <c r="H176" t="str">
        <f>VLOOKUP(D176,name!A:C,3,1)</f>
        <v>assets/icons/image017.png</v>
      </c>
      <c r="I176" t="s">
        <v>403</v>
      </c>
    </row>
    <row r="177" spans="1:9" x14ac:dyDescent="0.15">
      <c r="A177" t="str">
        <f t="shared" ref="A177:B177" si="138">A176</f>
        <v>ロシア語</v>
      </c>
      <c r="B177">
        <f t="shared" si="138"/>
        <v>2</v>
      </c>
      <c r="C177">
        <f t="shared" si="125"/>
        <v>79</v>
      </c>
      <c r="D177">
        <v>0</v>
      </c>
      <c r="E177" t="str">
        <f>VLOOKUP(D177,name!A:B,2,1)</f>
        <v>Player</v>
      </c>
      <c r="F177" t="str">
        <f t="shared" si="135"/>
        <v xml:space="preserve">Да, я Цубаса. </v>
      </c>
      <c r="G177" t="str">
        <f t="shared" si="120"/>
        <v>q</v>
      </c>
      <c r="H177" t="str">
        <f>VLOOKUP(D177,name!A:C,3,1)</f>
        <v>assets/icons/image326.png</v>
      </c>
      <c r="I177" t="str">
        <f>IF(A177="","",VLOOKUP(A177,lng!A:B,2,0))</f>
        <v>ru-RU</v>
      </c>
    </row>
    <row r="178" spans="1:9" x14ac:dyDescent="0.15">
      <c r="A178" t="str">
        <f t="shared" ref="A178:B178" si="139">A177</f>
        <v>ロシア語</v>
      </c>
      <c r="B178">
        <f t="shared" si="139"/>
        <v>2</v>
      </c>
      <c r="C178">
        <f t="shared" si="125"/>
        <v>80</v>
      </c>
      <c r="D178">
        <f>D106</f>
        <v>21</v>
      </c>
      <c r="E178" t="str">
        <f>VLOOKUP(D178,name!A:B,2,1)</f>
        <v>Цубаса</v>
      </c>
      <c r="F178" t="str">
        <f t="shared" si="135"/>
        <v>あなたはナターシャですか?</v>
      </c>
      <c r="G178" t="str">
        <f t="shared" si="120"/>
        <v>a</v>
      </c>
      <c r="H178" t="str">
        <f>VLOOKUP(D178,name!A:C,3,1)</f>
        <v>assets/icons/image017.png</v>
      </c>
      <c r="I178" t="s">
        <v>403</v>
      </c>
    </row>
    <row r="179" spans="1:9" x14ac:dyDescent="0.15">
      <c r="A179" t="str">
        <f t="shared" ref="A179:B179" si="140">A178</f>
        <v>ロシア語</v>
      </c>
      <c r="B179">
        <f t="shared" si="140"/>
        <v>2</v>
      </c>
      <c r="C179">
        <f t="shared" si="125"/>
        <v>81</v>
      </c>
      <c r="D179">
        <v>0</v>
      </c>
      <c r="E179" t="str">
        <f>VLOOKUP(D179,name!A:B,2,1)</f>
        <v>Player</v>
      </c>
      <c r="F179" t="str">
        <f t="shared" si="135"/>
        <v>А вы Наташа?</v>
      </c>
      <c r="G179" t="str">
        <f t="shared" si="120"/>
        <v>q</v>
      </c>
      <c r="H179" t="str">
        <f>VLOOKUP(D179,name!A:C,3,1)</f>
        <v>assets/icons/image326.png</v>
      </c>
      <c r="I179" t="str">
        <f>IF(A179="","",VLOOKUP(A179,lng!A:B,2,0))</f>
        <v>ru-RU</v>
      </c>
    </row>
    <row r="180" spans="1:9" x14ac:dyDescent="0.15">
      <c r="A180" t="str">
        <f t="shared" ref="A180:B180" si="141">A179</f>
        <v>ロシア語</v>
      </c>
      <c r="B180">
        <f t="shared" si="141"/>
        <v>2</v>
      </c>
      <c r="C180">
        <f t="shared" si="125"/>
        <v>82</v>
      </c>
      <c r="D180">
        <f>D108</f>
        <v>22</v>
      </c>
      <c r="E180" t="str">
        <f>VLOOKUP(D180,name!A:B,2,1)</f>
        <v>Люда</v>
      </c>
      <c r="F180" t="str">
        <f t="shared" si="135"/>
        <v>いいえ、私はナターシャではありません。</v>
      </c>
      <c r="G180" t="str">
        <f t="shared" si="120"/>
        <v>a</v>
      </c>
      <c r="H180" t="str">
        <f>VLOOKUP(D180,name!A:C,3,1)</f>
        <v>assets/icons/image024.png</v>
      </c>
      <c r="I180" t="s">
        <v>403</v>
      </c>
    </row>
    <row r="181" spans="1:9" x14ac:dyDescent="0.15">
      <c r="A181" t="str">
        <f t="shared" ref="A181:B181" si="142">A180</f>
        <v>ロシア語</v>
      </c>
      <c r="B181">
        <f t="shared" si="142"/>
        <v>2</v>
      </c>
      <c r="C181">
        <f t="shared" si="125"/>
        <v>83</v>
      </c>
      <c r="D181">
        <v>0</v>
      </c>
      <c r="E181" t="str">
        <f>VLOOKUP(D181,name!A:B,2,1)</f>
        <v>Player</v>
      </c>
      <c r="F181" t="str">
        <f t="shared" si="135"/>
        <v>Нет, я не Наташа.</v>
      </c>
      <c r="G181" t="str">
        <f t="shared" si="120"/>
        <v>q</v>
      </c>
      <c r="H181" t="str">
        <f>VLOOKUP(D181,name!A:C,3,1)</f>
        <v>assets/icons/image326.png</v>
      </c>
      <c r="I181" t="str">
        <f>IF(A181="","",VLOOKUP(A181,lng!A:B,2,0))</f>
        <v>ru-RU</v>
      </c>
    </row>
    <row r="182" spans="1:9" x14ac:dyDescent="0.15">
      <c r="A182" t="str">
        <f t="shared" ref="A182:B182" si="143">A181</f>
        <v>ロシア語</v>
      </c>
      <c r="B182">
        <f t="shared" si="143"/>
        <v>2</v>
      </c>
      <c r="C182">
        <f t="shared" si="125"/>
        <v>84</v>
      </c>
      <c r="D182">
        <f>D110</f>
        <v>21</v>
      </c>
      <c r="E182" t="str">
        <f>VLOOKUP(D182,name!A:B,2,1)</f>
        <v>Цубаса</v>
      </c>
      <c r="F182" t="str">
        <f t="shared" si="135"/>
        <v>おかしいな。</v>
      </c>
      <c r="G182" t="str">
        <f t="shared" si="120"/>
        <v>a</v>
      </c>
      <c r="H182" t="str">
        <f>VLOOKUP(D182,name!A:C,3,1)</f>
        <v>assets/icons/image017.png</v>
      </c>
      <c r="I182" t="s">
        <v>403</v>
      </c>
    </row>
    <row r="183" spans="1:9" x14ac:dyDescent="0.15">
      <c r="A183" t="str">
        <f t="shared" ref="A183:B183" si="144">A182</f>
        <v>ロシア語</v>
      </c>
      <c r="B183">
        <f t="shared" si="144"/>
        <v>2</v>
      </c>
      <c r="C183">
        <f t="shared" si="125"/>
        <v>85</v>
      </c>
      <c r="D183">
        <v>0</v>
      </c>
      <c r="E183" t="str">
        <f>VLOOKUP(D183,name!A:B,2,1)</f>
        <v>Player</v>
      </c>
      <c r="F183" t="str">
        <f t="shared" si="135"/>
        <v>Странно.</v>
      </c>
      <c r="G183" t="str">
        <f t="shared" si="120"/>
        <v>q</v>
      </c>
      <c r="H183" t="str">
        <f>VLOOKUP(D183,name!A:C,3,1)</f>
        <v>assets/icons/image326.png</v>
      </c>
      <c r="I183" t="str">
        <f>IF(A183="","",VLOOKUP(A183,lng!A:B,2,0))</f>
        <v>ru-RU</v>
      </c>
    </row>
    <row r="184" spans="1:9" x14ac:dyDescent="0.15">
      <c r="A184" t="str">
        <f t="shared" ref="A184:B184" si="145">A183</f>
        <v>ロシア語</v>
      </c>
      <c r="B184">
        <f t="shared" si="145"/>
        <v>2</v>
      </c>
      <c r="C184">
        <f t="shared" si="125"/>
        <v>86</v>
      </c>
      <c r="D184">
        <f>D112</f>
        <v>21</v>
      </c>
      <c r="E184" t="str">
        <f>VLOOKUP(D184,name!A:B,2,1)</f>
        <v>Цубаса</v>
      </c>
      <c r="F184" t="str">
        <f t="shared" si="135"/>
        <v>すみません、あなたは誰ですか?</v>
      </c>
      <c r="G184" t="str">
        <f t="shared" si="120"/>
        <v>a</v>
      </c>
      <c r="H184" t="str">
        <f>VLOOKUP(D184,name!A:C,3,1)</f>
        <v>assets/icons/image017.png</v>
      </c>
      <c r="I184" t="s">
        <v>403</v>
      </c>
    </row>
    <row r="185" spans="1:9" x14ac:dyDescent="0.15">
      <c r="A185" t="str">
        <f t="shared" ref="A185:B185" si="146">A184</f>
        <v>ロシア語</v>
      </c>
      <c r="B185">
        <f t="shared" si="146"/>
        <v>2</v>
      </c>
      <c r="C185">
        <f t="shared" si="125"/>
        <v>87</v>
      </c>
      <c r="D185">
        <v>0</v>
      </c>
      <c r="E185" t="str">
        <f>VLOOKUP(D185,name!A:B,2,1)</f>
        <v>Player</v>
      </c>
      <c r="F185" t="str">
        <f t="shared" si="135"/>
        <v>Извините, кто вы?</v>
      </c>
      <c r="G185" t="str">
        <f t="shared" si="120"/>
        <v>q</v>
      </c>
      <c r="H185" t="str">
        <f>VLOOKUP(D185,name!A:C,3,1)</f>
        <v>assets/icons/image326.png</v>
      </c>
      <c r="I185" t="str">
        <f>IF(A185="","",VLOOKUP(A185,lng!A:B,2,0))</f>
        <v>ru-RU</v>
      </c>
    </row>
    <row r="186" spans="1:9" x14ac:dyDescent="0.15">
      <c r="A186" t="str">
        <f t="shared" ref="A186:B186" si="147">A185</f>
        <v>ロシア語</v>
      </c>
      <c r="B186">
        <f t="shared" si="147"/>
        <v>2</v>
      </c>
      <c r="C186">
        <f t="shared" si="125"/>
        <v>88</v>
      </c>
      <c r="D186">
        <f>D114</f>
        <v>22</v>
      </c>
      <c r="E186" t="str">
        <f>VLOOKUP(D186,name!A:B,2,1)</f>
        <v>Люда</v>
      </c>
      <c r="F186" t="str">
        <f t="shared" si="135"/>
        <v>私はリューダです。</v>
      </c>
      <c r="G186" t="str">
        <f t="shared" si="120"/>
        <v>a</v>
      </c>
      <c r="H186" t="str">
        <f>VLOOKUP(D186,name!A:C,3,1)</f>
        <v>assets/icons/image024.png</v>
      </c>
      <c r="I186" t="s">
        <v>403</v>
      </c>
    </row>
    <row r="187" spans="1:9" x14ac:dyDescent="0.15">
      <c r="A187" t="str">
        <f t="shared" ref="A187:B187" si="148">A186</f>
        <v>ロシア語</v>
      </c>
      <c r="B187">
        <f t="shared" si="148"/>
        <v>2</v>
      </c>
      <c r="C187">
        <f t="shared" si="125"/>
        <v>89</v>
      </c>
      <c r="D187">
        <v>0</v>
      </c>
      <c r="E187" t="str">
        <f>VLOOKUP(D187,name!A:B,2,1)</f>
        <v>Player</v>
      </c>
      <c r="F187" t="str">
        <f t="shared" si="135"/>
        <v xml:space="preserve">Я Люда. </v>
      </c>
      <c r="G187" t="str">
        <f t="shared" si="120"/>
        <v>q</v>
      </c>
      <c r="H187" t="str">
        <f>VLOOKUP(D187,name!A:C,3,1)</f>
        <v>assets/icons/image326.png</v>
      </c>
      <c r="I187" t="str">
        <f>IF(A187="","",VLOOKUP(A187,lng!A:B,2,0))</f>
        <v>ru-RU</v>
      </c>
    </row>
    <row r="188" spans="1:9" x14ac:dyDescent="0.15">
      <c r="A188" t="str">
        <f t="shared" ref="A188:B188" si="149">A187</f>
        <v>ロシア語</v>
      </c>
      <c r="B188">
        <f t="shared" si="149"/>
        <v>2</v>
      </c>
      <c r="C188">
        <f t="shared" si="125"/>
        <v>90</v>
      </c>
      <c r="D188">
        <f>D116</f>
        <v>22</v>
      </c>
      <c r="E188" t="str">
        <f>VLOOKUP(D188,name!A:B,2,1)</f>
        <v>Люда</v>
      </c>
      <c r="F188" t="str">
        <f t="shared" si="135"/>
        <v>私は彼女の友達です。</v>
      </c>
      <c r="G188" t="str">
        <f t="shared" si="120"/>
        <v>a</v>
      </c>
      <c r="H188" t="str">
        <f>VLOOKUP(D188,name!A:C,3,1)</f>
        <v>assets/icons/image024.png</v>
      </c>
      <c r="I188" t="s">
        <v>403</v>
      </c>
    </row>
    <row r="189" spans="1:9" x14ac:dyDescent="0.15">
      <c r="A189" t="str">
        <f t="shared" ref="A189:B189" si="150">A188</f>
        <v>ロシア語</v>
      </c>
      <c r="B189">
        <f t="shared" si="150"/>
        <v>2</v>
      </c>
      <c r="C189">
        <f t="shared" si="125"/>
        <v>91</v>
      </c>
      <c r="D189">
        <v>0</v>
      </c>
      <c r="E189" t="str">
        <f>VLOOKUP(D189,name!A:B,2,1)</f>
        <v>Player</v>
      </c>
      <c r="F189" t="str">
        <f t="shared" si="135"/>
        <v>Я её подруга.</v>
      </c>
      <c r="G189" t="str">
        <f t="shared" si="120"/>
        <v>q</v>
      </c>
      <c r="H189" t="str">
        <f>VLOOKUP(D189,name!A:C,3,1)</f>
        <v>assets/icons/image326.png</v>
      </c>
      <c r="I189" t="str">
        <f>IF(A189="","",VLOOKUP(A189,lng!A:B,2,0))</f>
        <v>ru-RU</v>
      </c>
    </row>
    <row r="190" spans="1:9" x14ac:dyDescent="0.15">
      <c r="A190" t="str">
        <f t="shared" ref="A190:B190" si="151">A189</f>
        <v>ロシア語</v>
      </c>
      <c r="B190">
        <f t="shared" si="151"/>
        <v>2</v>
      </c>
      <c r="C190">
        <f t="shared" si="125"/>
        <v>92</v>
      </c>
      <c r="D190">
        <f>D118</f>
        <v>21</v>
      </c>
      <c r="E190" t="str">
        <f>VLOOKUP(D190,name!A:B,2,1)</f>
        <v>Цубаса</v>
      </c>
      <c r="F190" t="str">
        <f t="shared" si="135"/>
        <v>ああ、わかりました。</v>
      </c>
      <c r="G190" t="str">
        <f t="shared" si="120"/>
        <v>a</v>
      </c>
      <c r="H190" t="str">
        <f>VLOOKUP(D190,name!A:C,3,1)</f>
        <v>assets/icons/image017.png</v>
      </c>
      <c r="I190" t="s">
        <v>403</v>
      </c>
    </row>
    <row r="191" spans="1:9" x14ac:dyDescent="0.15">
      <c r="A191" t="str">
        <f t="shared" ref="A191:B191" si="152">A190</f>
        <v>ロシア語</v>
      </c>
      <c r="B191">
        <f t="shared" si="152"/>
        <v>2</v>
      </c>
      <c r="C191">
        <f t="shared" si="125"/>
        <v>93</v>
      </c>
      <c r="D191">
        <v>0</v>
      </c>
      <c r="E191" t="str">
        <f>VLOOKUP(D191,name!A:B,2,1)</f>
        <v>Player</v>
      </c>
      <c r="F191" t="str">
        <f t="shared" si="135"/>
        <v>А, понятно.</v>
      </c>
      <c r="G191" t="str">
        <f t="shared" si="120"/>
        <v>q</v>
      </c>
      <c r="H191" t="str">
        <f>VLOOKUP(D191,name!A:C,3,1)</f>
        <v>assets/icons/image326.png</v>
      </c>
      <c r="I191" t="str">
        <f>IF(A191="","",VLOOKUP(A191,lng!A:B,2,0))</f>
        <v>ru-RU</v>
      </c>
    </row>
    <row r="192" spans="1:9" x14ac:dyDescent="0.15">
      <c r="A192" t="str">
        <f t="shared" ref="A192:B192" si="153">A191</f>
        <v>ロシア語</v>
      </c>
      <c r="B192">
        <f t="shared" si="153"/>
        <v>2</v>
      </c>
      <c r="C192">
        <f t="shared" si="125"/>
        <v>94</v>
      </c>
      <c r="D192">
        <f>D120</f>
        <v>21</v>
      </c>
      <c r="E192" t="str">
        <f>VLOOKUP(D192,name!A:B,2,1)</f>
        <v>Цубаса</v>
      </c>
      <c r="F192" t="str">
        <f t="shared" si="135"/>
        <v>はじめまして。</v>
      </c>
      <c r="G192" t="str">
        <f t="shared" si="120"/>
        <v>a</v>
      </c>
      <c r="H192" t="str">
        <f>VLOOKUP(D192,name!A:C,3,1)</f>
        <v>assets/icons/image017.png</v>
      </c>
      <c r="I192" t="s">
        <v>403</v>
      </c>
    </row>
    <row r="193" spans="1:12" x14ac:dyDescent="0.15">
      <c r="A193" t="str">
        <f t="shared" ref="A193:B193" si="154">A192</f>
        <v>ロシア語</v>
      </c>
      <c r="B193">
        <f t="shared" si="154"/>
        <v>2</v>
      </c>
      <c r="C193">
        <f t="shared" si="125"/>
        <v>95</v>
      </c>
      <c r="D193">
        <v>0</v>
      </c>
      <c r="E193" t="str">
        <f>VLOOKUP(D193,name!A:B,2,1)</f>
        <v>Player</v>
      </c>
      <c r="F193" t="str">
        <f t="shared" si="135"/>
        <v>Очень приятно.</v>
      </c>
      <c r="G193" t="str">
        <f t="shared" si="120"/>
        <v>q</v>
      </c>
      <c r="H193" t="str">
        <f>VLOOKUP(D193,name!A:C,3,1)</f>
        <v>assets/icons/image326.png</v>
      </c>
      <c r="I193" t="str">
        <f>IF(A193="","",VLOOKUP(A193,lng!A:B,2,0))</f>
        <v>ru-RU</v>
      </c>
    </row>
    <row r="194" spans="1:12" x14ac:dyDescent="0.15">
      <c r="A194" t="str">
        <f t="shared" ref="A194:B194" si="155">A193</f>
        <v>ロシア語</v>
      </c>
      <c r="B194">
        <f t="shared" si="155"/>
        <v>2</v>
      </c>
      <c r="C194">
        <f t="shared" si="125"/>
        <v>96</v>
      </c>
      <c r="D194">
        <f>D122</f>
        <v>22</v>
      </c>
      <c r="E194" t="str">
        <f>VLOOKUP(D194,name!A:B,2,1)</f>
        <v>Люда</v>
      </c>
      <c r="F194" t="str">
        <f t="shared" si="135"/>
        <v>はじめまして。</v>
      </c>
      <c r="G194" t="str">
        <f t="shared" ref="G194:G257" si="156">IF(B194&lt;&gt;B195,"e",IF(D194=0,"q","a"))</f>
        <v>a</v>
      </c>
      <c r="H194" t="str">
        <f>VLOOKUP(D194,name!A:C,3,1)</f>
        <v>assets/icons/image024.png</v>
      </c>
      <c r="I194" t="s">
        <v>403</v>
      </c>
    </row>
    <row r="195" spans="1:12" x14ac:dyDescent="0.15">
      <c r="A195" t="str">
        <f t="shared" ref="A195:B195" si="157">A194</f>
        <v>ロシア語</v>
      </c>
      <c r="B195">
        <f t="shared" si="157"/>
        <v>2</v>
      </c>
      <c r="C195">
        <f t="shared" si="125"/>
        <v>97</v>
      </c>
      <c r="D195">
        <v>0</v>
      </c>
      <c r="E195" t="str">
        <f>VLOOKUP(D195,name!A:B,2,1)</f>
        <v>Player</v>
      </c>
      <c r="F195" t="str">
        <f t="shared" si="135"/>
        <v>Очень приятно.</v>
      </c>
      <c r="G195" t="str">
        <f t="shared" si="156"/>
        <v>q</v>
      </c>
      <c r="H195" t="str">
        <f>VLOOKUP(D195,name!A:C,3,1)</f>
        <v>assets/icons/image326.png</v>
      </c>
      <c r="I195" t="str">
        <f>IF(A195="","",VLOOKUP(A195,lng!A:B,2,0))</f>
        <v>ru-RU</v>
      </c>
    </row>
    <row r="196" spans="1:12" x14ac:dyDescent="0.15">
      <c r="A196" t="str">
        <f t="shared" ref="A196:B196" si="158">A195</f>
        <v>ロシア語</v>
      </c>
      <c r="B196">
        <f t="shared" si="158"/>
        <v>2</v>
      </c>
      <c r="C196">
        <f t="shared" si="125"/>
        <v>98</v>
      </c>
      <c r="D196">
        <f>D124</f>
        <v>21</v>
      </c>
      <c r="E196" t="str">
        <f>VLOOKUP(D196,name!A:B,2,1)</f>
        <v>Цубаса</v>
      </c>
      <c r="F196" t="str">
        <f t="shared" si="135"/>
        <v>そして、ナターシャはどこにいますか?</v>
      </c>
      <c r="G196" t="str">
        <f t="shared" si="156"/>
        <v>a</v>
      </c>
      <c r="H196" t="str">
        <f>VLOOKUP(D196,name!A:C,3,1)</f>
        <v>assets/icons/image017.png</v>
      </c>
      <c r="I196" t="s">
        <v>403</v>
      </c>
    </row>
    <row r="197" spans="1:12" x14ac:dyDescent="0.15">
      <c r="A197" t="str">
        <f t="shared" ref="A197:B197" si="159">A196</f>
        <v>ロシア語</v>
      </c>
      <c r="B197">
        <f t="shared" si="159"/>
        <v>2</v>
      </c>
      <c r="C197">
        <f t="shared" si="125"/>
        <v>99</v>
      </c>
      <c r="D197">
        <v>0</v>
      </c>
      <c r="E197" t="str">
        <f>VLOOKUP(D197,name!A:B,2,1)</f>
        <v>Player</v>
      </c>
      <c r="F197" t="str">
        <f t="shared" si="135"/>
        <v>А где Наташа?</v>
      </c>
      <c r="G197" t="str">
        <f t="shared" si="156"/>
        <v>q</v>
      </c>
      <c r="H197" t="str">
        <f>VLOOKUP(D197,name!A:C,3,1)</f>
        <v>assets/icons/image326.png</v>
      </c>
      <c r="I197" t="str">
        <f>IF(A197="","",VLOOKUP(A197,lng!A:B,2,0))</f>
        <v>ru-RU</v>
      </c>
    </row>
    <row r="198" spans="1:12" x14ac:dyDescent="0.15">
      <c r="A198" t="str">
        <f t="shared" ref="A198:B198" si="160">A197</f>
        <v>ロシア語</v>
      </c>
      <c r="B198">
        <f t="shared" si="160"/>
        <v>2</v>
      </c>
      <c r="C198">
        <f t="shared" si="125"/>
        <v>100</v>
      </c>
      <c r="D198">
        <f>D126</f>
        <v>21</v>
      </c>
      <c r="E198" t="str">
        <f>VLOOKUP(D198,name!A:B,2,1)</f>
        <v>Цубаса</v>
      </c>
      <c r="F198" t="str">
        <f t="shared" si="135"/>
        <v>彼女もここにいますか?</v>
      </c>
      <c r="G198" t="str">
        <f t="shared" si="156"/>
        <v>a</v>
      </c>
      <c r="H198" t="str">
        <f>VLOOKUP(D198,name!A:C,3,1)</f>
        <v>assets/icons/image017.png</v>
      </c>
      <c r="I198" t="s">
        <v>403</v>
      </c>
    </row>
    <row r="199" spans="1:12" x14ac:dyDescent="0.15">
      <c r="A199" t="str">
        <f t="shared" ref="A199:B199" si="161">A198</f>
        <v>ロシア語</v>
      </c>
      <c r="B199">
        <f t="shared" si="161"/>
        <v>2</v>
      </c>
      <c r="C199">
        <f t="shared" si="125"/>
        <v>101</v>
      </c>
      <c r="D199">
        <v>0</v>
      </c>
      <c r="E199" t="str">
        <f>VLOOKUP(D199,name!A:B,2,1)</f>
        <v>Player</v>
      </c>
      <c r="F199" t="str">
        <f t="shared" si="135"/>
        <v>Она тоже здесь?</v>
      </c>
      <c r="G199" t="str">
        <f t="shared" si="156"/>
        <v>q</v>
      </c>
      <c r="H199" t="str">
        <f>VLOOKUP(D199,name!A:C,3,1)</f>
        <v>assets/icons/image326.png</v>
      </c>
      <c r="I199" t="str">
        <f>IF(A199="","",VLOOKUP(A199,lng!A:B,2,0))</f>
        <v>ru-RU</v>
      </c>
    </row>
    <row r="200" spans="1:12" x14ac:dyDescent="0.15">
      <c r="A200" t="str">
        <f t="shared" ref="A200:B200" si="162">A199</f>
        <v>ロシア語</v>
      </c>
      <c r="B200">
        <f t="shared" si="162"/>
        <v>2</v>
      </c>
      <c r="C200">
        <f t="shared" si="125"/>
        <v>102</v>
      </c>
      <c r="D200">
        <f>D128</f>
        <v>22</v>
      </c>
      <c r="E200" t="str">
        <f>VLOOKUP(D200,name!A:B,2,1)</f>
        <v>Люда</v>
      </c>
      <c r="F200" t="str">
        <f t="shared" si="135"/>
        <v>いいえ、今日は仕事です。</v>
      </c>
      <c r="G200" t="str">
        <f t="shared" si="156"/>
        <v>a</v>
      </c>
      <c r="H200" t="str">
        <f>VLOOKUP(D200,name!A:C,3,1)</f>
        <v>assets/icons/image024.png</v>
      </c>
      <c r="I200" t="s">
        <v>403</v>
      </c>
    </row>
    <row r="201" spans="1:12" x14ac:dyDescent="0.15">
      <c r="A201" t="str">
        <f t="shared" ref="A201:B201" si="163">A200</f>
        <v>ロシア語</v>
      </c>
      <c r="B201">
        <f t="shared" si="163"/>
        <v>2</v>
      </c>
      <c r="C201">
        <f t="shared" si="125"/>
        <v>103</v>
      </c>
      <c r="D201">
        <v>0</v>
      </c>
      <c r="E201" t="str">
        <f>VLOOKUP(D201,name!A:B,2,1)</f>
        <v>Player</v>
      </c>
      <c r="F201" t="str">
        <f t="shared" si="135"/>
        <v>Нет, сегодня работа.</v>
      </c>
      <c r="G201" t="str">
        <f t="shared" si="156"/>
        <v>q</v>
      </c>
      <c r="H201" t="str">
        <f>VLOOKUP(D201,name!A:C,3,1)</f>
        <v>assets/icons/image326.png</v>
      </c>
      <c r="I201" t="str">
        <f>IF(A201="","",VLOOKUP(A201,lng!A:B,2,0))</f>
        <v>ru-RU</v>
      </c>
    </row>
    <row r="202" spans="1:12" x14ac:dyDescent="0.15">
      <c r="A202" t="str">
        <f t="shared" ref="A202:B202" si="164">A201</f>
        <v>ロシア語</v>
      </c>
      <c r="B202">
        <f t="shared" si="164"/>
        <v>2</v>
      </c>
      <c r="C202">
        <f t="shared" si="125"/>
        <v>104</v>
      </c>
      <c r="D202">
        <v>1</v>
      </c>
      <c r="E202" t="str">
        <f>VLOOKUP(D202,name!A:B,2,1)</f>
        <v>Navigator</v>
      </c>
      <c r="F202" t="str">
        <f>"とても良くできました。レッスン"&amp;B202&amp;"はこれで終了です。"</f>
        <v>とても良くできました。レッスン2はこれで終了です。</v>
      </c>
      <c r="G202" t="str">
        <f t="shared" si="156"/>
        <v>e</v>
      </c>
      <c r="H202" t="str">
        <f>VLOOKUP(D202,name!A:C,3,1)</f>
        <v>assets/icons/image014.png</v>
      </c>
      <c r="I202" t="s">
        <v>403</v>
      </c>
    </row>
    <row r="203" spans="1:12" x14ac:dyDescent="0.15">
      <c r="A203" t="str">
        <f>A202</f>
        <v>ロシア語</v>
      </c>
      <c r="B203">
        <f>B202+1</f>
        <v>3</v>
      </c>
      <c r="C203">
        <v>1</v>
      </c>
      <c r="D203">
        <v>1</v>
      </c>
      <c r="E203" t="str">
        <f>VLOOKUP(D203,name!A:B,2,1)</f>
        <v>Navigator</v>
      </c>
      <c r="F203" t="s">
        <v>482</v>
      </c>
      <c r="G203" t="str">
        <f t="shared" si="156"/>
        <v>a</v>
      </c>
      <c r="H203" t="str">
        <f>VLOOKUP(D203,name!A:C,3,1)</f>
        <v>assets/icons/image014.png</v>
      </c>
      <c r="I203" t="str">
        <f>IF(A203="","",VLOOKUP(A203,lng!A:B,2,0))</f>
        <v>ru-RU</v>
      </c>
    </row>
    <row r="204" spans="1:12" x14ac:dyDescent="0.15">
      <c r="A204" t="str">
        <f t="shared" ref="A204:B219" si="165">A203</f>
        <v>ロシア語</v>
      </c>
      <c r="B204">
        <f>B203</f>
        <v>3</v>
      </c>
      <c r="C204">
        <f>C203+1</f>
        <v>2</v>
      </c>
      <c r="D204">
        <v>1</v>
      </c>
      <c r="E204" t="str">
        <f>VLOOKUP(D204,name!A:B,2,1)</f>
        <v>Navigator</v>
      </c>
      <c r="F204" t="str">
        <f>"レッスン"&amp;B204</f>
        <v>レッスン3</v>
      </c>
      <c r="G204" t="str">
        <f t="shared" si="156"/>
        <v>a</v>
      </c>
      <c r="H204" t="str">
        <f>VLOOKUP(D204,name!A:C,3,1)</f>
        <v>assets/icons/image014.png</v>
      </c>
      <c r="I204" t="s">
        <v>403</v>
      </c>
    </row>
    <row r="205" spans="1:12" ht="40.5" x14ac:dyDescent="0.15">
      <c r="A205" t="str">
        <f t="shared" si="165"/>
        <v>ロシア語</v>
      </c>
      <c r="B205">
        <f t="shared" si="165"/>
        <v>3</v>
      </c>
      <c r="C205">
        <f t="shared" ref="C205:C268" si="166">C204+1</f>
        <v>3</v>
      </c>
      <c r="D205">
        <v>1</v>
      </c>
      <c r="E205" t="str">
        <f>VLOOKUP(D205,name!A:B,2,1)</f>
        <v>Navigator</v>
      </c>
      <c r="F205" s="1" t="str">
        <f>"まずは対話文を流します。その後に、日本語と"&amp;A205&amp;"を一文ずつ流すので"&amp;A205&amp;"を真似して下さい。最後に日本語のみを流すので、"&amp;A205&amp;"で答えてください。"</f>
        <v>まずは対話文を流します。その後に、日本語とロシア語を一文ずつ流すのでロシア語を真似して下さい。最後に日本語のみを流すので、ロシア語で答えてください。</v>
      </c>
      <c r="G205" t="str">
        <f t="shared" si="156"/>
        <v>a</v>
      </c>
      <c r="H205" t="str">
        <f>VLOOKUP(D205,name!A:C,3,1)</f>
        <v>assets/icons/image014.png</v>
      </c>
      <c r="I205" t="s">
        <v>404</v>
      </c>
      <c r="L205" s="1"/>
    </row>
    <row r="206" spans="1:12" x14ac:dyDescent="0.15">
      <c r="A206" t="str">
        <f t="shared" si="165"/>
        <v>ロシア語</v>
      </c>
      <c r="B206">
        <f t="shared" si="165"/>
        <v>3</v>
      </c>
      <c r="C206">
        <f t="shared" si="166"/>
        <v>4</v>
      </c>
      <c r="D206">
        <f>D207</f>
        <v>22</v>
      </c>
      <c r="E206" t="str">
        <f>VLOOKUP(D206,name!A:B,2,1)</f>
        <v>Люда</v>
      </c>
      <c r="F206" t="s">
        <v>494</v>
      </c>
      <c r="G206" t="str">
        <f t="shared" si="156"/>
        <v>a</v>
      </c>
      <c r="H206" t="str">
        <f>VLOOKUP(D206,name!A:C,3,1)</f>
        <v>assets/icons/image024.png</v>
      </c>
      <c r="I206" t="s">
        <v>405</v>
      </c>
    </row>
    <row r="207" spans="1:12" x14ac:dyDescent="0.15">
      <c r="A207" t="str">
        <f t="shared" si="165"/>
        <v>ロシア語</v>
      </c>
      <c r="B207">
        <f t="shared" si="165"/>
        <v>3</v>
      </c>
      <c r="C207">
        <f t="shared" si="166"/>
        <v>5</v>
      </c>
      <c r="D207">
        <v>22</v>
      </c>
      <c r="E207" t="str">
        <f>VLOOKUP(D207,name!A:B,2,1)</f>
        <v>Люда</v>
      </c>
      <c r="F207" t="s">
        <v>483</v>
      </c>
      <c r="G207" t="str">
        <f t="shared" si="156"/>
        <v>a</v>
      </c>
      <c r="H207" t="str">
        <f>VLOOKUP(D207,name!A:C,3,1)</f>
        <v>assets/icons/image024.png</v>
      </c>
      <c r="I207" t="str">
        <f>IF(A207="","",VLOOKUP(A207,lng!A:B,2,0))</f>
        <v>ru-RU</v>
      </c>
    </row>
    <row r="208" spans="1:12" x14ac:dyDescent="0.15">
      <c r="A208" t="str">
        <f t="shared" si="165"/>
        <v>ロシア語</v>
      </c>
      <c r="B208">
        <f t="shared" si="165"/>
        <v>3</v>
      </c>
      <c r="C208">
        <f t="shared" si="166"/>
        <v>6</v>
      </c>
      <c r="D208">
        <f t="shared" ref="D208:D230" si="167">D209</f>
        <v>21</v>
      </c>
      <c r="E208" t="str">
        <f>VLOOKUP(D208,name!A:B,2,1)</f>
        <v>Цубаса</v>
      </c>
      <c r="F208" t="s">
        <v>495</v>
      </c>
      <c r="G208" t="str">
        <f t="shared" si="156"/>
        <v>a</v>
      </c>
      <c r="H208" t="str">
        <f>VLOOKUP(D208,name!A:C,3,1)</f>
        <v>assets/icons/image017.png</v>
      </c>
      <c r="I208" t="s">
        <v>405</v>
      </c>
    </row>
    <row r="209" spans="1:9" x14ac:dyDescent="0.15">
      <c r="A209" t="str">
        <f t="shared" si="165"/>
        <v>ロシア語</v>
      </c>
      <c r="B209">
        <f t="shared" si="165"/>
        <v>3</v>
      </c>
      <c r="C209">
        <f t="shared" si="166"/>
        <v>7</v>
      </c>
      <c r="D209">
        <v>21</v>
      </c>
      <c r="E209" t="str">
        <f>VLOOKUP(D209,name!A:B,2,1)</f>
        <v>Цубаса</v>
      </c>
      <c r="F209" t="s">
        <v>498</v>
      </c>
      <c r="G209" t="str">
        <f t="shared" si="156"/>
        <v>a</v>
      </c>
      <c r="H209" t="str">
        <f>VLOOKUP(D209,name!A:C,3,1)</f>
        <v>assets/icons/image017.png</v>
      </c>
      <c r="I209" t="str">
        <f>IF(A209="","",VLOOKUP(A209,lng!A:B,2,0))</f>
        <v>ru-RU</v>
      </c>
    </row>
    <row r="210" spans="1:9" x14ac:dyDescent="0.15">
      <c r="A210" t="str">
        <f t="shared" si="165"/>
        <v>ロシア語</v>
      </c>
      <c r="B210">
        <f t="shared" si="165"/>
        <v>3</v>
      </c>
      <c r="C210">
        <f t="shared" si="166"/>
        <v>8</v>
      </c>
      <c r="D210">
        <f t="shared" si="167"/>
        <v>22</v>
      </c>
      <c r="E210" t="str">
        <f>VLOOKUP(D210,name!A:B,2,1)</f>
        <v>Люда</v>
      </c>
      <c r="F210" t="s">
        <v>496</v>
      </c>
      <c r="G210" t="str">
        <f t="shared" si="156"/>
        <v>a</v>
      </c>
      <c r="H210" t="str">
        <f>VLOOKUP(D210,name!A:C,3,1)</f>
        <v>assets/icons/image024.png</v>
      </c>
      <c r="I210" t="s">
        <v>405</v>
      </c>
    </row>
    <row r="211" spans="1:9" x14ac:dyDescent="0.15">
      <c r="A211" t="str">
        <f t="shared" si="165"/>
        <v>ロシア語</v>
      </c>
      <c r="B211">
        <f t="shared" si="165"/>
        <v>3</v>
      </c>
      <c r="C211">
        <f t="shared" si="166"/>
        <v>9</v>
      </c>
      <c r="D211">
        <v>22</v>
      </c>
      <c r="E211" t="str">
        <f>VLOOKUP(D211,name!A:B,2,1)</f>
        <v>Люда</v>
      </c>
      <c r="F211" t="s">
        <v>484</v>
      </c>
      <c r="G211" t="str">
        <f t="shared" si="156"/>
        <v>a</v>
      </c>
      <c r="H211" t="str">
        <f>VLOOKUP(D211,name!A:C,3,1)</f>
        <v>assets/icons/image024.png</v>
      </c>
      <c r="I211" t="str">
        <f>IF(A211="","",VLOOKUP(A211,lng!A:B,2,0))</f>
        <v>ru-RU</v>
      </c>
    </row>
    <row r="212" spans="1:9" x14ac:dyDescent="0.15">
      <c r="A212" t="str">
        <f t="shared" si="165"/>
        <v>ロシア語</v>
      </c>
      <c r="B212">
        <f t="shared" si="165"/>
        <v>3</v>
      </c>
      <c r="C212">
        <f t="shared" si="166"/>
        <v>10</v>
      </c>
      <c r="D212">
        <f t="shared" si="167"/>
        <v>21</v>
      </c>
      <c r="E212" t="str">
        <f>VLOOKUP(D212,name!A:B,2,1)</f>
        <v>Цубаса</v>
      </c>
      <c r="F212" t="s">
        <v>497</v>
      </c>
      <c r="G212" t="str">
        <f t="shared" si="156"/>
        <v>a</v>
      </c>
      <c r="H212" t="str">
        <f>VLOOKUP(D212,name!A:C,3,1)</f>
        <v>assets/icons/image017.png</v>
      </c>
      <c r="I212" t="s">
        <v>405</v>
      </c>
    </row>
    <row r="213" spans="1:9" x14ac:dyDescent="0.15">
      <c r="A213" t="str">
        <f t="shared" si="165"/>
        <v>ロシア語</v>
      </c>
      <c r="B213">
        <f t="shared" si="165"/>
        <v>3</v>
      </c>
      <c r="C213">
        <f t="shared" si="166"/>
        <v>11</v>
      </c>
      <c r="D213">
        <v>21</v>
      </c>
      <c r="E213" t="str">
        <f>VLOOKUP(D213,name!A:B,2,1)</f>
        <v>Цубаса</v>
      </c>
      <c r="F213" t="s">
        <v>499</v>
      </c>
      <c r="G213" t="str">
        <f t="shared" si="156"/>
        <v>a</v>
      </c>
      <c r="H213" t="str">
        <f>VLOOKUP(D213,name!A:C,3,1)</f>
        <v>assets/icons/image017.png</v>
      </c>
      <c r="I213" t="str">
        <f>IF(A213="","",VLOOKUP(A213,lng!A:B,2,0))</f>
        <v>ru-RU</v>
      </c>
    </row>
    <row r="214" spans="1:9" x14ac:dyDescent="0.15">
      <c r="A214" t="str">
        <f t="shared" si="165"/>
        <v>ロシア語</v>
      </c>
      <c r="B214">
        <f t="shared" si="165"/>
        <v>3</v>
      </c>
      <c r="C214">
        <f t="shared" si="166"/>
        <v>12</v>
      </c>
      <c r="D214">
        <f t="shared" si="167"/>
        <v>22</v>
      </c>
      <c r="E214" t="str">
        <f>VLOOKUP(D214,name!A:B,2,1)</f>
        <v>Люда</v>
      </c>
      <c r="F214" t="s">
        <v>500</v>
      </c>
      <c r="G214" t="str">
        <f t="shared" si="156"/>
        <v>a</v>
      </c>
      <c r="H214" t="str">
        <f>VLOOKUP(D214,name!A:C,3,1)</f>
        <v>assets/icons/image024.png</v>
      </c>
      <c r="I214" t="s">
        <v>405</v>
      </c>
    </row>
    <row r="215" spans="1:9" x14ac:dyDescent="0.15">
      <c r="A215" t="str">
        <f t="shared" si="165"/>
        <v>ロシア語</v>
      </c>
      <c r="B215">
        <f t="shared" si="165"/>
        <v>3</v>
      </c>
      <c r="C215">
        <f t="shared" si="166"/>
        <v>13</v>
      </c>
      <c r="D215">
        <v>22</v>
      </c>
      <c r="E215" t="str">
        <f>VLOOKUP(D215,name!A:B,2,1)</f>
        <v>Люда</v>
      </c>
      <c r="F215" t="s">
        <v>485</v>
      </c>
      <c r="G215" t="str">
        <f t="shared" si="156"/>
        <v>a</v>
      </c>
      <c r="H215" t="str">
        <f>VLOOKUP(D215,name!A:C,3,1)</f>
        <v>assets/icons/image024.png</v>
      </c>
      <c r="I215" t="str">
        <f>IF(A215="","",VLOOKUP(A215,lng!A:B,2,0))</f>
        <v>ru-RU</v>
      </c>
    </row>
    <row r="216" spans="1:9" x14ac:dyDescent="0.15">
      <c r="A216" t="str">
        <f t="shared" si="165"/>
        <v>ロシア語</v>
      </c>
      <c r="B216">
        <f t="shared" si="165"/>
        <v>3</v>
      </c>
      <c r="C216">
        <f t="shared" si="166"/>
        <v>14</v>
      </c>
      <c r="D216">
        <v>22</v>
      </c>
      <c r="E216" t="str">
        <f>VLOOKUP(D216,name!A:B,2,1)</f>
        <v>Люда</v>
      </c>
      <c r="F216" t="s">
        <v>508</v>
      </c>
      <c r="G216" t="str">
        <f t="shared" si="156"/>
        <v>a</v>
      </c>
      <c r="H216" t="str">
        <f>VLOOKUP(D216,name!A:C,3,1)</f>
        <v>assets/icons/image024.png</v>
      </c>
      <c r="I216" t="s">
        <v>405</v>
      </c>
    </row>
    <row r="217" spans="1:9" x14ac:dyDescent="0.15">
      <c r="A217" t="str">
        <f t="shared" si="165"/>
        <v>ロシア語</v>
      </c>
      <c r="B217">
        <f t="shared" si="165"/>
        <v>3</v>
      </c>
      <c r="C217">
        <f t="shared" si="166"/>
        <v>15</v>
      </c>
      <c r="D217">
        <v>22</v>
      </c>
      <c r="E217" t="str">
        <f>VLOOKUP(D217,name!A:B,2,1)</f>
        <v>Люда</v>
      </c>
      <c r="F217" t="s">
        <v>486</v>
      </c>
      <c r="G217" t="str">
        <f t="shared" si="156"/>
        <v>a</v>
      </c>
      <c r="H217" t="str">
        <f>VLOOKUP(D217,name!A:C,3,1)</f>
        <v>assets/icons/image024.png</v>
      </c>
      <c r="I217" t="str">
        <f>IF(A217="","",VLOOKUP(A217,lng!A:B,2,0))</f>
        <v>ru-RU</v>
      </c>
    </row>
    <row r="218" spans="1:9" x14ac:dyDescent="0.15">
      <c r="A218" t="str">
        <f t="shared" si="165"/>
        <v>ロシア語</v>
      </c>
      <c r="B218">
        <f t="shared" si="165"/>
        <v>3</v>
      </c>
      <c r="C218">
        <f t="shared" si="166"/>
        <v>16</v>
      </c>
      <c r="D218">
        <f t="shared" si="167"/>
        <v>22</v>
      </c>
      <c r="E218" t="str">
        <f>VLOOKUP(D218,name!A:B,2,1)</f>
        <v>Люда</v>
      </c>
      <c r="F218" t="s">
        <v>501</v>
      </c>
      <c r="G218" t="str">
        <f t="shared" si="156"/>
        <v>a</v>
      </c>
      <c r="H218" t="str">
        <f>VLOOKUP(D218,name!A:C,3,1)</f>
        <v>assets/icons/image024.png</v>
      </c>
      <c r="I218" t="s">
        <v>405</v>
      </c>
    </row>
    <row r="219" spans="1:9" x14ac:dyDescent="0.15">
      <c r="A219" t="str">
        <f t="shared" si="165"/>
        <v>ロシア語</v>
      </c>
      <c r="B219">
        <f t="shared" si="165"/>
        <v>3</v>
      </c>
      <c r="C219">
        <f t="shared" si="166"/>
        <v>17</v>
      </c>
      <c r="D219">
        <v>22</v>
      </c>
      <c r="E219" t="str">
        <f>VLOOKUP(D219,name!A:B,2,1)</f>
        <v>Люда</v>
      </c>
      <c r="F219" t="s">
        <v>487</v>
      </c>
      <c r="G219" t="str">
        <f t="shared" si="156"/>
        <v>a</v>
      </c>
      <c r="H219" t="str">
        <f>VLOOKUP(D219,name!A:C,3,1)</f>
        <v>assets/icons/image024.png</v>
      </c>
      <c r="I219" t="str">
        <f>IF(A219="","",VLOOKUP(A219,lng!A:B,2,0))</f>
        <v>ru-RU</v>
      </c>
    </row>
    <row r="220" spans="1:9" x14ac:dyDescent="0.15">
      <c r="A220" t="str">
        <f t="shared" ref="A220:B229" si="168">A219</f>
        <v>ロシア語</v>
      </c>
      <c r="B220">
        <f t="shared" si="168"/>
        <v>3</v>
      </c>
      <c r="C220">
        <f t="shared" si="166"/>
        <v>18</v>
      </c>
      <c r="D220">
        <f t="shared" si="167"/>
        <v>21</v>
      </c>
      <c r="E220" t="str">
        <f>VLOOKUP(D220,name!A:B,2,1)</f>
        <v>Цубаса</v>
      </c>
      <c r="F220" t="s">
        <v>502</v>
      </c>
      <c r="G220" t="str">
        <f t="shared" si="156"/>
        <v>a</v>
      </c>
      <c r="H220" t="str">
        <f>VLOOKUP(D220,name!A:C,3,1)</f>
        <v>assets/icons/image017.png</v>
      </c>
      <c r="I220" t="s">
        <v>405</v>
      </c>
    </row>
    <row r="221" spans="1:9" x14ac:dyDescent="0.15">
      <c r="A221" t="str">
        <f t="shared" si="168"/>
        <v>ロシア語</v>
      </c>
      <c r="B221">
        <f t="shared" si="168"/>
        <v>3</v>
      </c>
      <c r="C221">
        <f t="shared" si="166"/>
        <v>19</v>
      </c>
      <c r="D221">
        <f t="shared" si="167"/>
        <v>21</v>
      </c>
      <c r="E221" t="str">
        <f>VLOOKUP(D221,name!A:B,2,1)</f>
        <v>Цубаса</v>
      </c>
      <c r="F221" t="s">
        <v>488</v>
      </c>
      <c r="G221" t="str">
        <f t="shared" si="156"/>
        <v>a</v>
      </c>
      <c r="H221" t="str">
        <f>VLOOKUP(D221,name!A:C,3,1)</f>
        <v>assets/icons/image017.png</v>
      </c>
      <c r="I221" t="str">
        <f>IF(A221="","",VLOOKUP(A221,lng!A:B,2,0))</f>
        <v>ru-RU</v>
      </c>
    </row>
    <row r="222" spans="1:9" x14ac:dyDescent="0.15">
      <c r="A222" t="str">
        <f t="shared" si="168"/>
        <v>ロシア語</v>
      </c>
      <c r="B222">
        <f t="shared" si="168"/>
        <v>3</v>
      </c>
      <c r="C222">
        <f t="shared" si="166"/>
        <v>20</v>
      </c>
      <c r="D222">
        <f t="shared" si="167"/>
        <v>21</v>
      </c>
      <c r="E222" t="str">
        <f>VLOOKUP(D222,name!A:B,2,1)</f>
        <v>Цубаса</v>
      </c>
      <c r="F222" t="s">
        <v>503</v>
      </c>
      <c r="G222" t="str">
        <f t="shared" si="156"/>
        <v>a</v>
      </c>
      <c r="H222" t="str">
        <f>VLOOKUP(D222,name!A:C,3,1)</f>
        <v>assets/icons/image017.png</v>
      </c>
      <c r="I222" t="s">
        <v>405</v>
      </c>
    </row>
    <row r="223" spans="1:9" x14ac:dyDescent="0.15">
      <c r="A223" t="str">
        <f t="shared" si="168"/>
        <v>ロシア語</v>
      </c>
      <c r="B223">
        <f t="shared" si="168"/>
        <v>3</v>
      </c>
      <c r="C223">
        <f t="shared" si="166"/>
        <v>21</v>
      </c>
      <c r="D223">
        <v>21</v>
      </c>
      <c r="E223" t="str">
        <f>VLOOKUP(D223,name!A:B,2,1)</f>
        <v>Цубаса</v>
      </c>
      <c r="F223" t="s">
        <v>489</v>
      </c>
      <c r="G223" t="str">
        <f t="shared" si="156"/>
        <v>a</v>
      </c>
      <c r="H223" t="str">
        <f>VLOOKUP(D223,name!A:C,3,1)</f>
        <v>assets/icons/image017.png</v>
      </c>
      <c r="I223" t="str">
        <f>IF(A223="","",VLOOKUP(A223,lng!A:B,2,0))</f>
        <v>ru-RU</v>
      </c>
    </row>
    <row r="224" spans="1:9" x14ac:dyDescent="0.15">
      <c r="A224" t="str">
        <f t="shared" si="168"/>
        <v>ロシア語</v>
      </c>
      <c r="B224">
        <f t="shared" si="168"/>
        <v>3</v>
      </c>
      <c r="C224">
        <f t="shared" si="166"/>
        <v>22</v>
      </c>
      <c r="D224">
        <f t="shared" si="167"/>
        <v>22</v>
      </c>
      <c r="E224" t="str">
        <f>VLOOKUP(D224,name!A:B,2,1)</f>
        <v>Люда</v>
      </c>
      <c r="F224" t="s">
        <v>504</v>
      </c>
      <c r="G224" t="str">
        <f t="shared" si="156"/>
        <v>a</v>
      </c>
      <c r="H224" t="str">
        <f>VLOOKUP(D224,name!A:C,3,1)</f>
        <v>assets/icons/image024.png</v>
      </c>
      <c r="I224" t="s">
        <v>405</v>
      </c>
    </row>
    <row r="225" spans="1:9" x14ac:dyDescent="0.15">
      <c r="A225" t="str">
        <f t="shared" si="168"/>
        <v>ロシア語</v>
      </c>
      <c r="B225">
        <f t="shared" si="168"/>
        <v>3</v>
      </c>
      <c r="C225">
        <f t="shared" si="166"/>
        <v>23</v>
      </c>
      <c r="D225">
        <v>22</v>
      </c>
      <c r="E225" t="str">
        <f>VLOOKUP(D225,name!A:B,2,1)</f>
        <v>Люда</v>
      </c>
      <c r="F225" t="s">
        <v>490</v>
      </c>
      <c r="G225" t="str">
        <f t="shared" si="156"/>
        <v>a</v>
      </c>
      <c r="H225" t="str">
        <f>VLOOKUP(D225,name!A:C,3,1)</f>
        <v>assets/icons/image024.png</v>
      </c>
      <c r="I225" t="str">
        <f>IF(A225="","",VLOOKUP(A225,lng!A:B,2,0))</f>
        <v>ru-RU</v>
      </c>
    </row>
    <row r="226" spans="1:9" x14ac:dyDescent="0.15">
      <c r="A226" t="str">
        <f t="shared" si="168"/>
        <v>ロシア語</v>
      </c>
      <c r="B226">
        <f t="shared" si="168"/>
        <v>3</v>
      </c>
      <c r="C226">
        <f t="shared" si="166"/>
        <v>24</v>
      </c>
      <c r="D226">
        <f t="shared" si="167"/>
        <v>21</v>
      </c>
      <c r="E226" t="str">
        <f>VLOOKUP(D226,name!A:B,2,1)</f>
        <v>Цубаса</v>
      </c>
      <c r="F226" t="s">
        <v>505</v>
      </c>
      <c r="G226" t="str">
        <f t="shared" si="156"/>
        <v>a</v>
      </c>
      <c r="H226" t="str">
        <f>VLOOKUP(D226,name!A:C,3,1)</f>
        <v>assets/icons/image017.png</v>
      </c>
      <c r="I226" t="s">
        <v>405</v>
      </c>
    </row>
    <row r="227" spans="1:9" x14ac:dyDescent="0.15">
      <c r="A227" t="str">
        <f t="shared" si="168"/>
        <v>ロシア語</v>
      </c>
      <c r="B227">
        <f t="shared" si="168"/>
        <v>3</v>
      </c>
      <c r="C227">
        <f t="shared" si="166"/>
        <v>25</v>
      </c>
      <c r="D227">
        <v>21</v>
      </c>
      <c r="E227" t="str">
        <f>VLOOKUP(D227,name!A:B,2,1)</f>
        <v>Цубаса</v>
      </c>
      <c r="F227" t="s">
        <v>491</v>
      </c>
      <c r="G227" t="str">
        <f t="shared" si="156"/>
        <v>a</v>
      </c>
      <c r="H227" t="str">
        <f>VLOOKUP(D227,name!A:C,3,1)</f>
        <v>assets/icons/image017.png</v>
      </c>
      <c r="I227" t="str">
        <f>IF(A227="","",VLOOKUP(A227,lng!A:B,2,0))</f>
        <v>ru-RU</v>
      </c>
    </row>
    <row r="228" spans="1:9" x14ac:dyDescent="0.15">
      <c r="A228" t="str">
        <f t="shared" si="168"/>
        <v>ロシア語</v>
      </c>
      <c r="B228">
        <f t="shared" si="168"/>
        <v>3</v>
      </c>
      <c r="C228">
        <f t="shared" si="166"/>
        <v>26</v>
      </c>
      <c r="D228">
        <f t="shared" si="167"/>
        <v>22</v>
      </c>
      <c r="E228" t="str">
        <f>VLOOKUP(D228,name!A:B,2,1)</f>
        <v>Люда</v>
      </c>
      <c r="F228" t="s">
        <v>507</v>
      </c>
      <c r="G228" t="str">
        <f t="shared" si="156"/>
        <v>a</v>
      </c>
      <c r="H228" t="str">
        <f>VLOOKUP(D228,name!A:C,3,1)</f>
        <v>assets/icons/image024.png</v>
      </c>
      <c r="I228" t="s">
        <v>405</v>
      </c>
    </row>
    <row r="229" spans="1:9" x14ac:dyDescent="0.15">
      <c r="A229" t="str">
        <f t="shared" si="168"/>
        <v>ロシア語</v>
      </c>
      <c r="B229">
        <f t="shared" si="168"/>
        <v>3</v>
      </c>
      <c r="C229">
        <f t="shared" si="166"/>
        <v>27</v>
      </c>
      <c r="D229">
        <f t="shared" si="167"/>
        <v>22</v>
      </c>
      <c r="E229" t="str">
        <f>VLOOKUP(D229,name!A:B,2,1)</f>
        <v>Люда</v>
      </c>
      <c r="F229" t="s">
        <v>492</v>
      </c>
      <c r="G229" t="str">
        <f t="shared" si="156"/>
        <v>a</v>
      </c>
      <c r="H229" t="str">
        <f>VLOOKUP(D229,name!A:C,3,1)</f>
        <v>assets/icons/image024.png</v>
      </c>
      <c r="I229" t="str">
        <f>IF(A229="","",VLOOKUP(A229,lng!A:B,2,0))</f>
        <v>ru-RU</v>
      </c>
    </row>
    <row r="230" spans="1:9" x14ac:dyDescent="0.15">
      <c r="A230" t="str">
        <f t="shared" ref="A230:B230" si="169">A229</f>
        <v>ロシア語</v>
      </c>
      <c r="B230">
        <f t="shared" si="169"/>
        <v>3</v>
      </c>
      <c r="C230">
        <f t="shared" si="166"/>
        <v>28</v>
      </c>
      <c r="D230">
        <f t="shared" si="167"/>
        <v>22</v>
      </c>
      <c r="E230" t="str">
        <f>VLOOKUP(D230,name!A:B,2,1)</f>
        <v>Люда</v>
      </c>
      <c r="F230" t="s">
        <v>506</v>
      </c>
      <c r="G230" t="str">
        <f t="shared" si="156"/>
        <v>a</v>
      </c>
      <c r="H230" t="str">
        <f>VLOOKUP(D230,name!A:C,3,1)</f>
        <v>assets/icons/image024.png</v>
      </c>
      <c r="I230" t="s">
        <v>405</v>
      </c>
    </row>
    <row r="231" spans="1:9" x14ac:dyDescent="0.15">
      <c r="A231" t="str">
        <f t="shared" ref="A231:B231" si="170">A230</f>
        <v>ロシア語</v>
      </c>
      <c r="B231">
        <f t="shared" si="170"/>
        <v>3</v>
      </c>
      <c r="C231">
        <f t="shared" si="166"/>
        <v>29</v>
      </c>
      <c r="D231">
        <v>22</v>
      </c>
      <c r="E231" t="str">
        <f>VLOOKUP(D231,name!A:B,2,1)</f>
        <v>Люда</v>
      </c>
      <c r="F231" t="s">
        <v>493</v>
      </c>
      <c r="G231" t="str">
        <f t="shared" si="156"/>
        <v>a</v>
      </c>
      <c r="H231" t="str">
        <f>VLOOKUP(D231,name!A:C,3,1)</f>
        <v>assets/icons/image024.png</v>
      </c>
      <c r="I231" t="str">
        <f>IF(A231="","",VLOOKUP(A231,lng!A:B,2,0))</f>
        <v>ru-RU</v>
      </c>
    </row>
    <row r="232" spans="1:9" x14ac:dyDescent="0.15">
      <c r="A232" t="str">
        <f t="shared" ref="A232:B232" si="171">A231</f>
        <v>ロシア語</v>
      </c>
      <c r="B232">
        <f t="shared" si="171"/>
        <v>3</v>
      </c>
      <c r="C232">
        <f t="shared" si="166"/>
        <v>30</v>
      </c>
      <c r="D232">
        <v>1</v>
      </c>
      <c r="E232" t="str">
        <f>VLOOKUP(D232,name!A:B,2,1)</f>
        <v>Navigator</v>
      </c>
      <c r="F232" t="str">
        <f>"次の"&amp;A232&amp;"を真似してね！"</f>
        <v>次のロシア語を真似してね！</v>
      </c>
      <c r="G232" t="str">
        <f t="shared" si="156"/>
        <v>a</v>
      </c>
      <c r="H232" t="str">
        <f>VLOOKUP(D232,name!A:C,3,1)</f>
        <v>assets/icons/image014.png</v>
      </c>
      <c r="I232" t="s">
        <v>405</v>
      </c>
    </row>
    <row r="233" spans="1:9" x14ac:dyDescent="0.15">
      <c r="A233" t="str">
        <f t="shared" ref="A233:B233" si="172">A232</f>
        <v>ロシア語</v>
      </c>
      <c r="B233">
        <f t="shared" si="172"/>
        <v>3</v>
      </c>
      <c r="C233">
        <f t="shared" si="166"/>
        <v>31</v>
      </c>
      <c r="D233">
        <f>D206</f>
        <v>22</v>
      </c>
      <c r="E233" t="str">
        <f>VLOOKUP(D233,name!A:B,2,1)</f>
        <v>Люда</v>
      </c>
      <c r="F233" t="str">
        <f>F206</f>
        <v>それはあなたのスーツケースですか?</v>
      </c>
      <c r="G233" t="str">
        <f t="shared" si="156"/>
        <v>a</v>
      </c>
      <c r="H233" t="str">
        <f>VLOOKUP(D233,name!A:C,3,1)</f>
        <v>assets/icons/image024.png</v>
      </c>
      <c r="I233" t="s">
        <v>406</v>
      </c>
    </row>
    <row r="234" spans="1:9" x14ac:dyDescent="0.15">
      <c r="A234" t="str">
        <f t="shared" ref="A234:B234" si="173">A233</f>
        <v>ロシア語</v>
      </c>
      <c r="B234">
        <f t="shared" si="173"/>
        <v>3</v>
      </c>
      <c r="C234">
        <f t="shared" si="166"/>
        <v>32</v>
      </c>
      <c r="D234">
        <f>D207</f>
        <v>22</v>
      </c>
      <c r="E234" t="str">
        <f>VLOOKUP(D234,name!A:B,2,1)</f>
        <v>Люда</v>
      </c>
      <c r="F234" t="str">
        <f>F207</f>
        <v>Это ваш чемодан?</v>
      </c>
      <c r="G234" t="str">
        <f t="shared" si="156"/>
        <v>a</v>
      </c>
      <c r="H234" t="str">
        <f>VLOOKUP(D234,name!A:C,3,1)</f>
        <v>assets/icons/image024.png</v>
      </c>
      <c r="I234" t="str">
        <f>IF(A234="","",VLOOKUP(A234,lng!A:B,2,0))</f>
        <v>ru-RU</v>
      </c>
    </row>
    <row r="235" spans="1:9" x14ac:dyDescent="0.15">
      <c r="A235" t="str">
        <f t="shared" ref="A235:B235" si="174">A234</f>
        <v>ロシア語</v>
      </c>
      <c r="B235">
        <f t="shared" si="174"/>
        <v>3</v>
      </c>
      <c r="C235">
        <f t="shared" si="166"/>
        <v>33</v>
      </c>
      <c r="D235">
        <v>0</v>
      </c>
      <c r="E235" t="str">
        <f>VLOOKUP(D235,name!A:B,2,1)</f>
        <v>Player</v>
      </c>
      <c r="F235" t="str">
        <f>F207</f>
        <v>Это ваш чемодан?</v>
      </c>
      <c r="G235" t="str">
        <f t="shared" si="156"/>
        <v>q</v>
      </c>
      <c r="H235" t="str">
        <f>VLOOKUP(D235,name!A:C,3,1)</f>
        <v>assets/icons/image326.png</v>
      </c>
      <c r="I235" t="str">
        <f>IF(A235="","",VLOOKUP(A235,lng!A:B,2,0))</f>
        <v>ru-RU</v>
      </c>
    </row>
    <row r="236" spans="1:9" x14ac:dyDescent="0.15">
      <c r="A236" t="str">
        <f t="shared" ref="A236:B236" si="175">A235</f>
        <v>ロシア語</v>
      </c>
      <c r="B236">
        <f t="shared" si="175"/>
        <v>3</v>
      </c>
      <c r="C236">
        <f t="shared" si="166"/>
        <v>34</v>
      </c>
      <c r="D236">
        <f>D208</f>
        <v>21</v>
      </c>
      <c r="E236" t="str">
        <f>VLOOKUP(D236,name!A:B,2,1)</f>
        <v>Цубаса</v>
      </c>
      <c r="F236" t="str">
        <f>F208</f>
        <v>ええ、それは私のスーツケースです。</v>
      </c>
      <c r="G236" t="str">
        <f t="shared" si="156"/>
        <v>a</v>
      </c>
      <c r="H236" t="str">
        <f>VLOOKUP(D236,name!A:C,3,1)</f>
        <v>assets/icons/image017.png</v>
      </c>
      <c r="I236" t="s">
        <v>406</v>
      </c>
    </row>
    <row r="237" spans="1:9" x14ac:dyDescent="0.15">
      <c r="A237" t="str">
        <f t="shared" ref="A237:B237" si="176">A236</f>
        <v>ロシア語</v>
      </c>
      <c r="B237">
        <f t="shared" si="176"/>
        <v>3</v>
      </c>
      <c r="C237">
        <f t="shared" si="166"/>
        <v>35</v>
      </c>
      <c r="D237">
        <f>D209</f>
        <v>21</v>
      </c>
      <c r="E237" t="str">
        <f>VLOOKUP(D237,name!A:B,2,1)</f>
        <v>Цубаса</v>
      </c>
      <c r="F237" t="str">
        <f>F209</f>
        <v>Да, это мой чемодан.</v>
      </c>
      <c r="G237" t="str">
        <f t="shared" si="156"/>
        <v>a</v>
      </c>
      <c r="H237" t="str">
        <f>VLOOKUP(D237,name!A:C,3,1)</f>
        <v>assets/icons/image017.png</v>
      </c>
      <c r="I237" t="str">
        <f>IF(A237="","",VLOOKUP(A237,lng!A:B,2,0))</f>
        <v>ru-RU</v>
      </c>
    </row>
    <row r="238" spans="1:9" x14ac:dyDescent="0.15">
      <c r="A238" t="str">
        <f t="shared" ref="A238:B238" si="177">A237</f>
        <v>ロシア語</v>
      </c>
      <c r="B238">
        <f t="shared" si="177"/>
        <v>3</v>
      </c>
      <c r="C238">
        <f t="shared" si="166"/>
        <v>36</v>
      </c>
      <c r="D238">
        <v>0</v>
      </c>
      <c r="E238" t="str">
        <f>VLOOKUP(D238,name!A:B,2,1)</f>
        <v>Player</v>
      </c>
      <c r="F238" t="str">
        <f>F209</f>
        <v>Да, это мой чемодан.</v>
      </c>
      <c r="G238" t="str">
        <f t="shared" si="156"/>
        <v>q</v>
      </c>
      <c r="H238" t="str">
        <f>VLOOKUP(D238,name!A:C,3,1)</f>
        <v>assets/icons/image326.png</v>
      </c>
      <c r="I238" t="str">
        <f>IF(A238="","",VLOOKUP(A238,lng!A:B,2,0))</f>
        <v>ru-RU</v>
      </c>
    </row>
    <row r="239" spans="1:9" x14ac:dyDescent="0.15">
      <c r="A239" t="str">
        <f t="shared" ref="A239:B239" si="178">A238</f>
        <v>ロシア語</v>
      </c>
      <c r="B239">
        <f t="shared" si="178"/>
        <v>3</v>
      </c>
      <c r="C239">
        <f t="shared" si="166"/>
        <v>37</v>
      </c>
      <c r="D239">
        <f>D210</f>
        <v>22</v>
      </c>
      <c r="E239" t="str">
        <f>VLOOKUP(D239,name!A:B,2,1)</f>
        <v>Люда</v>
      </c>
      <c r="F239" t="str">
        <f>F210</f>
        <v>これはあなたのバッグですか?</v>
      </c>
      <c r="G239" t="str">
        <f t="shared" si="156"/>
        <v>a</v>
      </c>
      <c r="H239" t="str">
        <f>VLOOKUP(D239,name!A:C,3,1)</f>
        <v>assets/icons/image024.png</v>
      </c>
      <c r="I239" t="s">
        <v>406</v>
      </c>
    </row>
    <row r="240" spans="1:9" x14ac:dyDescent="0.15">
      <c r="A240" t="str">
        <f t="shared" ref="A240:B240" si="179">A239</f>
        <v>ロシア語</v>
      </c>
      <c r="B240">
        <f t="shared" si="179"/>
        <v>3</v>
      </c>
      <c r="C240">
        <f t="shared" si="166"/>
        <v>38</v>
      </c>
      <c r="D240">
        <f>D211</f>
        <v>22</v>
      </c>
      <c r="E240" t="str">
        <f>VLOOKUP(D240,name!A:B,2,1)</f>
        <v>Люда</v>
      </c>
      <c r="F240" t="str">
        <f>F211</f>
        <v>А это ваша сумка?</v>
      </c>
      <c r="G240" t="str">
        <f t="shared" si="156"/>
        <v>a</v>
      </c>
      <c r="H240" t="str">
        <f>VLOOKUP(D240,name!A:C,3,1)</f>
        <v>assets/icons/image024.png</v>
      </c>
      <c r="I240" t="str">
        <f>IF(A240="","",VLOOKUP(A240,lng!A:B,2,0))</f>
        <v>ru-RU</v>
      </c>
    </row>
    <row r="241" spans="1:9" x14ac:dyDescent="0.15">
      <c r="A241" t="str">
        <f t="shared" ref="A241:B241" si="180">A240</f>
        <v>ロシア語</v>
      </c>
      <c r="B241">
        <f t="shared" si="180"/>
        <v>3</v>
      </c>
      <c r="C241">
        <f t="shared" si="166"/>
        <v>39</v>
      </c>
      <c r="D241">
        <v>0</v>
      </c>
      <c r="E241" t="str">
        <f>VLOOKUP(D241,name!A:B,2,1)</f>
        <v>Player</v>
      </c>
      <c r="F241" t="str">
        <f>F211</f>
        <v>А это ваша сумка?</v>
      </c>
      <c r="G241" t="str">
        <f t="shared" si="156"/>
        <v>q</v>
      </c>
      <c r="H241" t="str">
        <f>VLOOKUP(D241,name!A:C,3,1)</f>
        <v>assets/icons/image326.png</v>
      </c>
      <c r="I241" t="str">
        <f>IF(A241="","",VLOOKUP(A241,lng!A:B,2,0))</f>
        <v>ru-RU</v>
      </c>
    </row>
    <row r="242" spans="1:9" x14ac:dyDescent="0.15">
      <c r="A242" t="str">
        <f t="shared" ref="A242:B242" si="181">A241</f>
        <v>ロシア語</v>
      </c>
      <c r="B242">
        <f t="shared" si="181"/>
        <v>3</v>
      </c>
      <c r="C242">
        <f t="shared" si="166"/>
        <v>40</v>
      </c>
      <c r="D242">
        <f>D212</f>
        <v>21</v>
      </c>
      <c r="E242" t="str">
        <f>VLOOKUP(D242,name!A:B,2,1)</f>
        <v>Цубаса</v>
      </c>
      <c r="F242" t="str">
        <f>F212</f>
        <v>はい、このバッグも私のものです。</v>
      </c>
      <c r="G242" t="str">
        <f t="shared" si="156"/>
        <v>a</v>
      </c>
      <c r="H242" t="str">
        <f>VLOOKUP(D242,name!A:C,3,1)</f>
        <v>assets/icons/image017.png</v>
      </c>
      <c r="I242" t="s">
        <v>406</v>
      </c>
    </row>
    <row r="243" spans="1:9" x14ac:dyDescent="0.15">
      <c r="A243" t="str">
        <f t="shared" ref="A243:B243" si="182">A242</f>
        <v>ロシア語</v>
      </c>
      <c r="B243">
        <f t="shared" si="182"/>
        <v>3</v>
      </c>
      <c r="C243">
        <f t="shared" si="166"/>
        <v>41</v>
      </c>
      <c r="D243">
        <f>D213</f>
        <v>21</v>
      </c>
      <c r="E243" t="str">
        <f>VLOOKUP(D243,name!A:B,2,1)</f>
        <v>Цубаса</v>
      </c>
      <c r="F243" t="str">
        <f>F213</f>
        <v>Да, эта сумка тоже моя.</v>
      </c>
      <c r="G243" t="str">
        <f t="shared" si="156"/>
        <v>a</v>
      </c>
      <c r="H243" t="str">
        <f>VLOOKUP(D243,name!A:C,3,1)</f>
        <v>assets/icons/image017.png</v>
      </c>
      <c r="I243" t="str">
        <f>IF(A243="","",VLOOKUP(A243,lng!A:B,2,0))</f>
        <v>ru-RU</v>
      </c>
    </row>
    <row r="244" spans="1:9" x14ac:dyDescent="0.15">
      <c r="A244" t="str">
        <f t="shared" ref="A244:B244" si="183">A243</f>
        <v>ロシア語</v>
      </c>
      <c r="B244">
        <f t="shared" si="183"/>
        <v>3</v>
      </c>
      <c r="C244">
        <f t="shared" si="166"/>
        <v>42</v>
      </c>
      <c r="D244">
        <v>0</v>
      </c>
      <c r="E244" t="str">
        <f>VLOOKUP(D244,name!A:B,2,1)</f>
        <v>Player</v>
      </c>
      <c r="F244" t="str">
        <f>F213</f>
        <v>Да, эта сумка тоже моя.</v>
      </c>
      <c r="G244" t="str">
        <f t="shared" si="156"/>
        <v>q</v>
      </c>
      <c r="H244" t="str">
        <f>VLOOKUP(D244,name!A:C,3,1)</f>
        <v>assets/icons/image326.png</v>
      </c>
      <c r="I244" t="str">
        <f>IF(A244="","",VLOOKUP(A244,lng!A:B,2,0))</f>
        <v>ru-RU</v>
      </c>
    </row>
    <row r="245" spans="1:9" x14ac:dyDescent="0.15">
      <c r="A245" t="str">
        <f t="shared" ref="A245:B245" si="184">A244</f>
        <v>ロシア語</v>
      </c>
      <c r="B245">
        <f t="shared" si="184"/>
        <v>3</v>
      </c>
      <c r="C245">
        <f t="shared" si="166"/>
        <v>43</v>
      </c>
      <c r="D245">
        <f>D214</f>
        <v>22</v>
      </c>
      <c r="E245" t="str">
        <f>VLOOKUP(D245,name!A:B,2,1)</f>
        <v>Люда</v>
      </c>
      <c r="F245" t="str">
        <f>F214</f>
        <v>これは、何ですか。</v>
      </c>
      <c r="G245" t="str">
        <f t="shared" si="156"/>
        <v>a</v>
      </c>
      <c r="H245" t="str">
        <f>VLOOKUP(D245,name!A:C,3,1)</f>
        <v>assets/icons/image024.png</v>
      </c>
      <c r="I245" t="s">
        <v>406</v>
      </c>
    </row>
    <row r="246" spans="1:9" x14ac:dyDescent="0.15">
      <c r="A246" t="str">
        <f t="shared" ref="A246:B246" si="185">A245</f>
        <v>ロシア語</v>
      </c>
      <c r="B246">
        <f t="shared" si="185"/>
        <v>3</v>
      </c>
      <c r="C246">
        <f t="shared" si="166"/>
        <v>44</v>
      </c>
      <c r="D246">
        <f>D215</f>
        <v>22</v>
      </c>
      <c r="E246" t="str">
        <f>VLOOKUP(D246,name!A:B,2,1)</f>
        <v>Люда</v>
      </c>
      <c r="F246" t="str">
        <f>F215</f>
        <v>Что это?</v>
      </c>
      <c r="G246" t="str">
        <f t="shared" si="156"/>
        <v>a</v>
      </c>
      <c r="H246" t="str">
        <f>VLOOKUP(D246,name!A:C,3,1)</f>
        <v>assets/icons/image024.png</v>
      </c>
      <c r="I246" t="str">
        <f>IF(A246="","",VLOOKUP(A246,lng!A:B,2,0))</f>
        <v>ru-RU</v>
      </c>
    </row>
    <row r="247" spans="1:9" x14ac:dyDescent="0.15">
      <c r="A247" t="str">
        <f t="shared" ref="A247:B247" si="186">A246</f>
        <v>ロシア語</v>
      </c>
      <c r="B247">
        <f t="shared" si="186"/>
        <v>3</v>
      </c>
      <c r="C247">
        <f t="shared" si="166"/>
        <v>45</v>
      </c>
      <c r="D247">
        <v>0</v>
      </c>
      <c r="E247" t="str">
        <f>VLOOKUP(D247,name!A:B,2,1)</f>
        <v>Player</v>
      </c>
      <c r="F247" t="str">
        <f>F215</f>
        <v>Что это?</v>
      </c>
      <c r="G247" t="str">
        <f t="shared" si="156"/>
        <v>q</v>
      </c>
      <c r="H247" t="str">
        <f>VLOOKUP(D247,name!A:C,3,1)</f>
        <v>assets/icons/image326.png</v>
      </c>
      <c r="I247" t="str">
        <f>IF(A247="","",VLOOKUP(A247,lng!A:B,2,0))</f>
        <v>ru-RU</v>
      </c>
    </row>
    <row r="248" spans="1:9" x14ac:dyDescent="0.15">
      <c r="A248" t="str">
        <f t="shared" ref="A248:B248" si="187">A247</f>
        <v>ロシア語</v>
      </c>
      <c r="B248">
        <f t="shared" si="187"/>
        <v>3</v>
      </c>
      <c r="C248">
        <f t="shared" si="166"/>
        <v>46</v>
      </c>
      <c r="D248">
        <f>D216</f>
        <v>22</v>
      </c>
      <c r="E248" t="str">
        <f>VLOOKUP(D248,name!A:B,2,1)</f>
        <v>Люда</v>
      </c>
      <c r="F248" t="str">
        <f>F216</f>
        <v>上着？</v>
      </c>
      <c r="G248" t="str">
        <f t="shared" si="156"/>
        <v>a</v>
      </c>
      <c r="H248" t="str">
        <f>VLOOKUP(D248,name!A:C,3,1)</f>
        <v>assets/icons/image024.png</v>
      </c>
      <c r="I248" t="s">
        <v>406</v>
      </c>
    </row>
    <row r="249" spans="1:9" x14ac:dyDescent="0.15">
      <c r="A249" t="str">
        <f t="shared" ref="A249:B249" si="188">A248</f>
        <v>ロシア語</v>
      </c>
      <c r="B249">
        <f t="shared" si="188"/>
        <v>3</v>
      </c>
      <c r="C249">
        <f t="shared" si="166"/>
        <v>47</v>
      </c>
      <c r="D249">
        <f>D217</f>
        <v>22</v>
      </c>
      <c r="E249" t="str">
        <f>VLOOKUP(D249,name!A:B,2,1)</f>
        <v>Люда</v>
      </c>
      <c r="F249" t="str">
        <f>F217</f>
        <v>Пальто?</v>
      </c>
      <c r="G249" t="str">
        <f t="shared" si="156"/>
        <v>a</v>
      </c>
      <c r="H249" t="str">
        <f>VLOOKUP(D249,name!A:C,3,1)</f>
        <v>assets/icons/image024.png</v>
      </c>
      <c r="I249" t="str">
        <f>IF(A249="","",VLOOKUP(A249,lng!A:B,2,0))</f>
        <v>ru-RU</v>
      </c>
    </row>
    <row r="250" spans="1:9" x14ac:dyDescent="0.15">
      <c r="A250" t="str">
        <f t="shared" ref="A250:B250" si="189">A249</f>
        <v>ロシア語</v>
      </c>
      <c r="B250">
        <f t="shared" si="189"/>
        <v>3</v>
      </c>
      <c r="C250">
        <f t="shared" si="166"/>
        <v>48</v>
      </c>
      <c r="D250">
        <v>0</v>
      </c>
      <c r="E250" t="str">
        <f>VLOOKUP(D250,name!A:B,2,1)</f>
        <v>Player</v>
      </c>
      <c r="F250" t="str">
        <f>F217</f>
        <v>Пальто?</v>
      </c>
      <c r="G250" t="str">
        <f t="shared" si="156"/>
        <v>q</v>
      </c>
      <c r="H250" t="str">
        <f>VLOOKUP(D250,name!A:C,3,1)</f>
        <v>assets/icons/image326.png</v>
      </c>
      <c r="I250" t="str">
        <f>IF(A250="","",VLOOKUP(A250,lng!A:B,2,0))</f>
        <v>ru-RU</v>
      </c>
    </row>
    <row r="251" spans="1:9" x14ac:dyDescent="0.15">
      <c r="A251" t="str">
        <f t="shared" ref="A251:B251" si="190">A250</f>
        <v>ロシア語</v>
      </c>
      <c r="B251">
        <f t="shared" si="190"/>
        <v>3</v>
      </c>
      <c r="C251">
        <f t="shared" si="166"/>
        <v>49</v>
      </c>
      <c r="D251">
        <f>D218</f>
        <v>22</v>
      </c>
      <c r="E251" t="str">
        <f>VLOOKUP(D251,name!A:B,2,1)</f>
        <v>Люда</v>
      </c>
      <c r="F251" t="str">
        <f>F218</f>
        <v>それはあなたのコートですか?</v>
      </c>
      <c r="G251" t="str">
        <f t="shared" si="156"/>
        <v>a</v>
      </c>
      <c r="H251" t="str">
        <f>VLOOKUP(D251,name!A:C,3,1)</f>
        <v>assets/icons/image024.png</v>
      </c>
      <c r="I251" t="s">
        <v>406</v>
      </c>
    </row>
    <row r="252" spans="1:9" x14ac:dyDescent="0.15">
      <c r="A252" t="str">
        <f t="shared" ref="A252:B252" si="191">A251</f>
        <v>ロシア語</v>
      </c>
      <c r="B252">
        <f t="shared" si="191"/>
        <v>3</v>
      </c>
      <c r="C252">
        <f t="shared" si="166"/>
        <v>50</v>
      </c>
      <c r="D252">
        <f>D219</f>
        <v>22</v>
      </c>
      <c r="E252" t="str">
        <f>VLOOKUP(D252,name!A:B,2,1)</f>
        <v>Люда</v>
      </c>
      <c r="F252" t="str">
        <f>F219</f>
        <v>Это ваше пальто?</v>
      </c>
      <c r="G252" t="str">
        <f t="shared" si="156"/>
        <v>a</v>
      </c>
      <c r="H252" t="str">
        <f>VLOOKUP(D252,name!A:C,3,1)</f>
        <v>assets/icons/image024.png</v>
      </c>
      <c r="I252" t="str">
        <f>IF(A252="","",VLOOKUP(A252,lng!A:B,2,0))</f>
        <v>ru-RU</v>
      </c>
    </row>
    <row r="253" spans="1:9" x14ac:dyDescent="0.15">
      <c r="A253" t="str">
        <f t="shared" ref="A253:B253" si="192">A252</f>
        <v>ロシア語</v>
      </c>
      <c r="B253">
        <f t="shared" si="192"/>
        <v>3</v>
      </c>
      <c r="C253">
        <f t="shared" si="166"/>
        <v>51</v>
      </c>
      <c r="D253">
        <v>0</v>
      </c>
      <c r="E253" t="str">
        <f>VLOOKUP(D253,name!A:B,2,1)</f>
        <v>Player</v>
      </c>
      <c r="F253" t="str">
        <f>F219</f>
        <v>Это ваше пальто?</v>
      </c>
      <c r="G253" t="str">
        <f t="shared" si="156"/>
        <v>q</v>
      </c>
      <c r="H253" t="str">
        <f>VLOOKUP(D253,name!A:C,3,1)</f>
        <v>assets/icons/image326.png</v>
      </c>
      <c r="I253" t="str">
        <f>IF(A253="","",VLOOKUP(A253,lng!A:B,2,0))</f>
        <v>ru-RU</v>
      </c>
    </row>
    <row r="254" spans="1:9" x14ac:dyDescent="0.15">
      <c r="A254" t="str">
        <f t="shared" ref="A254:B254" si="193">A253</f>
        <v>ロシア語</v>
      </c>
      <c r="B254">
        <f t="shared" si="193"/>
        <v>3</v>
      </c>
      <c r="C254">
        <f t="shared" si="166"/>
        <v>52</v>
      </c>
      <c r="D254">
        <f>D220</f>
        <v>21</v>
      </c>
      <c r="E254" t="str">
        <f>VLOOKUP(D254,name!A:B,2,1)</f>
        <v>Цубаса</v>
      </c>
      <c r="F254" t="str">
        <f>F220</f>
        <v>いいえ、このコートは私のものではありません。</v>
      </c>
      <c r="G254" t="str">
        <f t="shared" si="156"/>
        <v>a</v>
      </c>
      <c r="H254" t="str">
        <f>VLOOKUP(D254,name!A:C,3,1)</f>
        <v>assets/icons/image017.png</v>
      </c>
      <c r="I254" t="s">
        <v>406</v>
      </c>
    </row>
    <row r="255" spans="1:9" x14ac:dyDescent="0.15">
      <c r="A255" t="str">
        <f t="shared" ref="A255:B255" si="194">A254</f>
        <v>ロシア語</v>
      </c>
      <c r="B255">
        <f t="shared" si="194"/>
        <v>3</v>
      </c>
      <c r="C255">
        <f t="shared" si="166"/>
        <v>53</v>
      </c>
      <c r="D255">
        <f>D221</f>
        <v>21</v>
      </c>
      <c r="E255" t="str">
        <f>VLOOKUP(D255,name!A:B,2,1)</f>
        <v>Цубаса</v>
      </c>
      <c r="F255" t="str">
        <f>F221</f>
        <v>Нет, это пальто не моё.</v>
      </c>
      <c r="G255" t="str">
        <f t="shared" si="156"/>
        <v>a</v>
      </c>
      <c r="H255" t="str">
        <f>VLOOKUP(D255,name!A:C,3,1)</f>
        <v>assets/icons/image017.png</v>
      </c>
      <c r="I255" t="str">
        <f>IF(A255="","",VLOOKUP(A255,lng!A:B,2,0))</f>
        <v>ru-RU</v>
      </c>
    </row>
    <row r="256" spans="1:9" x14ac:dyDescent="0.15">
      <c r="A256" t="str">
        <f t="shared" ref="A256:B256" si="195">A255</f>
        <v>ロシア語</v>
      </c>
      <c r="B256">
        <f t="shared" si="195"/>
        <v>3</v>
      </c>
      <c r="C256">
        <f t="shared" si="166"/>
        <v>54</v>
      </c>
      <c r="D256">
        <v>0</v>
      </c>
      <c r="E256" t="str">
        <f>VLOOKUP(D256,name!A:B,2,1)</f>
        <v>Player</v>
      </c>
      <c r="F256" t="str">
        <f>F221</f>
        <v>Нет, это пальто не моё.</v>
      </c>
      <c r="G256" t="str">
        <f t="shared" si="156"/>
        <v>q</v>
      </c>
      <c r="H256" t="str">
        <f>VLOOKUP(D256,name!A:C,3,1)</f>
        <v>assets/icons/image326.png</v>
      </c>
      <c r="I256" t="str">
        <f>IF(A256="","",VLOOKUP(A256,lng!A:B,2,0))</f>
        <v>ru-RU</v>
      </c>
    </row>
    <row r="257" spans="1:9" x14ac:dyDescent="0.15">
      <c r="A257" t="str">
        <f t="shared" ref="A257:B257" si="196">A256</f>
        <v>ロシア語</v>
      </c>
      <c r="B257">
        <f t="shared" si="196"/>
        <v>3</v>
      </c>
      <c r="C257">
        <f t="shared" si="166"/>
        <v>55</v>
      </c>
      <c r="D257">
        <f>D222</f>
        <v>21</v>
      </c>
      <c r="E257" t="str">
        <f>VLOOKUP(D257,name!A:B,2,1)</f>
        <v>Цубаса</v>
      </c>
      <c r="F257" t="str">
        <f>F222</f>
        <v>私のコートはここにあります。</v>
      </c>
      <c r="G257" t="str">
        <f t="shared" si="156"/>
        <v>a</v>
      </c>
      <c r="H257" t="str">
        <f>VLOOKUP(D257,name!A:C,3,1)</f>
        <v>assets/icons/image017.png</v>
      </c>
      <c r="I257" t="s">
        <v>406</v>
      </c>
    </row>
    <row r="258" spans="1:9" x14ac:dyDescent="0.15">
      <c r="A258" t="str">
        <f t="shared" ref="A258:B258" si="197">A257</f>
        <v>ロシア語</v>
      </c>
      <c r="B258">
        <f t="shared" si="197"/>
        <v>3</v>
      </c>
      <c r="C258">
        <f t="shared" si="166"/>
        <v>56</v>
      </c>
      <c r="D258">
        <f>D223</f>
        <v>21</v>
      </c>
      <c r="E258" t="str">
        <f>VLOOKUP(D258,name!A:B,2,1)</f>
        <v>Цубаса</v>
      </c>
      <c r="F258" t="str">
        <f>F223</f>
        <v>Моё пальто здесь.</v>
      </c>
      <c r="G258" t="str">
        <f t="shared" ref="G258:G299" si="198">IF(B258&lt;&gt;B259,"e",IF(D258=0,"q","a"))</f>
        <v>a</v>
      </c>
      <c r="H258" t="str">
        <f>VLOOKUP(D258,name!A:C,3,1)</f>
        <v>assets/icons/image017.png</v>
      </c>
      <c r="I258" t="str">
        <f>IF(A258="","",VLOOKUP(A258,lng!A:B,2,0))</f>
        <v>ru-RU</v>
      </c>
    </row>
    <row r="259" spans="1:9" x14ac:dyDescent="0.15">
      <c r="A259" t="str">
        <f t="shared" ref="A259:B259" si="199">A258</f>
        <v>ロシア語</v>
      </c>
      <c r="B259">
        <f t="shared" si="199"/>
        <v>3</v>
      </c>
      <c r="C259">
        <f t="shared" si="166"/>
        <v>57</v>
      </c>
      <c r="D259">
        <v>0</v>
      </c>
      <c r="E259" t="str">
        <f>VLOOKUP(D259,name!A:B,2,1)</f>
        <v>Player</v>
      </c>
      <c r="F259" t="str">
        <f>F223</f>
        <v>Моё пальто здесь.</v>
      </c>
      <c r="G259" t="str">
        <f t="shared" si="198"/>
        <v>q</v>
      </c>
      <c r="H259" t="str">
        <f>VLOOKUP(D259,name!A:C,3,1)</f>
        <v>assets/icons/image326.png</v>
      </c>
      <c r="I259" t="str">
        <f>IF(A259="","",VLOOKUP(A259,lng!A:B,2,0))</f>
        <v>ru-RU</v>
      </c>
    </row>
    <row r="260" spans="1:9" x14ac:dyDescent="0.15">
      <c r="A260" t="str">
        <f t="shared" ref="A260:B260" si="200">A259</f>
        <v>ロシア語</v>
      </c>
      <c r="B260">
        <f t="shared" si="200"/>
        <v>3</v>
      </c>
      <c r="C260">
        <f t="shared" si="166"/>
        <v>58</v>
      </c>
      <c r="D260">
        <f>D224</f>
        <v>22</v>
      </c>
      <c r="E260" t="str">
        <f>VLOOKUP(D260,name!A:B,2,1)</f>
        <v>Люда</v>
      </c>
      <c r="F260" t="str">
        <f>F224</f>
        <v>わかりました。</v>
      </c>
      <c r="G260" t="str">
        <f t="shared" si="198"/>
        <v>a</v>
      </c>
      <c r="H260" t="str">
        <f>VLOOKUP(D260,name!A:C,3,1)</f>
        <v>assets/icons/image024.png</v>
      </c>
      <c r="I260" t="s">
        <v>406</v>
      </c>
    </row>
    <row r="261" spans="1:9" x14ac:dyDescent="0.15">
      <c r="A261" t="str">
        <f t="shared" ref="A261:B261" si="201">A260</f>
        <v>ロシア語</v>
      </c>
      <c r="B261">
        <f t="shared" si="201"/>
        <v>3</v>
      </c>
      <c r="C261">
        <f t="shared" si="166"/>
        <v>59</v>
      </c>
      <c r="D261">
        <f>D225</f>
        <v>22</v>
      </c>
      <c r="E261" t="str">
        <f>VLOOKUP(D261,name!A:B,2,1)</f>
        <v>Люда</v>
      </c>
      <c r="F261" t="str">
        <f>F225</f>
        <v>Хорошо.</v>
      </c>
      <c r="G261" t="str">
        <f t="shared" si="198"/>
        <v>a</v>
      </c>
      <c r="H261" t="str">
        <f>VLOOKUP(D261,name!A:C,3,1)</f>
        <v>assets/icons/image024.png</v>
      </c>
      <c r="I261" t="str">
        <f>IF(A261="","",VLOOKUP(A261,lng!A:B,2,0))</f>
        <v>ru-RU</v>
      </c>
    </row>
    <row r="262" spans="1:9" x14ac:dyDescent="0.15">
      <c r="A262" t="str">
        <f t="shared" ref="A262:B262" si="202">A261</f>
        <v>ロシア語</v>
      </c>
      <c r="B262">
        <f t="shared" si="202"/>
        <v>3</v>
      </c>
      <c r="C262">
        <f t="shared" si="166"/>
        <v>60</v>
      </c>
      <c r="D262">
        <v>0</v>
      </c>
      <c r="E262" t="str">
        <f>VLOOKUP(D262,name!A:B,2,1)</f>
        <v>Player</v>
      </c>
      <c r="F262" t="str">
        <f>F225</f>
        <v>Хорошо.</v>
      </c>
      <c r="G262" t="str">
        <f t="shared" si="198"/>
        <v>q</v>
      </c>
      <c r="H262" t="str">
        <f>VLOOKUP(D262,name!A:C,3,1)</f>
        <v>assets/icons/image326.png</v>
      </c>
      <c r="I262" t="str">
        <f>IF(A262="","",VLOOKUP(A262,lng!A:B,2,0))</f>
        <v>ru-RU</v>
      </c>
    </row>
    <row r="263" spans="1:9" x14ac:dyDescent="0.15">
      <c r="A263" t="str">
        <f t="shared" ref="A263:B263" si="203">A262</f>
        <v>ロシア語</v>
      </c>
      <c r="B263">
        <f t="shared" si="203"/>
        <v>3</v>
      </c>
      <c r="C263">
        <f t="shared" si="166"/>
        <v>61</v>
      </c>
      <c r="D263">
        <f>D226</f>
        <v>21</v>
      </c>
      <c r="E263" t="str">
        <f>VLOOKUP(D263,name!A:B,2,1)</f>
        <v>Цубаса</v>
      </c>
      <c r="F263" t="str">
        <f>F226</f>
        <v>それでは行きましょうか?</v>
      </c>
      <c r="G263" t="str">
        <f t="shared" si="198"/>
        <v>a</v>
      </c>
      <c r="H263" t="str">
        <f>VLOOKUP(D263,name!A:C,3,1)</f>
        <v>assets/icons/image017.png</v>
      </c>
      <c r="I263" t="s">
        <v>406</v>
      </c>
    </row>
    <row r="264" spans="1:9" x14ac:dyDescent="0.15">
      <c r="A264" t="str">
        <f t="shared" ref="A264:B264" si="204">A263</f>
        <v>ロシア語</v>
      </c>
      <c r="B264">
        <f t="shared" si="204"/>
        <v>3</v>
      </c>
      <c r="C264">
        <f t="shared" si="166"/>
        <v>62</v>
      </c>
      <c r="D264">
        <f>D227</f>
        <v>21</v>
      </c>
      <c r="E264" t="str">
        <f>VLOOKUP(D264,name!A:B,2,1)</f>
        <v>Цубаса</v>
      </c>
      <c r="F264" t="str">
        <f>F227</f>
        <v>Тогда пойдёмте?</v>
      </c>
      <c r="G264" t="str">
        <f t="shared" si="198"/>
        <v>a</v>
      </c>
      <c r="H264" t="str">
        <f>VLOOKUP(D264,name!A:C,3,1)</f>
        <v>assets/icons/image017.png</v>
      </c>
      <c r="I264" t="str">
        <f>IF(A264="","",VLOOKUP(A264,lng!A:B,2,0))</f>
        <v>ru-RU</v>
      </c>
    </row>
    <row r="265" spans="1:9" x14ac:dyDescent="0.15">
      <c r="A265" t="str">
        <f t="shared" ref="A265:B265" si="205">A264</f>
        <v>ロシア語</v>
      </c>
      <c r="B265">
        <f t="shared" si="205"/>
        <v>3</v>
      </c>
      <c r="C265">
        <f t="shared" si="166"/>
        <v>63</v>
      </c>
      <c r="D265">
        <v>0</v>
      </c>
      <c r="E265" t="str">
        <f>VLOOKUP(D265,name!A:B,2,1)</f>
        <v>Player</v>
      </c>
      <c r="F265" t="str">
        <f>F227</f>
        <v>Тогда пойдёмте?</v>
      </c>
      <c r="G265" t="str">
        <f t="shared" si="198"/>
        <v>q</v>
      </c>
      <c r="H265" t="str">
        <f>VLOOKUP(D265,name!A:C,3,1)</f>
        <v>assets/icons/image326.png</v>
      </c>
      <c r="I265" t="str">
        <f>IF(A265="","",VLOOKUP(A265,lng!A:B,2,0))</f>
        <v>ru-RU</v>
      </c>
    </row>
    <row r="266" spans="1:9" x14ac:dyDescent="0.15">
      <c r="A266" t="str">
        <f t="shared" ref="A266:B266" si="206">A265</f>
        <v>ロシア語</v>
      </c>
      <c r="B266">
        <f t="shared" si="206"/>
        <v>3</v>
      </c>
      <c r="C266">
        <f t="shared" si="166"/>
        <v>64</v>
      </c>
      <c r="D266">
        <f>D228</f>
        <v>22</v>
      </c>
      <c r="E266" t="str">
        <f>VLOOKUP(D266,name!A:B,2,1)</f>
        <v>Люда</v>
      </c>
      <c r="F266" t="str">
        <f>F228</f>
        <v>行きましょう。</v>
      </c>
      <c r="G266" t="str">
        <f t="shared" si="198"/>
        <v>a</v>
      </c>
      <c r="H266" t="str">
        <f>VLOOKUP(D266,name!A:C,3,1)</f>
        <v>assets/icons/image024.png</v>
      </c>
      <c r="I266" t="s">
        <v>406</v>
      </c>
    </row>
    <row r="267" spans="1:9" x14ac:dyDescent="0.15">
      <c r="A267" t="str">
        <f t="shared" ref="A267:B267" si="207">A266</f>
        <v>ロシア語</v>
      </c>
      <c r="B267">
        <f t="shared" si="207"/>
        <v>3</v>
      </c>
      <c r="C267">
        <f t="shared" si="166"/>
        <v>65</v>
      </c>
      <c r="D267">
        <f>D229</f>
        <v>22</v>
      </c>
      <c r="E267" t="str">
        <f>VLOOKUP(D267,name!A:B,2,1)</f>
        <v>Люда</v>
      </c>
      <c r="F267" t="str">
        <f>F229</f>
        <v xml:space="preserve">Пойдёмте. </v>
      </c>
      <c r="G267" t="str">
        <f t="shared" si="198"/>
        <v>a</v>
      </c>
      <c r="H267" t="str">
        <f>VLOOKUP(D267,name!A:C,3,1)</f>
        <v>assets/icons/image024.png</v>
      </c>
      <c r="I267" t="str">
        <f>IF(A267="","",VLOOKUP(A267,lng!A:B,2,0))</f>
        <v>ru-RU</v>
      </c>
    </row>
    <row r="268" spans="1:9" x14ac:dyDescent="0.15">
      <c r="A268" t="str">
        <f t="shared" ref="A268:B268" si="208">A267</f>
        <v>ロシア語</v>
      </c>
      <c r="B268">
        <f t="shared" si="208"/>
        <v>3</v>
      </c>
      <c r="C268">
        <f t="shared" si="166"/>
        <v>66</v>
      </c>
      <c r="D268">
        <v>0</v>
      </c>
      <c r="E268" t="str">
        <f>VLOOKUP(D268,name!A:B,2,1)</f>
        <v>Player</v>
      </c>
      <c r="F268" t="str">
        <f>F229</f>
        <v xml:space="preserve">Пойдёмте. </v>
      </c>
      <c r="G268" t="str">
        <f t="shared" si="198"/>
        <v>q</v>
      </c>
      <c r="H268" t="str">
        <f>VLOOKUP(D268,name!A:C,3,1)</f>
        <v>assets/icons/image326.png</v>
      </c>
      <c r="I268" t="str">
        <f>IF(A268="","",VLOOKUP(A268,lng!A:B,2,0))</f>
        <v>ru-RU</v>
      </c>
    </row>
    <row r="269" spans="1:9" x14ac:dyDescent="0.15">
      <c r="A269" t="str">
        <f t="shared" ref="A269:B269" si="209">A268</f>
        <v>ロシア語</v>
      </c>
      <c r="B269">
        <f t="shared" si="209"/>
        <v>3</v>
      </c>
      <c r="C269">
        <f t="shared" ref="C269:C299" si="210">C268+1</f>
        <v>67</v>
      </c>
      <c r="D269">
        <f>D230</f>
        <v>22</v>
      </c>
      <c r="E269" t="str">
        <f>VLOOKUP(D269,name!A:B,2,1)</f>
        <v>Люда</v>
      </c>
      <c r="F269" t="str">
        <f>F230</f>
        <v>私の車があります。</v>
      </c>
      <c r="G269" t="str">
        <f t="shared" si="198"/>
        <v>a</v>
      </c>
      <c r="H269" t="str">
        <f>VLOOKUP(D269,name!A:C,3,1)</f>
        <v>assets/icons/image024.png</v>
      </c>
      <c r="I269" t="s">
        <v>406</v>
      </c>
    </row>
    <row r="270" spans="1:9" x14ac:dyDescent="0.15">
      <c r="A270" t="str">
        <f t="shared" ref="A270:B270" si="211">A269</f>
        <v>ロシア語</v>
      </c>
      <c r="B270">
        <f t="shared" si="211"/>
        <v>3</v>
      </c>
      <c r="C270">
        <f t="shared" si="210"/>
        <v>68</v>
      </c>
      <c r="D270">
        <f>D231</f>
        <v>22</v>
      </c>
      <c r="E270" t="str">
        <f>VLOOKUP(D270,name!A:B,2,1)</f>
        <v>Люда</v>
      </c>
      <c r="F270" t="str">
        <f>F231</f>
        <v>Там моя машина.</v>
      </c>
      <c r="G270" t="str">
        <f t="shared" si="198"/>
        <v>a</v>
      </c>
      <c r="H270" t="str">
        <f>VLOOKUP(D270,name!A:C,3,1)</f>
        <v>assets/icons/image024.png</v>
      </c>
      <c r="I270" t="str">
        <f>IF(A270="","",VLOOKUP(A270,lng!A:B,2,0))</f>
        <v>ru-RU</v>
      </c>
    </row>
    <row r="271" spans="1:9" x14ac:dyDescent="0.15">
      <c r="A271" t="str">
        <f t="shared" ref="A271:B271" si="212">A270</f>
        <v>ロシア語</v>
      </c>
      <c r="B271">
        <f t="shared" si="212"/>
        <v>3</v>
      </c>
      <c r="C271">
        <f t="shared" si="210"/>
        <v>69</v>
      </c>
      <c r="D271">
        <v>0</v>
      </c>
      <c r="E271" t="str">
        <f>VLOOKUP(D271,name!A:B,2,1)</f>
        <v>Player</v>
      </c>
      <c r="F271" t="str">
        <f>F231</f>
        <v>Там моя машина.</v>
      </c>
      <c r="G271" t="str">
        <f t="shared" si="198"/>
        <v>q</v>
      </c>
      <c r="H271" t="str">
        <f>VLOOKUP(D271,name!A:C,3,1)</f>
        <v>assets/icons/image326.png</v>
      </c>
      <c r="I271" t="str">
        <f>IF(A271="","",VLOOKUP(A271,lng!A:B,2,0))</f>
        <v>ru-RU</v>
      </c>
    </row>
    <row r="272" spans="1:9" x14ac:dyDescent="0.15">
      <c r="A272" t="str">
        <f t="shared" ref="A272:B272" si="213">A271</f>
        <v>ロシア語</v>
      </c>
      <c r="B272">
        <f t="shared" si="213"/>
        <v>3</v>
      </c>
      <c r="C272">
        <f t="shared" si="210"/>
        <v>70</v>
      </c>
      <c r="D272">
        <v>1</v>
      </c>
      <c r="E272" t="str">
        <f>VLOOKUP(D272,name!A:B,2,1)</f>
        <v>Navigator</v>
      </c>
      <c r="F272" t="str">
        <f>"次の日本語を"&amp;A272&amp;"に訳して答えてね！"</f>
        <v>次の日本語をロシア語に訳して答えてね！</v>
      </c>
      <c r="G272" t="str">
        <f t="shared" si="198"/>
        <v>a</v>
      </c>
      <c r="H272" t="str">
        <f>VLOOKUP(D272,name!A:C,3,1)</f>
        <v>assets/icons/image014.png</v>
      </c>
      <c r="I272" t="s">
        <v>403</v>
      </c>
    </row>
    <row r="273" spans="1:9" x14ac:dyDescent="0.15">
      <c r="A273" t="str">
        <f t="shared" ref="A273:B273" si="214">A272</f>
        <v>ロシア語</v>
      </c>
      <c r="B273">
        <f t="shared" si="214"/>
        <v>3</v>
      </c>
      <c r="C273">
        <f t="shared" si="210"/>
        <v>71</v>
      </c>
      <c r="D273">
        <f>D206</f>
        <v>22</v>
      </c>
      <c r="E273" t="str">
        <f>VLOOKUP(D273,name!A:B,2,1)</f>
        <v>Люда</v>
      </c>
      <c r="F273" t="str">
        <f t="shared" ref="F273:F297" si="215">F206</f>
        <v>それはあなたのスーツケースですか?</v>
      </c>
      <c r="G273" t="str">
        <f t="shared" si="198"/>
        <v>a</v>
      </c>
      <c r="H273" t="str">
        <f>VLOOKUP(D273,name!A:C,3,1)</f>
        <v>assets/icons/image024.png</v>
      </c>
      <c r="I273" t="s">
        <v>403</v>
      </c>
    </row>
    <row r="274" spans="1:9" x14ac:dyDescent="0.15">
      <c r="A274" t="str">
        <f t="shared" ref="A274:B274" si="216">A273</f>
        <v>ロシア語</v>
      </c>
      <c r="B274">
        <f t="shared" si="216"/>
        <v>3</v>
      </c>
      <c r="C274">
        <f t="shared" si="210"/>
        <v>72</v>
      </c>
      <c r="D274">
        <v>0</v>
      </c>
      <c r="E274" t="str">
        <f>VLOOKUP(D274,name!A:B,2,1)</f>
        <v>Player</v>
      </c>
      <c r="F274" t="str">
        <f t="shared" si="215"/>
        <v>Это ваш чемодан?</v>
      </c>
      <c r="G274" t="str">
        <f t="shared" si="198"/>
        <v>q</v>
      </c>
      <c r="H274" t="str">
        <f>VLOOKUP(D274,name!A:C,3,1)</f>
        <v>assets/icons/image326.png</v>
      </c>
      <c r="I274" t="str">
        <f>IF(A274="","",VLOOKUP(A274,lng!A:B,2,0))</f>
        <v>ru-RU</v>
      </c>
    </row>
    <row r="275" spans="1:9" x14ac:dyDescent="0.15">
      <c r="A275" t="str">
        <f t="shared" ref="A275:B275" si="217">A274</f>
        <v>ロシア語</v>
      </c>
      <c r="B275">
        <f t="shared" si="217"/>
        <v>3</v>
      </c>
      <c r="C275">
        <f t="shared" si="210"/>
        <v>73</v>
      </c>
      <c r="D275">
        <f>D208</f>
        <v>21</v>
      </c>
      <c r="E275" t="str">
        <f>VLOOKUP(D275,name!A:B,2,1)</f>
        <v>Цубаса</v>
      </c>
      <c r="F275" t="str">
        <f t="shared" si="215"/>
        <v>ええ、それは私のスーツケースです。</v>
      </c>
      <c r="G275" t="str">
        <f t="shared" si="198"/>
        <v>a</v>
      </c>
      <c r="H275" t="str">
        <f>VLOOKUP(D275,name!A:C,3,1)</f>
        <v>assets/icons/image017.png</v>
      </c>
      <c r="I275" t="s">
        <v>403</v>
      </c>
    </row>
    <row r="276" spans="1:9" x14ac:dyDescent="0.15">
      <c r="A276" t="str">
        <f t="shared" ref="A276:B276" si="218">A275</f>
        <v>ロシア語</v>
      </c>
      <c r="B276">
        <f t="shared" si="218"/>
        <v>3</v>
      </c>
      <c r="C276">
        <f t="shared" si="210"/>
        <v>74</v>
      </c>
      <c r="D276">
        <v>0</v>
      </c>
      <c r="E276" t="str">
        <f>VLOOKUP(D276,name!A:B,2,1)</f>
        <v>Player</v>
      </c>
      <c r="F276" t="str">
        <f t="shared" si="215"/>
        <v>Да, это мой чемодан.</v>
      </c>
      <c r="G276" t="str">
        <f t="shared" si="198"/>
        <v>q</v>
      </c>
      <c r="H276" t="str">
        <f>VLOOKUP(D276,name!A:C,3,1)</f>
        <v>assets/icons/image326.png</v>
      </c>
      <c r="I276" t="str">
        <f>IF(A276="","",VLOOKUP(A276,lng!A:B,2,0))</f>
        <v>ru-RU</v>
      </c>
    </row>
    <row r="277" spans="1:9" x14ac:dyDescent="0.15">
      <c r="A277" t="str">
        <f t="shared" ref="A277:B277" si="219">A276</f>
        <v>ロシア語</v>
      </c>
      <c r="B277">
        <f t="shared" si="219"/>
        <v>3</v>
      </c>
      <c r="C277">
        <f t="shared" si="210"/>
        <v>75</v>
      </c>
      <c r="D277">
        <f>D210</f>
        <v>22</v>
      </c>
      <c r="E277" t="str">
        <f>VLOOKUP(D277,name!A:B,2,1)</f>
        <v>Люда</v>
      </c>
      <c r="F277" t="str">
        <f t="shared" si="215"/>
        <v>これはあなたのバッグですか?</v>
      </c>
      <c r="G277" t="str">
        <f t="shared" si="198"/>
        <v>a</v>
      </c>
      <c r="H277" t="str">
        <f>VLOOKUP(D277,name!A:C,3,1)</f>
        <v>assets/icons/image024.png</v>
      </c>
      <c r="I277" t="s">
        <v>403</v>
      </c>
    </row>
    <row r="278" spans="1:9" x14ac:dyDescent="0.15">
      <c r="A278" t="str">
        <f t="shared" ref="A278:B278" si="220">A277</f>
        <v>ロシア語</v>
      </c>
      <c r="B278">
        <f t="shared" si="220"/>
        <v>3</v>
      </c>
      <c r="C278">
        <f t="shared" si="210"/>
        <v>76</v>
      </c>
      <c r="D278">
        <v>0</v>
      </c>
      <c r="E278" t="str">
        <f>VLOOKUP(D278,name!A:B,2,1)</f>
        <v>Player</v>
      </c>
      <c r="F278" t="str">
        <f t="shared" si="215"/>
        <v>А это ваша сумка?</v>
      </c>
      <c r="G278" t="str">
        <f t="shared" si="198"/>
        <v>q</v>
      </c>
      <c r="H278" t="str">
        <f>VLOOKUP(D278,name!A:C,3,1)</f>
        <v>assets/icons/image326.png</v>
      </c>
      <c r="I278" t="str">
        <f>IF(A278="","",VLOOKUP(A278,lng!A:B,2,0))</f>
        <v>ru-RU</v>
      </c>
    </row>
    <row r="279" spans="1:9" x14ac:dyDescent="0.15">
      <c r="A279" t="str">
        <f t="shared" ref="A279:B279" si="221">A278</f>
        <v>ロシア語</v>
      </c>
      <c r="B279">
        <f t="shared" si="221"/>
        <v>3</v>
      </c>
      <c r="C279">
        <f t="shared" si="210"/>
        <v>77</v>
      </c>
      <c r="D279">
        <f>D212</f>
        <v>21</v>
      </c>
      <c r="E279" t="str">
        <f>VLOOKUP(D279,name!A:B,2,1)</f>
        <v>Цубаса</v>
      </c>
      <c r="F279" t="str">
        <f t="shared" si="215"/>
        <v>はい、このバッグも私のものです。</v>
      </c>
      <c r="G279" t="str">
        <f t="shared" si="198"/>
        <v>a</v>
      </c>
      <c r="H279" t="str">
        <f>VLOOKUP(D279,name!A:C,3,1)</f>
        <v>assets/icons/image017.png</v>
      </c>
      <c r="I279" t="s">
        <v>403</v>
      </c>
    </row>
    <row r="280" spans="1:9" x14ac:dyDescent="0.15">
      <c r="A280" t="str">
        <f t="shared" ref="A280:B280" si="222">A279</f>
        <v>ロシア語</v>
      </c>
      <c r="B280">
        <f t="shared" si="222"/>
        <v>3</v>
      </c>
      <c r="C280">
        <f t="shared" si="210"/>
        <v>78</v>
      </c>
      <c r="D280">
        <v>0</v>
      </c>
      <c r="E280" t="str">
        <f>VLOOKUP(D280,name!A:B,2,1)</f>
        <v>Player</v>
      </c>
      <c r="F280" t="str">
        <f t="shared" si="215"/>
        <v>Да, эта сумка тоже моя.</v>
      </c>
      <c r="G280" t="str">
        <f t="shared" si="198"/>
        <v>q</v>
      </c>
      <c r="H280" t="str">
        <f>VLOOKUP(D280,name!A:C,3,1)</f>
        <v>assets/icons/image326.png</v>
      </c>
      <c r="I280" t="str">
        <f>IF(A280="","",VLOOKUP(A280,lng!A:B,2,0))</f>
        <v>ru-RU</v>
      </c>
    </row>
    <row r="281" spans="1:9" x14ac:dyDescent="0.15">
      <c r="A281" t="str">
        <f t="shared" ref="A281:B281" si="223">A280</f>
        <v>ロシア語</v>
      </c>
      <c r="B281">
        <f t="shared" si="223"/>
        <v>3</v>
      </c>
      <c r="C281">
        <f t="shared" si="210"/>
        <v>79</v>
      </c>
      <c r="D281">
        <f>D214</f>
        <v>22</v>
      </c>
      <c r="E281" t="str">
        <f>VLOOKUP(D281,name!A:B,2,1)</f>
        <v>Люда</v>
      </c>
      <c r="F281" t="str">
        <f t="shared" si="215"/>
        <v>これは、何ですか。</v>
      </c>
      <c r="G281" t="str">
        <f t="shared" si="198"/>
        <v>a</v>
      </c>
      <c r="H281" t="str">
        <f>VLOOKUP(D281,name!A:C,3,1)</f>
        <v>assets/icons/image024.png</v>
      </c>
      <c r="I281" t="s">
        <v>403</v>
      </c>
    </row>
    <row r="282" spans="1:9" x14ac:dyDescent="0.15">
      <c r="A282" t="str">
        <f t="shared" ref="A282:B282" si="224">A281</f>
        <v>ロシア語</v>
      </c>
      <c r="B282">
        <f t="shared" si="224"/>
        <v>3</v>
      </c>
      <c r="C282">
        <f t="shared" si="210"/>
        <v>80</v>
      </c>
      <c r="D282">
        <v>0</v>
      </c>
      <c r="E282" t="str">
        <f>VLOOKUP(D282,name!A:B,2,1)</f>
        <v>Player</v>
      </c>
      <c r="F282" t="str">
        <f t="shared" si="215"/>
        <v>Что это?</v>
      </c>
      <c r="G282" t="str">
        <f t="shared" si="198"/>
        <v>q</v>
      </c>
      <c r="H282" t="str">
        <f>VLOOKUP(D282,name!A:C,3,1)</f>
        <v>assets/icons/image326.png</v>
      </c>
      <c r="I282" t="str">
        <f>IF(A282="","",VLOOKUP(A282,lng!A:B,2,0))</f>
        <v>ru-RU</v>
      </c>
    </row>
    <row r="283" spans="1:9" x14ac:dyDescent="0.15">
      <c r="A283" t="str">
        <f t="shared" ref="A283:B283" si="225">A282</f>
        <v>ロシア語</v>
      </c>
      <c r="B283">
        <f t="shared" si="225"/>
        <v>3</v>
      </c>
      <c r="C283">
        <f t="shared" si="210"/>
        <v>81</v>
      </c>
      <c r="D283">
        <f>D216</f>
        <v>22</v>
      </c>
      <c r="E283" t="str">
        <f>VLOOKUP(D283,name!A:B,2,1)</f>
        <v>Люда</v>
      </c>
      <c r="F283" t="str">
        <f t="shared" si="215"/>
        <v>上着？</v>
      </c>
      <c r="G283" t="str">
        <f t="shared" si="198"/>
        <v>a</v>
      </c>
      <c r="H283" t="str">
        <f>VLOOKUP(D283,name!A:C,3,1)</f>
        <v>assets/icons/image024.png</v>
      </c>
      <c r="I283" t="s">
        <v>403</v>
      </c>
    </row>
    <row r="284" spans="1:9" x14ac:dyDescent="0.15">
      <c r="A284" t="str">
        <f t="shared" ref="A284:B284" si="226">A283</f>
        <v>ロシア語</v>
      </c>
      <c r="B284">
        <f t="shared" si="226"/>
        <v>3</v>
      </c>
      <c r="C284">
        <f t="shared" si="210"/>
        <v>82</v>
      </c>
      <c r="D284">
        <v>0</v>
      </c>
      <c r="E284" t="str">
        <f>VLOOKUP(D284,name!A:B,2,1)</f>
        <v>Player</v>
      </c>
      <c r="F284" t="str">
        <f t="shared" si="215"/>
        <v>Пальто?</v>
      </c>
      <c r="G284" t="str">
        <f t="shared" si="198"/>
        <v>q</v>
      </c>
      <c r="H284" t="str">
        <f>VLOOKUP(D284,name!A:C,3,1)</f>
        <v>assets/icons/image326.png</v>
      </c>
      <c r="I284" t="str">
        <f>IF(A284="","",VLOOKUP(A284,lng!A:B,2,0))</f>
        <v>ru-RU</v>
      </c>
    </row>
    <row r="285" spans="1:9" x14ac:dyDescent="0.15">
      <c r="A285" t="str">
        <f t="shared" ref="A285:B285" si="227">A284</f>
        <v>ロシア語</v>
      </c>
      <c r="B285">
        <f t="shared" si="227"/>
        <v>3</v>
      </c>
      <c r="C285">
        <f t="shared" si="210"/>
        <v>83</v>
      </c>
      <c r="D285">
        <f>D218</f>
        <v>22</v>
      </c>
      <c r="E285" t="str">
        <f>VLOOKUP(D285,name!A:B,2,1)</f>
        <v>Люда</v>
      </c>
      <c r="F285" t="str">
        <f t="shared" si="215"/>
        <v>それはあなたのコートですか?</v>
      </c>
      <c r="G285" t="str">
        <f t="shared" si="198"/>
        <v>a</v>
      </c>
      <c r="H285" t="str">
        <f>VLOOKUP(D285,name!A:C,3,1)</f>
        <v>assets/icons/image024.png</v>
      </c>
      <c r="I285" t="s">
        <v>403</v>
      </c>
    </row>
    <row r="286" spans="1:9" x14ac:dyDescent="0.15">
      <c r="A286" t="str">
        <f t="shared" ref="A286:B286" si="228">A285</f>
        <v>ロシア語</v>
      </c>
      <c r="B286">
        <f t="shared" si="228"/>
        <v>3</v>
      </c>
      <c r="C286">
        <f t="shared" si="210"/>
        <v>84</v>
      </c>
      <c r="D286">
        <v>0</v>
      </c>
      <c r="E286" t="str">
        <f>VLOOKUP(D286,name!A:B,2,1)</f>
        <v>Player</v>
      </c>
      <c r="F286" t="str">
        <f t="shared" si="215"/>
        <v>Это ваше пальто?</v>
      </c>
      <c r="G286" t="str">
        <f t="shared" si="198"/>
        <v>q</v>
      </c>
      <c r="H286" t="str">
        <f>VLOOKUP(D286,name!A:C,3,1)</f>
        <v>assets/icons/image326.png</v>
      </c>
      <c r="I286" t="str">
        <f>IF(A286="","",VLOOKUP(A286,lng!A:B,2,0))</f>
        <v>ru-RU</v>
      </c>
    </row>
    <row r="287" spans="1:9" x14ac:dyDescent="0.15">
      <c r="A287" t="str">
        <f t="shared" ref="A287:B287" si="229">A286</f>
        <v>ロシア語</v>
      </c>
      <c r="B287">
        <f t="shared" si="229"/>
        <v>3</v>
      </c>
      <c r="C287">
        <f t="shared" si="210"/>
        <v>85</v>
      </c>
      <c r="D287">
        <f>D220</f>
        <v>21</v>
      </c>
      <c r="E287" t="str">
        <f>VLOOKUP(D287,name!A:B,2,1)</f>
        <v>Цубаса</v>
      </c>
      <c r="F287" t="str">
        <f t="shared" si="215"/>
        <v>いいえ、このコートは私のものではありません。</v>
      </c>
      <c r="G287" t="str">
        <f t="shared" si="198"/>
        <v>a</v>
      </c>
      <c r="H287" t="str">
        <f>VLOOKUP(D287,name!A:C,3,1)</f>
        <v>assets/icons/image017.png</v>
      </c>
      <c r="I287" t="s">
        <v>403</v>
      </c>
    </row>
    <row r="288" spans="1:9" x14ac:dyDescent="0.15">
      <c r="A288" t="str">
        <f t="shared" ref="A288:B288" si="230">A287</f>
        <v>ロシア語</v>
      </c>
      <c r="B288">
        <f t="shared" si="230"/>
        <v>3</v>
      </c>
      <c r="C288">
        <f t="shared" si="210"/>
        <v>86</v>
      </c>
      <c r="D288">
        <v>0</v>
      </c>
      <c r="E288" t="str">
        <f>VLOOKUP(D288,name!A:B,2,1)</f>
        <v>Player</v>
      </c>
      <c r="F288" t="str">
        <f t="shared" si="215"/>
        <v>Нет, это пальто не моё.</v>
      </c>
      <c r="G288" t="str">
        <f t="shared" si="198"/>
        <v>q</v>
      </c>
      <c r="H288" t="str">
        <f>VLOOKUP(D288,name!A:C,3,1)</f>
        <v>assets/icons/image326.png</v>
      </c>
      <c r="I288" t="str">
        <f>IF(A288="","",VLOOKUP(A288,lng!A:B,2,0))</f>
        <v>ru-RU</v>
      </c>
    </row>
    <row r="289" spans="1:12" x14ac:dyDescent="0.15">
      <c r="A289" t="str">
        <f t="shared" ref="A289:B289" si="231">A288</f>
        <v>ロシア語</v>
      </c>
      <c r="B289">
        <f t="shared" si="231"/>
        <v>3</v>
      </c>
      <c r="C289">
        <f t="shared" si="210"/>
        <v>87</v>
      </c>
      <c r="D289">
        <f>D222</f>
        <v>21</v>
      </c>
      <c r="E289" t="str">
        <f>VLOOKUP(D289,name!A:B,2,1)</f>
        <v>Цубаса</v>
      </c>
      <c r="F289" t="str">
        <f t="shared" si="215"/>
        <v>私のコートはここにあります。</v>
      </c>
      <c r="G289" t="str">
        <f t="shared" si="198"/>
        <v>a</v>
      </c>
      <c r="H289" t="str">
        <f>VLOOKUP(D289,name!A:C,3,1)</f>
        <v>assets/icons/image017.png</v>
      </c>
      <c r="I289" t="s">
        <v>403</v>
      </c>
    </row>
    <row r="290" spans="1:12" x14ac:dyDescent="0.15">
      <c r="A290" t="str">
        <f t="shared" ref="A290:B290" si="232">A289</f>
        <v>ロシア語</v>
      </c>
      <c r="B290">
        <f t="shared" si="232"/>
        <v>3</v>
      </c>
      <c r="C290">
        <f t="shared" si="210"/>
        <v>88</v>
      </c>
      <c r="D290">
        <v>0</v>
      </c>
      <c r="E290" t="str">
        <f>VLOOKUP(D290,name!A:B,2,1)</f>
        <v>Player</v>
      </c>
      <c r="F290" t="str">
        <f t="shared" si="215"/>
        <v>Моё пальто здесь.</v>
      </c>
      <c r="G290" t="str">
        <f t="shared" si="198"/>
        <v>q</v>
      </c>
      <c r="H290" t="str">
        <f>VLOOKUP(D290,name!A:C,3,1)</f>
        <v>assets/icons/image326.png</v>
      </c>
      <c r="I290" t="str">
        <f>IF(A290="","",VLOOKUP(A290,lng!A:B,2,0))</f>
        <v>ru-RU</v>
      </c>
    </row>
    <row r="291" spans="1:12" x14ac:dyDescent="0.15">
      <c r="A291" t="str">
        <f t="shared" ref="A291:B291" si="233">A290</f>
        <v>ロシア語</v>
      </c>
      <c r="B291">
        <f t="shared" si="233"/>
        <v>3</v>
      </c>
      <c r="C291">
        <f t="shared" si="210"/>
        <v>89</v>
      </c>
      <c r="D291">
        <f>D224</f>
        <v>22</v>
      </c>
      <c r="E291" t="str">
        <f>VLOOKUP(D291,name!A:B,2,1)</f>
        <v>Люда</v>
      </c>
      <c r="F291" t="str">
        <f t="shared" si="215"/>
        <v>わかりました。</v>
      </c>
      <c r="G291" t="str">
        <f t="shared" si="198"/>
        <v>a</v>
      </c>
      <c r="H291" t="str">
        <f>VLOOKUP(D291,name!A:C,3,1)</f>
        <v>assets/icons/image024.png</v>
      </c>
      <c r="I291" t="s">
        <v>403</v>
      </c>
    </row>
    <row r="292" spans="1:12" x14ac:dyDescent="0.15">
      <c r="A292" t="str">
        <f t="shared" ref="A292:B292" si="234">A291</f>
        <v>ロシア語</v>
      </c>
      <c r="B292">
        <f t="shared" si="234"/>
        <v>3</v>
      </c>
      <c r="C292">
        <f t="shared" si="210"/>
        <v>90</v>
      </c>
      <c r="D292">
        <v>0</v>
      </c>
      <c r="E292" t="str">
        <f>VLOOKUP(D292,name!A:B,2,1)</f>
        <v>Player</v>
      </c>
      <c r="F292" t="str">
        <f t="shared" si="215"/>
        <v>Хорошо.</v>
      </c>
      <c r="G292" t="str">
        <f t="shared" si="198"/>
        <v>q</v>
      </c>
      <c r="H292" t="str">
        <f>VLOOKUP(D292,name!A:C,3,1)</f>
        <v>assets/icons/image326.png</v>
      </c>
      <c r="I292" t="str">
        <f>IF(A292="","",VLOOKUP(A292,lng!A:B,2,0))</f>
        <v>ru-RU</v>
      </c>
    </row>
    <row r="293" spans="1:12" x14ac:dyDescent="0.15">
      <c r="A293" t="str">
        <f t="shared" ref="A293:B293" si="235">A292</f>
        <v>ロシア語</v>
      </c>
      <c r="B293">
        <f t="shared" si="235"/>
        <v>3</v>
      </c>
      <c r="C293">
        <f t="shared" si="210"/>
        <v>91</v>
      </c>
      <c r="D293">
        <f>D226</f>
        <v>21</v>
      </c>
      <c r="E293" t="str">
        <f>VLOOKUP(D293,name!A:B,2,1)</f>
        <v>Цубаса</v>
      </c>
      <c r="F293" t="str">
        <f t="shared" si="215"/>
        <v>それでは行きましょうか?</v>
      </c>
      <c r="G293" t="str">
        <f t="shared" si="198"/>
        <v>a</v>
      </c>
      <c r="H293" t="str">
        <f>VLOOKUP(D293,name!A:C,3,1)</f>
        <v>assets/icons/image017.png</v>
      </c>
      <c r="I293" t="s">
        <v>403</v>
      </c>
    </row>
    <row r="294" spans="1:12" x14ac:dyDescent="0.15">
      <c r="A294" t="str">
        <f t="shared" ref="A294:B294" si="236">A293</f>
        <v>ロシア語</v>
      </c>
      <c r="B294">
        <f t="shared" si="236"/>
        <v>3</v>
      </c>
      <c r="C294">
        <f t="shared" si="210"/>
        <v>92</v>
      </c>
      <c r="D294">
        <v>0</v>
      </c>
      <c r="E294" t="str">
        <f>VLOOKUP(D294,name!A:B,2,1)</f>
        <v>Player</v>
      </c>
      <c r="F294" t="str">
        <f t="shared" si="215"/>
        <v>Тогда пойдёмте?</v>
      </c>
      <c r="G294" t="str">
        <f t="shared" si="198"/>
        <v>q</v>
      </c>
      <c r="H294" t="str">
        <f>VLOOKUP(D294,name!A:C,3,1)</f>
        <v>assets/icons/image326.png</v>
      </c>
      <c r="I294" t="str">
        <f>IF(A294="","",VLOOKUP(A294,lng!A:B,2,0))</f>
        <v>ru-RU</v>
      </c>
    </row>
    <row r="295" spans="1:12" x14ac:dyDescent="0.15">
      <c r="A295" t="str">
        <f t="shared" ref="A295:B295" si="237">A294</f>
        <v>ロシア語</v>
      </c>
      <c r="B295">
        <f t="shared" si="237"/>
        <v>3</v>
      </c>
      <c r="C295">
        <f t="shared" si="210"/>
        <v>93</v>
      </c>
      <c r="D295">
        <f>D228</f>
        <v>22</v>
      </c>
      <c r="E295" t="str">
        <f>VLOOKUP(D295,name!A:B,2,1)</f>
        <v>Люда</v>
      </c>
      <c r="F295" t="str">
        <f t="shared" si="215"/>
        <v>行きましょう。</v>
      </c>
      <c r="G295" t="str">
        <f t="shared" si="198"/>
        <v>a</v>
      </c>
      <c r="H295" t="str">
        <f>VLOOKUP(D295,name!A:C,3,1)</f>
        <v>assets/icons/image024.png</v>
      </c>
      <c r="I295" t="s">
        <v>403</v>
      </c>
    </row>
    <row r="296" spans="1:12" x14ac:dyDescent="0.15">
      <c r="A296" t="str">
        <f t="shared" ref="A296:B296" si="238">A295</f>
        <v>ロシア語</v>
      </c>
      <c r="B296">
        <f t="shared" si="238"/>
        <v>3</v>
      </c>
      <c r="C296">
        <f t="shared" si="210"/>
        <v>94</v>
      </c>
      <c r="D296">
        <v>0</v>
      </c>
      <c r="E296" t="str">
        <f>VLOOKUP(D296,name!A:B,2,1)</f>
        <v>Player</v>
      </c>
      <c r="F296" t="str">
        <f t="shared" si="215"/>
        <v xml:space="preserve">Пойдёмте. </v>
      </c>
      <c r="G296" t="str">
        <f t="shared" si="198"/>
        <v>q</v>
      </c>
      <c r="H296" t="str">
        <f>VLOOKUP(D296,name!A:C,3,1)</f>
        <v>assets/icons/image326.png</v>
      </c>
      <c r="I296" t="str">
        <f>IF(A296="","",VLOOKUP(A296,lng!A:B,2,0))</f>
        <v>ru-RU</v>
      </c>
    </row>
    <row r="297" spans="1:12" x14ac:dyDescent="0.15">
      <c r="A297" t="str">
        <f t="shared" ref="A297:B297" si="239">A296</f>
        <v>ロシア語</v>
      </c>
      <c r="B297">
        <f t="shared" si="239"/>
        <v>3</v>
      </c>
      <c r="C297">
        <f t="shared" si="210"/>
        <v>95</v>
      </c>
      <c r="D297">
        <f>D230</f>
        <v>22</v>
      </c>
      <c r="E297" t="str">
        <f>VLOOKUP(D297,name!A:B,2,1)</f>
        <v>Люда</v>
      </c>
      <c r="F297" t="str">
        <f t="shared" si="215"/>
        <v>私の車があります。</v>
      </c>
      <c r="G297" t="str">
        <f t="shared" si="198"/>
        <v>a</v>
      </c>
      <c r="H297" t="str">
        <f>VLOOKUP(D297,name!A:C,3,1)</f>
        <v>assets/icons/image024.png</v>
      </c>
      <c r="I297" t="s">
        <v>403</v>
      </c>
    </row>
    <row r="298" spans="1:12" x14ac:dyDescent="0.15">
      <c r="A298" t="str">
        <f t="shared" ref="A298:B298" si="240">A297</f>
        <v>ロシア語</v>
      </c>
      <c r="B298">
        <f t="shared" si="240"/>
        <v>3</v>
      </c>
      <c r="C298">
        <f t="shared" si="210"/>
        <v>96</v>
      </c>
      <c r="D298">
        <v>0</v>
      </c>
      <c r="E298" t="str">
        <f>VLOOKUP(D298,name!A:B,2,1)</f>
        <v>Player</v>
      </c>
      <c r="F298" t="str">
        <f>F231</f>
        <v>Там моя машина.</v>
      </c>
      <c r="G298" t="str">
        <f t="shared" si="198"/>
        <v>q</v>
      </c>
      <c r="H298" t="str">
        <f>VLOOKUP(D298,name!A:C,3,1)</f>
        <v>assets/icons/image326.png</v>
      </c>
      <c r="I298" t="str">
        <f>IF(A298="","",VLOOKUP(A298,lng!A:B,2,0))</f>
        <v>ru-RU</v>
      </c>
    </row>
    <row r="299" spans="1:12" x14ac:dyDescent="0.15">
      <c r="A299" t="str">
        <f t="shared" ref="A299:B299" si="241">A298</f>
        <v>ロシア語</v>
      </c>
      <c r="B299">
        <f t="shared" si="241"/>
        <v>3</v>
      </c>
      <c r="C299">
        <f t="shared" si="210"/>
        <v>97</v>
      </c>
      <c r="D299">
        <v>1</v>
      </c>
      <c r="E299" t="str">
        <f>VLOOKUP(D299,name!A:B,2,1)</f>
        <v>Navigator</v>
      </c>
      <c r="F299" t="str">
        <f>"とても良くできました。レッスン"&amp;B299&amp;"はこれで終了です。"</f>
        <v>とても良くできました。レッスン3はこれで終了です。</v>
      </c>
      <c r="G299" t="str">
        <f t="shared" si="198"/>
        <v>e</v>
      </c>
      <c r="H299" t="str">
        <f>VLOOKUP(D299,name!A:C,3,1)</f>
        <v>assets/icons/image014.png</v>
      </c>
      <c r="I299" t="s">
        <v>403</v>
      </c>
    </row>
    <row r="300" spans="1:12" x14ac:dyDescent="0.15">
      <c r="A300" t="str">
        <f>A299</f>
        <v>ロシア語</v>
      </c>
      <c r="B300">
        <f>B299+1</f>
        <v>4</v>
      </c>
      <c r="C300">
        <v>1</v>
      </c>
      <c r="D300">
        <v>1</v>
      </c>
      <c r="E300" t="str">
        <f>VLOOKUP(D300,name!A:B,2,1)</f>
        <v>Navigator</v>
      </c>
      <c r="F300" t="s">
        <v>509</v>
      </c>
      <c r="G300" t="str">
        <f t="shared" ref="G300:G363" si="242">IF(B300&lt;&gt;B301,"e",IF(D300=0,"q","a"))</f>
        <v>a</v>
      </c>
      <c r="H300" t="str">
        <f>VLOOKUP(D300,name!A:C,3,1)</f>
        <v>assets/icons/image014.png</v>
      </c>
      <c r="I300" t="str">
        <f>IF(A300="","",VLOOKUP(A300,lng!A:B,2,0))</f>
        <v>ru-RU</v>
      </c>
    </row>
    <row r="301" spans="1:12" x14ac:dyDescent="0.15">
      <c r="A301" t="str">
        <f t="shared" ref="A301:B316" si="243">A300</f>
        <v>ロシア語</v>
      </c>
      <c r="B301">
        <f>B300</f>
        <v>4</v>
      </c>
      <c r="C301">
        <f>C300+1</f>
        <v>2</v>
      </c>
      <c r="D301">
        <v>1</v>
      </c>
      <c r="E301" t="str">
        <f>VLOOKUP(D301,name!A:B,2,1)</f>
        <v>Navigator</v>
      </c>
      <c r="F301" t="str">
        <f>"レッスン"&amp;B301</f>
        <v>レッスン4</v>
      </c>
      <c r="G301" t="str">
        <f t="shared" si="242"/>
        <v>a</v>
      </c>
      <c r="H301" t="str">
        <f>VLOOKUP(D301,name!A:C,3,1)</f>
        <v>assets/icons/image014.png</v>
      </c>
      <c r="I301" t="s">
        <v>403</v>
      </c>
    </row>
    <row r="302" spans="1:12" ht="40.5" x14ac:dyDescent="0.15">
      <c r="A302" t="str">
        <f t="shared" si="243"/>
        <v>ロシア語</v>
      </c>
      <c r="B302">
        <f t="shared" si="243"/>
        <v>4</v>
      </c>
      <c r="C302">
        <f t="shared" ref="C302:C365" si="244">C301+1</f>
        <v>3</v>
      </c>
      <c r="D302">
        <v>1</v>
      </c>
      <c r="E302" t="str">
        <f>VLOOKUP(D302,name!A:B,2,1)</f>
        <v>Navigator</v>
      </c>
      <c r="F302" s="1" t="str">
        <f>"まずは対話文を流します。その後に、日本語と"&amp;A302&amp;"を一文ずつ流すので"&amp;A302&amp;"を真似して下さい。最後に日本語のみを流すので、"&amp;A302&amp;"で答えてください。"</f>
        <v>まずは対話文を流します。その後に、日本語とロシア語を一文ずつ流すのでロシア語を真似して下さい。最後に日本語のみを流すので、ロシア語で答えてください。</v>
      </c>
      <c r="G302" t="str">
        <f t="shared" si="242"/>
        <v>a</v>
      </c>
      <c r="H302" t="str">
        <f>VLOOKUP(D302,name!A:C,3,1)</f>
        <v>assets/icons/image014.png</v>
      </c>
      <c r="I302" t="s">
        <v>403</v>
      </c>
      <c r="L302" s="1"/>
    </row>
    <row r="303" spans="1:12" x14ac:dyDescent="0.15">
      <c r="A303" t="str">
        <f t="shared" si="243"/>
        <v>ロシア語</v>
      </c>
      <c r="B303">
        <f t="shared" si="243"/>
        <v>4</v>
      </c>
      <c r="C303">
        <f t="shared" si="244"/>
        <v>4</v>
      </c>
      <c r="D303">
        <f>D304</f>
        <v>23</v>
      </c>
      <c r="E303" t="str">
        <f>VLOOKUP(D303,name!A:B,2,1)</f>
        <v>Наташа</v>
      </c>
      <c r="F303" t="s">
        <v>523</v>
      </c>
      <c r="G303" t="str">
        <f t="shared" si="242"/>
        <v>a</v>
      </c>
      <c r="H303" t="str">
        <f>VLOOKUP(D303,name!A:C,3,1)</f>
        <v>assets/icons/image035.png</v>
      </c>
      <c r="I303" t="s">
        <v>403</v>
      </c>
    </row>
    <row r="304" spans="1:12" x14ac:dyDescent="0.15">
      <c r="A304" t="str">
        <f t="shared" si="243"/>
        <v>ロシア語</v>
      </c>
      <c r="B304">
        <f t="shared" si="243"/>
        <v>4</v>
      </c>
      <c r="C304">
        <f t="shared" si="244"/>
        <v>5</v>
      </c>
      <c r="D304">
        <v>23</v>
      </c>
      <c r="E304" t="str">
        <f>VLOOKUP(D304,name!A:B,2,1)</f>
        <v>Наташа</v>
      </c>
      <c r="F304" t="s">
        <v>510</v>
      </c>
      <c r="G304" t="str">
        <f t="shared" si="242"/>
        <v>a</v>
      </c>
      <c r="H304" t="str">
        <f>VLOOKUP(D304,name!A:C,3,1)</f>
        <v>assets/icons/image035.png</v>
      </c>
      <c r="I304" t="str">
        <f>IF(A304="","",VLOOKUP(A304,lng!A:B,2,0))</f>
        <v>ru-RU</v>
      </c>
    </row>
    <row r="305" spans="1:9" x14ac:dyDescent="0.15">
      <c r="A305" t="str">
        <f t="shared" si="243"/>
        <v>ロシア語</v>
      </c>
      <c r="B305">
        <f t="shared" si="243"/>
        <v>4</v>
      </c>
      <c r="C305">
        <f t="shared" si="244"/>
        <v>6</v>
      </c>
      <c r="D305">
        <f t="shared" ref="D305:D331" si="245">D306</f>
        <v>21</v>
      </c>
      <c r="E305" t="str">
        <f>VLOOKUP(D305,name!A:B,2,1)</f>
        <v>Цубаса</v>
      </c>
      <c r="F305" t="s">
        <v>525</v>
      </c>
      <c r="G305" t="str">
        <f t="shared" si="242"/>
        <v>a</v>
      </c>
      <c r="H305" t="str">
        <f>VLOOKUP(D305,name!A:C,3,1)</f>
        <v>assets/icons/image017.png</v>
      </c>
      <c r="I305" t="s">
        <v>403</v>
      </c>
    </row>
    <row r="306" spans="1:9" x14ac:dyDescent="0.15">
      <c r="A306" t="str">
        <f t="shared" si="243"/>
        <v>ロシア語</v>
      </c>
      <c r="B306">
        <f t="shared" si="243"/>
        <v>4</v>
      </c>
      <c r="C306">
        <f t="shared" si="244"/>
        <v>7</v>
      </c>
      <c r="D306">
        <v>21</v>
      </c>
      <c r="E306" t="str">
        <f>VLOOKUP(D306,name!A:B,2,1)</f>
        <v>Цубаса</v>
      </c>
      <c r="F306" t="s">
        <v>524</v>
      </c>
      <c r="G306" t="str">
        <f t="shared" si="242"/>
        <v>a</v>
      </c>
      <c r="H306" t="str">
        <f>VLOOKUP(D306,name!A:C,3,1)</f>
        <v>assets/icons/image017.png</v>
      </c>
      <c r="I306" t="str">
        <f>IF(A306="","",VLOOKUP(A306,lng!A:B,2,0))</f>
        <v>ru-RU</v>
      </c>
    </row>
    <row r="307" spans="1:9" x14ac:dyDescent="0.15">
      <c r="A307" t="str">
        <f t="shared" si="243"/>
        <v>ロシア語</v>
      </c>
      <c r="B307">
        <f t="shared" si="243"/>
        <v>4</v>
      </c>
      <c r="C307">
        <f t="shared" si="244"/>
        <v>8</v>
      </c>
      <c r="D307">
        <f t="shared" si="245"/>
        <v>22</v>
      </c>
      <c r="E307" t="str">
        <f>VLOOKUP(D307,name!A:B,2,1)</f>
        <v>Люда</v>
      </c>
      <c r="F307" t="s">
        <v>526</v>
      </c>
      <c r="G307" t="str">
        <f t="shared" si="242"/>
        <v>a</v>
      </c>
      <c r="H307" t="str">
        <f>VLOOKUP(D307,name!A:C,3,1)</f>
        <v>assets/icons/image024.png</v>
      </c>
      <c r="I307" t="s">
        <v>403</v>
      </c>
    </row>
    <row r="308" spans="1:9" x14ac:dyDescent="0.15">
      <c r="A308" t="str">
        <f t="shared" si="243"/>
        <v>ロシア語</v>
      </c>
      <c r="B308">
        <f t="shared" si="243"/>
        <v>4</v>
      </c>
      <c r="C308">
        <f t="shared" si="244"/>
        <v>9</v>
      </c>
      <c r="D308">
        <v>22</v>
      </c>
      <c r="E308" t="str">
        <f>VLOOKUP(D308,name!A:B,2,1)</f>
        <v>Люда</v>
      </c>
      <c r="F308" t="s">
        <v>513</v>
      </c>
      <c r="G308" t="str">
        <f t="shared" si="242"/>
        <v>a</v>
      </c>
      <c r="H308" t="str">
        <f>VLOOKUP(D308,name!A:C,3,1)</f>
        <v>assets/icons/image024.png</v>
      </c>
      <c r="I308" t="str">
        <f>IF(A308="","",VLOOKUP(A308,lng!A:B,2,0))</f>
        <v>ru-RU</v>
      </c>
    </row>
    <row r="309" spans="1:9" x14ac:dyDescent="0.15">
      <c r="A309" t="str">
        <f t="shared" si="243"/>
        <v>ロシア語</v>
      </c>
      <c r="B309">
        <f t="shared" si="243"/>
        <v>4</v>
      </c>
      <c r="C309">
        <f t="shared" si="244"/>
        <v>10</v>
      </c>
      <c r="D309">
        <f t="shared" si="245"/>
        <v>23</v>
      </c>
      <c r="E309" t="str">
        <f>VLOOKUP(D309,name!A:B,2,1)</f>
        <v>Наташа</v>
      </c>
      <c r="F309" t="s">
        <v>527</v>
      </c>
      <c r="G309" t="str">
        <f t="shared" si="242"/>
        <v>a</v>
      </c>
      <c r="H309" t="str">
        <f>VLOOKUP(D309,name!A:C,3,1)</f>
        <v>assets/icons/image035.png</v>
      </c>
      <c r="I309" t="s">
        <v>403</v>
      </c>
    </row>
    <row r="310" spans="1:9" x14ac:dyDescent="0.15">
      <c r="A310" t="str">
        <f t="shared" si="243"/>
        <v>ロシア語</v>
      </c>
      <c r="B310">
        <f t="shared" si="243"/>
        <v>4</v>
      </c>
      <c r="C310">
        <f t="shared" si="244"/>
        <v>11</v>
      </c>
      <c r="D310">
        <v>23</v>
      </c>
      <c r="E310" t="str">
        <f>VLOOKUP(D310,name!A:B,2,1)</f>
        <v>Наташа</v>
      </c>
      <c r="F310" t="s">
        <v>514</v>
      </c>
      <c r="G310" t="str">
        <f t="shared" si="242"/>
        <v>a</v>
      </c>
      <c r="H310" t="str">
        <f>VLOOKUP(D310,name!A:C,3,1)</f>
        <v>assets/icons/image035.png</v>
      </c>
      <c r="I310" t="str">
        <f>IF(A310="","",VLOOKUP(A310,lng!A:B,2,0))</f>
        <v>ru-RU</v>
      </c>
    </row>
    <row r="311" spans="1:9" x14ac:dyDescent="0.15">
      <c r="A311" t="str">
        <f t="shared" si="243"/>
        <v>ロシア語</v>
      </c>
      <c r="B311">
        <f t="shared" si="243"/>
        <v>4</v>
      </c>
      <c r="C311">
        <f t="shared" si="244"/>
        <v>12</v>
      </c>
      <c r="D311">
        <f t="shared" si="245"/>
        <v>21</v>
      </c>
      <c r="E311" t="str">
        <f>VLOOKUP(D311,name!A:B,2,1)</f>
        <v>Цубаса</v>
      </c>
      <c r="F311" t="s">
        <v>533</v>
      </c>
      <c r="G311" t="str">
        <f t="shared" si="242"/>
        <v>a</v>
      </c>
      <c r="H311" t="str">
        <f>VLOOKUP(D311,name!A:C,3,1)</f>
        <v>assets/icons/image017.png</v>
      </c>
      <c r="I311" t="s">
        <v>403</v>
      </c>
    </row>
    <row r="312" spans="1:9" x14ac:dyDescent="0.15">
      <c r="A312" t="str">
        <f t="shared" si="243"/>
        <v>ロシア語</v>
      </c>
      <c r="B312">
        <f t="shared" si="243"/>
        <v>4</v>
      </c>
      <c r="C312">
        <f t="shared" si="244"/>
        <v>13</v>
      </c>
      <c r="D312">
        <v>21</v>
      </c>
      <c r="E312" t="str">
        <f>VLOOKUP(D312,name!A:B,2,1)</f>
        <v>Цубаса</v>
      </c>
      <c r="F312" t="s">
        <v>528</v>
      </c>
      <c r="G312" t="str">
        <f t="shared" si="242"/>
        <v>a</v>
      </c>
      <c r="H312" t="str">
        <f>VLOOKUP(D312,name!A:C,3,1)</f>
        <v>assets/icons/image017.png</v>
      </c>
      <c r="I312" t="str">
        <f>IF(A312="","",VLOOKUP(A312,lng!A:B,2,0))</f>
        <v>ru-RU</v>
      </c>
    </row>
    <row r="313" spans="1:9" x14ac:dyDescent="0.15">
      <c r="A313" t="str">
        <f t="shared" si="243"/>
        <v>ロシア語</v>
      </c>
      <c r="B313">
        <f t="shared" si="243"/>
        <v>4</v>
      </c>
      <c r="C313">
        <f t="shared" si="244"/>
        <v>14</v>
      </c>
      <c r="D313">
        <f t="shared" si="245"/>
        <v>21</v>
      </c>
      <c r="E313" t="str">
        <f>VLOOKUP(D313,name!A:B,2,1)</f>
        <v>Цубаса</v>
      </c>
      <c r="F313" t="s">
        <v>530</v>
      </c>
      <c r="G313" t="str">
        <f t="shared" si="242"/>
        <v>a</v>
      </c>
      <c r="H313" t="str">
        <f>VLOOKUP(D313,name!A:C,3,1)</f>
        <v>assets/icons/image017.png</v>
      </c>
      <c r="I313" t="s">
        <v>403</v>
      </c>
    </row>
    <row r="314" spans="1:9" x14ac:dyDescent="0.15">
      <c r="A314" t="str">
        <f t="shared" si="243"/>
        <v>ロシア語</v>
      </c>
      <c r="B314">
        <f t="shared" si="243"/>
        <v>4</v>
      </c>
      <c r="C314">
        <f t="shared" si="244"/>
        <v>15</v>
      </c>
      <c r="D314">
        <v>21</v>
      </c>
      <c r="E314" t="str">
        <f>VLOOKUP(D314,name!A:B,2,1)</f>
        <v>Цубаса</v>
      </c>
      <c r="F314" t="s">
        <v>529</v>
      </c>
      <c r="G314" t="str">
        <f t="shared" si="242"/>
        <v>a</v>
      </c>
      <c r="H314" t="str">
        <f>VLOOKUP(D314,name!A:C,3,1)</f>
        <v>assets/icons/image017.png</v>
      </c>
      <c r="I314" t="str">
        <f>IF(A314="","",VLOOKUP(A314,lng!A:B,2,0))</f>
        <v>ru-RU</v>
      </c>
    </row>
    <row r="315" spans="1:9" x14ac:dyDescent="0.15">
      <c r="A315" t="str">
        <f t="shared" si="243"/>
        <v>ロシア語</v>
      </c>
      <c r="B315">
        <f t="shared" si="243"/>
        <v>4</v>
      </c>
      <c r="C315">
        <f t="shared" si="244"/>
        <v>16</v>
      </c>
      <c r="D315">
        <f t="shared" si="245"/>
        <v>23</v>
      </c>
      <c r="E315" t="str">
        <f>VLOOKUP(D315,name!A:B,2,1)</f>
        <v>Наташа</v>
      </c>
      <c r="F315" t="s">
        <v>531</v>
      </c>
      <c r="G315" t="str">
        <f t="shared" si="242"/>
        <v>a</v>
      </c>
      <c r="H315" t="str">
        <f>VLOOKUP(D315,name!A:C,3,1)</f>
        <v>assets/icons/image035.png</v>
      </c>
      <c r="I315" t="s">
        <v>403</v>
      </c>
    </row>
    <row r="316" spans="1:9" x14ac:dyDescent="0.15">
      <c r="A316" t="str">
        <f t="shared" si="243"/>
        <v>ロシア語</v>
      </c>
      <c r="B316">
        <f t="shared" si="243"/>
        <v>4</v>
      </c>
      <c r="C316">
        <f t="shared" si="244"/>
        <v>17</v>
      </c>
      <c r="D316">
        <v>23</v>
      </c>
      <c r="E316" t="str">
        <f>VLOOKUP(D316,name!A:B,2,1)</f>
        <v>Наташа</v>
      </c>
      <c r="F316" t="s">
        <v>515</v>
      </c>
      <c r="G316" t="str">
        <f t="shared" si="242"/>
        <v>a</v>
      </c>
      <c r="H316" t="str">
        <f>VLOOKUP(D316,name!A:C,3,1)</f>
        <v>assets/icons/image035.png</v>
      </c>
      <c r="I316" t="str">
        <f>IF(A316="","",VLOOKUP(A316,lng!A:B,2,0))</f>
        <v>ru-RU</v>
      </c>
    </row>
    <row r="317" spans="1:9" x14ac:dyDescent="0.15">
      <c r="A317" t="str">
        <f t="shared" ref="A317:B322" si="246">A316</f>
        <v>ロシア語</v>
      </c>
      <c r="B317">
        <f t="shared" si="246"/>
        <v>4</v>
      </c>
      <c r="C317">
        <f t="shared" si="244"/>
        <v>18</v>
      </c>
      <c r="D317">
        <f t="shared" si="245"/>
        <v>21</v>
      </c>
      <c r="E317" t="str">
        <f>VLOOKUP(D317,name!A:B,2,1)</f>
        <v>Цубаса</v>
      </c>
      <c r="F317" t="s">
        <v>532</v>
      </c>
      <c r="G317" t="str">
        <f t="shared" si="242"/>
        <v>a</v>
      </c>
      <c r="H317" t="str">
        <f>VLOOKUP(D317,name!A:C,3,1)</f>
        <v>assets/icons/image017.png</v>
      </c>
      <c r="I317" t="s">
        <v>403</v>
      </c>
    </row>
    <row r="318" spans="1:9" x14ac:dyDescent="0.15">
      <c r="A318" t="str">
        <f t="shared" si="246"/>
        <v>ロシア語</v>
      </c>
      <c r="B318">
        <f t="shared" si="246"/>
        <v>4</v>
      </c>
      <c r="C318">
        <f t="shared" si="244"/>
        <v>19</v>
      </c>
      <c r="D318">
        <v>21</v>
      </c>
      <c r="E318" t="str">
        <f>VLOOKUP(D318,name!A:B,2,1)</f>
        <v>Цубаса</v>
      </c>
      <c r="F318" t="s">
        <v>516</v>
      </c>
      <c r="G318" t="str">
        <f t="shared" si="242"/>
        <v>a</v>
      </c>
      <c r="H318" t="str">
        <f>VLOOKUP(D318,name!A:C,3,1)</f>
        <v>assets/icons/image017.png</v>
      </c>
      <c r="I318" t="str">
        <f>IF(A318="","",VLOOKUP(A318,lng!A:B,2,0))</f>
        <v>ru-RU</v>
      </c>
    </row>
    <row r="319" spans="1:9" x14ac:dyDescent="0.15">
      <c r="A319" t="str">
        <f t="shared" si="246"/>
        <v>ロシア語</v>
      </c>
      <c r="B319">
        <f t="shared" si="246"/>
        <v>4</v>
      </c>
      <c r="C319">
        <f t="shared" si="244"/>
        <v>20</v>
      </c>
      <c r="D319">
        <f t="shared" si="245"/>
        <v>21</v>
      </c>
      <c r="E319" t="str">
        <f>VLOOKUP(D319,name!A:B,2,1)</f>
        <v>Цубаса</v>
      </c>
      <c r="F319" t="s">
        <v>534</v>
      </c>
      <c r="G319" t="str">
        <f t="shared" si="242"/>
        <v>a</v>
      </c>
      <c r="H319" t="str">
        <f>VLOOKUP(D319,name!A:C,3,1)</f>
        <v>assets/icons/image017.png</v>
      </c>
      <c r="I319" t="s">
        <v>403</v>
      </c>
    </row>
    <row r="320" spans="1:9" x14ac:dyDescent="0.15">
      <c r="A320" t="str">
        <f t="shared" si="246"/>
        <v>ロシア語</v>
      </c>
      <c r="B320">
        <f t="shared" si="246"/>
        <v>4</v>
      </c>
      <c r="C320">
        <f t="shared" si="244"/>
        <v>21</v>
      </c>
      <c r="D320">
        <v>21</v>
      </c>
      <c r="E320" t="str">
        <f>VLOOKUP(D320,name!A:B,2,1)</f>
        <v>Цубаса</v>
      </c>
      <c r="F320" t="s">
        <v>517</v>
      </c>
      <c r="G320" t="str">
        <f t="shared" si="242"/>
        <v>a</v>
      </c>
      <c r="H320" t="str">
        <f>VLOOKUP(D320,name!A:C,3,1)</f>
        <v>assets/icons/image017.png</v>
      </c>
      <c r="I320" t="str">
        <f>IF(A320="","",VLOOKUP(A320,lng!A:B,2,0))</f>
        <v>ru-RU</v>
      </c>
    </row>
    <row r="321" spans="1:9" x14ac:dyDescent="0.15">
      <c r="A321" t="str">
        <f t="shared" si="246"/>
        <v>ロシア語</v>
      </c>
      <c r="B321">
        <f t="shared" si="246"/>
        <v>4</v>
      </c>
      <c r="C321">
        <f t="shared" si="244"/>
        <v>22</v>
      </c>
      <c r="D321">
        <f t="shared" si="245"/>
        <v>23</v>
      </c>
      <c r="E321" t="str">
        <f>VLOOKUP(D321,name!A:B,2,1)</f>
        <v>Наташа</v>
      </c>
      <c r="F321" t="s">
        <v>535</v>
      </c>
      <c r="G321" t="str">
        <f t="shared" si="242"/>
        <v>a</v>
      </c>
      <c r="H321" t="str">
        <f>VLOOKUP(D321,name!A:C,3,1)</f>
        <v>assets/icons/image035.png</v>
      </c>
      <c r="I321" t="s">
        <v>403</v>
      </c>
    </row>
    <row r="322" spans="1:9" x14ac:dyDescent="0.15">
      <c r="A322" t="str">
        <f t="shared" si="246"/>
        <v>ロシア語</v>
      </c>
      <c r="B322">
        <f t="shared" si="246"/>
        <v>4</v>
      </c>
      <c r="C322">
        <f t="shared" si="244"/>
        <v>23</v>
      </c>
      <c r="D322">
        <v>23</v>
      </c>
      <c r="E322" t="str">
        <f>VLOOKUP(D322,name!A:B,2,1)</f>
        <v>Наташа</v>
      </c>
      <c r="F322" t="s">
        <v>518</v>
      </c>
      <c r="G322" t="str">
        <f t="shared" si="242"/>
        <v>a</v>
      </c>
      <c r="H322" t="str">
        <f>VLOOKUP(D322,name!A:C,3,1)</f>
        <v>assets/icons/image035.png</v>
      </c>
      <c r="I322" t="str">
        <f>IF(A322="","",VLOOKUP(A322,lng!A:B,2,0))</f>
        <v>ru-RU</v>
      </c>
    </row>
    <row r="323" spans="1:9" x14ac:dyDescent="0.15">
      <c r="A323" t="str">
        <f t="shared" ref="A323:B323" si="247">A322</f>
        <v>ロシア語</v>
      </c>
      <c r="B323">
        <f t="shared" si="247"/>
        <v>4</v>
      </c>
      <c r="C323">
        <f t="shared" si="244"/>
        <v>24</v>
      </c>
      <c r="D323">
        <f t="shared" si="245"/>
        <v>21</v>
      </c>
      <c r="E323" t="str">
        <f>VLOOKUP(D323,name!A:B,2,1)</f>
        <v>Цубаса</v>
      </c>
      <c r="F323" t="s">
        <v>536</v>
      </c>
      <c r="G323" t="str">
        <f t="shared" si="242"/>
        <v>a</v>
      </c>
      <c r="H323" t="str">
        <f>VLOOKUP(D323,name!A:C,3,1)</f>
        <v>assets/icons/image017.png</v>
      </c>
      <c r="I323" t="s">
        <v>403</v>
      </c>
    </row>
    <row r="324" spans="1:9" x14ac:dyDescent="0.15">
      <c r="A324" t="str">
        <f t="shared" ref="A324:B324" si="248">A323</f>
        <v>ロシア語</v>
      </c>
      <c r="B324">
        <f t="shared" si="248"/>
        <v>4</v>
      </c>
      <c r="C324">
        <f t="shared" si="244"/>
        <v>25</v>
      </c>
      <c r="D324">
        <v>21</v>
      </c>
      <c r="E324" t="str">
        <f>VLOOKUP(D324,name!A:B,2,1)</f>
        <v>Цубаса</v>
      </c>
      <c r="F324" t="s">
        <v>519</v>
      </c>
      <c r="G324" t="str">
        <f t="shared" si="242"/>
        <v>a</v>
      </c>
      <c r="H324" t="str">
        <f>VLOOKUP(D324,name!A:C,3,1)</f>
        <v>assets/icons/image017.png</v>
      </c>
      <c r="I324" t="str">
        <f>IF(A324="","",VLOOKUP(A324,lng!A:B,2,0))</f>
        <v>ru-RU</v>
      </c>
    </row>
    <row r="325" spans="1:9" x14ac:dyDescent="0.15">
      <c r="A325" t="str">
        <f t="shared" ref="A325:B325" si="249">A324</f>
        <v>ロシア語</v>
      </c>
      <c r="B325">
        <f t="shared" si="249"/>
        <v>4</v>
      </c>
      <c r="C325">
        <f t="shared" si="244"/>
        <v>26</v>
      </c>
      <c r="D325">
        <f t="shared" si="245"/>
        <v>21</v>
      </c>
      <c r="E325" t="str">
        <f>VLOOKUP(D325,name!A:B,2,1)</f>
        <v>Цубаса</v>
      </c>
      <c r="F325" t="s">
        <v>539</v>
      </c>
      <c r="G325" t="str">
        <f t="shared" si="242"/>
        <v>a</v>
      </c>
      <c r="H325" t="str">
        <f>VLOOKUP(D325,name!A:C,3,1)</f>
        <v>assets/icons/image017.png</v>
      </c>
      <c r="I325" t="s">
        <v>403</v>
      </c>
    </row>
    <row r="326" spans="1:9" x14ac:dyDescent="0.15">
      <c r="A326" t="str">
        <f t="shared" ref="A326:B326" si="250">A325</f>
        <v>ロシア語</v>
      </c>
      <c r="B326">
        <f t="shared" si="250"/>
        <v>4</v>
      </c>
      <c r="C326">
        <f t="shared" si="244"/>
        <v>27</v>
      </c>
      <c r="D326">
        <v>21</v>
      </c>
      <c r="E326" t="str">
        <f>VLOOKUP(D326,name!A:B,2,1)</f>
        <v>Цубаса</v>
      </c>
      <c r="F326" t="s">
        <v>520</v>
      </c>
      <c r="G326" t="str">
        <f t="shared" si="242"/>
        <v>a</v>
      </c>
      <c r="H326" t="str">
        <f>VLOOKUP(D326,name!A:C,3,1)</f>
        <v>assets/icons/image017.png</v>
      </c>
      <c r="I326" t="str">
        <f>IF(A326="","",VLOOKUP(A326,lng!A:B,2,0))</f>
        <v>ru-RU</v>
      </c>
    </row>
    <row r="327" spans="1:9" x14ac:dyDescent="0.15">
      <c r="A327" t="str">
        <f t="shared" ref="A327:B327" si="251">A326</f>
        <v>ロシア語</v>
      </c>
      <c r="B327">
        <f t="shared" si="251"/>
        <v>4</v>
      </c>
      <c r="C327">
        <f t="shared" si="244"/>
        <v>28</v>
      </c>
      <c r="D327">
        <f t="shared" si="245"/>
        <v>21</v>
      </c>
      <c r="E327" t="str">
        <f>VLOOKUP(D327,name!A:B,2,1)</f>
        <v>Цубаса</v>
      </c>
      <c r="F327" t="s">
        <v>442</v>
      </c>
      <c r="G327" t="str">
        <f t="shared" si="242"/>
        <v>a</v>
      </c>
      <c r="H327" t="str">
        <f>VLOOKUP(D327,name!A:C,3,1)</f>
        <v>assets/icons/image017.png</v>
      </c>
      <c r="I327" t="s">
        <v>403</v>
      </c>
    </row>
    <row r="328" spans="1:9" x14ac:dyDescent="0.15">
      <c r="A328" t="str">
        <f t="shared" ref="A328:B328" si="252">A327</f>
        <v>ロシア語</v>
      </c>
      <c r="B328">
        <f t="shared" si="252"/>
        <v>4</v>
      </c>
      <c r="C328">
        <f t="shared" si="244"/>
        <v>29</v>
      </c>
      <c r="D328">
        <v>21</v>
      </c>
      <c r="E328" t="str">
        <f>VLOOKUP(D328,name!A:B,2,1)</f>
        <v>Цубаса</v>
      </c>
      <c r="F328" t="s">
        <v>429</v>
      </c>
      <c r="G328" t="str">
        <f t="shared" si="242"/>
        <v>a</v>
      </c>
      <c r="H328" t="str">
        <f>VLOOKUP(D328,name!A:C,3,1)</f>
        <v>assets/icons/image017.png</v>
      </c>
      <c r="I328" t="str">
        <f>IF(A328="","",VLOOKUP(A328,lng!A:B,2,0))</f>
        <v>ru-RU</v>
      </c>
    </row>
    <row r="329" spans="1:9" x14ac:dyDescent="0.15">
      <c r="A329" t="str">
        <f t="shared" ref="A329:B329" si="253">A328</f>
        <v>ロシア語</v>
      </c>
      <c r="B329">
        <f t="shared" si="253"/>
        <v>4</v>
      </c>
      <c r="C329">
        <f t="shared" si="244"/>
        <v>30</v>
      </c>
      <c r="D329">
        <f t="shared" si="245"/>
        <v>23</v>
      </c>
      <c r="E329" t="str">
        <f>VLOOKUP(D329,name!A:B,2,1)</f>
        <v>Наташа</v>
      </c>
      <c r="F329" t="s">
        <v>537</v>
      </c>
      <c r="G329" t="str">
        <f t="shared" si="242"/>
        <v>a</v>
      </c>
      <c r="H329" t="str">
        <f>VLOOKUP(D329,name!A:C,3,1)</f>
        <v>assets/icons/image035.png</v>
      </c>
      <c r="I329" t="s">
        <v>403</v>
      </c>
    </row>
    <row r="330" spans="1:9" x14ac:dyDescent="0.15">
      <c r="A330" t="str">
        <f t="shared" ref="A330:B330" si="254">A329</f>
        <v>ロシア語</v>
      </c>
      <c r="B330">
        <f t="shared" si="254"/>
        <v>4</v>
      </c>
      <c r="C330">
        <f t="shared" si="244"/>
        <v>31</v>
      </c>
      <c r="D330">
        <v>23</v>
      </c>
      <c r="E330" t="str">
        <f>VLOOKUP(D330,name!A:B,2,1)</f>
        <v>Наташа</v>
      </c>
      <c r="F330" t="s">
        <v>521</v>
      </c>
      <c r="G330" t="str">
        <f t="shared" si="242"/>
        <v>a</v>
      </c>
      <c r="H330" t="str">
        <f>VLOOKUP(D330,name!A:C,3,1)</f>
        <v>assets/icons/image035.png</v>
      </c>
      <c r="I330" t="str">
        <f>IF(A330="","",VLOOKUP(A330,lng!A:B,2,0))</f>
        <v>ru-RU</v>
      </c>
    </row>
    <row r="331" spans="1:9" x14ac:dyDescent="0.15">
      <c r="A331" t="str">
        <f t="shared" ref="A331:B331" si="255">A330</f>
        <v>ロシア語</v>
      </c>
      <c r="B331">
        <f t="shared" si="255"/>
        <v>4</v>
      </c>
      <c r="C331">
        <f t="shared" si="244"/>
        <v>32</v>
      </c>
      <c r="D331">
        <f t="shared" si="245"/>
        <v>23</v>
      </c>
      <c r="E331" t="str">
        <f>VLOOKUP(D331,name!A:B,2,1)</f>
        <v>Наташа</v>
      </c>
      <c r="F331" t="s">
        <v>538</v>
      </c>
      <c r="G331" t="str">
        <f t="shared" si="242"/>
        <v>a</v>
      </c>
      <c r="H331" t="str">
        <f>VLOOKUP(D331,name!A:C,3,1)</f>
        <v>assets/icons/image035.png</v>
      </c>
      <c r="I331" t="s">
        <v>403</v>
      </c>
    </row>
    <row r="332" spans="1:9" x14ac:dyDescent="0.15">
      <c r="A332" t="str">
        <f t="shared" ref="A332:B332" si="256">A331</f>
        <v>ロシア語</v>
      </c>
      <c r="B332">
        <f t="shared" si="256"/>
        <v>4</v>
      </c>
      <c r="C332">
        <f t="shared" si="244"/>
        <v>33</v>
      </c>
      <c r="D332">
        <v>23</v>
      </c>
      <c r="E332" t="str">
        <f>VLOOKUP(D332,name!A:B,2,1)</f>
        <v>Наташа</v>
      </c>
      <c r="F332" t="s">
        <v>522</v>
      </c>
      <c r="G332" t="str">
        <f t="shared" si="242"/>
        <v>a</v>
      </c>
      <c r="H332" t="str">
        <f>VLOOKUP(D332,name!A:C,3,1)</f>
        <v>assets/icons/image035.png</v>
      </c>
      <c r="I332" t="str">
        <f>IF(A332="","",VLOOKUP(A332,lng!A:B,2,0))</f>
        <v>ru-RU</v>
      </c>
    </row>
    <row r="333" spans="1:9" x14ac:dyDescent="0.15">
      <c r="A333" t="str">
        <f t="shared" ref="A333:B333" si="257">A332</f>
        <v>ロシア語</v>
      </c>
      <c r="B333">
        <f t="shared" si="257"/>
        <v>4</v>
      </c>
      <c r="C333">
        <f t="shared" si="244"/>
        <v>34</v>
      </c>
      <c r="D333">
        <v>1</v>
      </c>
      <c r="E333" t="str">
        <f>VLOOKUP(D333,name!A:B,2,1)</f>
        <v>Navigator</v>
      </c>
      <c r="F333" t="str">
        <f>"次の"&amp;A333&amp;"を真似してね！"</f>
        <v>次のロシア語を真似してね！</v>
      </c>
      <c r="G333" t="str">
        <f t="shared" si="242"/>
        <v>a</v>
      </c>
      <c r="H333" t="str">
        <f>VLOOKUP(D333,name!A:C,3,1)</f>
        <v>assets/icons/image014.png</v>
      </c>
      <c r="I333" t="s">
        <v>403</v>
      </c>
    </row>
    <row r="334" spans="1:9" x14ac:dyDescent="0.15">
      <c r="A334" t="str">
        <f t="shared" ref="A334:B334" si="258">A333</f>
        <v>ロシア語</v>
      </c>
      <c r="B334">
        <f t="shared" si="258"/>
        <v>4</v>
      </c>
      <c r="C334">
        <f t="shared" si="244"/>
        <v>35</v>
      </c>
      <c r="D334">
        <f>D303</f>
        <v>23</v>
      </c>
      <c r="E334" t="str">
        <f>VLOOKUP(D334,name!A:B,2,1)</f>
        <v>Наташа</v>
      </c>
      <c r="F334" t="str">
        <f>F303</f>
        <v>こちらがあなたの部屋です。</v>
      </c>
      <c r="G334" t="str">
        <f t="shared" si="242"/>
        <v>a</v>
      </c>
      <c r="H334" t="str">
        <f>VLOOKUP(D334,name!A:C,3,1)</f>
        <v>assets/icons/image035.png</v>
      </c>
      <c r="I334" t="s">
        <v>403</v>
      </c>
    </row>
    <row r="335" spans="1:9" x14ac:dyDescent="0.15">
      <c r="A335" t="str">
        <f t="shared" ref="A335:B335" si="259">A334</f>
        <v>ロシア語</v>
      </c>
      <c r="B335">
        <f t="shared" si="259"/>
        <v>4</v>
      </c>
      <c r="C335">
        <f t="shared" si="244"/>
        <v>36</v>
      </c>
      <c r="D335">
        <f>D304</f>
        <v>23</v>
      </c>
      <c r="E335" t="str">
        <f>VLOOKUP(D335,name!A:B,2,1)</f>
        <v>Наташа</v>
      </c>
      <c r="F335" t="str">
        <f>F304</f>
        <v>Вот ваша комната.</v>
      </c>
      <c r="G335" t="str">
        <f t="shared" si="242"/>
        <v>a</v>
      </c>
      <c r="H335" t="str">
        <f>VLOOKUP(D335,name!A:C,3,1)</f>
        <v>assets/icons/image035.png</v>
      </c>
      <c r="I335" t="str">
        <f>IF(A335="","",VLOOKUP(A335,lng!A:B,2,0))</f>
        <v>ru-RU</v>
      </c>
    </row>
    <row r="336" spans="1:9" x14ac:dyDescent="0.15">
      <c r="A336" t="str">
        <f t="shared" ref="A336:B336" si="260">A335</f>
        <v>ロシア語</v>
      </c>
      <c r="B336">
        <f t="shared" si="260"/>
        <v>4</v>
      </c>
      <c r="C336">
        <f t="shared" si="244"/>
        <v>37</v>
      </c>
      <c r="D336">
        <v>0</v>
      </c>
      <c r="E336" t="str">
        <f>VLOOKUP(D336,name!A:B,2,1)</f>
        <v>Player</v>
      </c>
      <c r="F336" t="str">
        <f>F304</f>
        <v>Вот ваша комната.</v>
      </c>
      <c r="G336" t="str">
        <f t="shared" si="242"/>
        <v>q</v>
      </c>
      <c r="H336" t="str">
        <f>VLOOKUP(D336,name!A:C,3,1)</f>
        <v>assets/icons/image326.png</v>
      </c>
      <c r="I336" t="str">
        <f>IF(A336="","",VLOOKUP(A336,lng!A:B,2,0))</f>
        <v>ru-RU</v>
      </c>
    </row>
    <row r="337" spans="1:9" x14ac:dyDescent="0.15">
      <c r="A337" t="str">
        <f t="shared" ref="A337:B337" si="261">A336</f>
        <v>ロシア語</v>
      </c>
      <c r="B337">
        <f t="shared" si="261"/>
        <v>4</v>
      </c>
      <c r="C337">
        <f t="shared" si="244"/>
        <v>38</v>
      </c>
      <c r="D337">
        <f>D305</f>
        <v>21</v>
      </c>
      <c r="E337" t="str">
        <f>VLOOKUP(D337,name!A:B,2,1)</f>
        <v>Цубаса</v>
      </c>
      <c r="F337" t="str">
        <f>F305</f>
        <v>ありがとうございます。</v>
      </c>
      <c r="G337" t="str">
        <f t="shared" si="242"/>
        <v>a</v>
      </c>
      <c r="H337" t="str">
        <f>VLOOKUP(D337,name!A:C,3,1)</f>
        <v>assets/icons/image017.png</v>
      </c>
      <c r="I337" t="s">
        <v>403</v>
      </c>
    </row>
    <row r="338" spans="1:9" x14ac:dyDescent="0.15">
      <c r="A338" t="str">
        <f t="shared" ref="A338:B338" si="262">A337</f>
        <v>ロシア語</v>
      </c>
      <c r="B338">
        <f t="shared" si="262"/>
        <v>4</v>
      </c>
      <c r="C338">
        <f t="shared" si="244"/>
        <v>39</v>
      </c>
      <c r="D338">
        <f t="shared" ref="D338:F338" si="263">D306</f>
        <v>21</v>
      </c>
      <c r="E338" t="str">
        <f>VLOOKUP(D338,name!A:B,2,1)</f>
        <v>Цубаса</v>
      </c>
      <c r="F338" t="str">
        <f t="shared" si="263"/>
        <v xml:space="preserve">Спасибо. </v>
      </c>
      <c r="G338" t="str">
        <f t="shared" si="242"/>
        <v>a</v>
      </c>
      <c r="H338" t="str">
        <f>VLOOKUP(D338,name!A:C,3,1)</f>
        <v>assets/icons/image017.png</v>
      </c>
      <c r="I338" t="str">
        <f>IF(A338="","",VLOOKUP(A338,lng!A:B,2,0))</f>
        <v>ru-RU</v>
      </c>
    </row>
    <row r="339" spans="1:9" x14ac:dyDescent="0.15">
      <c r="A339" t="str">
        <f t="shared" ref="A339:B339" si="264">A338</f>
        <v>ロシア語</v>
      </c>
      <c r="B339">
        <f t="shared" si="264"/>
        <v>4</v>
      </c>
      <c r="C339">
        <f t="shared" si="244"/>
        <v>40</v>
      </c>
      <c r="D339">
        <v>0</v>
      </c>
      <c r="E339" t="str">
        <f>VLOOKUP(D339,name!A:B,2,1)</f>
        <v>Player</v>
      </c>
      <c r="F339" t="str">
        <f>F306</f>
        <v xml:space="preserve">Спасибо. </v>
      </c>
      <c r="G339" t="str">
        <f t="shared" si="242"/>
        <v>q</v>
      </c>
      <c r="H339" t="str">
        <f>VLOOKUP(D339,name!A:C,3,1)</f>
        <v>assets/icons/image326.png</v>
      </c>
      <c r="I339" t="str">
        <f>IF(A339="","",VLOOKUP(A339,lng!A:B,2,0))</f>
        <v>ru-RU</v>
      </c>
    </row>
    <row r="340" spans="1:9" x14ac:dyDescent="0.15">
      <c r="A340" t="str">
        <f t="shared" ref="A340:B340" si="265">A339</f>
        <v>ロシア語</v>
      </c>
      <c r="B340">
        <f t="shared" si="265"/>
        <v>4</v>
      </c>
      <c r="C340">
        <f t="shared" si="244"/>
        <v>41</v>
      </c>
      <c r="D340">
        <f>D307</f>
        <v>22</v>
      </c>
      <c r="E340" t="str">
        <f>VLOOKUP(D340,name!A:B,2,1)</f>
        <v>Люда</v>
      </c>
      <c r="F340" t="str">
        <f>F307</f>
        <v>おお、大きな部屋ですね。</v>
      </c>
      <c r="G340" t="str">
        <f t="shared" si="242"/>
        <v>a</v>
      </c>
      <c r="H340" t="str">
        <f>VLOOKUP(D340,name!A:C,3,1)</f>
        <v>assets/icons/image024.png</v>
      </c>
      <c r="I340" t="s">
        <v>403</v>
      </c>
    </row>
    <row r="341" spans="1:9" x14ac:dyDescent="0.15">
      <c r="A341" t="str">
        <f t="shared" ref="A341:B341" si="266">A340</f>
        <v>ロシア語</v>
      </c>
      <c r="B341">
        <f t="shared" si="266"/>
        <v>4</v>
      </c>
      <c r="C341">
        <f t="shared" si="244"/>
        <v>42</v>
      </c>
      <c r="D341">
        <f>D308</f>
        <v>22</v>
      </c>
      <c r="E341" t="str">
        <f>VLOOKUP(D341,name!A:B,2,1)</f>
        <v>Люда</v>
      </c>
      <c r="F341" t="str">
        <f>F308</f>
        <v>Спасибо. О, это большая комната.</v>
      </c>
      <c r="G341" t="str">
        <f t="shared" si="242"/>
        <v>a</v>
      </c>
      <c r="H341" t="str">
        <f>VLOOKUP(D341,name!A:C,3,1)</f>
        <v>assets/icons/image024.png</v>
      </c>
      <c r="I341" t="str">
        <f>IF(A341="","",VLOOKUP(A341,lng!A:B,2,0))</f>
        <v>ru-RU</v>
      </c>
    </row>
    <row r="342" spans="1:9" x14ac:dyDescent="0.15">
      <c r="A342" t="str">
        <f t="shared" ref="A342:B342" si="267">A341</f>
        <v>ロシア語</v>
      </c>
      <c r="B342">
        <f t="shared" si="267"/>
        <v>4</v>
      </c>
      <c r="C342">
        <f t="shared" si="244"/>
        <v>43</v>
      </c>
      <c r="D342">
        <v>0</v>
      </c>
      <c r="E342" t="str">
        <f>VLOOKUP(D342,name!A:B,2,1)</f>
        <v>Player</v>
      </c>
      <c r="F342" t="str">
        <f>F308</f>
        <v>Спасибо. О, это большая комната.</v>
      </c>
      <c r="G342" t="str">
        <f t="shared" si="242"/>
        <v>q</v>
      </c>
      <c r="H342" t="str">
        <f>VLOOKUP(D342,name!A:C,3,1)</f>
        <v>assets/icons/image326.png</v>
      </c>
      <c r="I342" t="str">
        <f>IF(A342="","",VLOOKUP(A342,lng!A:B,2,0))</f>
        <v>ru-RU</v>
      </c>
    </row>
    <row r="343" spans="1:9" x14ac:dyDescent="0.15">
      <c r="A343" t="str">
        <f t="shared" ref="A343:B343" si="268">A342</f>
        <v>ロシア語</v>
      </c>
      <c r="B343">
        <f t="shared" si="268"/>
        <v>4</v>
      </c>
      <c r="C343">
        <f t="shared" si="244"/>
        <v>44</v>
      </c>
      <c r="D343">
        <f>D309</f>
        <v>23</v>
      </c>
      <c r="E343" t="str">
        <f>VLOOKUP(D343,name!A:B,2,1)</f>
        <v>Наташа</v>
      </c>
      <c r="F343" t="str">
        <f>F309</f>
        <v>しかし、とても古いです。</v>
      </c>
      <c r="G343" t="str">
        <f t="shared" si="242"/>
        <v>a</v>
      </c>
      <c r="H343" t="str">
        <f>VLOOKUP(D343,name!A:C,3,1)</f>
        <v>assets/icons/image035.png</v>
      </c>
      <c r="I343" t="s">
        <v>403</v>
      </c>
    </row>
    <row r="344" spans="1:9" x14ac:dyDescent="0.15">
      <c r="A344" t="str">
        <f t="shared" ref="A344:B344" si="269">A343</f>
        <v>ロシア語</v>
      </c>
      <c r="B344">
        <f t="shared" si="269"/>
        <v>4</v>
      </c>
      <c r="C344">
        <f t="shared" si="244"/>
        <v>45</v>
      </c>
      <c r="D344">
        <f>D310</f>
        <v>23</v>
      </c>
      <c r="E344" t="str">
        <f>VLOOKUP(D344,name!A:B,2,1)</f>
        <v>Наташа</v>
      </c>
      <c r="F344" t="str">
        <f>F310</f>
        <v>Но очень старая.</v>
      </c>
      <c r="G344" t="str">
        <f t="shared" si="242"/>
        <v>a</v>
      </c>
      <c r="H344" t="str">
        <f>VLOOKUP(D344,name!A:C,3,1)</f>
        <v>assets/icons/image035.png</v>
      </c>
      <c r="I344" t="str">
        <f>IF(A344="","",VLOOKUP(A344,lng!A:B,2,0))</f>
        <v>ru-RU</v>
      </c>
    </row>
    <row r="345" spans="1:9" x14ac:dyDescent="0.15">
      <c r="A345" t="str">
        <f t="shared" ref="A345:B345" si="270">A344</f>
        <v>ロシア語</v>
      </c>
      <c r="B345">
        <f t="shared" si="270"/>
        <v>4</v>
      </c>
      <c r="C345">
        <f t="shared" si="244"/>
        <v>46</v>
      </c>
      <c r="D345">
        <v>0</v>
      </c>
      <c r="E345" t="str">
        <f>VLOOKUP(D345,name!A:B,2,1)</f>
        <v>Player</v>
      </c>
      <c r="F345" t="str">
        <f>F310</f>
        <v>Но очень старая.</v>
      </c>
      <c r="G345" t="str">
        <f t="shared" si="242"/>
        <v>q</v>
      </c>
      <c r="H345" t="str">
        <f>VLOOKUP(D345,name!A:C,3,1)</f>
        <v>assets/icons/image326.png</v>
      </c>
      <c r="I345" t="str">
        <f>IF(A345="","",VLOOKUP(A345,lng!A:B,2,0))</f>
        <v>ru-RU</v>
      </c>
    </row>
    <row r="346" spans="1:9" x14ac:dyDescent="0.15">
      <c r="A346" t="str">
        <f t="shared" ref="A346:B346" si="271">A345</f>
        <v>ロシア語</v>
      </c>
      <c r="B346">
        <f t="shared" si="271"/>
        <v>4</v>
      </c>
      <c r="C346">
        <f t="shared" si="244"/>
        <v>47</v>
      </c>
      <c r="D346">
        <f>D311</f>
        <v>21</v>
      </c>
      <c r="E346" t="str">
        <f>VLOOKUP(D346,name!A:B,2,1)</f>
        <v>Цубаса</v>
      </c>
      <c r="F346" t="str">
        <f>F311</f>
        <v>良いです。</v>
      </c>
      <c r="G346" t="str">
        <f t="shared" si="242"/>
        <v>a</v>
      </c>
      <c r="H346" t="str">
        <f>VLOOKUP(D346,name!A:C,3,1)</f>
        <v>assets/icons/image017.png</v>
      </c>
      <c r="I346" t="s">
        <v>403</v>
      </c>
    </row>
    <row r="347" spans="1:9" x14ac:dyDescent="0.15">
      <c r="A347" t="str">
        <f t="shared" ref="A347:B347" si="272">A346</f>
        <v>ロシア語</v>
      </c>
      <c r="B347">
        <f t="shared" si="272"/>
        <v>4</v>
      </c>
      <c r="C347">
        <f t="shared" si="244"/>
        <v>48</v>
      </c>
      <c r="D347">
        <f>D312</f>
        <v>21</v>
      </c>
      <c r="E347" t="str">
        <f>VLOOKUP(D347,name!A:B,2,1)</f>
        <v>Цубаса</v>
      </c>
      <c r="F347" t="str">
        <f>F312</f>
        <v>Хорошо.</v>
      </c>
      <c r="G347" t="str">
        <f t="shared" si="242"/>
        <v>a</v>
      </c>
      <c r="H347" t="str">
        <f>VLOOKUP(D347,name!A:C,3,1)</f>
        <v>assets/icons/image017.png</v>
      </c>
      <c r="I347" t="str">
        <f>IF(A347="","",VLOOKUP(A347,lng!A:B,2,0))</f>
        <v>ru-RU</v>
      </c>
    </row>
    <row r="348" spans="1:9" x14ac:dyDescent="0.15">
      <c r="A348" t="str">
        <f t="shared" ref="A348:B348" si="273">A347</f>
        <v>ロシア語</v>
      </c>
      <c r="B348">
        <f t="shared" si="273"/>
        <v>4</v>
      </c>
      <c r="C348">
        <f t="shared" si="244"/>
        <v>49</v>
      </c>
      <c r="D348">
        <v>0</v>
      </c>
      <c r="E348" t="str">
        <f>VLOOKUP(D348,name!A:B,2,1)</f>
        <v>Player</v>
      </c>
      <c r="F348" t="str">
        <f>F312</f>
        <v>Хорошо.</v>
      </c>
      <c r="G348" t="str">
        <f t="shared" si="242"/>
        <v>q</v>
      </c>
      <c r="H348" t="str">
        <f>VLOOKUP(D348,name!A:C,3,1)</f>
        <v>assets/icons/image326.png</v>
      </c>
      <c r="I348" t="str">
        <f>IF(A348="","",VLOOKUP(A348,lng!A:B,2,0))</f>
        <v>ru-RU</v>
      </c>
    </row>
    <row r="349" spans="1:9" x14ac:dyDescent="0.15">
      <c r="A349" t="str">
        <f t="shared" ref="A349:B349" si="274">A348</f>
        <v>ロシア語</v>
      </c>
      <c r="B349">
        <f t="shared" si="274"/>
        <v>4</v>
      </c>
      <c r="C349">
        <f t="shared" si="244"/>
        <v>50</v>
      </c>
      <c r="D349">
        <f>D313</f>
        <v>21</v>
      </c>
      <c r="E349" t="str">
        <f>VLOOKUP(D349,name!A:B,2,1)</f>
        <v>Цубаса</v>
      </c>
      <c r="F349" t="str">
        <f>F313</f>
        <v>窓も大きい。</v>
      </c>
      <c r="G349" t="str">
        <f t="shared" si="242"/>
        <v>a</v>
      </c>
      <c r="H349" t="str">
        <f>VLOOKUP(D349,name!A:C,3,1)</f>
        <v>assets/icons/image017.png</v>
      </c>
      <c r="I349" t="s">
        <v>403</v>
      </c>
    </row>
    <row r="350" spans="1:9" x14ac:dyDescent="0.15">
      <c r="A350" t="str">
        <f t="shared" ref="A350:B350" si="275">A349</f>
        <v>ロシア語</v>
      </c>
      <c r="B350">
        <f t="shared" si="275"/>
        <v>4</v>
      </c>
      <c r="C350">
        <f t="shared" si="244"/>
        <v>51</v>
      </c>
      <c r="D350">
        <f>D314</f>
        <v>21</v>
      </c>
      <c r="E350" t="str">
        <f>VLOOKUP(D350,name!A:B,2,1)</f>
        <v>Цубаса</v>
      </c>
      <c r="F350" t="str">
        <f>F314</f>
        <v>Окно тоже большое.</v>
      </c>
      <c r="G350" t="str">
        <f t="shared" si="242"/>
        <v>a</v>
      </c>
      <c r="H350" t="str">
        <f>VLOOKUP(D350,name!A:C,3,1)</f>
        <v>assets/icons/image017.png</v>
      </c>
      <c r="I350" t="str">
        <f>IF(A350="","",VLOOKUP(A350,lng!A:B,2,0))</f>
        <v>ru-RU</v>
      </c>
    </row>
    <row r="351" spans="1:9" x14ac:dyDescent="0.15">
      <c r="A351" t="str">
        <f t="shared" ref="A351:B351" si="276">A350</f>
        <v>ロシア語</v>
      </c>
      <c r="B351">
        <f t="shared" si="276"/>
        <v>4</v>
      </c>
      <c r="C351">
        <f t="shared" si="244"/>
        <v>52</v>
      </c>
      <c r="D351">
        <v>0</v>
      </c>
      <c r="E351" t="str">
        <f>VLOOKUP(D351,name!A:B,2,1)</f>
        <v>Player</v>
      </c>
      <c r="F351" t="str">
        <f>F314</f>
        <v>Окно тоже большое.</v>
      </c>
      <c r="G351" t="str">
        <f t="shared" si="242"/>
        <v>q</v>
      </c>
      <c r="H351" t="str">
        <f>VLOOKUP(D351,name!A:C,3,1)</f>
        <v>assets/icons/image326.png</v>
      </c>
      <c r="I351" t="str">
        <f>IF(A351="","",VLOOKUP(A351,lng!A:B,2,0))</f>
        <v>ru-RU</v>
      </c>
    </row>
    <row r="352" spans="1:9" x14ac:dyDescent="0.15">
      <c r="A352" t="str">
        <f t="shared" ref="A352:B352" si="277">A351</f>
        <v>ロシア語</v>
      </c>
      <c r="B352">
        <f t="shared" si="277"/>
        <v>4</v>
      </c>
      <c r="C352">
        <f t="shared" si="244"/>
        <v>53</v>
      </c>
      <c r="D352">
        <f>D315</f>
        <v>23</v>
      </c>
      <c r="E352" t="str">
        <f>VLOOKUP(D352,name!A:B,2,1)</f>
        <v>Наташа</v>
      </c>
      <c r="F352" t="str">
        <f>F315</f>
        <v>でもテレビは小さいです。</v>
      </c>
      <c r="G352" t="str">
        <f t="shared" si="242"/>
        <v>a</v>
      </c>
      <c r="H352" t="str">
        <f>VLOOKUP(D352,name!A:C,3,1)</f>
        <v>assets/icons/image035.png</v>
      </c>
      <c r="I352" t="s">
        <v>403</v>
      </c>
    </row>
    <row r="353" spans="1:9" x14ac:dyDescent="0.15">
      <c r="A353" t="str">
        <f t="shared" ref="A353:B353" si="278">A352</f>
        <v>ロシア語</v>
      </c>
      <c r="B353">
        <f t="shared" si="278"/>
        <v>4</v>
      </c>
      <c r="C353">
        <f t="shared" si="244"/>
        <v>54</v>
      </c>
      <c r="D353">
        <f>D316</f>
        <v>23</v>
      </c>
      <c r="E353" t="str">
        <f>VLOOKUP(D353,name!A:B,2,1)</f>
        <v>Наташа</v>
      </c>
      <c r="F353" t="str">
        <f>F316</f>
        <v>А телевизор маленький.</v>
      </c>
      <c r="G353" t="str">
        <f t="shared" si="242"/>
        <v>a</v>
      </c>
      <c r="H353" t="str">
        <f>VLOOKUP(D353,name!A:C,3,1)</f>
        <v>assets/icons/image035.png</v>
      </c>
      <c r="I353" t="str">
        <f>IF(A353="","",VLOOKUP(A353,lng!A:B,2,0))</f>
        <v>ru-RU</v>
      </c>
    </row>
    <row r="354" spans="1:9" x14ac:dyDescent="0.15">
      <c r="A354" t="str">
        <f t="shared" ref="A354:B354" si="279">A353</f>
        <v>ロシア語</v>
      </c>
      <c r="B354">
        <f t="shared" si="279"/>
        <v>4</v>
      </c>
      <c r="C354">
        <f t="shared" si="244"/>
        <v>55</v>
      </c>
      <c r="D354">
        <v>0</v>
      </c>
      <c r="E354" t="str">
        <f>VLOOKUP(D354,name!A:B,2,1)</f>
        <v>Player</v>
      </c>
      <c r="F354" t="str">
        <f>F316</f>
        <v>А телевизор маленький.</v>
      </c>
      <c r="G354" t="str">
        <f t="shared" si="242"/>
        <v>q</v>
      </c>
      <c r="H354" t="str">
        <f>VLOOKUP(D354,name!A:C,3,1)</f>
        <v>assets/icons/image326.png</v>
      </c>
      <c r="I354" t="str">
        <f>IF(A354="","",VLOOKUP(A354,lng!A:B,2,0))</f>
        <v>ru-RU</v>
      </c>
    </row>
    <row r="355" spans="1:9" x14ac:dyDescent="0.15">
      <c r="A355" t="str">
        <f t="shared" ref="A355:B355" si="280">A354</f>
        <v>ロシア語</v>
      </c>
      <c r="B355">
        <f t="shared" si="280"/>
        <v>4</v>
      </c>
      <c r="C355">
        <f t="shared" si="244"/>
        <v>56</v>
      </c>
      <c r="D355">
        <f>D317</f>
        <v>21</v>
      </c>
      <c r="E355" t="str">
        <f>VLOOKUP(D355,name!A:B,2,1)</f>
        <v>Цубаса</v>
      </c>
      <c r="F355" t="str">
        <f>F317</f>
        <v>大丈夫。</v>
      </c>
      <c r="G355" t="str">
        <f t="shared" si="242"/>
        <v>a</v>
      </c>
      <c r="H355" t="str">
        <f>VLOOKUP(D355,name!A:C,3,1)</f>
        <v>assets/icons/image017.png</v>
      </c>
      <c r="I355" t="s">
        <v>403</v>
      </c>
    </row>
    <row r="356" spans="1:9" x14ac:dyDescent="0.15">
      <c r="A356" t="str">
        <f t="shared" ref="A356:B356" si="281">A355</f>
        <v>ロシア語</v>
      </c>
      <c r="B356">
        <f t="shared" si="281"/>
        <v>4</v>
      </c>
      <c r="C356">
        <f t="shared" si="244"/>
        <v>57</v>
      </c>
      <c r="D356">
        <f>D318</f>
        <v>21</v>
      </c>
      <c r="E356" t="str">
        <f>VLOOKUP(D356,name!A:B,2,1)</f>
        <v>Цубаса</v>
      </c>
      <c r="F356" t="str">
        <f>F318</f>
        <v xml:space="preserve">Ничего. </v>
      </c>
      <c r="G356" t="str">
        <f t="shared" si="242"/>
        <v>a</v>
      </c>
      <c r="H356" t="str">
        <f>VLOOKUP(D356,name!A:C,3,1)</f>
        <v>assets/icons/image017.png</v>
      </c>
      <c r="I356" t="str">
        <f>IF(A356="","",VLOOKUP(A356,lng!A:B,2,0))</f>
        <v>ru-RU</v>
      </c>
    </row>
    <row r="357" spans="1:9" x14ac:dyDescent="0.15">
      <c r="A357" t="str">
        <f t="shared" ref="A357:B357" si="282">A356</f>
        <v>ロシア語</v>
      </c>
      <c r="B357">
        <f t="shared" si="282"/>
        <v>4</v>
      </c>
      <c r="C357">
        <f t="shared" si="244"/>
        <v>58</v>
      </c>
      <c r="D357">
        <v>0</v>
      </c>
      <c r="E357" t="str">
        <f>VLOOKUP(D357,name!A:B,2,1)</f>
        <v>Player</v>
      </c>
      <c r="F357" t="str">
        <f>F318</f>
        <v xml:space="preserve">Ничего. </v>
      </c>
      <c r="G357" t="str">
        <f t="shared" si="242"/>
        <v>q</v>
      </c>
      <c r="H357" t="str">
        <f>VLOOKUP(D357,name!A:C,3,1)</f>
        <v>assets/icons/image326.png</v>
      </c>
      <c r="I357" t="str">
        <f>IF(A357="","",VLOOKUP(A357,lng!A:B,2,0))</f>
        <v>ru-RU</v>
      </c>
    </row>
    <row r="358" spans="1:9" x14ac:dyDescent="0.15">
      <c r="A358" t="str">
        <f t="shared" ref="A358:B358" si="283">A357</f>
        <v>ロシア語</v>
      </c>
      <c r="B358">
        <f t="shared" si="283"/>
        <v>4</v>
      </c>
      <c r="C358">
        <f t="shared" si="244"/>
        <v>59</v>
      </c>
      <c r="D358">
        <f>D319</f>
        <v>21</v>
      </c>
      <c r="E358" t="str">
        <f>VLOOKUP(D358,name!A:B,2,1)</f>
        <v>Цубаса</v>
      </c>
      <c r="F358" t="str">
        <f>F319</f>
        <v>古い写真があります。</v>
      </c>
      <c r="G358" t="str">
        <f t="shared" si="242"/>
        <v>a</v>
      </c>
      <c r="H358" t="str">
        <f>VLOOKUP(D358,name!A:C,3,1)</f>
        <v>assets/icons/image017.png</v>
      </c>
      <c r="I358" t="s">
        <v>403</v>
      </c>
    </row>
    <row r="359" spans="1:9" x14ac:dyDescent="0.15">
      <c r="A359" t="str">
        <f t="shared" ref="A359:B359" si="284">A358</f>
        <v>ロシア語</v>
      </c>
      <c r="B359">
        <f t="shared" si="284"/>
        <v>4</v>
      </c>
      <c r="C359">
        <f t="shared" si="244"/>
        <v>60</v>
      </c>
      <c r="D359">
        <f>D320</f>
        <v>21</v>
      </c>
      <c r="E359" t="str">
        <f>VLOOKUP(D359,name!A:B,2,1)</f>
        <v>Цубаса</v>
      </c>
      <c r="F359" t="str">
        <f>F320</f>
        <v>Там старая фотография.</v>
      </c>
      <c r="G359" t="str">
        <f t="shared" si="242"/>
        <v>a</v>
      </c>
      <c r="H359" t="str">
        <f>VLOOKUP(D359,name!A:C,3,1)</f>
        <v>assets/icons/image017.png</v>
      </c>
      <c r="I359" t="str">
        <f>IF(A359="","",VLOOKUP(A359,lng!A:B,2,0))</f>
        <v>ru-RU</v>
      </c>
    </row>
    <row r="360" spans="1:9" x14ac:dyDescent="0.15">
      <c r="A360" t="str">
        <f t="shared" ref="A360:B360" si="285">A359</f>
        <v>ロシア語</v>
      </c>
      <c r="B360">
        <f t="shared" si="285"/>
        <v>4</v>
      </c>
      <c r="C360">
        <f t="shared" si="244"/>
        <v>61</v>
      </c>
      <c r="D360">
        <v>0</v>
      </c>
      <c r="E360" t="str">
        <f>VLOOKUP(D360,name!A:B,2,1)</f>
        <v>Player</v>
      </c>
      <c r="F360" t="str">
        <f>F320</f>
        <v>Там старая фотография.</v>
      </c>
      <c r="G360" t="str">
        <f t="shared" si="242"/>
        <v>q</v>
      </c>
      <c r="H360" t="str">
        <f>VLOOKUP(D360,name!A:C,3,1)</f>
        <v>assets/icons/image326.png</v>
      </c>
      <c r="I360" t="str">
        <f>IF(A360="","",VLOOKUP(A360,lng!A:B,2,0))</f>
        <v>ru-RU</v>
      </c>
    </row>
    <row r="361" spans="1:9" x14ac:dyDescent="0.15">
      <c r="A361" t="str">
        <f t="shared" ref="A361:B361" si="286">A360</f>
        <v>ロシア語</v>
      </c>
      <c r="B361">
        <f t="shared" si="286"/>
        <v>4</v>
      </c>
      <c r="C361">
        <f t="shared" si="244"/>
        <v>62</v>
      </c>
      <c r="D361">
        <f>D321</f>
        <v>23</v>
      </c>
      <c r="E361" t="str">
        <f>VLOOKUP(D361,name!A:B,2,1)</f>
        <v>Наташа</v>
      </c>
      <c r="F361" t="str">
        <f>F321</f>
        <v>これは私の母です</v>
      </c>
      <c r="G361" t="str">
        <f t="shared" si="242"/>
        <v>a</v>
      </c>
      <c r="H361" t="str">
        <f>VLOOKUP(D361,name!A:C,3,1)</f>
        <v>assets/icons/image035.png</v>
      </c>
      <c r="I361" t="s">
        <v>403</v>
      </c>
    </row>
    <row r="362" spans="1:9" x14ac:dyDescent="0.15">
      <c r="A362" t="str">
        <f t="shared" ref="A362:B362" si="287">A361</f>
        <v>ロシア語</v>
      </c>
      <c r="B362">
        <f t="shared" si="287"/>
        <v>4</v>
      </c>
      <c r="C362">
        <f t="shared" si="244"/>
        <v>63</v>
      </c>
      <c r="D362">
        <f>D322</f>
        <v>23</v>
      </c>
      <c r="E362" t="str">
        <f>VLOOKUP(D362,name!A:B,2,1)</f>
        <v>Наташа</v>
      </c>
      <c r="F362" t="str">
        <f>F322</f>
        <v>Это моя мать</v>
      </c>
      <c r="G362" t="str">
        <f t="shared" si="242"/>
        <v>a</v>
      </c>
      <c r="H362" t="str">
        <f>VLOOKUP(D362,name!A:C,3,1)</f>
        <v>assets/icons/image035.png</v>
      </c>
      <c r="I362" t="str">
        <f>IF(A362="","",VLOOKUP(A362,lng!A:B,2,0))</f>
        <v>ru-RU</v>
      </c>
    </row>
    <row r="363" spans="1:9" x14ac:dyDescent="0.15">
      <c r="A363" t="str">
        <f t="shared" ref="A363:B363" si="288">A362</f>
        <v>ロシア語</v>
      </c>
      <c r="B363">
        <f t="shared" si="288"/>
        <v>4</v>
      </c>
      <c r="C363">
        <f t="shared" si="244"/>
        <v>64</v>
      </c>
      <c r="D363">
        <v>0</v>
      </c>
      <c r="E363" t="str">
        <f>VLOOKUP(D363,name!A:B,2,1)</f>
        <v>Player</v>
      </c>
      <c r="F363" t="str">
        <f>F322</f>
        <v>Это моя мать</v>
      </c>
      <c r="G363" t="str">
        <f t="shared" si="242"/>
        <v>q</v>
      </c>
      <c r="H363" t="str">
        <f>VLOOKUP(D363,name!A:C,3,1)</f>
        <v>assets/icons/image326.png</v>
      </c>
      <c r="I363" t="str">
        <f>IF(A363="","",VLOOKUP(A363,lng!A:B,2,0))</f>
        <v>ru-RU</v>
      </c>
    </row>
    <row r="364" spans="1:9" x14ac:dyDescent="0.15">
      <c r="A364" t="str">
        <f t="shared" ref="A364:B364" si="289">A363</f>
        <v>ロシア語</v>
      </c>
      <c r="B364">
        <f t="shared" si="289"/>
        <v>4</v>
      </c>
      <c r="C364">
        <f t="shared" si="244"/>
        <v>65</v>
      </c>
      <c r="D364">
        <f>D323</f>
        <v>21</v>
      </c>
      <c r="E364" t="str">
        <f>VLOOKUP(D364,name!A:B,2,1)</f>
        <v>Цубаса</v>
      </c>
      <c r="F364" t="str">
        <f>F323</f>
        <v>彼女は美しくて若いです。</v>
      </c>
      <c r="G364" t="str">
        <f t="shared" ref="G364:G412" si="290">IF(B364&lt;&gt;B365,"e",IF(D364=0,"q","a"))</f>
        <v>a</v>
      </c>
      <c r="H364" t="str">
        <f>VLOOKUP(D364,name!A:C,3,1)</f>
        <v>assets/icons/image017.png</v>
      </c>
      <c r="I364" t="s">
        <v>403</v>
      </c>
    </row>
    <row r="365" spans="1:9" x14ac:dyDescent="0.15">
      <c r="A365" t="str">
        <f t="shared" ref="A365:B365" si="291">A364</f>
        <v>ロシア語</v>
      </c>
      <c r="B365">
        <f t="shared" si="291"/>
        <v>4</v>
      </c>
      <c r="C365">
        <f t="shared" si="244"/>
        <v>66</v>
      </c>
      <c r="D365">
        <f>D324</f>
        <v>21</v>
      </c>
      <c r="E365" t="str">
        <f>VLOOKUP(D365,name!A:B,2,1)</f>
        <v>Цубаса</v>
      </c>
      <c r="F365" t="str">
        <f>F324</f>
        <v>Онá красивая и молодая.</v>
      </c>
      <c r="G365" t="str">
        <f t="shared" si="290"/>
        <v>a</v>
      </c>
      <c r="H365" t="str">
        <f>VLOOKUP(D365,name!A:C,3,1)</f>
        <v>assets/icons/image017.png</v>
      </c>
      <c r="I365" t="str">
        <f>IF(A365="","",VLOOKUP(A365,lng!A:B,2,0))</f>
        <v>ru-RU</v>
      </c>
    </row>
    <row r="366" spans="1:9" x14ac:dyDescent="0.15">
      <c r="A366" t="str">
        <f t="shared" ref="A366:B366" si="292">A365</f>
        <v>ロシア語</v>
      </c>
      <c r="B366">
        <f t="shared" si="292"/>
        <v>4</v>
      </c>
      <c r="C366">
        <f t="shared" ref="C366:C410" si="293">C365+1</f>
        <v>67</v>
      </c>
      <c r="D366">
        <v>0</v>
      </c>
      <c r="E366" t="str">
        <f>VLOOKUP(D366,name!A:B,2,1)</f>
        <v>Player</v>
      </c>
      <c r="F366" t="str">
        <f>F324</f>
        <v>Онá красивая и молодая.</v>
      </c>
      <c r="G366" t="str">
        <f t="shared" si="290"/>
        <v>q</v>
      </c>
      <c r="H366" t="str">
        <f>VLOOKUP(D366,name!A:C,3,1)</f>
        <v>assets/icons/image326.png</v>
      </c>
      <c r="I366" t="str">
        <f>IF(A366="","",VLOOKUP(A366,lng!A:B,2,0))</f>
        <v>ru-RU</v>
      </c>
    </row>
    <row r="367" spans="1:9" x14ac:dyDescent="0.15">
      <c r="A367" t="str">
        <f t="shared" ref="A367:B367" si="294">A366</f>
        <v>ロシア語</v>
      </c>
      <c r="B367">
        <f t="shared" si="294"/>
        <v>4</v>
      </c>
      <c r="C367">
        <f t="shared" si="293"/>
        <v>68</v>
      </c>
      <c r="D367">
        <f>D325</f>
        <v>21</v>
      </c>
      <c r="E367" t="str">
        <f>VLOOKUP(D367,name!A:B,2,1)</f>
        <v>Цубаса</v>
      </c>
      <c r="F367" t="str">
        <f>F325</f>
        <v>そして、これは新しい写真ですね。</v>
      </c>
      <c r="G367" t="str">
        <f t="shared" si="290"/>
        <v>a</v>
      </c>
      <c r="H367" t="str">
        <f>VLOOKUP(D367,name!A:C,3,1)</f>
        <v>assets/icons/image017.png</v>
      </c>
      <c r="I367" t="s">
        <v>403</v>
      </c>
    </row>
    <row r="368" spans="1:9" x14ac:dyDescent="0.15">
      <c r="A368" t="str">
        <f t="shared" ref="A368:B368" si="295">A367</f>
        <v>ロシア語</v>
      </c>
      <c r="B368">
        <f t="shared" si="295"/>
        <v>4</v>
      </c>
      <c r="C368">
        <f t="shared" si="293"/>
        <v>69</v>
      </c>
      <c r="D368">
        <f>D326</f>
        <v>21</v>
      </c>
      <c r="E368" t="str">
        <f>VLOOKUP(D368,name!A:B,2,1)</f>
        <v>Цубаса</v>
      </c>
      <c r="F368" t="str">
        <f>F326</f>
        <v>А здесь новаяфотография.</v>
      </c>
      <c r="G368" t="str">
        <f t="shared" si="290"/>
        <v>a</v>
      </c>
      <c r="H368" t="str">
        <f>VLOOKUP(D368,name!A:C,3,1)</f>
        <v>assets/icons/image017.png</v>
      </c>
      <c r="I368" t="str">
        <f>IF(A368="","",VLOOKUP(A368,lng!A:B,2,0))</f>
        <v>ru-RU</v>
      </c>
    </row>
    <row r="369" spans="1:9" x14ac:dyDescent="0.15">
      <c r="A369" t="str">
        <f t="shared" ref="A369:B369" si="296">A368</f>
        <v>ロシア語</v>
      </c>
      <c r="B369">
        <f t="shared" si="296"/>
        <v>4</v>
      </c>
      <c r="C369">
        <f t="shared" si="293"/>
        <v>70</v>
      </c>
      <c r="D369">
        <v>0</v>
      </c>
      <c r="E369" t="str">
        <f>VLOOKUP(D369,name!A:B,2,1)</f>
        <v>Player</v>
      </c>
      <c r="F369" t="str">
        <f>F326</f>
        <v>А здесь новаяфотография.</v>
      </c>
      <c r="G369" t="str">
        <f t="shared" si="290"/>
        <v>q</v>
      </c>
      <c r="H369" t="str">
        <f>VLOOKUP(D369,name!A:C,3,1)</f>
        <v>assets/icons/image326.png</v>
      </c>
      <c r="I369" t="str">
        <f>IF(A369="","",VLOOKUP(A369,lng!A:B,2,0))</f>
        <v>ru-RU</v>
      </c>
    </row>
    <row r="370" spans="1:9" x14ac:dyDescent="0.15">
      <c r="A370" t="str">
        <f t="shared" ref="A370:B370" si="297">A369</f>
        <v>ロシア語</v>
      </c>
      <c r="B370">
        <f t="shared" si="297"/>
        <v>4</v>
      </c>
      <c r="C370">
        <f t="shared" si="293"/>
        <v>71</v>
      </c>
      <c r="D370">
        <f>D327</f>
        <v>21</v>
      </c>
      <c r="E370" t="str">
        <f>VLOOKUP(D370,name!A:B,2,1)</f>
        <v>Цубаса</v>
      </c>
      <c r="F370" t="str">
        <f>F327</f>
        <v>これは誰ですか。</v>
      </c>
      <c r="G370" t="str">
        <f t="shared" si="290"/>
        <v>a</v>
      </c>
      <c r="H370" t="str">
        <f>VLOOKUP(D370,name!A:C,3,1)</f>
        <v>assets/icons/image017.png</v>
      </c>
      <c r="I370" t="s">
        <v>403</v>
      </c>
    </row>
    <row r="371" spans="1:9" x14ac:dyDescent="0.15">
      <c r="A371" t="str">
        <f t="shared" ref="A371:B371" si="298">A370</f>
        <v>ロシア語</v>
      </c>
      <c r="B371">
        <f t="shared" si="298"/>
        <v>4</v>
      </c>
      <c r="C371">
        <f t="shared" si="293"/>
        <v>72</v>
      </c>
      <c r="D371">
        <f>D328</f>
        <v>21</v>
      </c>
      <c r="E371" t="str">
        <f>VLOOKUP(D371,name!A:B,2,1)</f>
        <v>Цубаса</v>
      </c>
      <c r="F371" t="str">
        <f>F328</f>
        <v>Кто это?</v>
      </c>
      <c r="G371" t="str">
        <f t="shared" si="290"/>
        <v>a</v>
      </c>
      <c r="H371" t="str">
        <f>VLOOKUP(D371,name!A:C,3,1)</f>
        <v>assets/icons/image017.png</v>
      </c>
      <c r="I371" t="str">
        <f>IF(A371="","",VLOOKUP(A371,lng!A:B,2,0))</f>
        <v>ru-RU</v>
      </c>
    </row>
    <row r="372" spans="1:9" x14ac:dyDescent="0.15">
      <c r="A372" t="str">
        <f t="shared" ref="A372:B372" si="299">A371</f>
        <v>ロシア語</v>
      </c>
      <c r="B372">
        <f t="shared" si="299"/>
        <v>4</v>
      </c>
      <c r="C372">
        <f t="shared" si="293"/>
        <v>73</v>
      </c>
      <c r="D372">
        <v>0</v>
      </c>
      <c r="E372" t="str">
        <f>VLOOKUP(D372,name!A:B,2,1)</f>
        <v>Player</v>
      </c>
      <c r="F372" t="str">
        <f>F328</f>
        <v>Кто это?</v>
      </c>
      <c r="G372" t="str">
        <f t="shared" si="290"/>
        <v>q</v>
      </c>
      <c r="H372" t="str">
        <f>VLOOKUP(D372,name!A:C,3,1)</f>
        <v>assets/icons/image326.png</v>
      </c>
      <c r="I372" t="str">
        <f>IF(A372="","",VLOOKUP(A372,lng!A:B,2,0))</f>
        <v>ru-RU</v>
      </c>
    </row>
    <row r="373" spans="1:9" x14ac:dyDescent="0.15">
      <c r="A373" t="str">
        <f t="shared" ref="A373:B373" si="300">A372</f>
        <v>ロシア語</v>
      </c>
      <c r="B373">
        <f t="shared" si="300"/>
        <v>4</v>
      </c>
      <c r="C373">
        <f t="shared" si="293"/>
        <v>74</v>
      </c>
      <c r="D373">
        <f>D329</f>
        <v>23</v>
      </c>
      <c r="E373" t="str">
        <f>VLOOKUP(D373,name!A:B,2,1)</f>
        <v>Наташа</v>
      </c>
      <c r="F373" t="str">
        <f>F329</f>
        <v>これは私の姉アンナです。</v>
      </c>
      <c r="G373" t="str">
        <f t="shared" si="290"/>
        <v>a</v>
      </c>
      <c r="H373" t="str">
        <f>VLOOKUP(D373,name!A:C,3,1)</f>
        <v>assets/icons/image035.png</v>
      </c>
      <c r="I373" t="s">
        <v>403</v>
      </c>
    </row>
    <row r="374" spans="1:9" x14ac:dyDescent="0.15">
      <c r="A374" t="str">
        <f t="shared" ref="A374:B374" si="301">A373</f>
        <v>ロシア語</v>
      </c>
      <c r="B374">
        <f t="shared" si="301"/>
        <v>4</v>
      </c>
      <c r="C374">
        <f t="shared" si="293"/>
        <v>75</v>
      </c>
      <c r="D374">
        <f>D330</f>
        <v>23</v>
      </c>
      <c r="E374" t="str">
        <f>VLOOKUP(D374,name!A:B,2,1)</f>
        <v>Наташа</v>
      </c>
      <c r="F374" t="str">
        <f>F330</f>
        <v>Это моя сестра Анна.</v>
      </c>
      <c r="G374" t="str">
        <f t="shared" si="290"/>
        <v>a</v>
      </c>
      <c r="H374" t="str">
        <f>VLOOKUP(D374,name!A:C,3,1)</f>
        <v>assets/icons/image035.png</v>
      </c>
      <c r="I374" t="str">
        <f>IF(A374="","",VLOOKUP(A374,lng!A:B,2,0))</f>
        <v>ru-RU</v>
      </c>
    </row>
    <row r="375" spans="1:9" x14ac:dyDescent="0.15">
      <c r="A375" t="str">
        <f t="shared" ref="A375:B375" si="302">A374</f>
        <v>ロシア語</v>
      </c>
      <c r="B375">
        <f t="shared" si="302"/>
        <v>4</v>
      </c>
      <c r="C375">
        <f t="shared" si="293"/>
        <v>76</v>
      </c>
      <c r="D375">
        <v>0</v>
      </c>
      <c r="E375" t="str">
        <f>VLOOKUP(D375,name!A:B,2,1)</f>
        <v>Player</v>
      </c>
      <c r="F375" t="str">
        <f>F330</f>
        <v>Это моя сестра Анна.</v>
      </c>
      <c r="G375" t="str">
        <f t="shared" si="290"/>
        <v>q</v>
      </c>
      <c r="H375" t="str">
        <f>VLOOKUP(D375,name!A:C,3,1)</f>
        <v>assets/icons/image326.png</v>
      </c>
      <c r="I375" t="str">
        <f>IF(A375="","",VLOOKUP(A375,lng!A:B,2,0))</f>
        <v>ru-RU</v>
      </c>
    </row>
    <row r="376" spans="1:9" x14ac:dyDescent="0.15">
      <c r="A376" t="str">
        <f t="shared" ref="A376:B376" si="303">A375</f>
        <v>ロシア語</v>
      </c>
      <c r="B376">
        <f t="shared" si="303"/>
        <v>4</v>
      </c>
      <c r="C376">
        <f t="shared" si="293"/>
        <v>77</v>
      </c>
      <c r="D376">
        <f>D331</f>
        <v>23</v>
      </c>
      <c r="E376" t="str">
        <f>VLOOKUP(D376,name!A:B,2,1)</f>
        <v>Наташа</v>
      </c>
      <c r="F376" t="str">
        <f>F331</f>
        <v>つばさ、彼女はあなたの先生でしょ!</v>
      </c>
      <c r="G376" t="str">
        <f t="shared" si="290"/>
        <v>a</v>
      </c>
      <c r="H376" t="str">
        <f>VLOOKUP(D376,name!A:C,3,1)</f>
        <v>assets/icons/image035.png</v>
      </c>
      <c r="I376" t="s">
        <v>403</v>
      </c>
    </row>
    <row r="377" spans="1:9" x14ac:dyDescent="0.15">
      <c r="A377" t="str">
        <f t="shared" ref="A377:B377" si="304">A376</f>
        <v>ロシア語</v>
      </c>
      <c r="B377">
        <f t="shared" si="304"/>
        <v>4</v>
      </c>
      <c r="C377">
        <f t="shared" si="293"/>
        <v>78</v>
      </c>
      <c r="D377">
        <f>D332</f>
        <v>23</v>
      </c>
      <c r="E377" t="str">
        <f>VLOOKUP(D377,name!A:B,2,1)</f>
        <v>Наташа</v>
      </c>
      <c r="F377" t="str">
        <f>F332</f>
        <v>Цубаса, онá ваша учительница!</v>
      </c>
      <c r="G377" t="str">
        <f t="shared" si="290"/>
        <v>a</v>
      </c>
      <c r="H377" t="str">
        <f>VLOOKUP(D377,name!A:C,3,1)</f>
        <v>assets/icons/image035.png</v>
      </c>
      <c r="I377" t="str">
        <f>IF(A377="","",VLOOKUP(A377,lng!A:B,2,0))</f>
        <v>ru-RU</v>
      </c>
    </row>
    <row r="378" spans="1:9" x14ac:dyDescent="0.15">
      <c r="A378" t="str">
        <f t="shared" ref="A378:B378" si="305">A377</f>
        <v>ロシア語</v>
      </c>
      <c r="B378">
        <f t="shared" si="305"/>
        <v>4</v>
      </c>
      <c r="C378">
        <f t="shared" si="293"/>
        <v>79</v>
      </c>
      <c r="D378">
        <v>0</v>
      </c>
      <c r="E378" t="str">
        <f>VLOOKUP(D378,name!A:B,2,1)</f>
        <v>Player</v>
      </c>
      <c r="F378" t="str">
        <f>F332</f>
        <v>Цубаса, онá ваша учительница!</v>
      </c>
      <c r="G378" t="str">
        <f t="shared" si="290"/>
        <v>q</v>
      </c>
      <c r="H378" t="str">
        <f>VLOOKUP(D378,name!A:C,3,1)</f>
        <v>assets/icons/image326.png</v>
      </c>
      <c r="I378" t="str">
        <f>IF(A378="","",VLOOKUP(A378,lng!A:B,2,0))</f>
        <v>ru-RU</v>
      </c>
    </row>
    <row r="379" spans="1:9" x14ac:dyDescent="0.15">
      <c r="A379" t="str">
        <f t="shared" ref="A379:B379" si="306">A378</f>
        <v>ロシア語</v>
      </c>
      <c r="B379">
        <f t="shared" si="306"/>
        <v>4</v>
      </c>
      <c r="C379">
        <f t="shared" si="293"/>
        <v>80</v>
      </c>
      <c r="D379">
        <v>1</v>
      </c>
      <c r="E379" t="str">
        <f>VLOOKUP(D379,name!A:B,2,1)</f>
        <v>Navigator</v>
      </c>
      <c r="F379" t="str">
        <f>"次の日本語を"&amp;A379&amp;"に訳して答えてね！"</f>
        <v>次の日本語をロシア語に訳して答えてね！</v>
      </c>
      <c r="G379" t="str">
        <f t="shared" si="290"/>
        <v>a</v>
      </c>
      <c r="H379" t="str">
        <f>VLOOKUP(D379,name!A:C,3,1)</f>
        <v>assets/icons/image014.png</v>
      </c>
      <c r="I379" t="s">
        <v>403</v>
      </c>
    </row>
    <row r="380" spans="1:9" x14ac:dyDescent="0.15">
      <c r="A380" t="str">
        <f t="shared" ref="A380:B380" si="307">A379</f>
        <v>ロシア語</v>
      </c>
      <c r="B380">
        <f t="shared" si="307"/>
        <v>4</v>
      </c>
      <c r="C380">
        <f t="shared" si="293"/>
        <v>81</v>
      </c>
      <c r="D380">
        <f>D303</f>
        <v>23</v>
      </c>
      <c r="E380" t="str">
        <f>VLOOKUP(D380,name!A:B,2,1)</f>
        <v>Наташа</v>
      </c>
      <c r="F380" t="str">
        <f>F303</f>
        <v>こちらがあなたの部屋です。</v>
      </c>
      <c r="G380" t="str">
        <f t="shared" si="290"/>
        <v>a</v>
      </c>
      <c r="H380" t="str">
        <f>VLOOKUP(D380,name!A:C,3,1)</f>
        <v>assets/icons/image035.png</v>
      </c>
      <c r="I380" t="s">
        <v>403</v>
      </c>
    </row>
    <row r="381" spans="1:9" x14ac:dyDescent="0.15">
      <c r="A381" t="str">
        <f t="shared" ref="A381:B381" si="308">A380</f>
        <v>ロシア語</v>
      </c>
      <c r="B381">
        <f t="shared" si="308"/>
        <v>4</v>
      </c>
      <c r="C381">
        <f t="shared" si="293"/>
        <v>82</v>
      </c>
      <c r="D381">
        <v>0</v>
      </c>
      <c r="E381" t="str">
        <f>VLOOKUP(D381,name!A:B,2,1)</f>
        <v>Player</v>
      </c>
      <c r="F381" t="str">
        <f>F304</f>
        <v>Вот ваша комната.</v>
      </c>
      <c r="G381" t="str">
        <f t="shared" si="290"/>
        <v>q</v>
      </c>
      <c r="H381" t="str">
        <f>VLOOKUP(D381,name!A:C,3,1)</f>
        <v>assets/icons/image326.png</v>
      </c>
      <c r="I381" t="str">
        <f>IF(A381="","",VLOOKUP(A381,lng!A:B,2,0))</f>
        <v>ru-RU</v>
      </c>
    </row>
    <row r="382" spans="1:9" x14ac:dyDescent="0.15">
      <c r="A382" t="str">
        <f t="shared" ref="A382:B382" si="309">A381</f>
        <v>ロシア語</v>
      </c>
      <c r="B382">
        <f t="shared" si="309"/>
        <v>4</v>
      </c>
      <c r="C382">
        <f t="shared" si="293"/>
        <v>83</v>
      </c>
      <c r="D382">
        <f>D305</f>
        <v>21</v>
      </c>
      <c r="E382" t="str">
        <f>VLOOKUP(D382,name!A:B,2,1)</f>
        <v>Цубаса</v>
      </c>
      <c r="F382" t="str">
        <f>F305</f>
        <v>ありがとうございます。</v>
      </c>
      <c r="G382" t="str">
        <f t="shared" si="290"/>
        <v>a</v>
      </c>
      <c r="H382" t="str">
        <f>VLOOKUP(D382,name!A:C,3,1)</f>
        <v>assets/icons/image017.png</v>
      </c>
      <c r="I382" t="s">
        <v>403</v>
      </c>
    </row>
    <row r="383" spans="1:9" x14ac:dyDescent="0.15">
      <c r="A383" t="str">
        <f t="shared" ref="A383:B383" si="310">A382</f>
        <v>ロシア語</v>
      </c>
      <c r="B383">
        <f t="shared" si="310"/>
        <v>4</v>
      </c>
      <c r="C383">
        <f t="shared" si="293"/>
        <v>84</v>
      </c>
      <c r="D383">
        <v>0</v>
      </c>
      <c r="E383" t="str">
        <f>VLOOKUP(D383,name!A:B,2,1)</f>
        <v>Player</v>
      </c>
      <c r="F383" t="str">
        <f>F306</f>
        <v xml:space="preserve">Спасибо. </v>
      </c>
      <c r="G383" t="str">
        <f t="shared" si="290"/>
        <v>q</v>
      </c>
      <c r="H383" t="str">
        <f>VLOOKUP(D383,name!A:C,3,1)</f>
        <v>assets/icons/image326.png</v>
      </c>
      <c r="I383" t="str">
        <f>IF(A383="","",VLOOKUP(A383,lng!A:B,2,0))</f>
        <v>ru-RU</v>
      </c>
    </row>
    <row r="384" spans="1:9" x14ac:dyDescent="0.15">
      <c r="A384" t="str">
        <f t="shared" ref="A384:B384" si="311">A383</f>
        <v>ロシア語</v>
      </c>
      <c r="B384">
        <f t="shared" si="311"/>
        <v>4</v>
      </c>
      <c r="C384">
        <f t="shared" si="293"/>
        <v>85</v>
      </c>
      <c r="D384">
        <f>D307</f>
        <v>22</v>
      </c>
      <c r="E384" t="str">
        <f>VLOOKUP(D384,name!A:B,2,1)</f>
        <v>Люда</v>
      </c>
      <c r="F384" t="str">
        <f>F307</f>
        <v>おお、大きな部屋ですね。</v>
      </c>
      <c r="G384" t="str">
        <f t="shared" si="290"/>
        <v>a</v>
      </c>
      <c r="H384" t="str">
        <f>VLOOKUP(D384,name!A:C,3,1)</f>
        <v>assets/icons/image024.png</v>
      </c>
      <c r="I384" t="s">
        <v>403</v>
      </c>
    </row>
    <row r="385" spans="1:9" x14ac:dyDescent="0.15">
      <c r="A385" t="str">
        <f t="shared" ref="A385:B385" si="312">A384</f>
        <v>ロシア語</v>
      </c>
      <c r="B385">
        <f t="shared" si="312"/>
        <v>4</v>
      </c>
      <c r="C385">
        <f t="shared" si="293"/>
        <v>86</v>
      </c>
      <c r="D385">
        <v>0</v>
      </c>
      <c r="E385" t="str">
        <f>VLOOKUP(D385,name!A:B,2,1)</f>
        <v>Player</v>
      </c>
      <c r="F385" t="str">
        <f>F308</f>
        <v>Спасибо. О, это большая комната.</v>
      </c>
      <c r="G385" t="str">
        <f t="shared" si="290"/>
        <v>q</v>
      </c>
      <c r="H385" t="str">
        <f>VLOOKUP(D385,name!A:C,3,1)</f>
        <v>assets/icons/image326.png</v>
      </c>
      <c r="I385" t="str">
        <f>IF(A385="","",VLOOKUP(A385,lng!A:B,2,0))</f>
        <v>ru-RU</v>
      </c>
    </row>
    <row r="386" spans="1:9" x14ac:dyDescent="0.15">
      <c r="A386" t="str">
        <f t="shared" ref="A386:B386" si="313">A385</f>
        <v>ロシア語</v>
      </c>
      <c r="B386">
        <f t="shared" si="313"/>
        <v>4</v>
      </c>
      <c r="C386">
        <f t="shared" si="293"/>
        <v>87</v>
      </c>
      <c r="D386">
        <f>D309</f>
        <v>23</v>
      </c>
      <c r="E386" t="str">
        <f>VLOOKUP(D386,name!A:B,2,1)</f>
        <v>Наташа</v>
      </c>
      <c r="F386" t="str">
        <f>F309</f>
        <v>しかし、とても古いです。</v>
      </c>
      <c r="G386" t="str">
        <f t="shared" si="290"/>
        <v>a</v>
      </c>
      <c r="H386" t="str">
        <f>VLOOKUP(D386,name!A:C,3,1)</f>
        <v>assets/icons/image035.png</v>
      </c>
      <c r="I386" t="s">
        <v>403</v>
      </c>
    </row>
    <row r="387" spans="1:9" x14ac:dyDescent="0.15">
      <c r="A387" t="str">
        <f t="shared" ref="A387:B387" si="314">A386</f>
        <v>ロシア語</v>
      </c>
      <c r="B387">
        <f t="shared" si="314"/>
        <v>4</v>
      </c>
      <c r="C387">
        <f t="shared" si="293"/>
        <v>88</v>
      </c>
      <c r="D387">
        <v>0</v>
      </c>
      <c r="E387" t="str">
        <f>VLOOKUP(D387,name!A:B,2,1)</f>
        <v>Player</v>
      </c>
      <c r="F387" t="str">
        <f>F310</f>
        <v>Но очень старая.</v>
      </c>
      <c r="G387" t="str">
        <f t="shared" si="290"/>
        <v>q</v>
      </c>
      <c r="H387" t="str">
        <f>VLOOKUP(D387,name!A:C,3,1)</f>
        <v>assets/icons/image326.png</v>
      </c>
      <c r="I387" t="str">
        <f>IF(A387="","",VLOOKUP(A387,lng!A:B,2,0))</f>
        <v>ru-RU</v>
      </c>
    </row>
    <row r="388" spans="1:9" x14ac:dyDescent="0.15">
      <c r="A388" t="str">
        <f t="shared" ref="A388:B388" si="315">A387</f>
        <v>ロシア語</v>
      </c>
      <c r="B388">
        <f t="shared" si="315"/>
        <v>4</v>
      </c>
      <c r="C388">
        <f t="shared" si="293"/>
        <v>89</v>
      </c>
      <c r="D388">
        <f>D311</f>
        <v>21</v>
      </c>
      <c r="E388" t="str">
        <f>VLOOKUP(D388,name!A:B,2,1)</f>
        <v>Цубаса</v>
      </c>
      <c r="F388" t="str">
        <f>F311</f>
        <v>良いです。</v>
      </c>
      <c r="G388" t="str">
        <f t="shared" si="290"/>
        <v>a</v>
      </c>
      <c r="H388" t="str">
        <f>VLOOKUP(D388,name!A:C,3,1)</f>
        <v>assets/icons/image017.png</v>
      </c>
      <c r="I388" t="s">
        <v>403</v>
      </c>
    </row>
    <row r="389" spans="1:9" x14ac:dyDescent="0.15">
      <c r="A389" t="str">
        <f t="shared" ref="A389:B389" si="316">A388</f>
        <v>ロシア語</v>
      </c>
      <c r="B389">
        <f t="shared" si="316"/>
        <v>4</v>
      </c>
      <c r="C389">
        <f t="shared" si="293"/>
        <v>90</v>
      </c>
      <c r="D389">
        <v>0</v>
      </c>
      <c r="E389" t="str">
        <f>VLOOKUP(D389,name!A:B,2,1)</f>
        <v>Player</v>
      </c>
      <c r="F389" t="str">
        <f>F312</f>
        <v>Хорошо.</v>
      </c>
      <c r="G389" t="str">
        <f t="shared" si="290"/>
        <v>q</v>
      </c>
      <c r="H389" t="str">
        <f>VLOOKUP(D389,name!A:C,3,1)</f>
        <v>assets/icons/image326.png</v>
      </c>
      <c r="I389" t="str">
        <f>IF(A389="","",VLOOKUP(A389,lng!A:B,2,0))</f>
        <v>ru-RU</v>
      </c>
    </row>
    <row r="390" spans="1:9" x14ac:dyDescent="0.15">
      <c r="A390" t="str">
        <f t="shared" ref="A390:B390" si="317">A389</f>
        <v>ロシア語</v>
      </c>
      <c r="B390">
        <f t="shared" si="317"/>
        <v>4</v>
      </c>
      <c r="C390">
        <f t="shared" si="293"/>
        <v>91</v>
      </c>
      <c r="D390">
        <f>D313</f>
        <v>21</v>
      </c>
      <c r="E390" t="str">
        <f>VLOOKUP(D390,name!A:B,2,1)</f>
        <v>Цубаса</v>
      </c>
      <c r="F390" t="str">
        <f>F313</f>
        <v>窓も大きい。</v>
      </c>
      <c r="G390" t="str">
        <f t="shared" si="290"/>
        <v>a</v>
      </c>
      <c r="H390" t="str">
        <f>VLOOKUP(D390,name!A:C,3,1)</f>
        <v>assets/icons/image017.png</v>
      </c>
      <c r="I390" t="s">
        <v>403</v>
      </c>
    </row>
    <row r="391" spans="1:9" x14ac:dyDescent="0.15">
      <c r="A391" t="str">
        <f t="shared" ref="A391:B391" si="318">A390</f>
        <v>ロシア語</v>
      </c>
      <c r="B391">
        <f t="shared" si="318"/>
        <v>4</v>
      </c>
      <c r="C391">
        <f t="shared" si="293"/>
        <v>92</v>
      </c>
      <c r="D391">
        <v>0</v>
      </c>
      <c r="E391" t="str">
        <f>VLOOKUP(D391,name!A:B,2,1)</f>
        <v>Player</v>
      </c>
      <c r="F391" t="str">
        <f>F314</f>
        <v>Окно тоже большое.</v>
      </c>
      <c r="G391" t="str">
        <f t="shared" si="290"/>
        <v>q</v>
      </c>
      <c r="H391" t="str">
        <f>VLOOKUP(D391,name!A:C,3,1)</f>
        <v>assets/icons/image326.png</v>
      </c>
      <c r="I391" t="str">
        <f>IF(A391="","",VLOOKUP(A391,lng!A:B,2,0))</f>
        <v>ru-RU</v>
      </c>
    </row>
    <row r="392" spans="1:9" x14ac:dyDescent="0.15">
      <c r="A392" t="str">
        <f t="shared" ref="A392:B392" si="319">A391</f>
        <v>ロシア語</v>
      </c>
      <c r="B392">
        <f t="shared" si="319"/>
        <v>4</v>
      </c>
      <c r="C392">
        <f t="shared" si="293"/>
        <v>93</v>
      </c>
      <c r="D392">
        <f>D315</f>
        <v>23</v>
      </c>
      <c r="E392" t="str">
        <f>VLOOKUP(D392,name!A:B,2,1)</f>
        <v>Наташа</v>
      </c>
      <c r="F392" t="str">
        <f>F315</f>
        <v>でもテレビは小さいです。</v>
      </c>
      <c r="G392" t="str">
        <f t="shared" si="290"/>
        <v>a</v>
      </c>
      <c r="H392" t="str">
        <f>VLOOKUP(D392,name!A:C,3,1)</f>
        <v>assets/icons/image035.png</v>
      </c>
      <c r="I392" t="s">
        <v>403</v>
      </c>
    </row>
    <row r="393" spans="1:9" x14ac:dyDescent="0.15">
      <c r="A393" t="str">
        <f t="shared" ref="A393:B393" si="320">A392</f>
        <v>ロシア語</v>
      </c>
      <c r="B393">
        <f t="shared" si="320"/>
        <v>4</v>
      </c>
      <c r="C393">
        <f t="shared" si="293"/>
        <v>94</v>
      </c>
      <c r="D393">
        <v>0</v>
      </c>
      <c r="E393" t="str">
        <f>VLOOKUP(D393,name!A:B,2,1)</f>
        <v>Player</v>
      </c>
      <c r="F393" t="str">
        <f>F316</f>
        <v>А телевизор маленький.</v>
      </c>
      <c r="G393" t="str">
        <f t="shared" si="290"/>
        <v>q</v>
      </c>
      <c r="H393" t="str">
        <f>VLOOKUP(D393,name!A:C,3,1)</f>
        <v>assets/icons/image326.png</v>
      </c>
      <c r="I393" t="str">
        <f>IF(A393="","",VLOOKUP(A393,lng!A:B,2,0))</f>
        <v>ru-RU</v>
      </c>
    </row>
    <row r="394" spans="1:9" x14ac:dyDescent="0.15">
      <c r="A394" t="str">
        <f t="shared" ref="A394:B394" si="321">A393</f>
        <v>ロシア語</v>
      </c>
      <c r="B394">
        <f t="shared" si="321"/>
        <v>4</v>
      </c>
      <c r="C394">
        <f t="shared" si="293"/>
        <v>95</v>
      </c>
      <c r="D394">
        <f>D317</f>
        <v>21</v>
      </c>
      <c r="E394" t="str">
        <f>VLOOKUP(D394,name!A:B,2,1)</f>
        <v>Цубаса</v>
      </c>
      <c r="F394" t="str">
        <f>F317</f>
        <v>大丈夫。</v>
      </c>
      <c r="G394" t="str">
        <f t="shared" si="290"/>
        <v>a</v>
      </c>
      <c r="H394" t="str">
        <f>VLOOKUP(D394,name!A:C,3,1)</f>
        <v>assets/icons/image017.png</v>
      </c>
      <c r="I394" t="s">
        <v>403</v>
      </c>
    </row>
    <row r="395" spans="1:9" x14ac:dyDescent="0.15">
      <c r="A395" t="str">
        <f t="shared" ref="A395:B395" si="322">A394</f>
        <v>ロシア語</v>
      </c>
      <c r="B395">
        <f t="shared" si="322"/>
        <v>4</v>
      </c>
      <c r="C395">
        <f t="shared" si="293"/>
        <v>96</v>
      </c>
      <c r="D395">
        <v>0</v>
      </c>
      <c r="E395" t="str">
        <f>VLOOKUP(D395,name!A:B,2,1)</f>
        <v>Player</v>
      </c>
      <c r="F395" t="str">
        <f>F318</f>
        <v xml:space="preserve">Ничего. </v>
      </c>
      <c r="G395" t="str">
        <f t="shared" si="290"/>
        <v>q</v>
      </c>
      <c r="H395" t="str">
        <f>VLOOKUP(D395,name!A:C,3,1)</f>
        <v>assets/icons/image326.png</v>
      </c>
      <c r="I395" t="str">
        <f>IF(A395="","",VLOOKUP(A395,lng!A:B,2,0))</f>
        <v>ru-RU</v>
      </c>
    </row>
    <row r="396" spans="1:9" x14ac:dyDescent="0.15">
      <c r="A396" t="str">
        <f t="shared" ref="A396:B396" si="323">A395</f>
        <v>ロシア語</v>
      </c>
      <c r="B396">
        <f t="shared" si="323"/>
        <v>4</v>
      </c>
      <c r="C396">
        <f t="shared" si="293"/>
        <v>97</v>
      </c>
      <c r="D396">
        <f>D319</f>
        <v>21</v>
      </c>
      <c r="E396" t="str">
        <f>VLOOKUP(D396,name!A:B,2,1)</f>
        <v>Цубаса</v>
      </c>
      <c r="F396" t="str">
        <f>F319</f>
        <v>古い写真があります。</v>
      </c>
      <c r="G396" t="str">
        <f t="shared" si="290"/>
        <v>a</v>
      </c>
      <c r="H396" t="str">
        <f>VLOOKUP(D396,name!A:C,3,1)</f>
        <v>assets/icons/image017.png</v>
      </c>
      <c r="I396" t="s">
        <v>403</v>
      </c>
    </row>
    <row r="397" spans="1:9" x14ac:dyDescent="0.15">
      <c r="A397" t="str">
        <f t="shared" ref="A397:B397" si="324">A396</f>
        <v>ロシア語</v>
      </c>
      <c r="B397">
        <f t="shared" si="324"/>
        <v>4</v>
      </c>
      <c r="C397">
        <f t="shared" si="293"/>
        <v>98</v>
      </c>
      <c r="D397">
        <v>0</v>
      </c>
      <c r="E397" t="str">
        <f>VLOOKUP(D397,name!A:B,2,1)</f>
        <v>Player</v>
      </c>
      <c r="F397" t="str">
        <f>F320</f>
        <v>Там старая фотография.</v>
      </c>
      <c r="G397" t="str">
        <f t="shared" si="290"/>
        <v>q</v>
      </c>
      <c r="H397" t="str">
        <f>VLOOKUP(D397,name!A:C,3,1)</f>
        <v>assets/icons/image326.png</v>
      </c>
      <c r="I397" t="str">
        <f>IF(A397="","",VLOOKUP(A397,lng!A:B,2,0))</f>
        <v>ru-RU</v>
      </c>
    </row>
    <row r="398" spans="1:9" x14ac:dyDescent="0.15">
      <c r="A398" t="str">
        <f t="shared" ref="A398:B398" si="325">A397</f>
        <v>ロシア語</v>
      </c>
      <c r="B398">
        <f t="shared" si="325"/>
        <v>4</v>
      </c>
      <c r="C398">
        <f t="shared" si="293"/>
        <v>99</v>
      </c>
      <c r="D398">
        <f>D321</f>
        <v>23</v>
      </c>
      <c r="E398" t="str">
        <f>VLOOKUP(D398,name!A:B,2,1)</f>
        <v>Наташа</v>
      </c>
      <c r="F398" t="str">
        <f>F321</f>
        <v>これは私の母です</v>
      </c>
      <c r="G398" t="str">
        <f t="shared" si="290"/>
        <v>a</v>
      </c>
      <c r="H398" t="str">
        <f>VLOOKUP(D398,name!A:C,3,1)</f>
        <v>assets/icons/image035.png</v>
      </c>
      <c r="I398" t="s">
        <v>403</v>
      </c>
    </row>
    <row r="399" spans="1:9" x14ac:dyDescent="0.15">
      <c r="A399" t="str">
        <f t="shared" ref="A399:B399" si="326">A398</f>
        <v>ロシア語</v>
      </c>
      <c r="B399">
        <f t="shared" si="326"/>
        <v>4</v>
      </c>
      <c r="C399">
        <f t="shared" si="293"/>
        <v>100</v>
      </c>
      <c r="D399">
        <v>0</v>
      </c>
      <c r="E399" t="str">
        <f>VLOOKUP(D399,name!A:B,2,1)</f>
        <v>Player</v>
      </c>
      <c r="F399" t="str">
        <f>F322</f>
        <v>Это моя мать</v>
      </c>
      <c r="G399" t="str">
        <f t="shared" si="290"/>
        <v>q</v>
      </c>
      <c r="H399" t="str">
        <f>VLOOKUP(D399,name!A:C,3,1)</f>
        <v>assets/icons/image326.png</v>
      </c>
      <c r="I399" t="str">
        <f>IF(A399="","",VLOOKUP(A399,lng!A:B,2,0))</f>
        <v>ru-RU</v>
      </c>
    </row>
    <row r="400" spans="1:9" x14ac:dyDescent="0.15">
      <c r="A400" t="str">
        <f t="shared" ref="A400:B400" si="327">A399</f>
        <v>ロシア語</v>
      </c>
      <c r="B400">
        <f t="shared" si="327"/>
        <v>4</v>
      </c>
      <c r="C400">
        <f t="shared" si="293"/>
        <v>101</v>
      </c>
      <c r="D400">
        <f>D323</f>
        <v>21</v>
      </c>
      <c r="E400" t="str">
        <f>VLOOKUP(D400,name!A:B,2,1)</f>
        <v>Цубаса</v>
      </c>
      <c r="F400" t="str">
        <f>F323</f>
        <v>彼女は美しくて若いです。</v>
      </c>
      <c r="G400" t="str">
        <f t="shared" si="290"/>
        <v>a</v>
      </c>
      <c r="H400" t="str">
        <f>VLOOKUP(D400,name!A:C,3,1)</f>
        <v>assets/icons/image017.png</v>
      </c>
      <c r="I400" t="s">
        <v>403</v>
      </c>
    </row>
    <row r="401" spans="1:12" x14ac:dyDescent="0.15">
      <c r="A401" t="str">
        <f t="shared" ref="A401:B401" si="328">A400</f>
        <v>ロシア語</v>
      </c>
      <c r="B401">
        <f t="shared" si="328"/>
        <v>4</v>
      </c>
      <c r="C401">
        <f t="shared" si="293"/>
        <v>102</v>
      </c>
      <c r="D401">
        <v>0</v>
      </c>
      <c r="E401" t="str">
        <f>VLOOKUP(D401,name!A:B,2,1)</f>
        <v>Player</v>
      </c>
      <c r="F401" t="str">
        <f>F324</f>
        <v>Онá красивая и молодая.</v>
      </c>
      <c r="G401" t="str">
        <f t="shared" si="290"/>
        <v>q</v>
      </c>
      <c r="H401" t="str">
        <f>VLOOKUP(D401,name!A:C,3,1)</f>
        <v>assets/icons/image326.png</v>
      </c>
      <c r="I401" t="str">
        <f>IF(A401="","",VLOOKUP(A401,lng!A:B,2,0))</f>
        <v>ru-RU</v>
      </c>
    </row>
    <row r="402" spans="1:12" x14ac:dyDescent="0.15">
      <c r="A402" t="str">
        <f t="shared" ref="A402:B402" si="329">A401</f>
        <v>ロシア語</v>
      </c>
      <c r="B402">
        <f t="shared" si="329"/>
        <v>4</v>
      </c>
      <c r="C402">
        <f t="shared" si="293"/>
        <v>103</v>
      </c>
      <c r="D402">
        <f>D325</f>
        <v>21</v>
      </c>
      <c r="E402" t="str">
        <f>VLOOKUP(D402,name!A:B,2,1)</f>
        <v>Цубаса</v>
      </c>
      <c r="F402" t="str">
        <f>F325</f>
        <v>そして、これは新しい写真ですね。</v>
      </c>
      <c r="G402" t="str">
        <f t="shared" si="290"/>
        <v>a</v>
      </c>
      <c r="H402" t="str">
        <f>VLOOKUP(D402,name!A:C,3,1)</f>
        <v>assets/icons/image017.png</v>
      </c>
      <c r="I402" t="s">
        <v>403</v>
      </c>
    </row>
    <row r="403" spans="1:12" x14ac:dyDescent="0.15">
      <c r="A403" t="str">
        <f t="shared" ref="A403:B403" si="330">A402</f>
        <v>ロシア語</v>
      </c>
      <c r="B403">
        <f t="shared" si="330"/>
        <v>4</v>
      </c>
      <c r="C403">
        <f t="shared" si="293"/>
        <v>104</v>
      </c>
      <c r="D403">
        <v>0</v>
      </c>
      <c r="E403" t="str">
        <f>VLOOKUP(D403,name!A:B,2,1)</f>
        <v>Player</v>
      </c>
      <c r="F403" t="str">
        <f>F326</f>
        <v>А здесь новаяфотография.</v>
      </c>
      <c r="G403" t="str">
        <f t="shared" si="290"/>
        <v>q</v>
      </c>
      <c r="H403" t="str">
        <f>VLOOKUP(D403,name!A:C,3,1)</f>
        <v>assets/icons/image326.png</v>
      </c>
      <c r="I403" t="str">
        <f>IF(A403="","",VLOOKUP(A403,lng!A:B,2,0))</f>
        <v>ru-RU</v>
      </c>
    </row>
    <row r="404" spans="1:12" x14ac:dyDescent="0.15">
      <c r="A404" t="str">
        <f t="shared" ref="A404:B404" si="331">A403</f>
        <v>ロシア語</v>
      </c>
      <c r="B404">
        <f t="shared" si="331"/>
        <v>4</v>
      </c>
      <c r="C404">
        <f t="shared" si="293"/>
        <v>105</v>
      </c>
      <c r="D404">
        <f>D327</f>
        <v>21</v>
      </c>
      <c r="E404" t="str">
        <f>VLOOKUP(D404,name!A:B,2,1)</f>
        <v>Цубаса</v>
      </c>
      <c r="F404" t="str">
        <f>F327</f>
        <v>これは誰ですか。</v>
      </c>
      <c r="G404" t="str">
        <f t="shared" si="290"/>
        <v>a</v>
      </c>
      <c r="H404" t="str">
        <f>VLOOKUP(D404,name!A:C,3,1)</f>
        <v>assets/icons/image017.png</v>
      </c>
      <c r="I404" t="s">
        <v>403</v>
      </c>
    </row>
    <row r="405" spans="1:12" x14ac:dyDescent="0.15">
      <c r="A405" t="str">
        <f t="shared" ref="A405:B405" si="332">A404</f>
        <v>ロシア語</v>
      </c>
      <c r="B405">
        <f t="shared" si="332"/>
        <v>4</v>
      </c>
      <c r="C405">
        <f t="shared" si="293"/>
        <v>106</v>
      </c>
      <c r="D405">
        <v>0</v>
      </c>
      <c r="E405" t="str">
        <f>VLOOKUP(D405,name!A:B,2,1)</f>
        <v>Player</v>
      </c>
      <c r="F405" t="str">
        <f>F328</f>
        <v>Кто это?</v>
      </c>
      <c r="G405" t="str">
        <f t="shared" si="290"/>
        <v>q</v>
      </c>
      <c r="H405" t="str">
        <f>VLOOKUP(D405,name!A:C,3,1)</f>
        <v>assets/icons/image326.png</v>
      </c>
      <c r="I405" t="str">
        <f>IF(A405="","",VLOOKUP(A405,lng!A:B,2,0))</f>
        <v>ru-RU</v>
      </c>
    </row>
    <row r="406" spans="1:12" x14ac:dyDescent="0.15">
      <c r="A406" t="str">
        <f t="shared" ref="A406:B406" si="333">A405</f>
        <v>ロシア語</v>
      </c>
      <c r="B406">
        <f t="shared" si="333"/>
        <v>4</v>
      </c>
      <c r="C406">
        <f t="shared" si="293"/>
        <v>107</v>
      </c>
      <c r="D406">
        <f>D329</f>
        <v>23</v>
      </c>
      <c r="E406" t="str">
        <f>VLOOKUP(D406,name!A:B,2,1)</f>
        <v>Наташа</v>
      </c>
      <c r="F406" t="str">
        <f>F329</f>
        <v>これは私の姉アンナです。</v>
      </c>
      <c r="G406" t="str">
        <f t="shared" si="290"/>
        <v>a</v>
      </c>
      <c r="H406" t="str">
        <f>VLOOKUP(D406,name!A:C,3,1)</f>
        <v>assets/icons/image035.png</v>
      </c>
      <c r="I406" t="s">
        <v>403</v>
      </c>
    </row>
    <row r="407" spans="1:12" x14ac:dyDescent="0.15">
      <c r="A407" t="str">
        <f t="shared" ref="A407:B407" si="334">A406</f>
        <v>ロシア語</v>
      </c>
      <c r="B407">
        <f t="shared" si="334"/>
        <v>4</v>
      </c>
      <c r="C407">
        <f t="shared" si="293"/>
        <v>108</v>
      </c>
      <c r="D407">
        <v>0</v>
      </c>
      <c r="E407" t="str">
        <f>VLOOKUP(D407,name!A:B,2,1)</f>
        <v>Player</v>
      </c>
      <c r="F407" t="str">
        <f>F330</f>
        <v>Это моя сестра Анна.</v>
      </c>
      <c r="G407" t="str">
        <f t="shared" si="290"/>
        <v>q</v>
      </c>
      <c r="H407" t="str">
        <f>VLOOKUP(D407,name!A:C,3,1)</f>
        <v>assets/icons/image326.png</v>
      </c>
      <c r="I407" t="str">
        <f>IF(A407="","",VLOOKUP(A407,lng!A:B,2,0))</f>
        <v>ru-RU</v>
      </c>
    </row>
    <row r="408" spans="1:12" x14ac:dyDescent="0.15">
      <c r="A408" t="str">
        <f t="shared" ref="A408:B408" si="335">A407</f>
        <v>ロシア語</v>
      </c>
      <c r="B408">
        <f t="shared" si="335"/>
        <v>4</v>
      </c>
      <c r="C408">
        <f t="shared" si="293"/>
        <v>109</v>
      </c>
      <c r="D408">
        <f>D331</f>
        <v>23</v>
      </c>
      <c r="E408" t="str">
        <f>VLOOKUP(D408,name!A:B,2,1)</f>
        <v>Наташа</v>
      </c>
      <c r="F408" t="str">
        <f>F331</f>
        <v>つばさ、彼女はあなたの先生でしょ!</v>
      </c>
      <c r="G408" t="str">
        <f t="shared" si="290"/>
        <v>a</v>
      </c>
      <c r="H408" t="str">
        <f>VLOOKUP(D408,name!A:C,3,1)</f>
        <v>assets/icons/image035.png</v>
      </c>
      <c r="I408" t="s">
        <v>403</v>
      </c>
    </row>
    <row r="409" spans="1:12" x14ac:dyDescent="0.15">
      <c r="A409" t="str">
        <f t="shared" ref="A409:B409" si="336">A408</f>
        <v>ロシア語</v>
      </c>
      <c r="B409">
        <f t="shared" si="336"/>
        <v>4</v>
      </c>
      <c r="C409">
        <f t="shared" si="293"/>
        <v>110</v>
      </c>
      <c r="D409">
        <v>0</v>
      </c>
      <c r="E409" t="str">
        <f>VLOOKUP(D409,name!A:B,2,1)</f>
        <v>Player</v>
      </c>
      <c r="F409" t="str">
        <f>F332</f>
        <v>Цубаса, онá ваша учительница!</v>
      </c>
      <c r="G409" t="str">
        <f t="shared" si="290"/>
        <v>q</v>
      </c>
      <c r="H409" t="str">
        <f>VLOOKUP(D409,name!A:C,3,1)</f>
        <v>assets/icons/image326.png</v>
      </c>
      <c r="I409" t="str">
        <f>IF(A409="","",VLOOKUP(A409,lng!A:B,2,0))</f>
        <v>ru-RU</v>
      </c>
    </row>
    <row r="410" spans="1:12" x14ac:dyDescent="0.15">
      <c r="A410" t="str">
        <f t="shared" ref="A410:B410" si="337">A409</f>
        <v>ロシア語</v>
      </c>
      <c r="B410">
        <f t="shared" si="337"/>
        <v>4</v>
      </c>
      <c r="C410">
        <f t="shared" si="293"/>
        <v>111</v>
      </c>
      <c r="D410">
        <v>1</v>
      </c>
      <c r="E410" t="str">
        <f>VLOOKUP(D410,name!A:B,2,1)</f>
        <v>Navigator</v>
      </c>
      <c r="F410" t="str">
        <f>"とても良くできました。レッスン"&amp;B410&amp;"はこれで終了です。"</f>
        <v>とても良くできました。レッスン4はこれで終了です。</v>
      </c>
      <c r="G410" t="str">
        <f t="shared" si="290"/>
        <v>e</v>
      </c>
      <c r="H410" t="str">
        <f>VLOOKUP(D410,name!A:C,3,1)</f>
        <v>assets/icons/image014.png</v>
      </c>
      <c r="I410" t="s">
        <v>403</v>
      </c>
    </row>
    <row r="411" spans="1:12" x14ac:dyDescent="0.15">
      <c r="A411" t="str">
        <f>A410</f>
        <v>ロシア語</v>
      </c>
      <c r="B411">
        <f>B410+1</f>
        <v>5</v>
      </c>
      <c r="C411">
        <v>1</v>
      </c>
      <c r="D411">
        <v>1</v>
      </c>
      <c r="E411" t="str">
        <f>VLOOKUP(D411,name!A:B,2,1)</f>
        <v>Navigator</v>
      </c>
      <c r="F411" t="s">
        <v>540</v>
      </c>
      <c r="G411" t="str">
        <f t="shared" si="290"/>
        <v>a</v>
      </c>
      <c r="H411" t="str">
        <f>VLOOKUP(D411,name!A:C,3,1)</f>
        <v>assets/icons/image014.png</v>
      </c>
      <c r="I411" t="str">
        <f>IF(A411="","",VLOOKUP(A411,lng!A:B,2,0))</f>
        <v>ru-RU</v>
      </c>
    </row>
    <row r="412" spans="1:12" x14ac:dyDescent="0.15">
      <c r="A412" t="str">
        <f t="shared" ref="A412:B427" si="338">A411</f>
        <v>ロシア語</v>
      </c>
      <c r="B412">
        <f>B411</f>
        <v>5</v>
      </c>
      <c r="C412">
        <f>C411+1</f>
        <v>2</v>
      </c>
      <c r="D412">
        <v>1</v>
      </c>
      <c r="E412" t="str">
        <f>VLOOKUP(D412,name!A:B,2,1)</f>
        <v>Navigator</v>
      </c>
      <c r="F412" t="str">
        <f>"レッスン"&amp;B412</f>
        <v>レッスン5</v>
      </c>
      <c r="G412" t="str">
        <f t="shared" ref="G412:G475" si="339">IF(B412&lt;&gt;B413,"e",IF(D412=0,"q","a"))</f>
        <v>a</v>
      </c>
      <c r="H412" t="str">
        <f>VLOOKUP(D412,name!A:C,3,1)</f>
        <v>assets/icons/image014.png</v>
      </c>
      <c r="I412" t="s">
        <v>403</v>
      </c>
    </row>
    <row r="413" spans="1:12" ht="40.5" x14ac:dyDescent="0.15">
      <c r="A413" t="str">
        <f t="shared" si="338"/>
        <v>ロシア語</v>
      </c>
      <c r="B413">
        <f t="shared" si="338"/>
        <v>5</v>
      </c>
      <c r="C413">
        <f t="shared" ref="C413:C476" si="340">C412+1</f>
        <v>3</v>
      </c>
      <c r="D413">
        <v>1</v>
      </c>
      <c r="E413" t="str">
        <f>VLOOKUP(D413,name!A:B,2,1)</f>
        <v>Navigator</v>
      </c>
      <c r="F413" s="1" t="str">
        <f>"まずは対話文を流します。その後に、日本語と"&amp;A413&amp;"を一文ずつ流すので"&amp;A413&amp;"を真似して下さい。最後に日本語のみを流すので、"&amp;A413&amp;"で答えてください。"</f>
        <v>まずは対話文を流します。その後に、日本語とロシア語を一文ずつ流すのでロシア語を真似して下さい。最後に日本語のみを流すので、ロシア語で答えてください。</v>
      </c>
      <c r="G413" t="str">
        <f t="shared" si="339"/>
        <v>a</v>
      </c>
      <c r="H413" t="str">
        <f>VLOOKUP(D413,name!A:C,3,1)</f>
        <v>assets/icons/image014.png</v>
      </c>
      <c r="I413" t="s">
        <v>403</v>
      </c>
      <c r="L413" s="1"/>
    </row>
    <row r="414" spans="1:12" x14ac:dyDescent="0.15">
      <c r="A414" t="str">
        <f t="shared" si="338"/>
        <v>ロシア語</v>
      </c>
      <c r="B414">
        <f t="shared" si="338"/>
        <v>5</v>
      </c>
      <c r="C414">
        <f t="shared" si="340"/>
        <v>4</v>
      </c>
      <c r="D414">
        <f>D415</f>
        <v>22</v>
      </c>
      <c r="E414" t="str">
        <f>VLOOKUP(D414,name!A:B,2,1)</f>
        <v>Люда</v>
      </c>
      <c r="F414" t="s">
        <v>553</v>
      </c>
      <c r="G414" t="str">
        <f t="shared" si="339"/>
        <v>a</v>
      </c>
      <c r="H414" t="str">
        <f>VLOOKUP(D414,name!A:C,3,1)</f>
        <v>assets/icons/image024.png</v>
      </c>
      <c r="I414" t="s">
        <v>403</v>
      </c>
    </row>
    <row r="415" spans="1:12" x14ac:dyDescent="0.15">
      <c r="A415" t="str">
        <f t="shared" si="338"/>
        <v>ロシア語</v>
      </c>
      <c r="B415">
        <f t="shared" si="338"/>
        <v>5</v>
      </c>
      <c r="C415">
        <f t="shared" si="340"/>
        <v>5</v>
      </c>
      <c r="D415">
        <v>22</v>
      </c>
      <c r="E415" t="str">
        <f>VLOOKUP(D415,name!A:B,2,1)</f>
        <v>Люда</v>
      </c>
      <c r="F415" t="s">
        <v>541</v>
      </c>
      <c r="G415" t="str">
        <f t="shared" si="339"/>
        <v>a</v>
      </c>
      <c r="H415" t="str">
        <f>VLOOKUP(D415,name!A:C,3,1)</f>
        <v>assets/icons/image024.png</v>
      </c>
      <c r="I415" t="str">
        <f>IF(A415="","",VLOOKUP(A415,lng!A:B,2,0))</f>
        <v>ru-RU</v>
      </c>
    </row>
    <row r="416" spans="1:12" x14ac:dyDescent="0.15">
      <c r="A416" t="str">
        <f t="shared" si="338"/>
        <v>ロシア語</v>
      </c>
      <c r="B416">
        <f t="shared" si="338"/>
        <v>5</v>
      </c>
      <c r="C416">
        <f t="shared" si="340"/>
        <v>6</v>
      </c>
      <c r="D416">
        <f t="shared" ref="D416:D436" si="341">D417</f>
        <v>21</v>
      </c>
      <c r="E416" t="str">
        <f>VLOOKUP(D416,name!A:B,2,1)</f>
        <v>Цубаса</v>
      </c>
      <c r="F416" t="s">
        <v>554</v>
      </c>
      <c r="G416" t="str">
        <f t="shared" si="339"/>
        <v>a</v>
      </c>
      <c r="H416" t="str">
        <f>VLOOKUP(D416,name!A:C,3,1)</f>
        <v>assets/icons/image017.png</v>
      </c>
      <c r="I416" t="s">
        <v>403</v>
      </c>
    </row>
    <row r="417" spans="1:9" x14ac:dyDescent="0.15">
      <c r="A417" t="str">
        <f t="shared" si="338"/>
        <v>ロシア語</v>
      </c>
      <c r="B417">
        <f t="shared" si="338"/>
        <v>5</v>
      </c>
      <c r="C417">
        <f t="shared" si="340"/>
        <v>7</v>
      </c>
      <c r="D417">
        <f t="shared" si="341"/>
        <v>21</v>
      </c>
      <c r="E417" t="str">
        <f>VLOOKUP(D417,name!A:B,2,1)</f>
        <v>Цубаса</v>
      </c>
      <c r="F417" t="s">
        <v>542</v>
      </c>
      <c r="G417" t="str">
        <f t="shared" si="339"/>
        <v>a</v>
      </c>
      <c r="H417" t="str">
        <f>VLOOKUP(D417,name!A:C,3,1)</f>
        <v>assets/icons/image017.png</v>
      </c>
      <c r="I417" t="str">
        <f>IF(A417="","",VLOOKUP(A417,lng!A:B,2,0))</f>
        <v>ru-RU</v>
      </c>
    </row>
    <row r="418" spans="1:9" x14ac:dyDescent="0.15">
      <c r="A418" t="str">
        <f t="shared" si="338"/>
        <v>ロシア語</v>
      </c>
      <c r="B418">
        <f t="shared" si="338"/>
        <v>5</v>
      </c>
      <c r="C418">
        <f t="shared" si="340"/>
        <v>8</v>
      </c>
      <c r="D418">
        <f t="shared" si="341"/>
        <v>21</v>
      </c>
      <c r="E418" t="str">
        <f>VLOOKUP(D418,name!A:B,2,1)</f>
        <v>Цубаса</v>
      </c>
      <c r="F418" t="s">
        <v>555</v>
      </c>
      <c r="G418" t="str">
        <f t="shared" si="339"/>
        <v>a</v>
      </c>
      <c r="H418" t="str">
        <f>VLOOKUP(D418,name!A:C,3,1)</f>
        <v>assets/icons/image017.png</v>
      </c>
      <c r="I418" t="s">
        <v>403</v>
      </c>
    </row>
    <row r="419" spans="1:9" x14ac:dyDescent="0.15">
      <c r="A419" t="str">
        <f t="shared" si="338"/>
        <v>ロシア語</v>
      </c>
      <c r="B419">
        <f t="shared" si="338"/>
        <v>5</v>
      </c>
      <c r="C419">
        <f t="shared" si="340"/>
        <v>9</v>
      </c>
      <c r="D419">
        <f t="shared" si="341"/>
        <v>21</v>
      </c>
      <c r="E419" t="str">
        <f>VLOOKUP(D419,name!A:B,2,1)</f>
        <v>Цубаса</v>
      </c>
      <c r="F419" t="s">
        <v>543</v>
      </c>
      <c r="G419" t="str">
        <f t="shared" si="339"/>
        <v>a</v>
      </c>
      <c r="H419" t="str">
        <f>VLOOKUP(D419,name!A:C,3,1)</f>
        <v>assets/icons/image017.png</v>
      </c>
      <c r="I419" t="str">
        <f>IF(A419="","",VLOOKUP(A419,lng!A:B,2,0))</f>
        <v>ru-RU</v>
      </c>
    </row>
    <row r="420" spans="1:9" x14ac:dyDescent="0.15">
      <c r="A420" t="str">
        <f t="shared" si="338"/>
        <v>ロシア語</v>
      </c>
      <c r="B420">
        <f t="shared" si="338"/>
        <v>5</v>
      </c>
      <c r="C420">
        <f t="shared" si="340"/>
        <v>10</v>
      </c>
      <c r="D420">
        <f t="shared" si="341"/>
        <v>21</v>
      </c>
      <c r="E420" t="str">
        <f>VLOOKUP(D420,name!A:B,2,1)</f>
        <v>Цубаса</v>
      </c>
      <c r="F420" t="s">
        <v>556</v>
      </c>
      <c r="G420" t="str">
        <f t="shared" si="339"/>
        <v>a</v>
      </c>
      <c r="H420" t="str">
        <f>VLOOKUP(D420,name!A:C,3,1)</f>
        <v>assets/icons/image017.png</v>
      </c>
      <c r="I420" t="s">
        <v>403</v>
      </c>
    </row>
    <row r="421" spans="1:9" x14ac:dyDescent="0.15">
      <c r="A421" t="str">
        <f t="shared" si="338"/>
        <v>ロシア語</v>
      </c>
      <c r="B421">
        <f t="shared" si="338"/>
        <v>5</v>
      </c>
      <c r="C421">
        <f t="shared" si="340"/>
        <v>11</v>
      </c>
      <c r="D421">
        <v>21</v>
      </c>
      <c r="E421" t="str">
        <f>VLOOKUP(D421,name!A:B,2,1)</f>
        <v>Цубаса</v>
      </c>
      <c r="F421" t="s">
        <v>544</v>
      </c>
      <c r="G421" t="str">
        <f t="shared" si="339"/>
        <v>a</v>
      </c>
      <c r="H421" t="str">
        <f>VLOOKUP(D421,name!A:C,3,1)</f>
        <v>assets/icons/image017.png</v>
      </c>
      <c r="I421" t="str">
        <f>IF(A421="","",VLOOKUP(A421,lng!A:B,2,0))</f>
        <v>ru-RU</v>
      </c>
    </row>
    <row r="422" spans="1:9" x14ac:dyDescent="0.15">
      <c r="A422" t="str">
        <f t="shared" si="338"/>
        <v>ロシア語</v>
      </c>
      <c r="B422">
        <f t="shared" si="338"/>
        <v>5</v>
      </c>
      <c r="C422">
        <f t="shared" si="340"/>
        <v>12</v>
      </c>
      <c r="D422">
        <f t="shared" si="341"/>
        <v>22</v>
      </c>
      <c r="E422" t="str">
        <f>VLOOKUP(D422,name!A:B,2,1)</f>
        <v>Люда</v>
      </c>
      <c r="F422" t="s">
        <v>561</v>
      </c>
      <c r="G422" t="str">
        <f t="shared" si="339"/>
        <v>a</v>
      </c>
      <c r="H422" t="str">
        <f>VLOOKUP(D422,name!A:C,3,1)</f>
        <v>assets/icons/image024.png</v>
      </c>
      <c r="I422" t="s">
        <v>403</v>
      </c>
    </row>
    <row r="423" spans="1:9" x14ac:dyDescent="0.15">
      <c r="A423" t="str">
        <f t="shared" si="338"/>
        <v>ロシア語</v>
      </c>
      <c r="B423">
        <f t="shared" si="338"/>
        <v>5</v>
      </c>
      <c r="C423">
        <f t="shared" si="340"/>
        <v>13</v>
      </c>
      <c r="D423">
        <v>22</v>
      </c>
      <c r="E423" t="str">
        <f>VLOOKUP(D423,name!A:B,2,1)</f>
        <v>Люда</v>
      </c>
      <c r="F423" t="s">
        <v>545</v>
      </c>
      <c r="G423" t="str">
        <f t="shared" si="339"/>
        <v>a</v>
      </c>
      <c r="H423" t="str">
        <f>VLOOKUP(D423,name!A:C,3,1)</f>
        <v>assets/icons/image024.png</v>
      </c>
      <c r="I423" t="str">
        <f>IF(A423="","",VLOOKUP(A423,lng!A:B,2,0))</f>
        <v>ru-RU</v>
      </c>
    </row>
    <row r="424" spans="1:9" x14ac:dyDescent="0.15">
      <c r="A424" t="str">
        <f t="shared" si="338"/>
        <v>ロシア語</v>
      </c>
      <c r="B424">
        <f t="shared" si="338"/>
        <v>5</v>
      </c>
      <c r="C424">
        <f t="shared" si="340"/>
        <v>14</v>
      </c>
      <c r="D424">
        <f t="shared" si="341"/>
        <v>21</v>
      </c>
      <c r="E424" t="str">
        <f>VLOOKUP(D424,name!A:B,2,1)</f>
        <v>Цубаса</v>
      </c>
      <c r="F424" t="s">
        <v>562</v>
      </c>
      <c r="G424" t="str">
        <f t="shared" si="339"/>
        <v>a</v>
      </c>
      <c r="H424" t="str">
        <f>VLOOKUP(D424,name!A:C,3,1)</f>
        <v>assets/icons/image017.png</v>
      </c>
      <c r="I424" t="s">
        <v>403</v>
      </c>
    </row>
    <row r="425" spans="1:9" x14ac:dyDescent="0.15">
      <c r="A425" t="str">
        <f t="shared" si="338"/>
        <v>ロシア語</v>
      </c>
      <c r="B425">
        <f t="shared" si="338"/>
        <v>5</v>
      </c>
      <c r="C425">
        <f t="shared" si="340"/>
        <v>15</v>
      </c>
      <c r="D425">
        <v>21</v>
      </c>
      <c r="E425" t="str">
        <f>VLOOKUP(D425,name!A:B,2,1)</f>
        <v>Цубаса</v>
      </c>
      <c r="F425" t="s">
        <v>546</v>
      </c>
      <c r="G425" t="str">
        <f t="shared" si="339"/>
        <v>a</v>
      </c>
      <c r="H425" t="str">
        <f>VLOOKUP(D425,name!A:C,3,1)</f>
        <v>assets/icons/image017.png</v>
      </c>
      <c r="I425" t="str">
        <f>IF(A425="","",VLOOKUP(A425,lng!A:B,2,0))</f>
        <v>ru-RU</v>
      </c>
    </row>
    <row r="426" spans="1:9" x14ac:dyDescent="0.15">
      <c r="A426" t="str">
        <f t="shared" si="338"/>
        <v>ロシア語</v>
      </c>
      <c r="B426">
        <f t="shared" si="338"/>
        <v>5</v>
      </c>
      <c r="C426">
        <f t="shared" si="340"/>
        <v>16</v>
      </c>
      <c r="D426">
        <f t="shared" si="341"/>
        <v>22</v>
      </c>
      <c r="E426" t="str">
        <f>VLOOKUP(D426,name!A:B,2,1)</f>
        <v>Люда</v>
      </c>
      <c r="F426" t="s">
        <v>563</v>
      </c>
      <c r="G426" t="str">
        <f t="shared" si="339"/>
        <v>a</v>
      </c>
      <c r="H426" t="str">
        <f>VLOOKUP(D426,name!A:C,3,1)</f>
        <v>assets/icons/image024.png</v>
      </c>
      <c r="I426" t="s">
        <v>403</v>
      </c>
    </row>
    <row r="427" spans="1:9" x14ac:dyDescent="0.15">
      <c r="A427" t="str">
        <f t="shared" si="338"/>
        <v>ロシア語</v>
      </c>
      <c r="B427">
        <f t="shared" si="338"/>
        <v>5</v>
      </c>
      <c r="C427">
        <f t="shared" si="340"/>
        <v>17</v>
      </c>
      <c r="D427">
        <v>22</v>
      </c>
      <c r="E427" t="str">
        <f>VLOOKUP(D427,name!A:B,2,1)</f>
        <v>Люда</v>
      </c>
      <c r="F427" t="s">
        <v>547</v>
      </c>
      <c r="G427" t="str">
        <f t="shared" si="339"/>
        <v>a</v>
      </c>
      <c r="H427" t="str">
        <f>VLOOKUP(D427,name!A:C,3,1)</f>
        <v>assets/icons/image024.png</v>
      </c>
      <c r="I427" t="str">
        <f>IF(A427="","",VLOOKUP(A427,lng!A:B,2,0))</f>
        <v>ru-RU</v>
      </c>
    </row>
    <row r="428" spans="1:9" x14ac:dyDescent="0.15">
      <c r="A428" t="str">
        <f t="shared" ref="A428:B437" si="342">A427</f>
        <v>ロシア語</v>
      </c>
      <c r="B428">
        <f t="shared" si="342"/>
        <v>5</v>
      </c>
      <c r="C428">
        <f t="shared" si="340"/>
        <v>18</v>
      </c>
      <c r="D428">
        <f t="shared" si="341"/>
        <v>21</v>
      </c>
      <c r="E428" t="str">
        <f>VLOOKUP(D428,name!A:B,2,1)</f>
        <v>Цубаса</v>
      </c>
      <c r="F428" t="s">
        <v>564</v>
      </c>
      <c r="G428" t="str">
        <f t="shared" si="339"/>
        <v>a</v>
      </c>
      <c r="H428" t="str">
        <f>VLOOKUP(D428,name!A:C,3,1)</f>
        <v>assets/icons/image017.png</v>
      </c>
      <c r="I428" t="s">
        <v>403</v>
      </c>
    </row>
    <row r="429" spans="1:9" x14ac:dyDescent="0.15">
      <c r="A429" t="str">
        <f t="shared" si="342"/>
        <v>ロシア語</v>
      </c>
      <c r="B429">
        <f t="shared" si="342"/>
        <v>5</v>
      </c>
      <c r="C429">
        <f t="shared" si="340"/>
        <v>19</v>
      </c>
      <c r="D429">
        <v>21</v>
      </c>
      <c r="E429" t="str">
        <f>VLOOKUP(D429,name!A:B,2,1)</f>
        <v>Цубаса</v>
      </c>
      <c r="F429" t="s">
        <v>548</v>
      </c>
      <c r="G429" t="str">
        <f t="shared" si="339"/>
        <v>a</v>
      </c>
      <c r="H429" t="str">
        <f>VLOOKUP(D429,name!A:C,3,1)</f>
        <v>assets/icons/image017.png</v>
      </c>
      <c r="I429" t="str">
        <f>IF(A429="","",VLOOKUP(A429,lng!A:B,2,0))</f>
        <v>ru-RU</v>
      </c>
    </row>
    <row r="430" spans="1:9" x14ac:dyDescent="0.15">
      <c r="A430" t="str">
        <f t="shared" si="342"/>
        <v>ロシア語</v>
      </c>
      <c r="B430">
        <f t="shared" si="342"/>
        <v>5</v>
      </c>
      <c r="C430">
        <f t="shared" si="340"/>
        <v>20</v>
      </c>
      <c r="D430">
        <f t="shared" si="341"/>
        <v>22</v>
      </c>
      <c r="E430" t="str">
        <f>VLOOKUP(D430,name!A:B,2,1)</f>
        <v>Люда</v>
      </c>
      <c r="F430" t="s">
        <v>557</v>
      </c>
      <c r="G430" t="str">
        <f t="shared" si="339"/>
        <v>a</v>
      </c>
      <c r="H430" t="str">
        <f>VLOOKUP(D430,name!A:C,3,1)</f>
        <v>assets/icons/image024.png</v>
      </c>
      <c r="I430" t="s">
        <v>403</v>
      </c>
    </row>
    <row r="431" spans="1:9" x14ac:dyDescent="0.15">
      <c r="A431" t="str">
        <f t="shared" si="342"/>
        <v>ロシア語</v>
      </c>
      <c r="B431">
        <f t="shared" si="342"/>
        <v>5</v>
      </c>
      <c r="C431">
        <f t="shared" si="340"/>
        <v>21</v>
      </c>
      <c r="D431">
        <v>22</v>
      </c>
      <c r="E431" t="str">
        <f>VLOOKUP(D431,name!A:B,2,1)</f>
        <v>Люда</v>
      </c>
      <c r="F431" t="s">
        <v>549</v>
      </c>
      <c r="G431" t="str">
        <f t="shared" si="339"/>
        <v>a</v>
      </c>
      <c r="H431" t="str">
        <f>VLOOKUP(D431,name!A:C,3,1)</f>
        <v>assets/icons/image024.png</v>
      </c>
      <c r="I431" t="str">
        <f>IF(A431="","",VLOOKUP(A431,lng!A:B,2,0))</f>
        <v>ru-RU</v>
      </c>
    </row>
    <row r="432" spans="1:9" x14ac:dyDescent="0.15">
      <c r="A432" t="str">
        <f t="shared" si="342"/>
        <v>ロシア語</v>
      </c>
      <c r="B432">
        <f t="shared" si="342"/>
        <v>5</v>
      </c>
      <c r="C432">
        <f t="shared" si="340"/>
        <v>22</v>
      </c>
      <c r="D432">
        <f t="shared" si="341"/>
        <v>21</v>
      </c>
      <c r="E432" t="str">
        <f>VLOOKUP(D432,name!A:B,2,1)</f>
        <v>Цубаса</v>
      </c>
      <c r="F432" t="s">
        <v>558</v>
      </c>
      <c r="G432" t="str">
        <f t="shared" si="339"/>
        <v>a</v>
      </c>
      <c r="H432" t="str">
        <f>VLOOKUP(D432,name!A:C,3,1)</f>
        <v>assets/icons/image017.png</v>
      </c>
      <c r="I432" t="s">
        <v>403</v>
      </c>
    </row>
    <row r="433" spans="1:9" x14ac:dyDescent="0.15">
      <c r="A433" t="str">
        <f t="shared" si="342"/>
        <v>ロシア語</v>
      </c>
      <c r="B433">
        <f t="shared" si="342"/>
        <v>5</v>
      </c>
      <c r="C433">
        <f t="shared" si="340"/>
        <v>23</v>
      </c>
      <c r="D433">
        <v>21</v>
      </c>
      <c r="E433" t="str">
        <f>VLOOKUP(D433,name!A:B,2,1)</f>
        <v>Цубаса</v>
      </c>
      <c r="F433" t="s">
        <v>550</v>
      </c>
      <c r="G433" t="str">
        <f t="shared" si="339"/>
        <v>a</v>
      </c>
      <c r="H433" t="str">
        <f>VLOOKUP(D433,name!A:C,3,1)</f>
        <v>assets/icons/image017.png</v>
      </c>
      <c r="I433" t="str">
        <f>IF(A433="","",VLOOKUP(A433,lng!A:B,2,0))</f>
        <v>ru-RU</v>
      </c>
    </row>
    <row r="434" spans="1:9" x14ac:dyDescent="0.15">
      <c r="A434" t="str">
        <f t="shared" ref="A434:B434" si="343">A433</f>
        <v>ロシア語</v>
      </c>
      <c r="B434">
        <f t="shared" si="343"/>
        <v>5</v>
      </c>
      <c r="C434">
        <f t="shared" si="340"/>
        <v>24</v>
      </c>
      <c r="D434">
        <f t="shared" si="341"/>
        <v>22</v>
      </c>
      <c r="E434" t="str">
        <f>VLOOKUP(D434,name!A:B,2,1)</f>
        <v>Люда</v>
      </c>
      <c r="F434" t="s">
        <v>559</v>
      </c>
      <c r="G434" t="str">
        <f t="shared" si="339"/>
        <v>a</v>
      </c>
      <c r="H434" t="str">
        <f>VLOOKUP(D434,name!A:C,3,1)</f>
        <v>assets/icons/image024.png</v>
      </c>
      <c r="I434" t="s">
        <v>403</v>
      </c>
    </row>
    <row r="435" spans="1:9" x14ac:dyDescent="0.15">
      <c r="A435" t="str">
        <f t="shared" ref="A435:B435" si="344">A434</f>
        <v>ロシア語</v>
      </c>
      <c r="B435">
        <f t="shared" si="344"/>
        <v>5</v>
      </c>
      <c r="C435">
        <f t="shared" si="340"/>
        <v>25</v>
      </c>
      <c r="D435">
        <v>22</v>
      </c>
      <c r="E435" t="str">
        <f>VLOOKUP(D435,name!A:B,2,1)</f>
        <v>Люда</v>
      </c>
      <c r="F435" t="s">
        <v>551</v>
      </c>
      <c r="G435" t="str">
        <f t="shared" si="339"/>
        <v>a</v>
      </c>
      <c r="H435" t="str">
        <f>VLOOKUP(D435,name!A:C,3,1)</f>
        <v>assets/icons/image024.png</v>
      </c>
      <c r="I435" t="str">
        <f>IF(A435="","",VLOOKUP(A435,lng!A:B,2,0))</f>
        <v>ru-RU</v>
      </c>
    </row>
    <row r="436" spans="1:9" x14ac:dyDescent="0.15">
      <c r="A436" t="str">
        <f t="shared" ref="A436:B436" si="345">A435</f>
        <v>ロシア語</v>
      </c>
      <c r="B436">
        <f t="shared" si="345"/>
        <v>5</v>
      </c>
      <c r="C436">
        <f t="shared" si="340"/>
        <v>26</v>
      </c>
      <c r="D436">
        <f t="shared" si="341"/>
        <v>21</v>
      </c>
      <c r="E436" t="str">
        <f>VLOOKUP(D436,name!A:B,2,1)</f>
        <v>Цубаса</v>
      </c>
      <c r="F436" t="s">
        <v>560</v>
      </c>
      <c r="G436" t="str">
        <f t="shared" si="339"/>
        <v>a</v>
      </c>
      <c r="H436" t="str">
        <f>VLOOKUP(D436,name!A:C,3,1)</f>
        <v>assets/icons/image017.png</v>
      </c>
      <c r="I436" t="s">
        <v>403</v>
      </c>
    </row>
    <row r="437" spans="1:9" x14ac:dyDescent="0.15">
      <c r="A437" t="str">
        <f t="shared" ref="A437:B437" si="346">A436</f>
        <v>ロシア語</v>
      </c>
      <c r="B437">
        <f t="shared" si="346"/>
        <v>5</v>
      </c>
      <c r="C437">
        <f t="shared" si="340"/>
        <v>27</v>
      </c>
      <c r="D437">
        <v>21</v>
      </c>
      <c r="E437" t="str">
        <f>VLOOKUP(D437,name!A:B,2,1)</f>
        <v>Цубаса</v>
      </c>
      <c r="F437" t="s">
        <v>552</v>
      </c>
      <c r="G437" t="str">
        <f t="shared" si="339"/>
        <v>a</v>
      </c>
      <c r="H437" t="str">
        <f>VLOOKUP(D437,name!A:C,3,1)</f>
        <v>assets/icons/image017.png</v>
      </c>
      <c r="I437" t="str">
        <f>IF(A437="","",VLOOKUP(A437,lng!A:B,2,0))</f>
        <v>ru-RU</v>
      </c>
    </row>
    <row r="438" spans="1:9" x14ac:dyDescent="0.15">
      <c r="A438" t="str">
        <f t="shared" ref="A438:B438" si="347">A437</f>
        <v>ロシア語</v>
      </c>
      <c r="B438">
        <f t="shared" si="347"/>
        <v>5</v>
      </c>
      <c r="C438">
        <f t="shared" si="340"/>
        <v>28</v>
      </c>
      <c r="D438">
        <v>1</v>
      </c>
      <c r="E438" t="str">
        <f>VLOOKUP(D438,name!A:B,2,1)</f>
        <v>Navigator</v>
      </c>
      <c r="F438" t="str">
        <f>"次の"&amp;A438&amp;"を真似してね！"</f>
        <v>次のロシア語を真似してね！</v>
      </c>
      <c r="G438" t="str">
        <f t="shared" si="339"/>
        <v>a</v>
      </c>
      <c r="H438" t="str">
        <f>VLOOKUP(D438,name!A:C,3,1)</f>
        <v>assets/icons/image014.png</v>
      </c>
      <c r="I438" t="s">
        <v>403</v>
      </c>
    </row>
    <row r="439" spans="1:9" x14ac:dyDescent="0.15">
      <c r="A439" t="str">
        <f t="shared" ref="A439:B439" si="348">A438</f>
        <v>ロシア語</v>
      </c>
      <c r="B439">
        <f t="shared" si="348"/>
        <v>5</v>
      </c>
      <c r="C439">
        <f t="shared" si="340"/>
        <v>29</v>
      </c>
      <c r="D439">
        <f>D414</f>
        <v>22</v>
      </c>
      <c r="E439" t="str">
        <f>VLOOKUP(D439,name!A:B,2,1)</f>
        <v>Люда</v>
      </c>
      <c r="F439" t="str">
        <f>F414</f>
        <v>つばさ、何してるの?</v>
      </c>
      <c r="G439" t="str">
        <f t="shared" si="339"/>
        <v>a</v>
      </c>
      <c r="H439" t="str">
        <f>VLOOKUP(D439,name!A:C,3,1)</f>
        <v>assets/icons/image024.png</v>
      </c>
      <c r="I439" t="s">
        <v>403</v>
      </c>
    </row>
    <row r="440" spans="1:9" x14ac:dyDescent="0.15">
      <c r="A440" t="str">
        <f t="shared" ref="A440:B440" si="349">A439</f>
        <v>ロシア語</v>
      </c>
      <c r="B440">
        <f t="shared" si="349"/>
        <v>5</v>
      </c>
      <c r="C440">
        <f t="shared" si="340"/>
        <v>30</v>
      </c>
      <c r="D440">
        <f>D415</f>
        <v>22</v>
      </c>
      <c r="E440" t="str">
        <f>VLOOKUP(D440,name!A:B,2,1)</f>
        <v>Люда</v>
      </c>
      <c r="F440" t="str">
        <f>F415</f>
        <v>Что вы делаете, Цубаса?</v>
      </c>
      <c r="G440" t="str">
        <f t="shared" si="339"/>
        <v>a</v>
      </c>
      <c r="H440" t="str">
        <f>VLOOKUP(D440,name!A:C,3,1)</f>
        <v>assets/icons/image024.png</v>
      </c>
      <c r="I440" t="str">
        <f>IF(A440="","",VLOOKUP(A440,lng!A:B,2,0))</f>
        <v>ru-RU</v>
      </c>
    </row>
    <row r="441" spans="1:9" x14ac:dyDescent="0.15">
      <c r="A441" t="str">
        <f t="shared" ref="A441:B441" si="350">A440</f>
        <v>ロシア語</v>
      </c>
      <c r="B441">
        <f t="shared" si="350"/>
        <v>5</v>
      </c>
      <c r="C441">
        <f t="shared" si="340"/>
        <v>31</v>
      </c>
      <c r="D441">
        <v>0</v>
      </c>
      <c r="E441" t="str">
        <f>VLOOKUP(D441,name!A:B,2,1)</f>
        <v>Player</v>
      </c>
      <c r="F441" t="str">
        <f>F415</f>
        <v>Что вы делаете, Цубаса?</v>
      </c>
      <c r="G441" t="str">
        <f t="shared" si="339"/>
        <v>q</v>
      </c>
      <c r="H441" t="str">
        <f>VLOOKUP(D441,name!A:C,3,1)</f>
        <v>assets/icons/image326.png</v>
      </c>
      <c r="I441" t="str">
        <f>IF(A441="","",VLOOKUP(A441,lng!A:B,2,0))</f>
        <v>ru-RU</v>
      </c>
    </row>
    <row r="442" spans="1:9" x14ac:dyDescent="0.15">
      <c r="A442" t="str">
        <f t="shared" ref="A442:B442" si="351">A441</f>
        <v>ロシア語</v>
      </c>
      <c r="B442">
        <f t="shared" si="351"/>
        <v>5</v>
      </c>
      <c r="C442">
        <f t="shared" si="340"/>
        <v>32</v>
      </c>
      <c r="D442">
        <f>D416</f>
        <v>21</v>
      </c>
      <c r="E442" t="str">
        <f>VLOOKUP(D442,name!A:B,2,1)</f>
        <v>Цубаса</v>
      </c>
      <c r="F442" t="str">
        <f>F416</f>
        <v>ああ、リューダ!</v>
      </c>
      <c r="G442" t="str">
        <f t="shared" si="339"/>
        <v>a</v>
      </c>
      <c r="H442" t="str">
        <f>VLOOKUP(D442,name!A:C,3,1)</f>
        <v>assets/icons/image017.png</v>
      </c>
      <c r="I442" t="s">
        <v>403</v>
      </c>
    </row>
    <row r="443" spans="1:9" x14ac:dyDescent="0.15">
      <c r="A443" t="str">
        <f t="shared" ref="A443:B443" si="352">A442</f>
        <v>ロシア語</v>
      </c>
      <c r="B443">
        <f t="shared" si="352"/>
        <v>5</v>
      </c>
      <c r="C443">
        <f t="shared" si="340"/>
        <v>33</v>
      </c>
      <c r="D443">
        <f>D417</f>
        <v>21</v>
      </c>
      <c r="E443" t="str">
        <f>VLOOKUP(D443,name!A:B,2,1)</f>
        <v>Цубаса</v>
      </c>
      <c r="F443" t="str">
        <f>F417</f>
        <v>А, Люда!</v>
      </c>
      <c r="G443" t="str">
        <f t="shared" si="339"/>
        <v>a</v>
      </c>
      <c r="H443" t="str">
        <f>VLOOKUP(D443,name!A:C,3,1)</f>
        <v>assets/icons/image017.png</v>
      </c>
      <c r="I443" t="str">
        <f>IF(A443="","",VLOOKUP(A443,lng!A:B,2,0))</f>
        <v>ru-RU</v>
      </c>
    </row>
    <row r="444" spans="1:9" x14ac:dyDescent="0.15">
      <c r="A444" t="str">
        <f t="shared" ref="A444:B444" si="353">A443</f>
        <v>ロシア語</v>
      </c>
      <c r="B444">
        <f t="shared" si="353"/>
        <v>5</v>
      </c>
      <c r="C444">
        <f t="shared" si="340"/>
        <v>34</v>
      </c>
      <c r="D444">
        <v>0</v>
      </c>
      <c r="E444" t="str">
        <f>VLOOKUP(D444,name!A:B,2,1)</f>
        <v>Player</v>
      </c>
      <c r="F444" t="str">
        <f>F417</f>
        <v>А, Люда!</v>
      </c>
      <c r="G444" t="str">
        <f t="shared" si="339"/>
        <v>q</v>
      </c>
      <c r="H444" t="str">
        <f>VLOOKUP(D444,name!A:C,3,1)</f>
        <v>assets/icons/image326.png</v>
      </c>
      <c r="I444" t="str">
        <f>IF(A444="","",VLOOKUP(A444,lng!A:B,2,0))</f>
        <v>ru-RU</v>
      </c>
    </row>
    <row r="445" spans="1:9" x14ac:dyDescent="0.15">
      <c r="A445" t="str">
        <f t="shared" ref="A445:B445" si="354">A444</f>
        <v>ロシア語</v>
      </c>
      <c r="B445">
        <f t="shared" si="354"/>
        <v>5</v>
      </c>
      <c r="C445">
        <f t="shared" si="340"/>
        <v>35</v>
      </c>
      <c r="D445">
        <f>D418</f>
        <v>21</v>
      </c>
      <c r="E445" t="str">
        <f>VLOOKUP(D445,name!A:B,2,1)</f>
        <v>Цубаса</v>
      </c>
      <c r="F445" t="str">
        <f>F418</f>
        <v>こんにちは。</v>
      </c>
      <c r="G445" t="str">
        <f t="shared" si="339"/>
        <v>a</v>
      </c>
      <c r="H445" t="str">
        <f>VLOOKUP(D445,name!A:C,3,1)</f>
        <v>assets/icons/image017.png</v>
      </c>
      <c r="I445" t="s">
        <v>403</v>
      </c>
    </row>
    <row r="446" spans="1:9" x14ac:dyDescent="0.15">
      <c r="A446" t="str">
        <f t="shared" ref="A446:B446" si="355">A445</f>
        <v>ロシア語</v>
      </c>
      <c r="B446">
        <f t="shared" si="355"/>
        <v>5</v>
      </c>
      <c r="C446">
        <f t="shared" si="340"/>
        <v>36</v>
      </c>
      <c r="D446">
        <f>D419</f>
        <v>21</v>
      </c>
      <c r="E446" t="str">
        <f>VLOOKUP(D446,name!A:B,2,1)</f>
        <v>Цубаса</v>
      </c>
      <c r="F446" t="str">
        <f>F419</f>
        <v xml:space="preserve">Здравствуйте. </v>
      </c>
      <c r="G446" t="str">
        <f t="shared" si="339"/>
        <v>a</v>
      </c>
      <c r="H446" t="str">
        <f>VLOOKUP(D446,name!A:C,3,1)</f>
        <v>assets/icons/image017.png</v>
      </c>
      <c r="I446" t="str">
        <f>IF(A446="","",VLOOKUP(A446,lng!A:B,2,0))</f>
        <v>ru-RU</v>
      </c>
    </row>
    <row r="447" spans="1:9" x14ac:dyDescent="0.15">
      <c r="A447" t="str">
        <f t="shared" ref="A447:B447" si="356">A446</f>
        <v>ロシア語</v>
      </c>
      <c r="B447">
        <f t="shared" si="356"/>
        <v>5</v>
      </c>
      <c r="C447">
        <f t="shared" si="340"/>
        <v>37</v>
      </c>
      <c r="D447">
        <v>0</v>
      </c>
      <c r="E447" t="str">
        <f>VLOOKUP(D447,name!A:B,2,1)</f>
        <v>Player</v>
      </c>
      <c r="F447" t="str">
        <f>F419</f>
        <v xml:space="preserve">Здравствуйте. </v>
      </c>
      <c r="G447" t="str">
        <f t="shared" si="339"/>
        <v>q</v>
      </c>
      <c r="H447" t="str">
        <f>VLOOKUP(D447,name!A:C,3,1)</f>
        <v>assets/icons/image326.png</v>
      </c>
      <c r="I447" t="str">
        <f>IF(A447="","",VLOOKUP(A447,lng!A:B,2,0))</f>
        <v>ru-RU</v>
      </c>
    </row>
    <row r="448" spans="1:9" x14ac:dyDescent="0.15">
      <c r="A448" t="str">
        <f t="shared" ref="A448:B448" si="357">A447</f>
        <v>ロシア語</v>
      </c>
      <c r="B448">
        <f t="shared" si="357"/>
        <v>5</v>
      </c>
      <c r="C448">
        <f t="shared" si="340"/>
        <v>38</v>
      </c>
      <c r="D448">
        <f>D420</f>
        <v>21</v>
      </c>
      <c r="E448" t="str">
        <f>VLOOKUP(D448,name!A:B,2,1)</f>
        <v>Цубаса</v>
      </c>
      <c r="F448" t="str">
        <f>F420</f>
        <v>私は休んでいます。</v>
      </c>
      <c r="G448" t="str">
        <f t="shared" si="339"/>
        <v>a</v>
      </c>
      <c r="H448" t="str">
        <f>VLOOKUP(D448,name!A:C,3,1)</f>
        <v>assets/icons/image017.png</v>
      </c>
      <c r="I448" t="s">
        <v>403</v>
      </c>
    </row>
    <row r="449" spans="1:9" x14ac:dyDescent="0.15">
      <c r="A449" t="str">
        <f t="shared" ref="A449:B449" si="358">A448</f>
        <v>ロシア語</v>
      </c>
      <c r="B449">
        <f t="shared" si="358"/>
        <v>5</v>
      </c>
      <c r="C449">
        <f t="shared" si="340"/>
        <v>39</v>
      </c>
      <c r="D449">
        <f>D421</f>
        <v>21</v>
      </c>
      <c r="E449" t="str">
        <f>VLOOKUP(D449,name!A:B,2,1)</f>
        <v>Цубаса</v>
      </c>
      <c r="F449" t="str">
        <f>F421</f>
        <v>Я отдыхаю.</v>
      </c>
      <c r="G449" t="str">
        <f t="shared" si="339"/>
        <v>a</v>
      </c>
      <c r="H449" t="str">
        <f>VLOOKUP(D449,name!A:C,3,1)</f>
        <v>assets/icons/image017.png</v>
      </c>
      <c r="I449" t="str">
        <f>IF(A449="","",VLOOKUP(A449,lng!A:B,2,0))</f>
        <v>ru-RU</v>
      </c>
    </row>
    <row r="450" spans="1:9" x14ac:dyDescent="0.15">
      <c r="A450" t="str">
        <f t="shared" ref="A450:B450" si="359">A449</f>
        <v>ロシア語</v>
      </c>
      <c r="B450">
        <f t="shared" si="359"/>
        <v>5</v>
      </c>
      <c r="C450">
        <f t="shared" si="340"/>
        <v>40</v>
      </c>
      <c r="D450">
        <v>0</v>
      </c>
      <c r="E450" t="str">
        <f>VLOOKUP(D450,name!A:B,2,1)</f>
        <v>Player</v>
      </c>
      <c r="F450" t="str">
        <f>F421</f>
        <v>Я отдыхаю.</v>
      </c>
      <c r="G450" t="str">
        <f t="shared" si="339"/>
        <v>q</v>
      </c>
      <c r="H450" t="str">
        <f>VLOOKUP(D450,name!A:C,3,1)</f>
        <v>assets/icons/image326.png</v>
      </c>
      <c r="I450" t="str">
        <f>IF(A450="","",VLOOKUP(A450,lng!A:B,2,0))</f>
        <v>ru-RU</v>
      </c>
    </row>
    <row r="451" spans="1:9" x14ac:dyDescent="0.15">
      <c r="A451" t="str">
        <f t="shared" ref="A451:B451" si="360">A450</f>
        <v>ロシア語</v>
      </c>
      <c r="B451">
        <f t="shared" si="360"/>
        <v>5</v>
      </c>
      <c r="C451">
        <f t="shared" si="340"/>
        <v>41</v>
      </c>
      <c r="D451">
        <f>D422</f>
        <v>22</v>
      </c>
      <c r="E451" t="str">
        <f>VLOOKUP(D451,name!A:B,2,1)</f>
        <v>Люда</v>
      </c>
      <c r="F451" t="str">
        <f>F422</f>
        <v>どのように休んでますか?</v>
      </c>
      <c r="G451" t="str">
        <f t="shared" si="339"/>
        <v>a</v>
      </c>
      <c r="H451" t="str">
        <f>VLOOKUP(D451,name!A:C,3,1)</f>
        <v>assets/icons/image024.png</v>
      </c>
      <c r="I451" t="s">
        <v>403</v>
      </c>
    </row>
    <row r="452" spans="1:9" x14ac:dyDescent="0.15">
      <c r="A452" t="str">
        <f t="shared" ref="A452:B452" si="361">A451</f>
        <v>ロシア語</v>
      </c>
      <c r="B452">
        <f t="shared" si="361"/>
        <v>5</v>
      </c>
      <c r="C452">
        <f t="shared" si="340"/>
        <v>42</v>
      </c>
      <c r="D452">
        <f>D423</f>
        <v>22</v>
      </c>
      <c r="E452" t="str">
        <f>VLOOKUP(D452,name!A:B,2,1)</f>
        <v>Люда</v>
      </c>
      <c r="F452" t="str">
        <f>F423</f>
        <v>Как вы отдыхаете?</v>
      </c>
      <c r="G452" t="str">
        <f t="shared" si="339"/>
        <v>a</v>
      </c>
      <c r="H452" t="str">
        <f>VLOOKUP(D452,name!A:C,3,1)</f>
        <v>assets/icons/image024.png</v>
      </c>
      <c r="I452" t="str">
        <f>IF(A452="","",VLOOKUP(A452,lng!A:B,2,0))</f>
        <v>ru-RU</v>
      </c>
    </row>
    <row r="453" spans="1:9" x14ac:dyDescent="0.15">
      <c r="A453" t="str">
        <f t="shared" ref="A453:B453" si="362">A452</f>
        <v>ロシア語</v>
      </c>
      <c r="B453">
        <f t="shared" si="362"/>
        <v>5</v>
      </c>
      <c r="C453">
        <f t="shared" si="340"/>
        <v>43</v>
      </c>
      <c r="D453">
        <v>0</v>
      </c>
      <c r="E453" t="str">
        <f>VLOOKUP(D453,name!A:B,2,1)</f>
        <v>Player</v>
      </c>
      <c r="F453" t="str">
        <f>F423</f>
        <v>Как вы отдыхаете?</v>
      </c>
      <c r="G453" t="str">
        <f t="shared" si="339"/>
        <v>q</v>
      </c>
      <c r="H453" t="str">
        <f>VLOOKUP(D453,name!A:C,3,1)</f>
        <v>assets/icons/image326.png</v>
      </c>
      <c r="I453" t="str">
        <f>IF(A453="","",VLOOKUP(A453,lng!A:B,2,0))</f>
        <v>ru-RU</v>
      </c>
    </row>
    <row r="454" spans="1:9" x14ac:dyDescent="0.15">
      <c r="A454" t="str">
        <f t="shared" ref="A454:B454" si="363">A453</f>
        <v>ロシア語</v>
      </c>
      <c r="B454">
        <f t="shared" si="363"/>
        <v>5</v>
      </c>
      <c r="C454">
        <f t="shared" si="340"/>
        <v>44</v>
      </c>
      <c r="D454">
        <f>D424</f>
        <v>21</v>
      </c>
      <c r="E454" t="str">
        <f>VLOOKUP(D454,name!A:B,2,1)</f>
        <v>Цубаса</v>
      </c>
      <c r="F454" t="str">
        <f>F424</f>
        <v>雑誌を読んでいます。</v>
      </c>
      <c r="G454" t="str">
        <f t="shared" si="339"/>
        <v>a</v>
      </c>
      <c r="H454" t="str">
        <f>VLOOKUP(D454,name!A:C,3,1)</f>
        <v>assets/icons/image017.png</v>
      </c>
      <c r="I454" t="s">
        <v>403</v>
      </c>
    </row>
    <row r="455" spans="1:9" x14ac:dyDescent="0.15">
      <c r="A455" t="str">
        <f t="shared" ref="A455:B455" si="364">A454</f>
        <v>ロシア語</v>
      </c>
      <c r="B455">
        <f t="shared" si="364"/>
        <v>5</v>
      </c>
      <c r="C455">
        <f t="shared" si="340"/>
        <v>45</v>
      </c>
      <c r="D455">
        <f>D425</f>
        <v>21</v>
      </c>
      <c r="E455" t="str">
        <f>VLOOKUP(D455,name!A:B,2,1)</f>
        <v>Цубаса</v>
      </c>
      <c r="F455" t="str">
        <f>F425</f>
        <v>Я читаю журнал.</v>
      </c>
      <c r="G455" t="str">
        <f t="shared" si="339"/>
        <v>a</v>
      </c>
      <c r="H455" t="str">
        <f>VLOOKUP(D455,name!A:C,3,1)</f>
        <v>assets/icons/image017.png</v>
      </c>
      <c r="I455" t="str">
        <f>IF(A455="","",VLOOKUP(A455,lng!A:B,2,0))</f>
        <v>ru-RU</v>
      </c>
    </row>
    <row r="456" spans="1:9" x14ac:dyDescent="0.15">
      <c r="A456" t="str">
        <f t="shared" ref="A456:B456" si="365">A455</f>
        <v>ロシア語</v>
      </c>
      <c r="B456">
        <f t="shared" si="365"/>
        <v>5</v>
      </c>
      <c r="C456">
        <f t="shared" si="340"/>
        <v>46</v>
      </c>
      <c r="D456">
        <v>0</v>
      </c>
      <c r="E456" t="str">
        <f>VLOOKUP(D456,name!A:B,2,1)</f>
        <v>Player</v>
      </c>
      <c r="F456" t="str">
        <f>F425</f>
        <v>Я читаю журнал.</v>
      </c>
      <c r="G456" t="str">
        <f t="shared" si="339"/>
        <v>q</v>
      </c>
      <c r="H456" t="str">
        <f>VLOOKUP(D456,name!A:C,3,1)</f>
        <v>assets/icons/image326.png</v>
      </c>
      <c r="I456" t="str">
        <f>IF(A456="","",VLOOKUP(A456,lng!A:B,2,0))</f>
        <v>ru-RU</v>
      </c>
    </row>
    <row r="457" spans="1:9" x14ac:dyDescent="0.15">
      <c r="A457" t="str">
        <f t="shared" ref="A457:B457" si="366">A456</f>
        <v>ロシア語</v>
      </c>
      <c r="B457">
        <f t="shared" si="366"/>
        <v>5</v>
      </c>
      <c r="C457">
        <f t="shared" si="340"/>
        <v>47</v>
      </c>
      <c r="D457">
        <f>D426</f>
        <v>22</v>
      </c>
      <c r="E457" t="str">
        <f>VLOOKUP(D457,name!A:B,2,1)</f>
        <v>Люда</v>
      </c>
      <c r="F457" t="str">
        <f>F426</f>
        <v>どんな雑誌を読んでいますか?</v>
      </c>
      <c r="G457" t="str">
        <f t="shared" si="339"/>
        <v>a</v>
      </c>
      <c r="H457" t="str">
        <f>VLOOKUP(D457,name!A:C,3,1)</f>
        <v>assets/icons/image024.png</v>
      </c>
      <c r="I457" t="s">
        <v>403</v>
      </c>
    </row>
    <row r="458" spans="1:9" x14ac:dyDescent="0.15">
      <c r="A458" t="str">
        <f t="shared" ref="A458:B458" si="367">A457</f>
        <v>ロシア語</v>
      </c>
      <c r="B458">
        <f t="shared" si="367"/>
        <v>5</v>
      </c>
      <c r="C458">
        <f t="shared" si="340"/>
        <v>48</v>
      </c>
      <c r="D458">
        <f>D427</f>
        <v>22</v>
      </c>
      <c r="E458" t="str">
        <f>VLOOKUP(D458,name!A:B,2,1)</f>
        <v>Люда</v>
      </c>
      <c r="F458" t="str">
        <f>F427</f>
        <v>Какой журнал вы читаете?</v>
      </c>
      <c r="G458" t="str">
        <f t="shared" si="339"/>
        <v>a</v>
      </c>
      <c r="H458" t="str">
        <f>VLOOKUP(D458,name!A:C,3,1)</f>
        <v>assets/icons/image024.png</v>
      </c>
      <c r="I458" t="str">
        <f>IF(A458="","",VLOOKUP(A458,lng!A:B,2,0))</f>
        <v>ru-RU</v>
      </c>
    </row>
    <row r="459" spans="1:9" x14ac:dyDescent="0.15">
      <c r="A459" t="str">
        <f t="shared" ref="A459:B459" si="368">A458</f>
        <v>ロシア語</v>
      </c>
      <c r="B459">
        <f t="shared" si="368"/>
        <v>5</v>
      </c>
      <c r="C459">
        <f t="shared" si="340"/>
        <v>49</v>
      </c>
      <c r="D459">
        <v>0</v>
      </c>
      <c r="E459" t="str">
        <f>VLOOKUP(D459,name!A:B,2,1)</f>
        <v>Player</v>
      </c>
      <c r="F459" t="str">
        <f>F427</f>
        <v>Какой журнал вы читаете?</v>
      </c>
      <c r="G459" t="str">
        <f t="shared" si="339"/>
        <v>q</v>
      </c>
      <c r="H459" t="str">
        <f>VLOOKUP(D459,name!A:C,3,1)</f>
        <v>assets/icons/image326.png</v>
      </c>
      <c r="I459" t="str">
        <f>IF(A459="","",VLOOKUP(A459,lng!A:B,2,0))</f>
        <v>ru-RU</v>
      </c>
    </row>
    <row r="460" spans="1:9" x14ac:dyDescent="0.15">
      <c r="A460" t="str">
        <f t="shared" ref="A460:B460" si="369">A459</f>
        <v>ロシア語</v>
      </c>
      <c r="B460">
        <f t="shared" si="369"/>
        <v>5</v>
      </c>
      <c r="C460">
        <f t="shared" si="340"/>
        <v>50</v>
      </c>
      <c r="D460">
        <f>D428</f>
        <v>21</v>
      </c>
      <c r="E460" t="str">
        <f>VLOOKUP(D460,name!A:B,2,1)</f>
        <v>Цубаса</v>
      </c>
      <c r="F460" t="str">
        <f>F428</f>
        <v>歴史雑誌を読んでいます。</v>
      </c>
      <c r="G460" t="str">
        <f t="shared" si="339"/>
        <v>a</v>
      </c>
      <c r="H460" t="str">
        <f>VLOOKUP(D460,name!A:C,3,1)</f>
        <v>assets/icons/image017.png</v>
      </c>
      <c r="I460" t="s">
        <v>403</v>
      </c>
    </row>
    <row r="461" spans="1:9" x14ac:dyDescent="0.15">
      <c r="A461" t="str">
        <f t="shared" ref="A461:B461" si="370">A460</f>
        <v>ロシア語</v>
      </c>
      <c r="B461">
        <f t="shared" si="370"/>
        <v>5</v>
      </c>
      <c r="C461">
        <f t="shared" si="340"/>
        <v>51</v>
      </c>
      <c r="D461">
        <f>D429</f>
        <v>21</v>
      </c>
      <c r="E461" t="str">
        <f>VLOOKUP(D461,name!A:B,2,1)</f>
        <v>Цубаса</v>
      </c>
      <c r="F461" t="str">
        <f>F429</f>
        <v>Я читаю исторический журнал.</v>
      </c>
      <c r="G461" t="str">
        <f t="shared" si="339"/>
        <v>a</v>
      </c>
      <c r="H461" t="str">
        <f>VLOOKUP(D461,name!A:C,3,1)</f>
        <v>assets/icons/image017.png</v>
      </c>
      <c r="I461" t="str">
        <f>IF(A461="","",VLOOKUP(A461,lng!A:B,2,0))</f>
        <v>ru-RU</v>
      </c>
    </row>
    <row r="462" spans="1:9" x14ac:dyDescent="0.15">
      <c r="A462" t="str">
        <f t="shared" ref="A462:B462" si="371">A461</f>
        <v>ロシア語</v>
      </c>
      <c r="B462">
        <f t="shared" si="371"/>
        <v>5</v>
      </c>
      <c r="C462">
        <f t="shared" si="340"/>
        <v>52</v>
      </c>
      <c r="D462">
        <v>0</v>
      </c>
      <c r="E462" t="str">
        <f>VLOOKUP(D462,name!A:B,2,1)</f>
        <v>Player</v>
      </c>
      <c r="F462" t="str">
        <f>F429</f>
        <v>Я читаю исторический журнал.</v>
      </c>
      <c r="G462" t="str">
        <f t="shared" si="339"/>
        <v>q</v>
      </c>
      <c r="H462" t="str">
        <f>VLOOKUP(D462,name!A:C,3,1)</f>
        <v>assets/icons/image326.png</v>
      </c>
      <c r="I462" t="str">
        <f>IF(A462="","",VLOOKUP(A462,lng!A:B,2,0))</f>
        <v>ru-RU</v>
      </c>
    </row>
    <row r="463" spans="1:9" x14ac:dyDescent="0.15">
      <c r="A463" t="str">
        <f t="shared" ref="A463:B463" si="372">A462</f>
        <v>ロシア語</v>
      </c>
      <c r="B463">
        <f t="shared" si="372"/>
        <v>5</v>
      </c>
      <c r="C463">
        <f t="shared" si="340"/>
        <v>53</v>
      </c>
      <c r="D463">
        <f>D430</f>
        <v>22</v>
      </c>
      <c r="E463" t="str">
        <f>VLOOKUP(D463,name!A:B,2,1)</f>
        <v>Люда</v>
      </c>
      <c r="F463" t="str">
        <f>F430</f>
        <v>この雑誌は面白いですか?</v>
      </c>
      <c r="G463" t="str">
        <f t="shared" si="339"/>
        <v>a</v>
      </c>
      <c r="H463" t="str">
        <f>VLOOKUP(D463,name!A:C,3,1)</f>
        <v>assets/icons/image024.png</v>
      </c>
      <c r="I463" t="s">
        <v>403</v>
      </c>
    </row>
    <row r="464" spans="1:9" x14ac:dyDescent="0.15">
      <c r="A464" t="str">
        <f t="shared" ref="A464:B464" si="373">A463</f>
        <v>ロシア語</v>
      </c>
      <c r="B464">
        <f t="shared" si="373"/>
        <v>5</v>
      </c>
      <c r="C464">
        <f t="shared" si="340"/>
        <v>54</v>
      </c>
      <c r="D464">
        <f>D431</f>
        <v>22</v>
      </c>
      <c r="E464" t="str">
        <f>VLOOKUP(D464,name!A:B,2,1)</f>
        <v>Люда</v>
      </c>
      <c r="F464" t="str">
        <f>F431</f>
        <v>Этот журнал интересный?</v>
      </c>
      <c r="G464" t="str">
        <f t="shared" si="339"/>
        <v>a</v>
      </c>
      <c r="H464" t="str">
        <f>VLOOKUP(D464,name!A:C,3,1)</f>
        <v>assets/icons/image024.png</v>
      </c>
      <c r="I464" t="str">
        <f>IF(A464="","",VLOOKUP(A464,lng!A:B,2,0))</f>
        <v>ru-RU</v>
      </c>
    </row>
    <row r="465" spans="1:9" x14ac:dyDescent="0.15">
      <c r="A465" t="str">
        <f t="shared" ref="A465:B465" si="374">A464</f>
        <v>ロシア語</v>
      </c>
      <c r="B465">
        <f t="shared" si="374"/>
        <v>5</v>
      </c>
      <c r="C465">
        <f t="shared" si="340"/>
        <v>55</v>
      </c>
      <c r="D465">
        <v>0</v>
      </c>
      <c r="E465" t="str">
        <f>VLOOKUP(D465,name!A:B,2,1)</f>
        <v>Player</v>
      </c>
      <c r="F465" t="str">
        <f>F431</f>
        <v>Этот журнал интересный?</v>
      </c>
      <c r="G465" t="str">
        <f t="shared" si="339"/>
        <v>q</v>
      </c>
      <c r="H465" t="str">
        <f>VLOOKUP(D465,name!A:C,3,1)</f>
        <v>assets/icons/image326.png</v>
      </c>
      <c r="I465" t="str">
        <f>IF(A465="","",VLOOKUP(A465,lng!A:B,2,0))</f>
        <v>ru-RU</v>
      </c>
    </row>
    <row r="466" spans="1:9" x14ac:dyDescent="0.15">
      <c r="A466" t="str">
        <f t="shared" ref="A466:B466" si="375">A465</f>
        <v>ロシア語</v>
      </c>
      <c r="B466">
        <f t="shared" si="375"/>
        <v>5</v>
      </c>
      <c r="C466">
        <f t="shared" si="340"/>
        <v>56</v>
      </c>
      <c r="D466">
        <f>D432</f>
        <v>21</v>
      </c>
      <c r="E466" t="str">
        <f>VLOOKUP(D466,name!A:B,2,1)</f>
        <v>Цубаса</v>
      </c>
      <c r="F466" t="str">
        <f>F432</f>
        <v>全然面白くない。</v>
      </c>
      <c r="G466" t="str">
        <f t="shared" si="339"/>
        <v>a</v>
      </c>
      <c r="H466" t="str">
        <f>VLOOKUP(D466,name!A:C,3,1)</f>
        <v>assets/icons/image017.png</v>
      </c>
      <c r="I466" t="s">
        <v>403</v>
      </c>
    </row>
    <row r="467" spans="1:9" x14ac:dyDescent="0.15">
      <c r="A467" t="str">
        <f t="shared" ref="A467:B467" si="376">A466</f>
        <v>ロシア語</v>
      </c>
      <c r="B467">
        <f t="shared" si="376"/>
        <v>5</v>
      </c>
      <c r="C467">
        <f t="shared" si="340"/>
        <v>57</v>
      </c>
      <c r="D467">
        <f>D433</f>
        <v>21</v>
      </c>
      <c r="E467" t="str">
        <f>VLOOKUP(D467,name!A:B,2,1)</f>
        <v>Цубаса</v>
      </c>
      <c r="F467" t="str">
        <f>F433</f>
        <v>Совсем не интересный.</v>
      </c>
      <c r="G467" t="str">
        <f t="shared" si="339"/>
        <v>a</v>
      </c>
      <c r="H467" t="str">
        <f>VLOOKUP(D467,name!A:C,3,1)</f>
        <v>assets/icons/image017.png</v>
      </c>
      <c r="I467" t="str">
        <f>IF(A467="","",VLOOKUP(A467,lng!A:B,2,0))</f>
        <v>ru-RU</v>
      </c>
    </row>
    <row r="468" spans="1:9" x14ac:dyDescent="0.15">
      <c r="A468" t="str">
        <f t="shared" ref="A468:B468" si="377">A467</f>
        <v>ロシア語</v>
      </c>
      <c r="B468">
        <f t="shared" si="377"/>
        <v>5</v>
      </c>
      <c r="C468">
        <f t="shared" si="340"/>
        <v>58</v>
      </c>
      <c r="D468">
        <v>0</v>
      </c>
      <c r="E468" t="str">
        <f>VLOOKUP(D468,name!A:B,2,1)</f>
        <v>Player</v>
      </c>
      <c r="F468" t="str">
        <f>F433</f>
        <v>Совсем не интересный.</v>
      </c>
      <c r="G468" t="str">
        <f t="shared" si="339"/>
        <v>q</v>
      </c>
      <c r="H468" t="str">
        <f>VLOOKUP(D468,name!A:C,3,1)</f>
        <v>assets/icons/image326.png</v>
      </c>
      <c r="I468" t="str">
        <f>IF(A468="","",VLOOKUP(A468,lng!A:B,2,0))</f>
        <v>ru-RU</v>
      </c>
    </row>
    <row r="469" spans="1:9" x14ac:dyDescent="0.15">
      <c r="A469" t="str">
        <f t="shared" ref="A469:B469" si="378">A468</f>
        <v>ロシア語</v>
      </c>
      <c r="B469">
        <f t="shared" si="378"/>
        <v>5</v>
      </c>
      <c r="C469">
        <f t="shared" si="340"/>
        <v>59</v>
      </c>
      <c r="D469">
        <f>D434</f>
        <v>22</v>
      </c>
      <c r="E469" t="str">
        <f>VLOOKUP(D469,name!A:B,2,1)</f>
        <v>Люда</v>
      </c>
      <c r="F469" t="str">
        <f>F434</f>
        <v>では、なぜあなたは読んでいるのですか?</v>
      </c>
      <c r="G469" t="str">
        <f t="shared" si="339"/>
        <v>a</v>
      </c>
      <c r="H469" t="str">
        <f>VLOOKUP(D469,name!A:C,3,1)</f>
        <v>assets/icons/image024.png</v>
      </c>
      <c r="I469" t="s">
        <v>403</v>
      </c>
    </row>
    <row r="470" spans="1:9" x14ac:dyDescent="0.15">
      <c r="A470" t="str">
        <f t="shared" ref="A470:B470" si="379">A469</f>
        <v>ロシア語</v>
      </c>
      <c r="B470">
        <f t="shared" si="379"/>
        <v>5</v>
      </c>
      <c r="C470">
        <f t="shared" si="340"/>
        <v>60</v>
      </c>
      <c r="D470">
        <f>D435</f>
        <v>22</v>
      </c>
      <c r="E470" t="str">
        <f>VLOOKUP(D470,name!A:B,2,1)</f>
        <v>Люда</v>
      </c>
      <c r="F470" t="str">
        <f>F435</f>
        <v>А почему вы читаете?</v>
      </c>
      <c r="G470" t="str">
        <f t="shared" si="339"/>
        <v>a</v>
      </c>
      <c r="H470" t="str">
        <f>VLOOKUP(D470,name!A:C,3,1)</f>
        <v>assets/icons/image024.png</v>
      </c>
      <c r="I470" t="str">
        <f>IF(A470="","",VLOOKUP(A470,lng!A:B,2,0))</f>
        <v>ru-RU</v>
      </c>
    </row>
    <row r="471" spans="1:9" x14ac:dyDescent="0.15">
      <c r="A471" t="str">
        <f t="shared" ref="A471:B471" si="380">A470</f>
        <v>ロシア語</v>
      </c>
      <c r="B471">
        <f t="shared" si="380"/>
        <v>5</v>
      </c>
      <c r="C471">
        <f t="shared" si="340"/>
        <v>61</v>
      </c>
      <c r="D471">
        <v>0</v>
      </c>
      <c r="E471" t="str">
        <f>VLOOKUP(D471,name!A:B,2,1)</f>
        <v>Player</v>
      </c>
      <c r="F471" t="str">
        <f>F435</f>
        <v>А почему вы читаете?</v>
      </c>
      <c r="G471" t="str">
        <f t="shared" si="339"/>
        <v>q</v>
      </c>
      <c r="H471" t="str">
        <f>VLOOKUP(D471,name!A:C,3,1)</f>
        <v>assets/icons/image326.png</v>
      </c>
      <c r="I471" t="str">
        <f>IF(A471="","",VLOOKUP(A471,lng!A:B,2,0))</f>
        <v>ru-RU</v>
      </c>
    </row>
    <row r="472" spans="1:9" x14ac:dyDescent="0.15">
      <c r="A472" t="str">
        <f t="shared" ref="A472:B472" si="381">A471</f>
        <v>ロシア語</v>
      </c>
      <c r="B472">
        <f t="shared" si="381"/>
        <v>5</v>
      </c>
      <c r="C472">
        <f t="shared" si="340"/>
        <v>62</v>
      </c>
      <c r="D472">
        <f>D436</f>
        <v>21</v>
      </c>
      <c r="E472" t="str">
        <f>VLOOKUP(D472,name!A:B,2,1)</f>
        <v>Цубаса</v>
      </c>
      <c r="F472" t="str">
        <f>F436</f>
        <v>わかりません。</v>
      </c>
      <c r="G472" t="str">
        <f t="shared" si="339"/>
        <v>a</v>
      </c>
      <c r="H472" t="str">
        <f>VLOOKUP(D472,name!A:C,3,1)</f>
        <v>assets/icons/image017.png</v>
      </c>
      <c r="I472" t="s">
        <v>403</v>
      </c>
    </row>
    <row r="473" spans="1:9" x14ac:dyDescent="0.15">
      <c r="A473" t="str">
        <f t="shared" ref="A473:B473" si="382">A472</f>
        <v>ロシア語</v>
      </c>
      <c r="B473">
        <f t="shared" si="382"/>
        <v>5</v>
      </c>
      <c r="C473">
        <f t="shared" si="340"/>
        <v>63</v>
      </c>
      <c r="D473">
        <f>D437</f>
        <v>21</v>
      </c>
      <c r="E473" t="str">
        <f>VLOOKUP(D473,name!A:B,2,1)</f>
        <v>Цубаса</v>
      </c>
      <c r="F473" t="str">
        <f>F437</f>
        <v>Я сам не знаю.</v>
      </c>
      <c r="G473" t="str">
        <f t="shared" si="339"/>
        <v>a</v>
      </c>
      <c r="H473" t="str">
        <f>VLOOKUP(D473,name!A:C,3,1)</f>
        <v>assets/icons/image017.png</v>
      </c>
      <c r="I473" t="str">
        <f>IF(A473="","",VLOOKUP(A473,lng!A:B,2,0))</f>
        <v>ru-RU</v>
      </c>
    </row>
    <row r="474" spans="1:9" x14ac:dyDescent="0.15">
      <c r="A474" t="str">
        <f t="shared" ref="A474:B474" si="383">A473</f>
        <v>ロシア語</v>
      </c>
      <c r="B474">
        <f t="shared" si="383"/>
        <v>5</v>
      </c>
      <c r="C474">
        <f t="shared" si="340"/>
        <v>64</v>
      </c>
      <c r="D474">
        <v>0</v>
      </c>
      <c r="E474" t="str">
        <f>VLOOKUP(D474,name!A:B,2,1)</f>
        <v>Player</v>
      </c>
      <c r="F474" t="str">
        <f>F437</f>
        <v>Я сам не знаю.</v>
      </c>
      <c r="G474" t="str">
        <f t="shared" si="339"/>
        <v>q</v>
      </c>
      <c r="H474" t="str">
        <f>VLOOKUP(D474,name!A:C,3,1)</f>
        <v>assets/icons/image326.png</v>
      </c>
      <c r="I474" t="str">
        <f>IF(A474="","",VLOOKUP(A474,lng!A:B,2,0))</f>
        <v>ru-RU</v>
      </c>
    </row>
    <row r="475" spans="1:9" x14ac:dyDescent="0.15">
      <c r="A475" t="str">
        <f t="shared" ref="A475:B475" si="384">A474</f>
        <v>ロシア語</v>
      </c>
      <c r="B475">
        <f t="shared" si="384"/>
        <v>5</v>
      </c>
      <c r="C475">
        <f t="shared" si="340"/>
        <v>65</v>
      </c>
      <c r="D475">
        <v>1</v>
      </c>
      <c r="E475" t="str">
        <f>VLOOKUP(D475,name!A:B,2,1)</f>
        <v>Navigator</v>
      </c>
      <c r="F475" t="str">
        <f>"次の日本語を"&amp;A475&amp;"に訳して答えてね！"</f>
        <v>次の日本語をロシア語に訳して答えてね！</v>
      </c>
      <c r="G475" t="str">
        <f t="shared" si="339"/>
        <v>a</v>
      </c>
      <c r="H475" t="str">
        <f>VLOOKUP(D475,name!A:C,3,1)</f>
        <v>assets/icons/image014.png</v>
      </c>
      <c r="I475" t="s">
        <v>403</v>
      </c>
    </row>
    <row r="476" spans="1:9" x14ac:dyDescent="0.15">
      <c r="A476" t="str">
        <f t="shared" ref="A476:B476" si="385">A475</f>
        <v>ロシア語</v>
      </c>
      <c r="B476">
        <f t="shared" si="385"/>
        <v>5</v>
      </c>
      <c r="C476">
        <f t="shared" si="340"/>
        <v>66</v>
      </c>
      <c r="D476">
        <f>D414</f>
        <v>22</v>
      </c>
      <c r="E476" t="str">
        <f>VLOOKUP(D476,name!A:B,2,1)</f>
        <v>Люда</v>
      </c>
      <c r="F476" t="str">
        <f>F414</f>
        <v>つばさ、何してるの?</v>
      </c>
      <c r="G476" t="str">
        <f t="shared" ref="G476:G500" si="386">IF(B476&lt;&gt;B477,"e",IF(D476=0,"q","a"))</f>
        <v>a</v>
      </c>
      <c r="H476" t="str">
        <f>VLOOKUP(D476,name!A:C,3,1)</f>
        <v>assets/icons/image024.png</v>
      </c>
      <c r="I476" t="s">
        <v>403</v>
      </c>
    </row>
    <row r="477" spans="1:9" x14ac:dyDescent="0.15">
      <c r="A477" t="str">
        <f t="shared" ref="A477:B477" si="387">A476</f>
        <v>ロシア語</v>
      </c>
      <c r="B477">
        <f t="shared" si="387"/>
        <v>5</v>
      </c>
      <c r="C477">
        <f t="shared" ref="C477:C500" si="388">C476+1</f>
        <v>67</v>
      </c>
      <c r="D477">
        <v>0</v>
      </c>
      <c r="E477" t="str">
        <f>VLOOKUP(D477,name!A:B,2,1)</f>
        <v>Player</v>
      </c>
      <c r="F477" t="str">
        <f>F415</f>
        <v>Что вы делаете, Цубаса?</v>
      </c>
      <c r="G477" t="str">
        <f t="shared" si="386"/>
        <v>q</v>
      </c>
      <c r="H477" t="str">
        <f>VLOOKUP(D477,name!A:C,3,1)</f>
        <v>assets/icons/image326.png</v>
      </c>
      <c r="I477" t="str">
        <f>IF(A477="","",VLOOKUP(A477,lng!A:B,2,0))</f>
        <v>ru-RU</v>
      </c>
    </row>
    <row r="478" spans="1:9" x14ac:dyDescent="0.15">
      <c r="A478" t="str">
        <f t="shared" ref="A478:B478" si="389">A477</f>
        <v>ロシア語</v>
      </c>
      <c r="B478">
        <f t="shared" si="389"/>
        <v>5</v>
      </c>
      <c r="C478">
        <f t="shared" si="388"/>
        <v>68</v>
      </c>
      <c r="D478">
        <f>D416</f>
        <v>21</v>
      </c>
      <c r="E478" t="str">
        <f>VLOOKUP(D478,name!A:B,2,1)</f>
        <v>Цубаса</v>
      </c>
      <c r="F478" t="str">
        <f>F416</f>
        <v>ああ、リューダ!</v>
      </c>
      <c r="G478" t="str">
        <f t="shared" si="386"/>
        <v>a</v>
      </c>
      <c r="H478" t="str">
        <f>VLOOKUP(D478,name!A:C,3,1)</f>
        <v>assets/icons/image017.png</v>
      </c>
      <c r="I478" t="s">
        <v>403</v>
      </c>
    </row>
    <row r="479" spans="1:9" x14ac:dyDescent="0.15">
      <c r="A479" t="str">
        <f t="shared" ref="A479:B479" si="390">A478</f>
        <v>ロシア語</v>
      </c>
      <c r="B479">
        <f t="shared" si="390"/>
        <v>5</v>
      </c>
      <c r="C479">
        <f t="shared" si="388"/>
        <v>69</v>
      </c>
      <c r="D479">
        <v>0</v>
      </c>
      <c r="E479" t="str">
        <f>VLOOKUP(D479,name!A:B,2,1)</f>
        <v>Player</v>
      </c>
      <c r="F479" t="str">
        <f>F417</f>
        <v>А, Люда!</v>
      </c>
      <c r="G479" t="str">
        <f t="shared" si="386"/>
        <v>q</v>
      </c>
      <c r="H479" t="str">
        <f>VLOOKUP(D479,name!A:C,3,1)</f>
        <v>assets/icons/image326.png</v>
      </c>
      <c r="I479" t="str">
        <f>IF(A479="","",VLOOKUP(A479,lng!A:B,2,0))</f>
        <v>ru-RU</v>
      </c>
    </row>
    <row r="480" spans="1:9" x14ac:dyDescent="0.15">
      <c r="A480" t="str">
        <f t="shared" ref="A480:B480" si="391">A479</f>
        <v>ロシア語</v>
      </c>
      <c r="B480">
        <f t="shared" si="391"/>
        <v>5</v>
      </c>
      <c r="C480">
        <f t="shared" si="388"/>
        <v>70</v>
      </c>
      <c r="D480">
        <f>D418</f>
        <v>21</v>
      </c>
      <c r="E480" t="str">
        <f>VLOOKUP(D480,name!A:B,2,1)</f>
        <v>Цубаса</v>
      </c>
      <c r="F480" t="str">
        <f>F418</f>
        <v>こんにちは。</v>
      </c>
      <c r="G480" t="str">
        <f t="shared" si="386"/>
        <v>a</v>
      </c>
      <c r="H480" t="str">
        <f>VLOOKUP(D480,name!A:C,3,1)</f>
        <v>assets/icons/image017.png</v>
      </c>
      <c r="I480" t="s">
        <v>403</v>
      </c>
    </row>
    <row r="481" spans="1:9" x14ac:dyDescent="0.15">
      <c r="A481" t="str">
        <f t="shared" ref="A481:B481" si="392">A480</f>
        <v>ロシア語</v>
      </c>
      <c r="B481">
        <f t="shared" si="392"/>
        <v>5</v>
      </c>
      <c r="C481">
        <f t="shared" si="388"/>
        <v>71</v>
      </c>
      <c r="D481">
        <v>0</v>
      </c>
      <c r="E481" t="str">
        <f>VLOOKUP(D481,name!A:B,2,1)</f>
        <v>Player</v>
      </c>
      <c r="F481" t="str">
        <f>F419</f>
        <v xml:space="preserve">Здравствуйте. </v>
      </c>
      <c r="G481" t="str">
        <f t="shared" si="386"/>
        <v>q</v>
      </c>
      <c r="H481" t="str">
        <f>VLOOKUP(D481,name!A:C,3,1)</f>
        <v>assets/icons/image326.png</v>
      </c>
      <c r="I481" t="str">
        <f>IF(A481="","",VLOOKUP(A481,lng!A:B,2,0))</f>
        <v>ru-RU</v>
      </c>
    </row>
    <row r="482" spans="1:9" x14ac:dyDescent="0.15">
      <c r="A482" t="str">
        <f t="shared" ref="A482:B482" si="393">A481</f>
        <v>ロシア語</v>
      </c>
      <c r="B482">
        <f t="shared" si="393"/>
        <v>5</v>
      </c>
      <c r="C482">
        <f t="shared" si="388"/>
        <v>72</v>
      </c>
      <c r="D482">
        <f>D420</f>
        <v>21</v>
      </c>
      <c r="E482" t="str">
        <f>VLOOKUP(D482,name!A:B,2,1)</f>
        <v>Цубаса</v>
      </c>
      <c r="F482" t="str">
        <f>F420</f>
        <v>私は休んでいます。</v>
      </c>
      <c r="G482" t="str">
        <f t="shared" si="386"/>
        <v>a</v>
      </c>
      <c r="H482" t="str">
        <f>VLOOKUP(D482,name!A:C,3,1)</f>
        <v>assets/icons/image017.png</v>
      </c>
      <c r="I482" t="s">
        <v>403</v>
      </c>
    </row>
    <row r="483" spans="1:9" x14ac:dyDescent="0.15">
      <c r="A483" t="str">
        <f t="shared" ref="A483:B483" si="394">A482</f>
        <v>ロシア語</v>
      </c>
      <c r="B483">
        <f t="shared" si="394"/>
        <v>5</v>
      </c>
      <c r="C483">
        <f t="shared" si="388"/>
        <v>73</v>
      </c>
      <c r="D483">
        <v>0</v>
      </c>
      <c r="E483" t="str">
        <f>VLOOKUP(D483,name!A:B,2,1)</f>
        <v>Player</v>
      </c>
      <c r="F483" t="str">
        <f>F421</f>
        <v>Я отдыхаю.</v>
      </c>
      <c r="G483" t="str">
        <f t="shared" si="386"/>
        <v>q</v>
      </c>
      <c r="H483" t="str">
        <f>VLOOKUP(D483,name!A:C,3,1)</f>
        <v>assets/icons/image326.png</v>
      </c>
      <c r="I483" t="str">
        <f>IF(A483="","",VLOOKUP(A483,lng!A:B,2,0))</f>
        <v>ru-RU</v>
      </c>
    </row>
    <row r="484" spans="1:9" x14ac:dyDescent="0.15">
      <c r="A484" t="str">
        <f t="shared" ref="A484:B484" si="395">A483</f>
        <v>ロシア語</v>
      </c>
      <c r="B484">
        <f t="shared" si="395"/>
        <v>5</v>
      </c>
      <c r="C484">
        <f t="shared" si="388"/>
        <v>74</v>
      </c>
      <c r="D484">
        <f>D422</f>
        <v>22</v>
      </c>
      <c r="E484" t="str">
        <f>VLOOKUP(D484,name!A:B,2,1)</f>
        <v>Люда</v>
      </c>
      <c r="F484" t="str">
        <f>F422</f>
        <v>どのように休んでますか?</v>
      </c>
      <c r="G484" t="str">
        <f t="shared" si="386"/>
        <v>a</v>
      </c>
      <c r="H484" t="str">
        <f>VLOOKUP(D484,name!A:C,3,1)</f>
        <v>assets/icons/image024.png</v>
      </c>
      <c r="I484" t="s">
        <v>403</v>
      </c>
    </row>
    <row r="485" spans="1:9" x14ac:dyDescent="0.15">
      <c r="A485" t="str">
        <f t="shared" ref="A485:B485" si="396">A484</f>
        <v>ロシア語</v>
      </c>
      <c r="B485">
        <f t="shared" si="396"/>
        <v>5</v>
      </c>
      <c r="C485">
        <f t="shared" si="388"/>
        <v>75</v>
      </c>
      <c r="D485">
        <v>0</v>
      </c>
      <c r="E485" t="str">
        <f>VLOOKUP(D485,name!A:B,2,1)</f>
        <v>Player</v>
      </c>
      <c r="F485" t="str">
        <f>F423</f>
        <v>Как вы отдыхаете?</v>
      </c>
      <c r="G485" t="str">
        <f t="shared" si="386"/>
        <v>q</v>
      </c>
      <c r="H485" t="str">
        <f>VLOOKUP(D485,name!A:C,3,1)</f>
        <v>assets/icons/image326.png</v>
      </c>
      <c r="I485" t="str">
        <f>IF(A485="","",VLOOKUP(A485,lng!A:B,2,0))</f>
        <v>ru-RU</v>
      </c>
    </row>
    <row r="486" spans="1:9" x14ac:dyDescent="0.15">
      <c r="A486" t="str">
        <f t="shared" ref="A486:B486" si="397">A485</f>
        <v>ロシア語</v>
      </c>
      <c r="B486">
        <f t="shared" si="397"/>
        <v>5</v>
      </c>
      <c r="C486">
        <f t="shared" si="388"/>
        <v>76</v>
      </c>
      <c r="D486">
        <f>D424</f>
        <v>21</v>
      </c>
      <c r="E486" t="str">
        <f>VLOOKUP(D486,name!A:B,2,1)</f>
        <v>Цубаса</v>
      </c>
      <c r="F486" t="str">
        <f>F424</f>
        <v>雑誌を読んでいます。</v>
      </c>
      <c r="G486" t="str">
        <f t="shared" si="386"/>
        <v>a</v>
      </c>
      <c r="H486" t="str">
        <f>VLOOKUP(D486,name!A:C,3,1)</f>
        <v>assets/icons/image017.png</v>
      </c>
      <c r="I486" t="s">
        <v>403</v>
      </c>
    </row>
    <row r="487" spans="1:9" x14ac:dyDescent="0.15">
      <c r="A487" t="str">
        <f t="shared" ref="A487:B487" si="398">A486</f>
        <v>ロシア語</v>
      </c>
      <c r="B487">
        <f t="shared" si="398"/>
        <v>5</v>
      </c>
      <c r="C487">
        <f t="shared" si="388"/>
        <v>77</v>
      </c>
      <c r="D487">
        <v>0</v>
      </c>
      <c r="E487" t="str">
        <f>VLOOKUP(D487,name!A:B,2,1)</f>
        <v>Player</v>
      </c>
      <c r="F487" t="str">
        <f>F425</f>
        <v>Я читаю журнал.</v>
      </c>
      <c r="G487" t="str">
        <f t="shared" si="386"/>
        <v>q</v>
      </c>
      <c r="H487" t="str">
        <f>VLOOKUP(D487,name!A:C,3,1)</f>
        <v>assets/icons/image326.png</v>
      </c>
      <c r="I487" t="str">
        <f>IF(A487="","",VLOOKUP(A487,lng!A:B,2,0))</f>
        <v>ru-RU</v>
      </c>
    </row>
    <row r="488" spans="1:9" x14ac:dyDescent="0.15">
      <c r="A488" t="str">
        <f t="shared" ref="A488:B488" si="399">A487</f>
        <v>ロシア語</v>
      </c>
      <c r="B488">
        <f t="shared" si="399"/>
        <v>5</v>
      </c>
      <c r="C488">
        <f t="shared" si="388"/>
        <v>78</v>
      </c>
      <c r="D488">
        <f>D426</f>
        <v>22</v>
      </c>
      <c r="E488" t="str">
        <f>VLOOKUP(D488,name!A:B,2,1)</f>
        <v>Люда</v>
      </c>
      <c r="F488" t="str">
        <f>F426</f>
        <v>どんな雑誌を読んでいますか?</v>
      </c>
      <c r="G488" t="str">
        <f t="shared" si="386"/>
        <v>a</v>
      </c>
      <c r="H488" t="str">
        <f>VLOOKUP(D488,name!A:C,3,1)</f>
        <v>assets/icons/image024.png</v>
      </c>
      <c r="I488" t="s">
        <v>403</v>
      </c>
    </row>
    <row r="489" spans="1:9" x14ac:dyDescent="0.15">
      <c r="A489" t="str">
        <f t="shared" ref="A489:B489" si="400">A488</f>
        <v>ロシア語</v>
      </c>
      <c r="B489">
        <f t="shared" si="400"/>
        <v>5</v>
      </c>
      <c r="C489">
        <f t="shared" si="388"/>
        <v>79</v>
      </c>
      <c r="D489">
        <v>0</v>
      </c>
      <c r="E489" t="str">
        <f>VLOOKUP(D489,name!A:B,2,1)</f>
        <v>Player</v>
      </c>
      <c r="F489" t="str">
        <f>F427</f>
        <v>Какой журнал вы читаете?</v>
      </c>
      <c r="G489" t="str">
        <f t="shared" si="386"/>
        <v>q</v>
      </c>
      <c r="H489" t="str">
        <f>VLOOKUP(D489,name!A:C,3,1)</f>
        <v>assets/icons/image326.png</v>
      </c>
      <c r="I489" t="str">
        <f>IF(A489="","",VLOOKUP(A489,lng!A:B,2,0))</f>
        <v>ru-RU</v>
      </c>
    </row>
    <row r="490" spans="1:9" x14ac:dyDescent="0.15">
      <c r="A490" t="str">
        <f t="shared" ref="A490:B490" si="401">A489</f>
        <v>ロシア語</v>
      </c>
      <c r="B490">
        <f t="shared" si="401"/>
        <v>5</v>
      </c>
      <c r="C490">
        <f t="shared" si="388"/>
        <v>80</v>
      </c>
      <c r="D490">
        <f>D428</f>
        <v>21</v>
      </c>
      <c r="E490" t="str">
        <f>VLOOKUP(D490,name!A:B,2,1)</f>
        <v>Цубаса</v>
      </c>
      <c r="F490" t="str">
        <f>F428</f>
        <v>歴史雑誌を読んでいます。</v>
      </c>
      <c r="G490" t="str">
        <f t="shared" si="386"/>
        <v>a</v>
      </c>
      <c r="H490" t="str">
        <f>VLOOKUP(D490,name!A:C,3,1)</f>
        <v>assets/icons/image017.png</v>
      </c>
      <c r="I490" t="s">
        <v>403</v>
      </c>
    </row>
    <row r="491" spans="1:9" x14ac:dyDescent="0.15">
      <c r="A491" t="str">
        <f t="shared" ref="A491:B491" si="402">A490</f>
        <v>ロシア語</v>
      </c>
      <c r="B491">
        <f t="shared" si="402"/>
        <v>5</v>
      </c>
      <c r="C491">
        <f t="shared" si="388"/>
        <v>81</v>
      </c>
      <c r="D491">
        <v>0</v>
      </c>
      <c r="E491" t="str">
        <f>VLOOKUP(D491,name!A:B,2,1)</f>
        <v>Player</v>
      </c>
      <c r="F491" t="str">
        <f>F429</f>
        <v>Я читаю исторический журнал.</v>
      </c>
      <c r="G491" t="str">
        <f t="shared" si="386"/>
        <v>q</v>
      </c>
      <c r="H491" t="str">
        <f>VLOOKUP(D491,name!A:C,3,1)</f>
        <v>assets/icons/image326.png</v>
      </c>
      <c r="I491" t="str">
        <f>IF(A491="","",VLOOKUP(A491,lng!A:B,2,0))</f>
        <v>ru-RU</v>
      </c>
    </row>
    <row r="492" spans="1:9" x14ac:dyDescent="0.15">
      <c r="A492" t="str">
        <f t="shared" ref="A492:B492" si="403">A491</f>
        <v>ロシア語</v>
      </c>
      <c r="B492">
        <f t="shared" si="403"/>
        <v>5</v>
      </c>
      <c r="C492">
        <f t="shared" si="388"/>
        <v>82</v>
      </c>
      <c r="D492">
        <f>D430</f>
        <v>22</v>
      </c>
      <c r="E492" t="str">
        <f>VLOOKUP(D492,name!A:B,2,1)</f>
        <v>Люда</v>
      </c>
      <c r="F492" t="str">
        <f>F430</f>
        <v>この雑誌は面白いですか?</v>
      </c>
      <c r="G492" t="str">
        <f t="shared" si="386"/>
        <v>a</v>
      </c>
      <c r="H492" t="str">
        <f>VLOOKUP(D492,name!A:C,3,1)</f>
        <v>assets/icons/image024.png</v>
      </c>
      <c r="I492" t="s">
        <v>403</v>
      </c>
    </row>
    <row r="493" spans="1:9" x14ac:dyDescent="0.15">
      <c r="A493" t="str">
        <f t="shared" ref="A493:B493" si="404">A492</f>
        <v>ロシア語</v>
      </c>
      <c r="B493">
        <f t="shared" si="404"/>
        <v>5</v>
      </c>
      <c r="C493">
        <f t="shared" si="388"/>
        <v>83</v>
      </c>
      <c r="D493">
        <v>0</v>
      </c>
      <c r="E493" t="str">
        <f>VLOOKUP(D493,name!A:B,2,1)</f>
        <v>Player</v>
      </c>
      <c r="F493" t="str">
        <f>F431</f>
        <v>Этот журнал интересный?</v>
      </c>
      <c r="G493" t="str">
        <f t="shared" si="386"/>
        <v>q</v>
      </c>
      <c r="H493" t="str">
        <f>VLOOKUP(D493,name!A:C,3,1)</f>
        <v>assets/icons/image326.png</v>
      </c>
      <c r="I493" t="str">
        <f>IF(A493="","",VLOOKUP(A493,lng!A:B,2,0))</f>
        <v>ru-RU</v>
      </c>
    </row>
    <row r="494" spans="1:9" x14ac:dyDescent="0.15">
      <c r="A494" t="str">
        <f t="shared" ref="A494:B494" si="405">A493</f>
        <v>ロシア語</v>
      </c>
      <c r="B494">
        <f t="shared" si="405"/>
        <v>5</v>
      </c>
      <c r="C494">
        <f t="shared" si="388"/>
        <v>84</v>
      </c>
      <c r="D494">
        <f>D432</f>
        <v>21</v>
      </c>
      <c r="E494" t="str">
        <f>VLOOKUP(D494,name!A:B,2,1)</f>
        <v>Цубаса</v>
      </c>
      <c r="F494" t="str">
        <f>F432</f>
        <v>全然面白くない。</v>
      </c>
      <c r="G494" t="str">
        <f t="shared" si="386"/>
        <v>a</v>
      </c>
      <c r="H494" t="str">
        <f>VLOOKUP(D494,name!A:C,3,1)</f>
        <v>assets/icons/image017.png</v>
      </c>
      <c r="I494" t="s">
        <v>403</v>
      </c>
    </row>
    <row r="495" spans="1:9" x14ac:dyDescent="0.15">
      <c r="A495" t="str">
        <f t="shared" ref="A495:B495" si="406">A494</f>
        <v>ロシア語</v>
      </c>
      <c r="B495">
        <f t="shared" si="406"/>
        <v>5</v>
      </c>
      <c r="C495">
        <f t="shared" si="388"/>
        <v>85</v>
      </c>
      <c r="D495">
        <v>0</v>
      </c>
      <c r="E495" t="str">
        <f>VLOOKUP(D495,name!A:B,2,1)</f>
        <v>Player</v>
      </c>
      <c r="F495" t="str">
        <f>F433</f>
        <v>Совсем не интересный.</v>
      </c>
      <c r="G495" t="str">
        <f t="shared" si="386"/>
        <v>q</v>
      </c>
      <c r="H495" t="str">
        <f>VLOOKUP(D495,name!A:C,3,1)</f>
        <v>assets/icons/image326.png</v>
      </c>
      <c r="I495" t="str">
        <f>IF(A495="","",VLOOKUP(A495,lng!A:B,2,0))</f>
        <v>ru-RU</v>
      </c>
    </row>
    <row r="496" spans="1:9" x14ac:dyDescent="0.15">
      <c r="A496" t="str">
        <f t="shared" ref="A496:B496" si="407">A495</f>
        <v>ロシア語</v>
      </c>
      <c r="B496">
        <f t="shared" si="407"/>
        <v>5</v>
      </c>
      <c r="C496">
        <f t="shared" si="388"/>
        <v>86</v>
      </c>
      <c r="D496">
        <f>D434</f>
        <v>22</v>
      </c>
      <c r="E496" t="str">
        <f>VLOOKUP(D496,name!A:B,2,1)</f>
        <v>Люда</v>
      </c>
      <c r="F496" t="str">
        <f>F434</f>
        <v>では、なぜあなたは読んでいるのですか?</v>
      </c>
      <c r="G496" t="str">
        <f t="shared" si="386"/>
        <v>a</v>
      </c>
      <c r="H496" t="str">
        <f>VLOOKUP(D496,name!A:C,3,1)</f>
        <v>assets/icons/image024.png</v>
      </c>
      <c r="I496" t="s">
        <v>403</v>
      </c>
    </row>
    <row r="497" spans="1:9" x14ac:dyDescent="0.15">
      <c r="A497" t="str">
        <f t="shared" ref="A497:B497" si="408">A496</f>
        <v>ロシア語</v>
      </c>
      <c r="B497">
        <f t="shared" si="408"/>
        <v>5</v>
      </c>
      <c r="C497">
        <f t="shared" si="388"/>
        <v>87</v>
      </c>
      <c r="D497">
        <v>0</v>
      </c>
      <c r="E497" t="str">
        <f>VLOOKUP(D497,name!A:B,2,1)</f>
        <v>Player</v>
      </c>
      <c r="F497" t="str">
        <f>F435</f>
        <v>А почему вы читаете?</v>
      </c>
      <c r="G497" t="str">
        <f t="shared" si="386"/>
        <v>q</v>
      </c>
      <c r="H497" t="str">
        <f>VLOOKUP(D497,name!A:C,3,1)</f>
        <v>assets/icons/image326.png</v>
      </c>
      <c r="I497" t="str">
        <f>IF(A497="","",VLOOKUP(A497,lng!A:B,2,0))</f>
        <v>ru-RU</v>
      </c>
    </row>
    <row r="498" spans="1:9" x14ac:dyDescent="0.15">
      <c r="A498" t="str">
        <f t="shared" ref="A498:B498" si="409">A497</f>
        <v>ロシア語</v>
      </c>
      <c r="B498">
        <f t="shared" si="409"/>
        <v>5</v>
      </c>
      <c r="C498">
        <f t="shared" si="388"/>
        <v>88</v>
      </c>
      <c r="D498">
        <f>D436</f>
        <v>21</v>
      </c>
      <c r="E498" t="str">
        <f>VLOOKUP(D498,name!A:B,2,1)</f>
        <v>Цубаса</v>
      </c>
      <c r="F498" t="str">
        <f>F436</f>
        <v>わかりません。</v>
      </c>
      <c r="G498" t="str">
        <f t="shared" si="386"/>
        <v>a</v>
      </c>
      <c r="H498" t="str">
        <f>VLOOKUP(D498,name!A:C,3,1)</f>
        <v>assets/icons/image017.png</v>
      </c>
      <c r="I498" t="s">
        <v>403</v>
      </c>
    </row>
    <row r="499" spans="1:9" x14ac:dyDescent="0.15">
      <c r="A499" t="str">
        <f t="shared" ref="A499:B499" si="410">A498</f>
        <v>ロシア語</v>
      </c>
      <c r="B499">
        <f t="shared" si="410"/>
        <v>5</v>
      </c>
      <c r="C499">
        <f t="shared" si="388"/>
        <v>89</v>
      </c>
      <c r="D499">
        <v>0</v>
      </c>
      <c r="E499" t="str">
        <f>VLOOKUP(D499,name!A:B,2,1)</f>
        <v>Player</v>
      </c>
      <c r="F499" t="str">
        <f>F437</f>
        <v>Я сам не знаю.</v>
      </c>
      <c r="G499" t="str">
        <f t="shared" si="386"/>
        <v>q</v>
      </c>
      <c r="H499" t="str">
        <f>VLOOKUP(D499,name!A:C,3,1)</f>
        <v>assets/icons/image326.png</v>
      </c>
      <c r="I499" t="str">
        <f>IF(A499="","",VLOOKUP(A499,lng!A:B,2,0))</f>
        <v>ru-RU</v>
      </c>
    </row>
    <row r="500" spans="1:9" x14ac:dyDescent="0.15">
      <c r="A500" t="str">
        <f t="shared" ref="A500:B500" si="411">A499</f>
        <v>ロシア語</v>
      </c>
      <c r="B500">
        <f t="shared" si="411"/>
        <v>5</v>
      </c>
      <c r="C500">
        <f t="shared" si="388"/>
        <v>90</v>
      </c>
      <c r="D500">
        <v>1</v>
      </c>
      <c r="E500" t="str">
        <f>VLOOKUP(D500,name!A:B,2,1)</f>
        <v>Navigator</v>
      </c>
      <c r="F500" t="str">
        <f>"とても良くできました。レッスン"&amp;B500&amp;"はこれで終了です。"</f>
        <v>とても良くできました。レッスン5はこれで終了です。</v>
      </c>
      <c r="G500" t="str">
        <f t="shared" si="386"/>
        <v>e</v>
      </c>
      <c r="H500" t="str">
        <f>VLOOKUP(D500,name!A:C,3,1)</f>
        <v>assets/icons/image014.png</v>
      </c>
      <c r="I500" t="s">
        <v>403</v>
      </c>
    </row>
  </sheetData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80" operator="containsText" id="{354324D1-2780-4CFA-8138-08D349C6EA0B}">
            <xm:f>NOT(ISERROR(SEARCH($G$4,G501)))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G501:G1048576</xm:sqref>
        </x14:conditionalFormatting>
        <x14:conditionalFormatting xmlns:xm="http://schemas.microsoft.com/office/excel/2006/main">
          <x14:cfRule type="containsText" priority="11" operator="containsText" id="{AF8B1543-A5DB-4278-B966-3CA49DA48D89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  <x14:conditionalFormatting xmlns:xm="http://schemas.microsoft.com/office/excel/2006/main">
          <x14:cfRule type="containsText" priority="581" operator="containsText" id="{44DB9D2D-AD39-4D35-B862-FEA2D4F47478}">
            <xm:f>NOT(ISERROR(SEARCH(#REF!,G2)))</xm:f>
            <xm:f>#REF!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G2:G410 G412:G413 G415:G416 G418:G419 G421:G422 G424:G425 G427:G428 G430:G431 G433:G434 G436:G437 G439:G440 G442:G443 G445:G446 G448:G449 G451:G452 G454:G455 G457:G458 G460:G461 G463:G464 G466:G467 G469:G470 G472:G473 G475:G476 G478:G479 G481:G482 G484:G485 G487:G488 G490:G491 G493:G494 G496:G497 G499:G500</xm:sqref>
        </x14:conditionalFormatting>
        <x14:conditionalFormatting xmlns:xm="http://schemas.microsoft.com/office/excel/2006/main">
          <x14:cfRule type="containsText" priority="1" operator="containsText" id="{8DE396A9-3D7D-486A-AAE7-8B8980200441}">
            <xm:f>NOT(ISERROR(SEARCH($G$84,G411)))</xm:f>
            <xm:f>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G411 G414 G417 G420 G423 G426 G429 G432 G435 G438 G441 G444 G447 G450 G453 G456 G459 G462 G465 G468 G471 G474 G477 G480 G483 G486 G489 G492 G495 G498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134"/>
  <sheetViews>
    <sheetView workbookViewId="0">
      <selection activeCell="A15" sqref="A15:B15"/>
    </sheetView>
  </sheetViews>
  <sheetFormatPr defaultRowHeight="13.5" x14ac:dyDescent="0.15"/>
  <sheetData>
    <row r="2" spans="1:8" x14ac:dyDescent="0.15">
      <c r="A2" t="s">
        <v>58</v>
      </c>
      <c r="B2" t="s">
        <v>409</v>
      </c>
      <c r="F2" t="s">
        <v>75</v>
      </c>
      <c r="G2" t="s">
        <v>76</v>
      </c>
      <c r="H2" t="s">
        <v>77</v>
      </c>
    </row>
    <row r="3" spans="1:8" x14ac:dyDescent="0.15">
      <c r="A3" t="s">
        <v>9</v>
      </c>
      <c r="B3" t="s">
        <v>410</v>
      </c>
      <c r="F3" t="s">
        <v>78</v>
      </c>
      <c r="G3" t="s">
        <v>79</v>
      </c>
      <c r="H3" t="s">
        <v>80</v>
      </c>
    </row>
    <row r="4" spans="1:8" x14ac:dyDescent="0.15">
      <c r="A4" t="s">
        <v>13</v>
      </c>
      <c r="B4" t="s">
        <v>411</v>
      </c>
      <c r="F4" t="s">
        <v>81</v>
      </c>
      <c r="G4" t="s">
        <v>82</v>
      </c>
      <c r="H4" t="s">
        <v>83</v>
      </c>
    </row>
    <row r="5" spans="1:8" x14ac:dyDescent="0.15">
      <c r="A5" t="s">
        <v>37</v>
      </c>
      <c r="B5" t="s">
        <v>415</v>
      </c>
      <c r="F5" t="s">
        <v>65</v>
      </c>
      <c r="G5" t="s">
        <v>84</v>
      </c>
      <c r="H5" t="s">
        <v>85</v>
      </c>
    </row>
    <row r="6" spans="1:8" x14ac:dyDescent="0.15">
      <c r="A6" t="s">
        <v>62</v>
      </c>
      <c r="B6" t="s">
        <v>414</v>
      </c>
      <c r="F6" t="s">
        <v>86</v>
      </c>
      <c r="G6" t="s">
        <v>87</v>
      </c>
      <c r="H6" t="s">
        <v>88</v>
      </c>
    </row>
    <row r="7" spans="1:8" x14ac:dyDescent="0.15">
      <c r="A7" t="s">
        <v>64</v>
      </c>
      <c r="B7" t="s">
        <v>416</v>
      </c>
      <c r="F7" t="s">
        <v>89</v>
      </c>
      <c r="G7" t="s">
        <v>90</v>
      </c>
      <c r="H7" t="s">
        <v>93</v>
      </c>
    </row>
    <row r="8" spans="1:8" x14ac:dyDescent="0.15">
      <c r="A8" t="s">
        <v>66</v>
      </c>
      <c r="B8" t="s">
        <v>413</v>
      </c>
      <c r="G8" t="s">
        <v>91</v>
      </c>
    </row>
    <row r="9" spans="1:8" x14ac:dyDescent="0.15">
      <c r="A9" t="s">
        <v>68</v>
      </c>
      <c r="B9" t="s">
        <v>412</v>
      </c>
      <c r="G9" t="s">
        <v>92</v>
      </c>
    </row>
    <row r="10" spans="1:8" x14ac:dyDescent="0.15">
      <c r="A10" t="s">
        <v>70</v>
      </c>
      <c r="B10" t="s">
        <v>417</v>
      </c>
      <c r="F10" t="s">
        <v>401</v>
      </c>
      <c r="G10" t="s">
        <v>94</v>
      </c>
      <c r="H10" t="s">
        <v>95</v>
      </c>
    </row>
    <row r="11" spans="1:8" x14ac:dyDescent="0.15">
      <c r="A11" t="s">
        <v>141</v>
      </c>
      <c r="B11" t="s">
        <v>418</v>
      </c>
      <c r="F11" t="s">
        <v>96</v>
      </c>
      <c r="G11" t="s">
        <v>97</v>
      </c>
      <c r="H11" t="s">
        <v>98</v>
      </c>
    </row>
    <row r="12" spans="1:8" x14ac:dyDescent="0.15">
      <c r="A12" t="s">
        <v>145</v>
      </c>
      <c r="B12" t="s">
        <v>419</v>
      </c>
      <c r="F12" t="s">
        <v>99</v>
      </c>
      <c r="G12" t="s">
        <v>100</v>
      </c>
      <c r="H12" t="s">
        <v>101</v>
      </c>
    </row>
    <row r="13" spans="1:8" x14ac:dyDescent="0.15">
      <c r="A13" t="s">
        <v>221</v>
      </c>
      <c r="B13" t="s">
        <v>420</v>
      </c>
      <c r="F13" t="s">
        <v>102</v>
      </c>
      <c r="G13" t="s">
        <v>103</v>
      </c>
      <c r="H13" t="s">
        <v>104</v>
      </c>
    </row>
    <row r="14" spans="1:8" x14ac:dyDescent="0.15">
      <c r="A14" t="s">
        <v>337</v>
      </c>
      <c r="B14" t="s">
        <v>421</v>
      </c>
      <c r="F14" t="s">
        <v>105</v>
      </c>
      <c r="G14" t="s">
        <v>106</v>
      </c>
      <c r="H14" t="s">
        <v>107</v>
      </c>
    </row>
    <row r="15" spans="1:8" x14ac:dyDescent="0.15">
      <c r="F15" t="s">
        <v>108</v>
      </c>
      <c r="G15" t="s">
        <v>109</v>
      </c>
      <c r="H15" t="s">
        <v>110</v>
      </c>
    </row>
    <row r="16" spans="1:8" x14ac:dyDescent="0.15">
      <c r="F16" t="s">
        <v>111</v>
      </c>
      <c r="G16" t="s">
        <v>113</v>
      </c>
      <c r="H16" t="s">
        <v>115</v>
      </c>
    </row>
    <row r="17" spans="6:8" x14ac:dyDescent="0.15">
      <c r="F17" t="s">
        <v>112</v>
      </c>
      <c r="G17" t="s">
        <v>114</v>
      </c>
    </row>
    <row r="18" spans="6:8" x14ac:dyDescent="0.15">
      <c r="F18" t="s">
        <v>116</v>
      </c>
      <c r="G18" t="s">
        <v>117</v>
      </c>
      <c r="H18" t="s">
        <v>119</v>
      </c>
    </row>
    <row r="19" spans="6:8" x14ac:dyDescent="0.15">
      <c r="G19" t="s">
        <v>118</v>
      </c>
    </row>
    <row r="20" spans="6:8" x14ac:dyDescent="0.15">
      <c r="F20" t="s">
        <v>60</v>
      </c>
      <c r="G20" t="s">
        <v>120</v>
      </c>
      <c r="H20" t="s">
        <v>74</v>
      </c>
    </row>
    <row r="21" spans="6:8" x14ac:dyDescent="0.15">
      <c r="F21" t="s">
        <v>121</v>
      </c>
      <c r="G21" t="s">
        <v>122</v>
      </c>
      <c r="H21" t="s">
        <v>123</v>
      </c>
    </row>
    <row r="22" spans="6:8" x14ac:dyDescent="0.15">
      <c r="F22" t="s">
        <v>124</v>
      </c>
      <c r="G22" t="s">
        <v>125</v>
      </c>
      <c r="H22" t="s">
        <v>126</v>
      </c>
    </row>
    <row r="23" spans="6:8" x14ac:dyDescent="0.15">
      <c r="F23" t="s">
        <v>127</v>
      </c>
      <c r="G23" t="s">
        <v>128</v>
      </c>
      <c r="H23" t="s">
        <v>130</v>
      </c>
    </row>
    <row r="24" spans="6:8" x14ac:dyDescent="0.15">
      <c r="G24" t="s">
        <v>129</v>
      </c>
    </row>
    <row r="25" spans="6:8" x14ac:dyDescent="0.15">
      <c r="F25" t="s">
        <v>131</v>
      </c>
      <c r="G25" t="s">
        <v>132</v>
      </c>
      <c r="H25" t="s">
        <v>133</v>
      </c>
    </row>
    <row r="26" spans="6:8" x14ac:dyDescent="0.15">
      <c r="F26" t="s">
        <v>134</v>
      </c>
      <c r="G26" t="s">
        <v>135</v>
      </c>
      <c r="H26" t="s">
        <v>137</v>
      </c>
    </row>
    <row r="27" spans="6:8" x14ac:dyDescent="0.15">
      <c r="G27" t="s">
        <v>136</v>
      </c>
    </row>
    <row r="28" spans="6:8" x14ac:dyDescent="0.15">
      <c r="F28" t="s">
        <v>138</v>
      </c>
      <c r="G28" t="s">
        <v>139</v>
      </c>
      <c r="H28" t="s">
        <v>140</v>
      </c>
    </row>
    <row r="29" spans="6:8" x14ac:dyDescent="0.15">
      <c r="F29" t="s">
        <v>141</v>
      </c>
      <c r="G29" t="s">
        <v>142</v>
      </c>
      <c r="H29" t="s">
        <v>143</v>
      </c>
    </row>
    <row r="30" spans="6:8" x14ac:dyDescent="0.15">
      <c r="F30" t="s">
        <v>57</v>
      </c>
      <c r="G30" t="s">
        <v>144</v>
      </c>
      <c r="H30" t="s">
        <v>71</v>
      </c>
    </row>
    <row r="31" spans="6:8" x14ac:dyDescent="0.15">
      <c r="F31" t="s">
        <v>145</v>
      </c>
      <c r="G31" t="s">
        <v>146</v>
      </c>
      <c r="H31" t="s">
        <v>147</v>
      </c>
    </row>
    <row r="32" spans="6:8" x14ac:dyDescent="0.15">
      <c r="F32" t="s">
        <v>148</v>
      </c>
      <c r="G32" t="s">
        <v>149</v>
      </c>
      <c r="H32" t="s">
        <v>150</v>
      </c>
    </row>
    <row r="33" spans="6:8" x14ac:dyDescent="0.15">
      <c r="F33" t="s">
        <v>67</v>
      </c>
      <c r="G33" t="s">
        <v>151</v>
      </c>
      <c r="H33" t="s">
        <v>153</v>
      </c>
    </row>
    <row r="34" spans="6:8" x14ac:dyDescent="0.15">
      <c r="G34" t="s">
        <v>152</v>
      </c>
    </row>
    <row r="35" spans="6:8" x14ac:dyDescent="0.15">
      <c r="F35" t="s">
        <v>59</v>
      </c>
      <c r="G35" t="s">
        <v>154</v>
      </c>
      <c r="H35" t="s">
        <v>73</v>
      </c>
    </row>
    <row r="36" spans="6:8" x14ac:dyDescent="0.15">
      <c r="F36" t="s">
        <v>155</v>
      </c>
      <c r="G36" t="s">
        <v>156</v>
      </c>
      <c r="H36" t="s">
        <v>157</v>
      </c>
    </row>
    <row r="37" spans="6:8" x14ac:dyDescent="0.15">
      <c r="F37" t="s">
        <v>158</v>
      </c>
      <c r="G37" t="s">
        <v>159</v>
      </c>
      <c r="H37" t="s">
        <v>160</v>
      </c>
    </row>
    <row r="38" spans="6:8" x14ac:dyDescent="0.15">
      <c r="F38" t="s">
        <v>56</v>
      </c>
      <c r="G38" t="s">
        <v>161</v>
      </c>
      <c r="H38" t="s">
        <v>72</v>
      </c>
    </row>
    <row r="39" spans="6:8" x14ac:dyDescent="0.15">
      <c r="F39" t="s">
        <v>162</v>
      </c>
      <c r="G39" t="s">
        <v>163</v>
      </c>
      <c r="H39" t="s">
        <v>164</v>
      </c>
    </row>
    <row r="40" spans="6:8" x14ac:dyDescent="0.15">
      <c r="F40" t="s">
        <v>165</v>
      </c>
      <c r="G40" t="s">
        <v>166</v>
      </c>
      <c r="H40" t="s">
        <v>167</v>
      </c>
    </row>
    <row r="41" spans="6:8" x14ac:dyDescent="0.15">
      <c r="F41" t="s">
        <v>168</v>
      </c>
      <c r="G41" t="s">
        <v>169</v>
      </c>
      <c r="H41" t="s">
        <v>170</v>
      </c>
    </row>
    <row r="42" spans="6:8" x14ac:dyDescent="0.15">
      <c r="F42" t="s">
        <v>171</v>
      </c>
      <c r="G42" t="s">
        <v>172</v>
      </c>
      <c r="H42" t="s">
        <v>174</v>
      </c>
    </row>
    <row r="43" spans="6:8" x14ac:dyDescent="0.15">
      <c r="G43" t="s">
        <v>173</v>
      </c>
    </row>
    <row r="44" spans="6:8" x14ac:dyDescent="0.15">
      <c r="F44" t="s">
        <v>175</v>
      </c>
      <c r="G44" t="s">
        <v>176</v>
      </c>
      <c r="H44" t="s">
        <v>177</v>
      </c>
    </row>
    <row r="45" spans="6:8" x14ac:dyDescent="0.15">
      <c r="F45" t="s">
        <v>178</v>
      </c>
      <c r="G45" t="s">
        <v>179</v>
      </c>
      <c r="H45" t="s">
        <v>180</v>
      </c>
    </row>
    <row r="46" spans="6:8" x14ac:dyDescent="0.15">
      <c r="F46" t="s">
        <v>181</v>
      </c>
      <c r="G46" t="s">
        <v>182</v>
      </c>
      <c r="H46" t="s">
        <v>183</v>
      </c>
    </row>
    <row r="47" spans="6:8" x14ac:dyDescent="0.15">
      <c r="F47" t="s">
        <v>184</v>
      </c>
      <c r="G47" t="s">
        <v>185</v>
      </c>
      <c r="H47" t="s">
        <v>186</v>
      </c>
    </row>
    <row r="48" spans="6:8" x14ac:dyDescent="0.15">
      <c r="F48" t="s">
        <v>187</v>
      </c>
      <c r="G48" t="s">
        <v>188</v>
      </c>
      <c r="H48" t="s">
        <v>189</v>
      </c>
    </row>
    <row r="49" spans="6:8" x14ac:dyDescent="0.15">
      <c r="F49" t="s">
        <v>190</v>
      </c>
      <c r="G49" t="s">
        <v>191</v>
      </c>
      <c r="H49" t="s">
        <v>192</v>
      </c>
    </row>
    <row r="50" spans="6:8" x14ac:dyDescent="0.15">
      <c r="F50" t="s">
        <v>193</v>
      </c>
      <c r="G50" t="s">
        <v>194</v>
      </c>
      <c r="H50" t="s">
        <v>195</v>
      </c>
    </row>
    <row r="51" spans="6:8" x14ac:dyDescent="0.15">
      <c r="F51" t="s">
        <v>196</v>
      </c>
      <c r="G51" t="s">
        <v>197</v>
      </c>
      <c r="H51" t="s">
        <v>198</v>
      </c>
    </row>
    <row r="52" spans="6:8" x14ac:dyDescent="0.15">
      <c r="F52" t="s">
        <v>199</v>
      </c>
      <c r="G52" t="s">
        <v>199</v>
      </c>
      <c r="H52" t="s">
        <v>200</v>
      </c>
    </row>
    <row r="53" spans="6:8" x14ac:dyDescent="0.15">
      <c r="F53" t="s">
        <v>201</v>
      </c>
      <c r="G53" t="s">
        <v>202</v>
      </c>
      <c r="H53" t="s">
        <v>204</v>
      </c>
    </row>
    <row r="54" spans="6:8" x14ac:dyDescent="0.15">
      <c r="G54" t="s">
        <v>203</v>
      </c>
    </row>
    <row r="55" spans="6:8" x14ac:dyDescent="0.15">
      <c r="F55" t="s">
        <v>205</v>
      </c>
      <c r="G55" t="s">
        <v>206</v>
      </c>
      <c r="H55" t="s">
        <v>207</v>
      </c>
    </row>
    <row r="56" spans="6:8" x14ac:dyDescent="0.15">
      <c r="F56" t="s">
        <v>208</v>
      </c>
      <c r="G56" t="s">
        <v>209</v>
      </c>
      <c r="H56" t="s">
        <v>212</v>
      </c>
    </row>
    <row r="57" spans="6:8" x14ac:dyDescent="0.15">
      <c r="G57" t="s">
        <v>210</v>
      </c>
    </row>
    <row r="58" spans="6:8" x14ac:dyDescent="0.15">
      <c r="G58" t="s">
        <v>211</v>
      </c>
    </row>
    <row r="59" spans="6:8" x14ac:dyDescent="0.15">
      <c r="F59" t="s">
        <v>213</v>
      </c>
      <c r="G59" t="s">
        <v>214</v>
      </c>
      <c r="H59" t="s">
        <v>215</v>
      </c>
    </row>
    <row r="60" spans="6:8" x14ac:dyDescent="0.15">
      <c r="F60" t="s">
        <v>216</v>
      </c>
      <c r="G60" t="s">
        <v>217</v>
      </c>
      <c r="H60" t="s">
        <v>220</v>
      </c>
    </row>
    <row r="61" spans="6:8" x14ac:dyDescent="0.15">
      <c r="G61" t="s">
        <v>218</v>
      </c>
    </row>
    <row r="62" spans="6:8" x14ac:dyDescent="0.15">
      <c r="G62" t="s">
        <v>219</v>
      </c>
    </row>
    <row r="63" spans="6:8" x14ac:dyDescent="0.15">
      <c r="F63" t="s">
        <v>221</v>
      </c>
      <c r="G63" t="s">
        <v>222</v>
      </c>
      <c r="H63" t="s">
        <v>224</v>
      </c>
    </row>
    <row r="64" spans="6:8" x14ac:dyDescent="0.15">
      <c r="G64" t="s">
        <v>223</v>
      </c>
    </row>
    <row r="65" spans="6:8" x14ac:dyDescent="0.15">
      <c r="F65" t="s">
        <v>225</v>
      </c>
      <c r="G65" t="s">
        <v>226</v>
      </c>
      <c r="H65" t="s">
        <v>228</v>
      </c>
    </row>
    <row r="66" spans="6:8" x14ac:dyDescent="0.15">
      <c r="G66" t="s">
        <v>227</v>
      </c>
    </row>
    <row r="67" spans="6:8" x14ac:dyDescent="0.15">
      <c r="F67" t="s">
        <v>69</v>
      </c>
      <c r="G67" t="s">
        <v>229</v>
      </c>
      <c r="H67" t="s">
        <v>230</v>
      </c>
    </row>
    <row r="68" spans="6:8" x14ac:dyDescent="0.15">
      <c r="F68" t="s">
        <v>231</v>
      </c>
      <c r="G68" t="s">
        <v>232</v>
      </c>
      <c r="H68" t="s">
        <v>233</v>
      </c>
    </row>
    <row r="69" spans="6:8" x14ac:dyDescent="0.15">
      <c r="F69" t="s">
        <v>234</v>
      </c>
      <c r="G69" t="s">
        <v>235</v>
      </c>
      <c r="H69" t="s">
        <v>236</v>
      </c>
    </row>
    <row r="70" spans="6:8" x14ac:dyDescent="0.15">
      <c r="F70" t="s">
        <v>237</v>
      </c>
      <c r="G70" t="s">
        <v>238</v>
      </c>
      <c r="H70" t="s">
        <v>239</v>
      </c>
    </row>
    <row r="71" spans="6:8" x14ac:dyDescent="0.15">
      <c r="F71" t="s">
        <v>240</v>
      </c>
      <c r="G71" t="s">
        <v>241</v>
      </c>
      <c r="H71" t="s">
        <v>242</v>
      </c>
    </row>
    <row r="72" spans="6:8" x14ac:dyDescent="0.15">
      <c r="F72" t="s">
        <v>243</v>
      </c>
      <c r="G72" t="s">
        <v>244</v>
      </c>
      <c r="H72" t="s">
        <v>245</v>
      </c>
    </row>
    <row r="73" spans="6:8" x14ac:dyDescent="0.15">
      <c r="F73" t="s">
        <v>246</v>
      </c>
      <c r="G73" t="s">
        <v>247</v>
      </c>
      <c r="H73" t="s">
        <v>248</v>
      </c>
    </row>
    <row r="74" spans="6:8" x14ac:dyDescent="0.15">
      <c r="F74" t="s">
        <v>249</v>
      </c>
      <c r="G74" t="s">
        <v>250</v>
      </c>
      <c r="H74" t="s">
        <v>252</v>
      </c>
    </row>
    <row r="75" spans="6:8" x14ac:dyDescent="0.15">
      <c r="G75" t="s">
        <v>251</v>
      </c>
    </row>
    <row r="76" spans="6:8" x14ac:dyDescent="0.15">
      <c r="F76" t="s">
        <v>253</v>
      </c>
      <c r="G76" t="s">
        <v>254</v>
      </c>
      <c r="H76" t="s">
        <v>255</v>
      </c>
    </row>
    <row r="77" spans="6:8" x14ac:dyDescent="0.15">
      <c r="F77" t="s">
        <v>256</v>
      </c>
      <c r="G77" t="s">
        <v>257</v>
      </c>
      <c r="H77" t="s">
        <v>258</v>
      </c>
    </row>
    <row r="78" spans="6:8" x14ac:dyDescent="0.15">
      <c r="F78" t="s">
        <v>259</v>
      </c>
      <c r="G78" t="s">
        <v>260</v>
      </c>
      <c r="H78" t="s">
        <v>261</v>
      </c>
    </row>
    <row r="79" spans="6:8" x14ac:dyDescent="0.15">
      <c r="F79" t="s">
        <v>262</v>
      </c>
      <c r="G79" t="s">
        <v>263</v>
      </c>
      <c r="H79" t="s">
        <v>264</v>
      </c>
    </row>
    <row r="80" spans="6:8" x14ac:dyDescent="0.15">
      <c r="F80" t="s">
        <v>265</v>
      </c>
      <c r="G80" t="s">
        <v>266</v>
      </c>
      <c r="H80" t="s">
        <v>268</v>
      </c>
    </row>
    <row r="81" spans="6:8" x14ac:dyDescent="0.15">
      <c r="G81" t="s">
        <v>267</v>
      </c>
    </row>
    <row r="82" spans="6:8" x14ac:dyDescent="0.15">
      <c r="F82" t="s">
        <v>269</v>
      </c>
      <c r="G82" t="s">
        <v>271</v>
      </c>
      <c r="H82" t="s">
        <v>272</v>
      </c>
    </row>
    <row r="83" spans="6:8" x14ac:dyDescent="0.15">
      <c r="F83" t="s">
        <v>270</v>
      </c>
    </row>
    <row r="84" spans="6:8" x14ac:dyDescent="0.15">
      <c r="F84" t="s">
        <v>273</v>
      </c>
      <c r="G84" t="s">
        <v>274</v>
      </c>
      <c r="H84" t="s">
        <v>275</v>
      </c>
    </row>
    <row r="85" spans="6:8" x14ac:dyDescent="0.15">
      <c r="F85" t="s">
        <v>276</v>
      </c>
      <c r="G85" t="s">
        <v>277</v>
      </c>
      <c r="H85" t="s">
        <v>278</v>
      </c>
    </row>
    <row r="86" spans="6:8" x14ac:dyDescent="0.15">
      <c r="F86" t="s">
        <v>279</v>
      </c>
      <c r="G86" t="s">
        <v>280</v>
      </c>
      <c r="H86" t="s">
        <v>282</v>
      </c>
    </row>
    <row r="87" spans="6:8" x14ac:dyDescent="0.15">
      <c r="G87" t="s">
        <v>281</v>
      </c>
    </row>
    <row r="88" spans="6:8" x14ac:dyDescent="0.15">
      <c r="F88" t="s">
        <v>283</v>
      </c>
      <c r="G88" t="s">
        <v>284</v>
      </c>
      <c r="H88" t="s">
        <v>285</v>
      </c>
    </row>
    <row r="89" spans="6:8" x14ac:dyDescent="0.15">
      <c r="F89" t="s">
        <v>286</v>
      </c>
      <c r="G89" t="s">
        <v>287</v>
      </c>
      <c r="H89" t="s">
        <v>289</v>
      </c>
    </row>
    <row r="90" spans="6:8" x14ac:dyDescent="0.15">
      <c r="G90" t="s">
        <v>288</v>
      </c>
    </row>
    <row r="91" spans="6:8" x14ac:dyDescent="0.15">
      <c r="F91" t="s">
        <v>290</v>
      </c>
      <c r="G91" t="s">
        <v>291</v>
      </c>
      <c r="H91" t="s">
        <v>292</v>
      </c>
    </row>
    <row r="92" spans="6:8" x14ac:dyDescent="0.15">
      <c r="F92" t="s">
        <v>293</v>
      </c>
      <c r="G92" t="s">
        <v>294</v>
      </c>
      <c r="H92" t="s">
        <v>295</v>
      </c>
    </row>
    <row r="93" spans="6:8" x14ac:dyDescent="0.15">
      <c r="F93" t="s">
        <v>296</v>
      </c>
      <c r="G93" t="s">
        <v>298</v>
      </c>
      <c r="H93" t="s">
        <v>300</v>
      </c>
    </row>
    <row r="94" spans="6:8" x14ac:dyDescent="0.15">
      <c r="F94" t="s">
        <v>297</v>
      </c>
      <c r="G94" t="s">
        <v>299</v>
      </c>
    </row>
    <row r="95" spans="6:8" x14ac:dyDescent="0.15">
      <c r="F95" t="s">
        <v>61</v>
      </c>
      <c r="G95" t="s">
        <v>301</v>
      </c>
      <c r="H95" t="s">
        <v>302</v>
      </c>
    </row>
    <row r="96" spans="6:8" x14ac:dyDescent="0.15">
      <c r="F96" t="s">
        <v>303</v>
      </c>
      <c r="G96" t="s">
        <v>304</v>
      </c>
      <c r="H96" t="s">
        <v>306</v>
      </c>
    </row>
    <row r="97" spans="6:8" x14ac:dyDescent="0.15">
      <c r="G97" t="s">
        <v>305</v>
      </c>
    </row>
    <row r="98" spans="6:8" x14ac:dyDescent="0.15">
      <c r="F98" t="s">
        <v>307</v>
      </c>
      <c r="G98" t="s">
        <v>308</v>
      </c>
      <c r="H98" t="s">
        <v>309</v>
      </c>
    </row>
    <row r="99" spans="6:8" x14ac:dyDescent="0.15">
      <c r="F99" t="s">
        <v>310</v>
      </c>
      <c r="G99" t="s">
        <v>311</v>
      </c>
      <c r="H99" t="s">
        <v>313</v>
      </c>
    </row>
    <row r="100" spans="6:8" x14ac:dyDescent="0.15">
      <c r="G100" t="s">
        <v>312</v>
      </c>
    </row>
    <row r="101" spans="6:8" x14ac:dyDescent="0.15">
      <c r="F101" t="s">
        <v>314</v>
      </c>
      <c r="G101" t="s">
        <v>315</v>
      </c>
      <c r="H101" t="s">
        <v>316</v>
      </c>
    </row>
    <row r="102" spans="6:8" x14ac:dyDescent="0.15">
      <c r="F102" t="s">
        <v>317</v>
      </c>
      <c r="G102" t="s">
        <v>318</v>
      </c>
      <c r="H102" t="s">
        <v>319</v>
      </c>
    </row>
    <row r="103" spans="6:8" x14ac:dyDescent="0.15">
      <c r="F103" t="s">
        <v>320</v>
      </c>
      <c r="G103" t="s">
        <v>321</v>
      </c>
      <c r="H103" t="s">
        <v>322</v>
      </c>
    </row>
    <row r="104" spans="6:8" x14ac:dyDescent="0.15">
      <c r="F104" t="s">
        <v>323</v>
      </c>
      <c r="G104" t="s">
        <v>324</v>
      </c>
      <c r="H104" t="s">
        <v>326</v>
      </c>
    </row>
    <row r="105" spans="6:8" x14ac:dyDescent="0.15">
      <c r="G105" t="s">
        <v>325</v>
      </c>
    </row>
    <row r="106" spans="6:8" x14ac:dyDescent="0.15">
      <c r="F106" t="s">
        <v>327</v>
      </c>
      <c r="G106" t="s">
        <v>328</v>
      </c>
      <c r="H106" t="s">
        <v>330</v>
      </c>
    </row>
    <row r="107" spans="6:8" x14ac:dyDescent="0.15">
      <c r="G107" t="s">
        <v>329</v>
      </c>
    </row>
    <row r="108" spans="6:8" x14ac:dyDescent="0.15">
      <c r="F108" t="s">
        <v>331</v>
      </c>
      <c r="G108" t="s">
        <v>332</v>
      </c>
      <c r="H108" t="s">
        <v>333</v>
      </c>
    </row>
    <row r="109" spans="6:8" x14ac:dyDescent="0.15">
      <c r="F109" t="s">
        <v>334</v>
      </c>
      <c r="G109" t="s">
        <v>335</v>
      </c>
      <c r="H109" t="s">
        <v>336</v>
      </c>
    </row>
    <row r="110" spans="6:8" x14ac:dyDescent="0.15">
      <c r="F110" t="s">
        <v>337</v>
      </c>
      <c r="G110" t="s">
        <v>338</v>
      </c>
      <c r="H110" t="s">
        <v>340</v>
      </c>
    </row>
    <row r="111" spans="6:8" x14ac:dyDescent="0.15">
      <c r="G111" t="s">
        <v>339</v>
      </c>
    </row>
    <row r="112" spans="6:8" x14ac:dyDescent="0.15">
      <c r="F112" t="s">
        <v>341</v>
      </c>
      <c r="G112" t="s">
        <v>342</v>
      </c>
      <c r="H112" t="s">
        <v>343</v>
      </c>
    </row>
    <row r="113" spans="6:8" x14ac:dyDescent="0.15">
      <c r="F113" t="s">
        <v>344</v>
      </c>
      <c r="G113" t="s">
        <v>345</v>
      </c>
      <c r="H113" t="s">
        <v>346</v>
      </c>
    </row>
    <row r="114" spans="6:8" x14ac:dyDescent="0.15">
      <c r="F114" t="s">
        <v>347</v>
      </c>
      <c r="G114" t="s">
        <v>348</v>
      </c>
      <c r="H114" t="s">
        <v>349</v>
      </c>
    </row>
    <row r="115" spans="6:8" x14ac:dyDescent="0.15">
      <c r="F115" t="s">
        <v>350</v>
      </c>
      <c r="G115" t="s">
        <v>351</v>
      </c>
      <c r="H115" t="s">
        <v>352</v>
      </c>
    </row>
    <row r="116" spans="6:8" x14ac:dyDescent="0.15">
      <c r="F116" t="s">
        <v>353</v>
      </c>
      <c r="G116" t="s">
        <v>354</v>
      </c>
      <c r="H116" t="s">
        <v>355</v>
      </c>
    </row>
    <row r="117" spans="6:8" x14ac:dyDescent="0.15">
      <c r="F117" t="s">
        <v>356</v>
      </c>
      <c r="G117" t="s">
        <v>357</v>
      </c>
      <c r="H117" t="s">
        <v>360</v>
      </c>
    </row>
    <row r="118" spans="6:8" x14ac:dyDescent="0.15">
      <c r="G118" t="s">
        <v>358</v>
      </c>
    </row>
    <row r="119" spans="6:8" x14ac:dyDescent="0.15">
      <c r="G119" t="s">
        <v>359</v>
      </c>
    </row>
    <row r="120" spans="6:8" x14ac:dyDescent="0.15">
      <c r="F120" t="s">
        <v>361</v>
      </c>
      <c r="G120" t="s">
        <v>362</v>
      </c>
      <c r="H120" t="s">
        <v>363</v>
      </c>
    </row>
    <row r="121" spans="6:8" x14ac:dyDescent="0.15">
      <c r="F121" t="s">
        <v>364</v>
      </c>
      <c r="G121" t="s">
        <v>365</v>
      </c>
      <c r="H121" t="s">
        <v>366</v>
      </c>
    </row>
    <row r="122" spans="6:8" x14ac:dyDescent="0.15">
      <c r="F122" t="s">
        <v>367</v>
      </c>
      <c r="G122" t="s">
        <v>368</v>
      </c>
      <c r="H122" t="s">
        <v>369</v>
      </c>
    </row>
    <row r="123" spans="6:8" x14ac:dyDescent="0.15">
      <c r="F123" t="s">
        <v>63</v>
      </c>
      <c r="G123" t="s">
        <v>370</v>
      </c>
      <c r="H123" t="s">
        <v>371</v>
      </c>
    </row>
    <row r="124" spans="6:8" x14ac:dyDescent="0.15">
      <c r="F124" t="s">
        <v>372</v>
      </c>
      <c r="G124" t="s">
        <v>373</v>
      </c>
      <c r="H124" t="s">
        <v>374</v>
      </c>
    </row>
    <row r="125" spans="6:8" x14ac:dyDescent="0.15">
      <c r="F125" t="s">
        <v>375</v>
      </c>
      <c r="G125" t="s">
        <v>376</v>
      </c>
      <c r="H125" t="s">
        <v>379</v>
      </c>
    </row>
    <row r="126" spans="6:8" x14ac:dyDescent="0.15">
      <c r="G126" t="s">
        <v>377</v>
      </c>
    </row>
    <row r="127" spans="6:8" x14ac:dyDescent="0.15">
      <c r="G127" t="s">
        <v>378</v>
      </c>
    </row>
    <row r="128" spans="6:8" x14ac:dyDescent="0.15">
      <c r="F128" t="s">
        <v>380</v>
      </c>
      <c r="G128" t="s">
        <v>381</v>
      </c>
      <c r="H128" t="s">
        <v>382</v>
      </c>
    </row>
    <row r="129" spans="6:8" x14ac:dyDescent="0.15">
      <c r="F129" t="s">
        <v>383</v>
      </c>
      <c r="G129" t="s">
        <v>384</v>
      </c>
      <c r="H129" t="s">
        <v>385</v>
      </c>
    </row>
    <row r="130" spans="6:8" x14ac:dyDescent="0.15">
      <c r="F130" t="s">
        <v>386</v>
      </c>
      <c r="G130" t="s">
        <v>387</v>
      </c>
      <c r="H130" t="s">
        <v>388</v>
      </c>
    </row>
    <row r="131" spans="6:8" x14ac:dyDescent="0.15">
      <c r="F131" t="s">
        <v>389</v>
      </c>
      <c r="G131" t="s">
        <v>390</v>
      </c>
      <c r="H131" t="s">
        <v>391</v>
      </c>
    </row>
    <row r="132" spans="6:8" x14ac:dyDescent="0.15">
      <c r="F132" t="s">
        <v>392</v>
      </c>
      <c r="G132" t="s">
        <v>393</v>
      </c>
      <c r="H132" t="s">
        <v>394</v>
      </c>
    </row>
    <row r="133" spans="6:8" x14ac:dyDescent="0.15">
      <c r="F133" t="s">
        <v>395</v>
      </c>
      <c r="G133" t="s">
        <v>396</v>
      </c>
      <c r="H133" t="s">
        <v>397</v>
      </c>
    </row>
    <row r="134" spans="6:8" x14ac:dyDescent="0.15">
      <c r="F134" t="s">
        <v>398</v>
      </c>
      <c r="G134" t="s">
        <v>399</v>
      </c>
      <c r="H134" t="s">
        <v>400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5"/>
  <sheetViews>
    <sheetView workbookViewId="0">
      <selection activeCell="C26" sqref="C26"/>
    </sheetView>
  </sheetViews>
  <sheetFormatPr defaultRowHeight="13.5" x14ac:dyDescent="0.15"/>
  <sheetData>
    <row r="1" spans="1:3" x14ac:dyDescent="0.15">
      <c r="A1" t="s">
        <v>6</v>
      </c>
      <c r="B1" t="s">
        <v>7</v>
      </c>
      <c r="C1" t="s">
        <v>42</v>
      </c>
    </row>
    <row r="2" spans="1:3" x14ac:dyDescent="0.15">
      <c r="A2">
        <v>0</v>
      </c>
      <c r="B2" t="s">
        <v>32</v>
      </c>
      <c r="C2" t="s">
        <v>21</v>
      </c>
    </row>
    <row r="3" spans="1:3" x14ac:dyDescent="0.15">
      <c r="A3">
        <v>1</v>
      </c>
      <c r="B3" t="s">
        <v>31</v>
      </c>
      <c r="C3" t="s">
        <v>22</v>
      </c>
    </row>
    <row r="4" spans="1:3" x14ac:dyDescent="0.15">
      <c r="A4">
        <v>2</v>
      </c>
      <c r="B4" t="s">
        <v>30</v>
      </c>
      <c r="C4" t="s">
        <v>23</v>
      </c>
    </row>
    <row r="5" spans="1:3" x14ac:dyDescent="0.15">
      <c r="A5">
        <v>3</v>
      </c>
      <c r="B5" t="s">
        <v>8</v>
      </c>
      <c r="C5" t="s">
        <v>24</v>
      </c>
    </row>
    <row r="6" spans="1:3" x14ac:dyDescent="0.15">
      <c r="A6">
        <v>4</v>
      </c>
      <c r="B6" t="s">
        <v>10</v>
      </c>
      <c r="C6" t="s">
        <v>25</v>
      </c>
    </row>
    <row r="7" spans="1:3" x14ac:dyDescent="0.15">
      <c r="A7">
        <v>5</v>
      </c>
      <c r="B7" t="s">
        <v>15</v>
      </c>
      <c r="C7" t="s">
        <v>26</v>
      </c>
    </row>
    <row r="8" spans="1:3" x14ac:dyDescent="0.15">
      <c r="A8">
        <v>6</v>
      </c>
      <c r="B8" t="s">
        <v>16</v>
      </c>
      <c r="C8" t="s">
        <v>27</v>
      </c>
    </row>
    <row r="9" spans="1:3" x14ac:dyDescent="0.15">
      <c r="A9">
        <v>7</v>
      </c>
      <c r="B9" t="s">
        <v>17</v>
      </c>
      <c r="C9" t="s">
        <v>28</v>
      </c>
    </row>
    <row r="10" spans="1:3" x14ac:dyDescent="0.15">
      <c r="A10">
        <v>8</v>
      </c>
      <c r="B10" t="s">
        <v>18</v>
      </c>
      <c r="C10" t="s">
        <v>29</v>
      </c>
    </row>
    <row r="11" spans="1:3" x14ac:dyDescent="0.15">
      <c r="A11">
        <v>9</v>
      </c>
      <c r="B11" t="s">
        <v>33</v>
      </c>
      <c r="C11" t="s">
        <v>34</v>
      </c>
    </row>
    <row r="12" spans="1:3" x14ac:dyDescent="0.15">
      <c r="A12">
        <v>10</v>
      </c>
      <c r="B12" t="s">
        <v>35</v>
      </c>
      <c r="C12" t="s">
        <v>36</v>
      </c>
    </row>
    <row r="13" spans="1:3" x14ac:dyDescent="0.15">
      <c r="A13">
        <v>11</v>
      </c>
      <c r="B13" t="s">
        <v>38</v>
      </c>
      <c r="C13" t="s">
        <v>39</v>
      </c>
    </row>
    <row r="14" spans="1:3" x14ac:dyDescent="0.15">
      <c r="A14">
        <v>12</v>
      </c>
      <c r="B14" t="s">
        <v>40</v>
      </c>
      <c r="C14" t="s">
        <v>41</v>
      </c>
    </row>
    <row r="15" spans="1:3" x14ac:dyDescent="0.15">
      <c r="A15">
        <v>13</v>
      </c>
      <c r="B15" t="s">
        <v>43</v>
      </c>
      <c r="C15" t="s">
        <v>44</v>
      </c>
    </row>
    <row r="16" spans="1:3" x14ac:dyDescent="0.15">
      <c r="A16">
        <v>14</v>
      </c>
      <c r="B16" t="s">
        <v>45</v>
      </c>
      <c r="C16" t="s">
        <v>46</v>
      </c>
    </row>
    <row r="17" spans="1:3" x14ac:dyDescent="0.15">
      <c r="A17">
        <v>15</v>
      </c>
      <c r="B17" t="s">
        <v>47</v>
      </c>
      <c r="C17" t="s">
        <v>48</v>
      </c>
    </row>
    <row r="18" spans="1:3" x14ac:dyDescent="0.15">
      <c r="A18">
        <v>16</v>
      </c>
      <c r="B18" t="s">
        <v>50</v>
      </c>
      <c r="C18" t="s">
        <v>51</v>
      </c>
    </row>
    <row r="19" spans="1:3" x14ac:dyDescent="0.15">
      <c r="A19">
        <v>17</v>
      </c>
      <c r="B19" t="s">
        <v>52</v>
      </c>
      <c r="C19" t="s">
        <v>54</v>
      </c>
    </row>
    <row r="20" spans="1:3" x14ac:dyDescent="0.15">
      <c r="A20">
        <v>18</v>
      </c>
      <c r="B20" t="s">
        <v>53</v>
      </c>
      <c r="C20" t="s">
        <v>55</v>
      </c>
    </row>
    <row r="21" spans="1:3" x14ac:dyDescent="0.15">
      <c r="A21">
        <v>19</v>
      </c>
      <c r="B21" t="s">
        <v>407</v>
      </c>
      <c r="C21" t="s">
        <v>408</v>
      </c>
    </row>
    <row r="22" spans="1:3" x14ac:dyDescent="0.15">
      <c r="A22">
        <v>20</v>
      </c>
      <c r="B22" t="s">
        <v>425</v>
      </c>
      <c r="C22" t="s">
        <v>424</v>
      </c>
    </row>
    <row r="23" spans="1:3" x14ac:dyDescent="0.15">
      <c r="A23">
        <v>21</v>
      </c>
      <c r="B23" t="s">
        <v>426</v>
      </c>
      <c r="C23" t="s">
        <v>454</v>
      </c>
    </row>
    <row r="24" spans="1:3" x14ac:dyDescent="0.15">
      <c r="A24">
        <v>22</v>
      </c>
      <c r="B24" t="s">
        <v>455</v>
      </c>
      <c r="C24" t="s">
        <v>456</v>
      </c>
    </row>
    <row r="25" spans="1:3" x14ac:dyDescent="0.15">
      <c r="A25">
        <v>23</v>
      </c>
      <c r="B25" t="s">
        <v>511</v>
      </c>
      <c r="C25" t="s">
        <v>512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B2"/>
  <sheetViews>
    <sheetView workbookViewId="0">
      <selection activeCell="E9" sqref="E9"/>
    </sheetView>
  </sheetViews>
  <sheetFormatPr defaultColWidth="9.125" defaultRowHeight="24.95" customHeight="1" x14ac:dyDescent="0.15"/>
  <sheetData>
    <row r="2" spans="1:2" ht="24.95" customHeight="1" x14ac:dyDescent="0.15">
      <c r="A2" t="s">
        <v>11</v>
      </c>
      <c r="B2" t="s">
        <v>12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287"/>
  <sheetViews>
    <sheetView topLeftCell="A250" zoomScale="73" zoomScaleNormal="73" workbookViewId="0">
      <selection activeCell="A2" sqref="A2:XFD287"/>
    </sheetView>
  </sheetViews>
  <sheetFormatPr defaultRowHeight="13.5" x14ac:dyDescent="0.15"/>
  <cols>
    <col min="6" max="6" width="41.75" customWidth="1"/>
  </cols>
  <sheetData>
    <row r="1" spans="1:9" hidden="1" x14ac:dyDescent="0.15"/>
    <row r="2" spans="1:9" x14ac:dyDescent="0.15">
      <c r="A2">
        <f>A1</f>
        <v>0</v>
      </c>
      <c r="B2">
        <f>B1+1</f>
        <v>1</v>
      </c>
      <c r="C2">
        <v>1</v>
      </c>
      <c r="D2">
        <v>1</v>
      </c>
      <c r="E2" t="str">
        <f>VLOOKUP(D2,name!A:B,2,1)</f>
        <v>Navigator</v>
      </c>
      <c r="F2" t="s">
        <v>14</v>
      </c>
      <c r="G2" t="str">
        <f t="shared" ref="G2" si="0">IF(B2&lt;&gt;B3,"e",IF(D2=0,"q","a"))</f>
        <v>a</v>
      </c>
      <c r="H2" t="str">
        <f>VLOOKUP(D2,name!A:C,3,1)</f>
        <v>assets/icons/image014.png</v>
      </c>
      <c r="I2" t="e">
        <f>IF(A2="","",VLOOKUP(A2,lng!A:B,2,0))</f>
        <v>#N/A</v>
      </c>
    </row>
    <row r="3" spans="1:9" x14ac:dyDescent="0.15">
      <c r="A3">
        <f t="shared" ref="A3:A101" si="1">A2</f>
        <v>0</v>
      </c>
      <c r="B3">
        <f>B2</f>
        <v>1</v>
      </c>
      <c r="C3">
        <f>C2+1</f>
        <v>2</v>
      </c>
      <c r="D3">
        <v>1</v>
      </c>
      <c r="E3" t="str">
        <f>VLOOKUP(D3,name!A:B,2,1)</f>
        <v>Navigator</v>
      </c>
      <c r="F3" t="str">
        <f>"レッスン"&amp;B3</f>
        <v>レッスン1</v>
      </c>
      <c r="G3" t="str">
        <f t="shared" ref="G3:G287" si="2">IF(B3&lt;&gt;B4,"e",IF(D3=0,"q","a"))</f>
        <v>a</v>
      </c>
      <c r="H3" t="str">
        <f>VLOOKUP(D3,name!A:C,3,1)</f>
        <v>assets/icons/image014.png</v>
      </c>
      <c r="I3" t="s">
        <v>403</v>
      </c>
    </row>
    <row r="4" spans="1:9" ht="40.5" x14ac:dyDescent="0.15">
      <c r="A4">
        <f t="shared" si="1"/>
        <v>0</v>
      </c>
      <c r="B4">
        <f t="shared" ref="B4:B106" si="3">B3</f>
        <v>1</v>
      </c>
      <c r="C4">
        <f t="shared" ref="C4:C106" si="4">C3+1</f>
        <v>3</v>
      </c>
      <c r="D4">
        <v>1</v>
      </c>
      <c r="E4" t="str">
        <f>VLOOKUP(D4,name!A:B,2,1)</f>
        <v>Navigator</v>
      </c>
      <c r="F4" s="1" t="str">
        <f>"まずは対話文を流します。その後に、日本語と"&amp;A4&amp;"を一文ずつ流すので"&amp;A4&amp;"を真似して下さい。最後に日本語のみを流すので、"&amp;A4&amp;"で答えてください。"</f>
        <v>まずは対話文を流します。その後に、日本語と0を一文ずつ流すので0を真似して下さい。最後に日本語のみを流すので、0で答えてください。</v>
      </c>
      <c r="G4" t="str">
        <f>IF(B4&lt;&gt;B84,"e",IF(D4=0,"q","a"))</f>
        <v>a</v>
      </c>
      <c r="H4" t="str">
        <f>VLOOKUP(D4,name!A:C,3,1)</f>
        <v>assets/icons/image014.png</v>
      </c>
      <c r="I4" t="s">
        <v>404</v>
      </c>
    </row>
    <row r="5" spans="1:9" x14ac:dyDescent="0.15">
      <c r="A5">
        <f t="shared" si="1"/>
        <v>0</v>
      </c>
      <c r="B5">
        <f t="shared" si="3"/>
        <v>1</v>
      </c>
      <c r="C5">
        <f t="shared" si="4"/>
        <v>4</v>
      </c>
      <c r="D5">
        <f>D6</f>
        <v>0</v>
      </c>
      <c r="E5" t="str">
        <f>VLOOKUP(D5,name!A:B,2,1)</f>
        <v>Player</v>
      </c>
      <c r="F5">
        <f>F6</f>
        <v>0</v>
      </c>
      <c r="G5" t="str">
        <f t="shared" ref="G5:G68" si="5">IF(B5&lt;&gt;B6,"e",IF(D5=0,"q","a"))</f>
        <v>q</v>
      </c>
      <c r="H5" t="str">
        <f>VLOOKUP(D5,name!A:C,3,1)</f>
        <v>assets/icons/image326.png</v>
      </c>
      <c r="I5" t="s">
        <v>405</v>
      </c>
    </row>
    <row r="6" spans="1:9" x14ac:dyDescent="0.15">
      <c r="A6">
        <f t="shared" si="1"/>
        <v>0</v>
      </c>
      <c r="B6">
        <f t="shared" si="3"/>
        <v>1</v>
      </c>
      <c r="C6">
        <f t="shared" si="4"/>
        <v>5</v>
      </c>
      <c r="D6">
        <f t="shared" ref="D6:F69" si="6">D7</f>
        <v>0</v>
      </c>
      <c r="E6" t="str">
        <f>VLOOKUP(D6,name!A:B,2,1)</f>
        <v>Player</v>
      </c>
      <c r="F6">
        <f t="shared" si="6"/>
        <v>0</v>
      </c>
      <c r="G6" t="str">
        <f t="shared" si="5"/>
        <v>q</v>
      </c>
      <c r="H6" t="str">
        <f>VLOOKUP(D6,name!A:C,3,1)</f>
        <v>assets/icons/image326.png</v>
      </c>
      <c r="I6" t="e">
        <f>IF(A6="","",VLOOKUP(A6,lng!A:B,2,0))</f>
        <v>#N/A</v>
      </c>
    </row>
    <row r="7" spans="1:9" x14ac:dyDescent="0.15">
      <c r="A7">
        <f t="shared" si="1"/>
        <v>0</v>
      </c>
      <c r="B7">
        <f t="shared" si="3"/>
        <v>1</v>
      </c>
      <c r="C7">
        <f t="shared" si="4"/>
        <v>6</v>
      </c>
      <c r="D7">
        <f t="shared" si="6"/>
        <v>0</v>
      </c>
      <c r="E7" t="str">
        <f>VLOOKUP(D7,name!A:B,2,1)</f>
        <v>Player</v>
      </c>
      <c r="F7">
        <f t="shared" si="6"/>
        <v>0</v>
      </c>
      <c r="G7" t="str">
        <f t="shared" si="5"/>
        <v>q</v>
      </c>
      <c r="H7" t="str">
        <f>VLOOKUP(D7,name!A:C,3,1)</f>
        <v>assets/icons/image326.png</v>
      </c>
      <c r="I7" t="s">
        <v>405</v>
      </c>
    </row>
    <row r="8" spans="1:9" x14ac:dyDescent="0.15">
      <c r="A8">
        <f t="shared" si="1"/>
        <v>0</v>
      </c>
      <c r="B8">
        <f t="shared" si="3"/>
        <v>1</v>
      </c>
      <c r="C8">
        <f t="shared" si="4"/>
        <v>7</v>
      </c>
      <c r="D8">
        <f t="shared" si="6"/>
        <v>0</v>
      </c>
      <c r="E8" t="str">
        <f>VLOOKUP(D8,name!A:B,2,1)</f>
        <v>Player</v>
      </c>
      <c r="F8">
        <f t="shared" si="6"/>
        <v>0</v>
      </c>
      <c r="G8" t="str">
        <f t="shared" si="5"/>
        <v>q</v>
      </c>
      <c r="H8" t="str">
        <f>VLOOKUP(D8,name!A:C,3,1)</f>
        <v>assets/icons/image326.png</v>
      </c>
      <c r="I8" t="e">
        <f>IF(A8="","",VLOOKUP(A8,lng!A:B,2,0))</f>
        <v>#N/A</v>
      </c>
    </row>
    <row r="9" spans="1:9" x14ac:dyDescent="0.15">
      <c r="A9">
        <f t="shared" si="1"/>
        <v>0</v>
      </c>
      <c r="B9">
        <f t="shared" si="3"/>
        <v>1</v>
      </c>
      <c r="C9">
        <f t="shared" si="4"/>
        <v>8</v>
      </c>
      <c r="D9">
        <f t="shared" si="6"/>
        <v>0</v>
      </c>
      <c r="E9" t="str">
        <f>VLOOKUP(D9,name!A:B,2,1)</f>
        <v>Player</v>
      </c>
      <c r="F9">
        <f t="shared" si="6"/>
        <v>0</v>
      </c>
      <c r="G9" t="str">
        <f t="shared" si="5"/>
        <v>q</v>
      </c>
      <c r="H9" t="str">
        <f>VLOOKUP(D9,name!A:C,3,1)</f>
        <v>assets/icons/image326.png</v>
      </c>
      <c r="I9" t="s">
        <v>405</v>
      </c>
    </row>
    <row r="10" spans="1:9" x14ac:dyDescent="0.15">
      <c r="A10">
        <f t="shared" si="1"/>
        <v>0</v>
      </c>
      <c r="B10">
        <f t="shared" si="3"/>
        <v>1</v>
      </c>
      <c r="C10">
        <f t="shared" si="4"/>
        <v>9</v>
      </c>
      <c r="D10">
        <f t="shared" si="6"/>
        <v>0</v>
      </c>
      <c r="E10" t="str">
        <f>VLOOKUP(D10,name!A:B,2,1)</f>
        <v>Player</v>
      </c>
      <c r="F10">
        <f t="shared" si="6"/>
        <v>0</v>
      </c>
      <c r="G10" t="str">
        <f t="shared" si="5"/>
        <v>q</v>
      </c>
      <c r="H10" t="str">
        <f>VLOOKUP(D10,name!A:C,3,1)</f>
        <v>assets/icons/image326.png</v>
      </c>
      <c r="I10" t="e">
        <f>IF(A10="","",VLOOKUP(A10,lng!A:B,2,0))</f>
        <v>#N/A</v>
      </c>
    </row>
    <row r="11" spans="1:9" x14ac:dyDescent="0.15">
      <c r="A11">
        <f t="shared" si="1"/>
        <v>0</v>
      </c>
      <c r="B11">
        <f t="shared" si="3"/>
        <v>1</v>
      </c>
      <c r="C11">
        <f t="shared" si="4"/>
        <v>10</v>
      </c>
      <c r="D11">
        <f t="shared" si="6"/>
        <v>0</v>
      </c>
      <c r="E11" t="str">
        <f>VLOOKUP(D11,name!A:B,2,1)</f>
        <v>Player</v>
      </c>
      <c r="F11">
        <f t="shared" si="6"/>
        <v>0</v>
      </c>
      <c r="G11" t="str">
        <f t="shared" si="5"/>
        <v>q</v>
      </c>
      <c r="H11" t="str">
        <f>VLOOKUP(D11,name!A:C,3,1)</f>
        <v>assets/icons/image326.png</v>
      </c>
      <c r="I11" t="s">
        <v>405</v>
      </c>
    </row>
    <row r="12" spans="1:9" x14ac:dyDescent="0.15">
      <c r="A12">
        <f t="shared" si="1"/>
        <v>0</v>
      </c>
      <c r="B12">
        <f t="shared" si="3"/>
        <v>1</v>
      </c>
      <c r="C12">
        <f t="shared" si="4"/>
        <v>11</v>
      </c>
      <c r="D12">
        <f t="shared" si="6"/>
        <v>0</v>
      </c>
      <c r="E12" t="str">
        <f>VLOOKUP(D12,name!A:B,2,1)</f>
        <v>Player</v>
      </c>
      <c r="F12">
        <f t="shared" si="6"/>
        <v>0</v>
      </c>
      <c r="G12" t="str">
        <f t="shared" si="5"/>
        <v>q</v>
      </c>
      <c r="H12" t="str">
        <f>VLOOKUP(D12,name!A:C,3,1)</f>
        <v>assets/icons/image326.png</v>
      </c>
      <c r="I12" t="e">
        <f>IF(A12="","",VLOOKUP(A12,lng!A:B,2,0))</f>
        <v>#N/A</v>
      </c>
    </row>
    <row r="13" spans="1:9" x14ac:dyDescent="0.15">
      <c r="A13">
        <f t="shared" si="1"/>
        <v>0</v>
      </c>
      <c r="B13">
        <f t="shared" si="3"/>
        <v>1</v>
      </c>
      <c r="C13">
        <f t="shared" si="4"/>
        <v>12</v>
      </c>
      <c r="D13">
        <f t="shared" si="6"/>
        <v>0</v>
      </c>
      <c r="E13" t="str">
        <f>VLOOKUP(D13,name!A:B,2,1)</f>
        <v>Player</v>
      </c>
      <c r="F13">
        <f t="shared" si="6"/>
        <v>0</v>
      </c>
      <c r="G13" t="str">
        <f t="shared" si="5"/>
        <v>q</v>
      </c>
      <c r="H13" t="str">
        <f>VLOOKUP(D13,name!A:C,3,1)</f>
        <v>assets/icons/image326.png</v>
      </c>
      <c r="I13" t="s">
        <v>405</v>
      </c>
    </row>
    <row r="14" spans="1:9" x14ac:dyDescent="0.15">
      <c r="A14">
        <f t="shared" si="1"/>
        <v>0</v>
      </c>
      <c r="B14">
        <f t="shared" si="3"/>
        <v>1</v>
      </c>
      <c r="C14">
        <f t="shared" si="4"/>
        <v>13</v>
      </c>
      <c r="D14">
        <f t="shared" si="6"/>
        <v>0</v>
      </c>
      <c r="E14" t="str">
        <f>VLOOKUP(D14,name!A:B,2,1)</f>
        <v>Player</v>
      </c>
      <c r="F14">
        <f t="shared" si="6"/>
        <v>0</v>
      </c>
      <c r="G14" t="str">
        <f t="shared" si="5"/>
        <v>q</v>
      </c>
      <c r="H14" t="str">
        <f>VLOOKUP(D14,name!A:C,3,1)</f>
        <v>assets/icons/image326.png</v>
      </c>
      <c r="I14" t="e">
        <f>IF(A14="","",VLOOKUP(A14,lng!A:B,2,0))</f>
        <v>#N/A</v>
      </c>
    </row>
    <row r="15" spans="1:9" x14ac:dyDescent="0.15">
      <c r="A15">
        <f t="shared" si="1"/>
        <v>0</v>
      </c>
      <c r="B15">
        <f t="shared" si="3"/>
        <v>1</v>
      </c>
      <c r="C15">
        <f t="shared" si="4"/>
        <v>14</v>
      </c>
      <c r="D15">
        <f t="shared" si="6"/>
        <v>0</v>
      </c>
      <c r="E15" t="str">
        <f>VLOOKUP(D15,name!A:B,2,1)</f>
        <v>Player</v>
      </c>
      <c r="F15">
        <f t="shared" si="6"/>
        <v>0</v>
      </c>
      <c r="G15" t="str">
        <f t="shared" si="5"/>
        <v>q</v>
      </c>
      <c r="H15" t="str">
        <f>VLOOKUP(D15,name!A:C,3,1)</f>
        <v>assets/icons/image326.png</v>
      </c>
      <c r="I15" t="s">
        <v>405</v>
      </c>
    </row>
    <row r="16" spans="1:9" x14ac:dyDescent="0.15">
      <c r="A16">
        <f t="shared" si="1"/>
        <v>0</v>
      </c>
      <c r="B16">
        <f t="shared" si="3"/>
        <v>1</v>
      </c>
      <c r="C16">
        <f t="shared" si="4"/>
        <v>15</v>
      </c>
      <c r="D16">
        <f t="shared" si="6"/>
        <v>0</v>
      </c>
      <c r="E16" t="str">
        <f>VLOOKUP(D16,name!A:B,2,1)</f>
        <v>Player</v>
      </c>
      <c r="F16">
        <f t="shared" si="6"/>
        <v>0</v>
      </c>
      <c r="G16" t="str">
        <f t="shared" si="5"/>
        <v>q</v>
      </c>
      <c r="H16" t="str">
        <f>VLOOKUP(D16,name!A:C,3,1)</f>
        <v>assets/icons/image326.png</v>
      </c>
      <c r="I16" t="e">
        <f>IF(A16="","",VLOOKUP(A16,lng!A:B,2,0))</f>
        <v>#N/A</v>
      </c>
    </row>
    <row r="17" spans="1:9" x14ac:dyDescent="0.15">
      <c r="A17">
        <f t="shared" si="1"/>
        <v>0</v>
      </c>
      <c r="B17">
        <f t="shared" si="3"/>
        <v>1</v>
      </c>
      <c r="C17">
        <f t="shared" si="4"/>
        <v>16</v>
      </c>
      <c r="D17">
        <f t="shared" si="6"/>
        <v>0</v>
      </c>
      <c r="E17" t="str">
        <f>VLOOKUP(D17,name!A:B,2,1)</f>
        <v>Player</v>
      </c>
      <c r="F17">
        <f t="shared" si="6"/>
        <v>0</v>
      </c>
      <c r="G17" t="str">
        <f t="shared" si="5"/>
        <v>q</v>
      </c>
      <c r="H17" t="str">
        <f>VLOOKUP(D17,name!A:C,3,1)</f>
        <v>assets/icons/image326.png</v>
      </c>
      <c r="I17" t="s">
        <v>405</v>
      </c>
    </row>
    <row r="18" spans="1:9" x14ac:dyDescent="0.15">
      <c r="A18">
        <f t="shared" si="1"/>
        <v>0</v>
      </c>
      <c r="B18">
        <f t="shared" si="3"/>
        <v>1</v>
      </c>
      <c r="C18">
        <f t="shared" si="4"/>
        <v>17</v>
      </c>
      <c r="D18">
        <f t="shared" si="6"/>
        <v>0</v>
      </c>
      <c r="E18" t="str">
        <f>VLOOKUP(D18,name!A:B,2,1)</f>
        <v>Player</v>
      </c>
      <c r="F18">
        <f t="shared" si="6"/>
        <v>0</v>
      </c>
      <c r="G18" t="str">
        <f t="shared" si="5"/>
        <v>q</v>
      </c>
      <c r="H18" t="str">
        <f>VLOOKUP(D18,name!A:C,3,1)</f>
        <v>assets/icons/image326.png</v>
      </c>
      <c r="I18" t="e">
        <f>IF(A18="","",VLOOKUP(A18,lng!A:B,2,0))</f>
        <v>#N/A</v>
      </c>
    </row>
    <row r="19" spans="1:9" x14ac:dyDescent="0.15">
      <c r="A19">
        <f t="shared" si="1"/>
        <v>0</v>
      </c>
      <c r="B19">
        <f t="shared" si="3"/>
        <v>1</v>
      </c>
      <c r="C19">
        <f t="shared" si="4"/>
        <v>18</v>
      </c>
      <c r="D19">
        <f t="shared" si="6"/>
        <v>0</v>
      </c>
      <c r="E19" t="str">
        <f>VLOOKUP(D19,name!A:B,2,1)</f>
        <v>Player</v>
      </c>
      <c r="F19">
        <f t="shared" si="6"/>
        <v>0</v>
      </c>
      <c r="G19" t="str">
        <f t="shared" si="5"/>
        <v>q</v>
      </c>
      <c r="H19" t="str">
        <f>VLOOKUP(D19,name!A:C,3,1)</f>
        <v>assets/icons/image326.png</v>
      </c>
      <c r="I19" t="s">
        <v>405</v>
      </c>
    </row>
    <row r="20" spans="1:9" x14ac:dyDescent="0.15">
      <c r="A20">
        <f t="shared" si="1"/>
        <v>0</v>
      </c>
      <c r="B20">
        <f t="shared" si="3"/>
        <v>1</v>
      </c>
      <c r="C20">
        <f t="shared" si="4"/>
        <v>19</v>
      </c>
      <c r="D20">
        <f t="shared" si="6"/>
        <v>0</v>
      </c>
      <c r="E20" t="str">
        <f>VLOOKUP(D20,name!A:B,2,1)</f>
        <v>Player</v>
      </c>
      <c r="F20">
        <f t="shared" si="6"/>
        <v>0</v>
      </c>
      <c r="G20" t="str">
        <f t="shared" si="5"/>
        <v>q</v>
      </c>
      <c r="H20" t="str">
        <f>VLOOKUP(D20,name!A:C,3,1)</f>
        <v>assets/icons/image326.png</v>
      </c>
      <c r="I20" t="e">
        <f>IF(A20="","",VLOOKUP(A20,lng!A:B,2,0))</f>
        <v>#N/A</v>
      </c>
    </row>
    <row r="21" spans="1:9" x14ac:dyDescent="0.15">
      <c r="A21">
        <f t="shared" si="1"/>
        <v>0</v>
      </c>
      <c r="B21">
        <f t="shared" si="3"/>
        <v>1</v>
      </c>
      <c r="C21">
        <f t="shared" si="4"/>
        <v>20</v>
      </c>
      <c r="D21">
        <f t="shared" si="6"/>
        <v>0</v>
      </c>
      <c r="E21" t="str">
        <f>VLOOKUP(D21,name!A:B,2,1)</f>
        <v>Player</v>
      </c>
      <c r="F21">
        <f t="shared" si="6"/>
        <v>0</v>
      </c>
      <c r="G21" t="str">
        <f t="shared" si="5"/>
        <v>q</v>
      </c>
      <c r="H21" t="str">
        <f>VLOOKUP(D21,name!A:C,3,1)</f>
        <v>assets/icons/image326.png</v>
      </c>
      <c r="I21" t="s">
        <v>405</v>
      </c>
    </row>
    <row r="22" spans="1:9" x14ac:dyDescent="0.15">
      <c r="A22">
        <f t="shared" si="1"/>
        <v>0</v>
      </c>
      <c r="B22">
        <f t="shared" si="3"/>
        <v>1</v>
      </c>
      <c r="C22">
        <f t="shared" si="4"/>
        <v>21</v>
      </c>
      <c r="D22">
        <f t="shared" si="6"/>
        <v>0</v>
      </c>
      <c r="E22" t="str">
        <f>VLOOKUP(D22,name!A:B,2,1)</f>
        <v>Player</v>
      </c>
      <c r="F22">
        <f t="shared" si="6"/>
        <v>0</v>
      </c>
      <c r="G22" t="str">
        <f t="shared" si="5"/>
        <v>q</v>
      </c>
      <c r="H22" t="str">
        <f>VLOOKUP(D22,name!A:C,3,1)</f>
        <v>assets/icons/image326.png</v>
      </c>
      <c r="I22" t="e">
        <f>IF(A22="","",VLOOKUP(A22,lng!A:B,2,0))</f>
        <v>#N/A</v>
      </c>
    </row>
    <row r="23" spans="1:9" x14ac:dyDescent="0.15">
      <c r="A23">
        <f t="shared" si="1"/>
        <v>0</v>
      </c>
      <c r="B23">
        <f t="shared" si="3"/>
        <v>1</v>
      </c>
      <c r="C23">
        <f t="shared" si="4"/>
        <v>22</v>
      </c>
      <c r="D23">
        <f t="shared" si="6"/>
        <v>0</v>
      </c>
      <c r="E23" t="str">
        <f>VLOOKUP(D23,name!A:B,2,1)</f>
        <v>Player</v>
      </c>
      <c r="F23">
        <f t="shared" si="6"/>
        <v>0</v>
      </c>
      <c r="G23" t="str">
        <f t="shared" si="5"/>
        <v>q</v>
      </c>
      <c r="H23" t="str">
        <f>VLOOKUP(D23,name!A:C,3,1)</f>
        <v>assets/icons/image326.png</v>
      </c>
      <c r="I23" t="s">
        <v>405</v>
      </c>
    </row>
    <row r="24" spans="1:9" x14ac:dyDescent="0.15">
      <c r="A24">
        <f t="shared" si="1"/>
        <v>0</v>
      </c>
      <c r="B24">
        <f t="shared" si="3"/>
        <v>1</v>
      </c>
      <c r="C24">
        <f t="shared" si="4"/>
        <v>23</v>
      </c>
      <c r="D24">
        <f t="shared" si="6"/>
        <v>0</v>
      </c>
      <c r="E24" t="str">
        <f>VLOOKUP(D24,name!A:B,2,1)</f>
        <v>Player</v>
      </c>
      <c r="F24">
        <f t="shared" si="6"/>
        <v>0</v>
      </c>
      <c r="G24" t="str">
        <f t="shared" si="5"/>
        <v>q</v>
      </c>
      <c r="H24" t="str">
        <f>VLOOKUP(D24,name!A:C,3,1)</f>
        <v>assets/icons/image326.png</v>
      </c>
      <c r="I24" t="e">
        <f>IF(A24="","",VLOOKUP(A24,lng!A:B,2,0))</f>
        <v>#N/A</v>
      </c>
    </row>
    <row r="25" spans="1:9" x14ac:dyDescent="0.15">
      <c r="A25">
        <f t="shared" si="1"/>
        <v>0</v>
      </c>
      <c r="B25">
        <f t="shared" si="3"/>
        <v>1</v>
      </c>
      <c r="C25">
        <f t="shared" si="4"/>
        <v>24</v>
      </c>
      <c r="D25">
        <f t="shared" si="6"/>
        <v>0</v>
      </c>
      <c r="E25" t="str">
        <f>VLOOKUP(D25,name!A:B,2,1)</f>
        <v>Player</v>
      </c>
      <c r="F25">
        <f t="shared" si="6"/>
        <v>0</v>
      </c>
      <c r="G25" t="str">
        <f t="shared" si="5"/>
        <v>q</v>
      </c>
      <c r="H25" t="str">
        <f>VLOOKUP(D25,name!A:C,3,1)</f>
        <v>assets/icons/image326.png</v>
      </c>
      <c r="I25" t="s">
        <v>405</v>
      </c>
    </row>
    <row r="26" spans="1:9" x14ac:dyDescent="0.15">
      <c r="A26">
        <f t="shared" si="1"/>
        <v>0</v>
      </c>
      <c r="B26">
        <f t="shared" si="3"/>
        <v>1</v>
      </c>
      <c r="C26">
        <f t="shared" si="4"/>
        <v>25</v>
      </c>
      <c r="D26">
        <f t="shared" si="6"/>
        <v>0</v>
      </c>
      <c r="E26" t="str">
        <f>VLOOKUP(D26,name!A:B,2,1)</f>
        <v>Player</v>
      </c>
      <c r="F26">
        <f t="shared" si="6"/>
        <v>0</v>
      </c>
      <c r="G26" t="str">
        <f t="shared" si="5"/>
        <v>q</v>
      </c>
      <c r="H26" t="str">
        <f>VLOOKUP(D26,name!A:C,3,1)</f>
        <v>assets/icons/image326.png</v>
      </c>
      <c r="I26" t="e">
        <f>IF(A26="","",VLOOKUP(A26,lng!A:B,2,0))</f>
        <v>#N/A</v>
      </c>
    </row>
    <row r="27" spans="1:9" x14ac:dyDescent="0.15">
      <c r="A27">
        <f t="shared" si="1"/>
        <v>0</v>
      </c>
      <c r="B27">
        <f t="shared" si="3"/>
        <v>1</v>
      </c>
      <c r="C27">
        <f t="shared" si="4"/>
        <v>26</v>
      </c>
      <c r="D27">
        <f t="shared" si="6"/>
        <v>0</v>
      </c>
      <c r="E27" t="str">
        <f>VLOOKUP(D27,name!A:B,2,1)</f>
        <v>Player</v>
      </c>
      <c r="F27">
        <f t="shared" si="6"/>
        <v>0</v>
      </c>
      <c r="G27" t="str">
        <f t="shared" si="5"/>
        <v>q</v>
      </c>
      <c r="H27" t="str">
        <f>VLOOKUP(D27,name!A:C,3,1)</f>
        <v>assets/icons/image326.png</v>
      </c>
      <c r="I27" t="s">
        <v>405</v>
      </c>
    </row>
    <row r="28" spans="1:9" x14ac:dyDescent="0.15">
      <c r="A28">
        <f t="shared" si="1"/>
        <v>0</v>
      </c>
      <c r="B28">
        <f t="shared" si="3"/>
        <v>1</v>
      </c>
      <c r="C28">
        <f t="shared" si="4"/>
        <v>27</v>
      </c>
      <c r="D28">
        <f t="shared" si="6"/>
        <v>0</v>
      </c>
      <c r="E28" t="str">
        <f>VLOOKUP(D28,name!A:B,2,1)</f>
        <v>Player</v>
      </c>
      <c r="F28">
        <f t="shared" si="6"/>
        <v>0</v>
      </c>
      <c r="G28" t="str">
        <f t="shared" si="5"/>
        <v>q</v>
      </c>
      <c r="H28" t="str">
        <f>VLOOKUP(D28,name!A:C,3,1)</f>
        <v>assets/icons/image326.png</v>
      </c>
      <c r="I28" t="e">
        <f>IF(A28="","",VLOOKUP(A28,lng!A:B,2,0))</f>
        <v>#N/A</v>
      </c>
    </row>
    <row r="29" spans="1:9" x14ac:dyDescent="0.15">
      <c r="A29">
        <f t="shared" si="1"/>
        <v>0</v>
      </c>
      <c r="B29">
        <f t="shared" si="3"/>
        <v>1</v>
      </c>
      <c r="C29">
        <f t="shared" si="4"/>
        <v>28</v>
      </c>
      <c r="D29">
        <f t="shared" si="6"/>
        <v>0</v>
      </c>
      <c r="E29" t="str">
        <f>VLOOKUP(D29,name!A:B,2,1)</f>
        <v>Player</v>
      </c>
      <c r="F29">
        <f t="shared" si="6"/>
        <v>0</v>
      </c>
      <c r="G29" t="str">
        <f t="shared" si="5"/>
        <v>q</v>
      </c>
      <c r="H29" t="str">
        <f>VLOOKUP(D29,name!A:C,3,1)</f>
        <v>assets/icons/image326.png</v>
      </c>
      <c r="I29" t="s">
        <v>405</v>
      </c>
    </row>
    <row r="30" spans="1:9" x14ac:dyDescent="0.15">
      <c r="A30">
        <f t="shared" si="1"/>
        <v>0</v>
      </c>
      <c r="B30">
        <f t="shared" si="3"/>
        <v>1</v>
      </c>
      <c r="C30">
        <f t="shared" si="4"/>
        <v>29</v>
      </c>
      <c r="D30">
        <f t="shared" si="6"/>
        <v>0</v>
      </c>
      <c r="E30" t="str">
        <f>VLOOKUP(D30,name!A:B,2,1)</f>
        <v>Player</v>
      </c>
      <c r="F30">
        <f t="shared" si="6"/>
        <v>0</v>
      </c>
      <c r="G30" t="str">
        <f t="shared" si="5"/>
        <v>q</v>
      </c>
      <c r="H30" t="str">
        <f>VLOOKUP(D30,name!A:C,3,1)</f>
        <v>assets/icons/image326.png</v>
      </c>
      <c r="I30" t="e">
        <f>IF(A30="","",VLOOKUP(A30,lng!A:B,2,0))</f>
        <v>#N/A</v>
      </c>
    </row>
    <row r="31" spans="1:9" x14ac:dyDescent="0.15">
      <c r="A31">
        <f t="shared" si="1"/>
        <v>0</v>
      </c>
      <c r="B31">
        <f t="shared" si="3"/>
        <v>1</v>
      </c>
      <c r="C31">
        <f t="shared" si="4"/>
        <v>30</v>
      </c>
      <c r="D31">
        <f t="shared" si="6"/>
        <v>0</v>
      </c>
      <c r="E31" t="str">
        <f>VLOOKUP(D31,name!A:B,2,1)</f>
        <v>Player</v>
      </c>
      <c r="F31">
        <f t="shared" si="6"/>
        <v>0</v>
      </c>
      <c r="G31" t="str">
        <f t="shared" si="5"/>
        <v>q</v>
      </c>
      <c r="H31" t="str">
        <f>VLOOKUP(D31,name!A:C,3,1)</f>
        <v>assets/icons/image326.png</v>
      </c>
      <c r="I31" t="s">
        <v>403</v>
      </c>
    </row>
    <row r="32" spans="1:9" x14ac:dyDescent="0.15">
      <c r="A32">
        <f t="shared" si="1"/>
        <v>0</v>
      </c>
      <c r="B32">
        <f t="shared" si="3"/>
        <v>1</v>
      </c>
      <c r="C32">
        <f t="shared" si="4"/>
        <v>31</v>
      </c>
      <c r="D32">
        <f t="shared" si="6"/>
        <v>0</v>
      </c>
      <c r="E32" t="str">
        <f>VLOOKUP(D32,name!A:B,2,1)</f>
        <v>Player</v>
      </c>
      <c r="F32">
        <f t="shared" si="6"/>
        <v>0</v>
      </c>
      <c r="G32" t="str">
        <f t="shared" si="5"/>
        <v>q</v>
      </c>
      <c r="H32" t="str">
        <f>VLOOKUP(D32,name!A:C,3,1)</f>
        <v>assets/icons/image326.png</v>
      </c>
      <c r="I32" t="e">
        <f>IF(A32="","",VLOOKUP(A32,lng!A:B,2,0))</f>
        <v>#N/A</v>
      </c>
    </row>
    <row r="33" spans="1:9" x14ac:dyDescent="0.15">
      <c r="A33">
        <f t="shared" si="1"/>
        <v>0</v>
      </c>
      <c r="B33">
        <f t="shared" si="3"/>
        <v>1</v>
      </c>
      <c r="C33">
        <f t="shared" si="4"/>
        <v>32</v>
      </c>
      <c r="D33">
        <f t="shared" si="6"/>
        <v>0</v>
      </c>
      <c r="E33" t="str">
        <f>VLOOKUP(D33,name!A:B,2,1)</f>
        <v>Player</v>
      </c>
      <c r="F33">
        <f t="shared" si="6"/>
        <v>0</v>
      </c>
      <c r="G33" t="str">
        <f t="shared" si="5"/>
        <v>q</v>
      </c>
      <c r="H33" t="str">
        <f>VLOOKUP(D33,name!A:C,3,1)</f>
        <v>assets/icons/image326.png</v>
      </c>
      <c r="I33" t="s">
        <v>403</v>
      </c>
    </row>
    <row r="34" spans="1:9" x14ac:dyDescent="0.15">
      <c r="A34">
        <f t="shared" si="1"/>
        <v>0</v>
      </c>
      <c r="B34">
        <f t="shared" si="3"/>
        <v>1</v>
      </c>
      <c r="C34">
        <f t="shared" si="4"/>
        <v>33</v>
      </c>
      <c r="D34">
        <f t="shared" si="6"/>
        <v>0</v>
      </c>
      <c r="E34" t="str">
        <f>VLOOKUP(D34,name!A:B,2,1)</f>
        <v>Player</v>
      </c>
      <c r="F34">
        <f t="shared" si="6"/>
        <v>0</v>
      </c>
      <c r="G34" t="str">
        <f t="shared" si="5"/>
        <v>q</v>
      </c>
      <c r="H34" t="str">
        <f>VLOOKUP(D34,name!A:C,3,1)</f>
        <v>assets/icons/image326.png</v>
      </c>
      <c r="I34" t="e">
        <f>IF(A34="","",VLOOKUP(A34,lng!A:B,2,0))</f>
        <v>#N/A</v>
      </c>
    </row>
    <row r="35" spans="1:9" x14ac:dyDescent="0.15">
      <c r="A35">
        <f t="shared" si="1"/>
        <v>0</v>
      </c>
      <c r="B35">
        <f t="shared" si="3"/>
        <v>1</v>
      </c>
      <c r="C35">
        <f t="shared" si="4"/>
        <v>34</v>
      </c>
      <c r="D35">
        <f t="shared" si="6"/>
        <v>0</v>
      </c>
      <c r="E35" t="str">
        <f>VLOOKUP(D35,name!A:B,2,1)</f>
        <v>Player</v>
      </c>
      <c r="F35">
        <f t="shared" si="6"/>
        <v>0</v>
      </c>
      <c r="G35" t="str">
        <f t="shared" si="5"/>
        <v>q</v>
      </c>
      <c r="H35" t="str">
        <f>VLOOKUP(D35,name!A:C,3,1)</f>
        <v>assets/icons/image326.png</v>
      </c>
      <c r="I35" t="s">
        <v>403</v>
      </c>
    </row>
    <row r="36" spans="1:9" x14ac:dyDescent="0.15">
      <c r="A36">
        <f t="shared" si="1"/>
        <v>0</v>
      </c>
      <c r="B36">
        <f t="shared" si="3"/>
        <v>1</v>
      </c>
      <c r="C36">
        <f t="shared" si="4"/>
        <v>35</v>
      </c>
      <c r="D36">
        <f t="shared" si="6"/>
        <v>0</v>
      </c>
      <c r="E36" t="str">
        <f>VLOOKUP(D36,name!A:B,2,1)</f>
        <v>Player</v>
      </c>
      <c r="F36">
        <f t="shared" si="6"/>
        <v>0</v>
      </c>
      <c r="G36" t="str">
        <f t="shared" si="5"/>
        <v>q</v>
      </c>
      <c r="H36" t="str">
        <f>VLOOKUP(D36,name!A:C,3,1)</f>
        <v>assets/icons/image326.png</v>
      </c>
      <c r="I36" t="e">
        <f>IF(A36="","",VLOOKUP(A36,lng!A:B,2,0))</f>
        <v>#N/A</v>
      </c>
    </row>
    <row r="37" spans="1:9" x14ac:dyDescent="0.15">
      <c r="A37">
        <f t="shared" si="1"/>
        <v>0</v>
      </c>
      <c r="B37">
        <f t="shared" si="3"/>
        <v>1</v>
      </c>
      <c r="C37">
        <f t="shared" si="4"/>
        <v>36</v>
      </c>
      <c r="D37">
        <f t="shared" si="6"/>
        <v>0</v>
      </c>
      <c r="E37" t="str">
        <f>VLOOKUP(D37,name!A:B,2,1)</f>
        <v>Player</v>
      </c>
      <c r="F37">
        <f t="shared" si="6"/>
        <v>0</v>
      </c>
      <c r="G37" t="str">
        <f t="shared" si="5"/>
        <v>q</v>
      </c>
      <c r="H37" t="str">
        <f>VLOOKUP(D37,name!A:C,3,1)</f>
        <v>assets/icons/image326.png</v>
      </c>
      <c r="I37" t="s">
        <v>403</v>
      </c>
    </row>
    <row r="38" spans="1:9" x14ac:dyDescent="0.15">
      <c r="A38">
        <f t="shared" si="1"/>
        <v>0</v>
      </c>
      <c r="B38">
        <f t="shared" si="3"/>
        <v>1</v>
      </c>
      <c r="C38">
        <f t="shared" si="4"/>
        <v>37</v>
      </c>
      <c r="D38">
        <f t="shared" si="6"/>
        <v>0</v>
      </c>
      <c r="E38" t="str">
        <f>VLOOKUP(D38,name!A:B,2,1)</f>
        <v>Player</v>
      </c>
      <c r="F38">
        <f t="shared" si="6"/>
        <v>0</v>
      </c>
      <c r="G38" t="str">
        <f t="shared" si="5"/>
        <v>q</v>
      </c>
      <c r="H38" t="str">
        <f>VLOOKUP(D38,name!A:C,3,1)</f>
        <v>assets/icons/image326.png</v>
      </c>
      <c r="I38" t="e">
        <f>IF(A38="","",VLOOKUP(A38,lng!A:B,2,0))</f>
        <v>#N/A</v>
      </c>
    </row>
    <row r="39" spans="1:9" x14ac:dyDescent="0.15">
      <c r="A39">
        <f t="shared" si="1"/>
        <v>0</v>
      </c>
      <c r="B39">
        <f t="shared" si="3"/>
        <v>1</v>
      </c>
      <c r="C39">
        <f t="shared" si="4"/>
        <v>38</v>
      </c>
      <c r="D39">
        <f t="shared" si="6"/>
        <v>0</v>
      </c>
      <c r="E39" t="str">
        <f>VLOOKUP(D39,name!A:B,2,1)</f>
        <v>Player</v>
      </c>
      <c r="F39">
        <f t="shared" si="6"/>
        <v>0</v>
      </c>
      <c r="G39" t="str">
        <f t="shared" si="5"/>
        <v>q</v>
      </c>
      <c r="H39" t="str">
        <f>VLOOKUP(D39,name!A:C,3,1)</f>
        <v>assets/icons/image326.png</v>
      </c>
      <c r="I39" t="s">
        <v>403</v>
      </c>
    </row>
    <row r="40" spans="1:9" x14ac:dyDescent="0.15">
      <c r="A40">
        <f t="shared" si="1"/>
        <v>0</v>
      </c>
      <c r="B40">
        <f t="shared" si="3"/>
        <v>1</v>
      </c>
      <c r="C40">
        <f t="shared" si="4"/>
        <v>39</v>
      </c>
      <c r="D40">
        <f t="shared" si="6"/>
        <v>0</v>
      </c>
      <c r="E40" t="str">
        <f>VLOOKUP(D40,name!A:B,2,1)</f>
        <v>Player</v>
      </c>
      <c r="F40">
        <f t="shared" si="6"/>
        <v>0</v>
      </c>
      <c r="G40" t="str">
        <f t="shared" si="5"/>
        <v>q</v>
      </c>
      <c r="H40" t="str">
        <f>VLOOKUP(D40,name!A:C,3,1)</f>
        <v>assets/icons/image326.png</v>
      </c>
      <c r="I40" t="e">
        <f>IF(A40="","",VLOOKUP(A40,lng!A:B,2,0))</f>
        <v>#N/A</v>
      </c>
    </row>
    <row r="41" spans="1:9" x14ac:dyDescent="0.15">
      <c r="A41">
        <f t="shared" si="1"/>
        <v>0</v>
      </c>
      <c r="B41">
        <f t="shared" si="3"/>
        <v>1</v>
      </c>
      <c r="C41">
        <f t="shared" si="4"/>
        <v>40</v>
      </c>
      <c r="D41">
        <f t="shared" si="6"/>
        <v>0</v>
      </c>
      <c r="E41" t="str">
        <f>VLOOKUP(D41,name!A:B,2,1)</f>
        <v>Player</v>
      </c>
      <c r="F41">
        <f t="shared" si="6"/>
        <v>0</v>
      </c>
      <c r="G41" t="str">
        <f t="shared" si="5"/>
        <v>q</v>
      </c>
      <c r="H41" t="str">
        <f>VLOOKUP(D41,name!A:C,3,1)</f>
        <v>assets/icons/image326.png</v>
      </c>
      <c r="I41" t="s">
        <v>403</v>
      </c>
    </row>
    <row r="42" spans="1:9" x14ac:dyDescent="0.15">
      <c r="A42">
        <f t="shared" si="1"/>
        <v>0</v>
      </c>
      <c r="B42">
        <f t="shared" si="3"/>
        <v>1</v>
      </c>
      <c r="C42">
        <f t="shared" si="4"/>
        <v>41</v>
      </c>
      <c r="D42">
        <f t="shared" si="6"/>
        <v>0</v>
      </c>
      <c r="E42" t="str">
        <f>VLOOKUP(D42,name!A:B,2,1)</f>
        <v>Player</v>
      </c>
      <c r="F42">
        <f t="shared" si="6"/>
        <v>0</v>
      </c>
      <c r="G42" t="str">
        <f t="shared" si="5"/>
        <v>q</v>
      </c>
      <c r="H42" t="str">
        <f>VLOOKUP(D42,name!A:C,3,1)</f>
        <v>assets/icons/image326.png</v>
      </c>
      <c r="I42" t="e">
        <f>IF(A42="","",VLOOKUP(A42,lng!A:B,2,0))</f>
        <v>#N/A</v>
      </c>
    </row>
    <row r="43" spans="1:9" x14ac:dyDescent="0.15">
      <c r="A43">
        <f t="shared" si="1"/>
        <v>0</v>
      </c>
      <c r="B43">
        <f t="shared" si="3"/>
        <v>1</v>
      </c>
      <c r="C43">
        <f t="shared" si="4"/>
        <v>42</v>
      </c>
      <c r="D43">
        <f t="shared" si="6"/>
        <v>0</v>
      </c>
      <c r="E43" t="str">
        <f>VLOOKUP(D43,name!A:B,2,1)</f>
        <v>Player</v>
      </c>
      <c r="F43">
        <f t="shared" si="6"/>
        <v>0</v>
      </c>
      <c r="G43" t="str">
        <f t="shared" si="5"/>
        <v>q</v>
      </c>
      <c r="H43" t="str">
        <f>VLOOKUP(D43,name!A:C,3,1)</f>
        <v>assets/icons/image326.png</v>
      </c>
      <c r="I43" t="s">
        <v>403</v>
      </c>
    </row>
    <row r="44" spans="1:9" x14ac:dyDescent="0.15">
      <c r="A44">
        <f t="shared" si="1"/>
        <v>0</v>
      </c>
      <c r="B44">
        <f t="shared" si="3"/>
        <v>1</v>
      </c>
      <c r="C44">
        <f t="shared" si="4"/>
        <v>43</v>
      </c>
      <c r="D44">
        <f t="shared" si="6"/>
        <v>0</v>
      </c>
      <c r="E44" t="str">
        <f>VLOOKUP(D44,name!A:B,2,1)</f>
        <v>Player</v>
      </c>
      <c r="F44">
        <f t="shared" si="6"/>
        <v>0</v>
      </c>
      <c r="G44" t="str">
        <f t="shared" si="5"/>
        <v>q</v>
      </c>
      <c r="H44" t="str">
        <f>VLOOKUP(D44,name!A:C,3,1)</f>
        <v>assets/icons/image326.png</v>
      </c>
      <c r="I44" t="e">
        <f>IF(A44="","",VLOOKUP(A44,lng!A:B,2,0))</f>
        <v>#N/A</v>
      </c>
    </row>
    <row r="45" spans="1:9" x14ac:dyDescent="0.15">
      <c r="A45">
        <f t="shared" si="1"/>
        <v>0</v>
      </c>
      <c r="B45">
        <f t="shared" si="3"/>
        <v>1</v>
      </c>
      <c r="C45">
        <f t="shared" si="4"/>
        <v>44</v>
      </c>
      <c r="D45">
        <f>D46</f>
        <v>0</v>
      </c>
      <c r="E45" t="str">
        <f>VLOOKUP(D45,name!A:B,2,1)</f>
        <v>Player</v>
      </c>
      <c r="F45">
        <f>F46</f>
        <v>0</v>
      </c>
      <c r="G45" t="str">
        <f t="shared" si="5"/>
        <v>q</v>
      </c>
      <c r="H45" t="str">
        <f>VLOOKUP(D45,name!A:C,3,1)</f>
        <v>assets/icons/image326.png</v>
      </c>
      <c r="I45" t="s">
        <v>403</v>
      </c>
    </row>
    <row r="46" spans="1:9" x14ac:dyDescent="0.15">
      <c r="A46">
        <f t="shared" si="1"/>
        <v>0</v>
      </c>
      <c r="B46">
        <f t="shared" si="3"/>
        <v>1</v>
      </c>
      <c r="C46">
        <f t="shared" si="4"/>
        <v>45</v>
      </c>
      <c r="D46">
        <f t="shared" si="6"/>
        <v>0</v>
      </c>
      <c r="E46" t="str">
        <f>VLOOKUP(D46,name!A:B,2,1)</f>
        <v>Player</v>
      </c>
      <c r="F46">
        <f t="shared" si="6"/>
        <v>0</v>
      </c>
      <c r="G46" t="str">
        <f t="shared" si="5"/>
        <v>q</v>
      </c>
      <c r="H46" t="str">
        <f>VLOOKUP(D46,name!A:C,3,1)</f>
        <v>assets/icons/image326.png</v>
      </c>
      <c r="I46" t="e">
        <f>IF(A46="","",VLOOKUP(A46,lng!A:B,2,0))</f>
        <v>#N/A</v>
      </c>
    </row>
    <row r="47" spans="1:9" x14ac:dyDescent="0.15">
      <c r="A47">
        <f t="shared" si="1"/>
        <v>0</v>
      </c>
      <c r="B47">
        <f t="shared" si="3"/>
        <v>1</v>
      </c>
      <c r="C47">
        <f t="shared" si="4"/>
        <v>46</v>
      </c>
      <c r="D47">
        <f t="shared" si="6"/>
        <v>0</v>
      </c>
      <c r="E47" t="str">
        <f>VLOOKUP(D47,name!A:B,2,1)</f>
        <v>Player</v>
      </c>
      <c r="F47">
        <f t="shared" si="6"/>
        <v>0</v>
      </c>
      <c r="G47" t="str">
        <f t="shared" si="5"/>
        <v>q</v>
      </c>
      <c r="H47" t="str">
        <f>VLOOKUP(D47,name!A:C,3,1)</f>
        <v>assets/icons/image326.png</v>
      </c>
      <c r="I47" t="s">
        <v>403</v>
      </c>
    </row>
    <row r="48" spans="1:9" x14ac:dyDescent="0.15">
      <c r="A48">
        <f t="shared" si="1"/>
        <v>0</v>
      </c>
      <c r="B48">
        <f t="shared" si="3"/>
        <v>1</v>
      </c>
      <c r="C48">
        <f t="shared" si="4"/>
        <v>47</v>
      </c>
      <c r="D48">
        <f t="shared" si="6"/>
        <v>0</v>
      </c>
      <c r="E48" t="str">
        <f>VLOOKUP(D48,name!A:B,2,1)</f>
        <v>Player</v>
      </c>
      <c r="F48">
        <f t="shared" si="6"/>
        <v>0</v>
      </c>
      <c r="G48" t="str">
        <f t="shared" si="5"/>
        <v>q</v>
      </c>
      <c r="H48" t="str">
        <f>VLOOKUP(D48,name!A:C,3,1)</f>
        <v>assets/icons/image326.png</v>
      </c>
      <c r="I48" t="e">
        <f>IF(A48="","",VLOOKUP(A48,lng!A:B,2,0))</f>
        <v>#N/A</v>
      </c>
    </row>
    <row r="49" spans="1:9" x14ac:dyDescent="0.15">
      <c r="A49">
        <f t="shared" si="1"/>
        <v>0</v>
      </c>
      <c r="B49">
        <f t="shared" si="3"/>
        <v>1</v>
      </c>
      <c r="C49">
        <f t="shared" si="4"/>
        <v>48</v>
      </c>
      <c r="D49">
        <f t="shared" si="6"/>
        <v>0</v>
      </c>
      <c r="E49" t="str">
        <f>VLOOKUP(D49,name!A:B,2,1)</f>
        <v>Player</v>
      </c>
      <c r="F49">
        <f t="shared" si="6"/>
        <v>0</v>
      </c>
      <c r="G49" t="str">
        <f t="shared" si="5"/>
        <v>q</v>
      </c>
      <c r="H49" t="str">
        <f>VLOOKUP(D49,name!A:C,3,1)</f>
        <v>assets/icons/image326.png</v>
      </c>
      <c r="I49" t="s">
        <v>403</v>
      </c>
    </row>
    <row r="50" spans="1:9" x14ac:dyDescent="0.15">
      <c r="A50">
        <f t="shared" si="1"/>
        <v>0</v>
      </c>
      <c r="B50">
        <f t="shared" si="3"/>
        <v>1</v>
      </c>
      <c r="C50">
        <f t="shared" si="4"/>
        <v>49</v>
      </c>
      <c r="D50">
        <f t="shared" si="6"/>
        <v>0</v>
      </c>
      <c r="E50" t="str">
        <f>VLOOKUP(D50,name!A:B,2,1)</f>
        <v>Player</v>
      </c>
      <c r="F50">
        <f t="shared" si="6"/>
        <v>0</v>
      </c>
      <c r="G50" t="str">
        <f t="shared" si="5"/>
        <v>q</v>
      </c>
      <c r="H50" t="str">
        <f>VLOOKUP(D50,name!A:C,3,1)</f>
        <v>assets/icons/image326.png</v>
      </c>
      <c r="I50" t="e">
        <f>IF(A50="","",VLOOKUP(A50,lng!A:B,2,0))</f>
        <v>#N/A</v>
      </c>
    </row>
    <row r="51" spans="1:9" x14ac:dyDescent="0.15">
      <c r="A51">
        <f t="shared" si="1"/>
        <v>0</v>
      </c>
      <c r="B51">
        <f t="shared" si="3"/>
        <v>1</v>
      </c>
      <c r="C51">
        <f t="shared" si="4"/>
        <v>50</v>
      </c>
      <c r="D51">
        <f t="shared" si="6"/>
        <v>0</v>
      </c>
      <c r="E51" t="str">
        <f>VLOOKUP(D51,name!A:B,2,1)</f>
        <v>Player</v>
      </c>
      <c r="F51">
        <f t="shared" si="6"/>
        <v>0</v>
      </c>
      <c r="G51" t="str">
        <f t="shared" si="5"/>
        <v>q</v>
      </c>
      <c r="H51" t="str">
        <f>VLOOKUP(D51,name!A:C,3,1)</f>
        <v>assets/icons/image326.png</v>
      </c>
      <c r="I51" t="s">
        <v>403</v>
      </c>
    </row>
    <row r="52" spans="1:9" x14ac:dyDescent="0.15">
      <c r="A52">
        <f t="shared" si="1"/>
        <v>0</v>
      </c>
      <c r="B52">
        <f t="shared" si="3"/>
        <v>1</v>
      </c>
      <c r="C52">
        <f t="shared" si="4"/>
        <v>51</v>
      </c>
      <c r="D52">
        <f t="shared" si="6"/>
        <v>0</v>
      </c>
      <c r="E52" t="str">
        <f>VLOOKUP(D52,name!A:B,2,1)</f>
        <v>Player</v>
      </c>
      <c r="F52">
        <f t="shared" si="6"/>
        <v>0</v>
      </c>
      <c r="G52" t="str">
        <f t="shared" si="5"/>
        <v>q</v>
      </c>
      <c r="H52" t="str">
        <f>VLOOKUP(D52,name!A:C,3,1)</f>
        <v>assets/icons/image326.png</v>
      </c>
      <c r="I52" t="e">
        <f>IF(A52="","",VLOOKUP(A52,lng!A:B,2,0))</f>
        <v>#N/A</v>
      </c>
    </row>
    <row r="53" spans="1:9" x14ac:dyDescent="0.15">
      <c r="A53">
        <f t="shared" si="1"/>
        <v>0</v>
      </c>
      <c r="B53">
        <f t="shared" si="3"/>
        <v>1</v>
      </c>
      <c r="C53">
        <f t="shared" si="4"/>
        <v>52</v>
      </c>
      <c r="D53">
        <f t="shared" si="6"/>
        <v>0</v>
      </c>
      <c r="E53" t="str">
        <f>VLOOKUP(D53,name!A:B,2,1)</f>
        <v>Player</v>
      </c>
      <c r="F53">
        <f t="shared" si="6"/>
        <v>0</v>
      </c>
      <c r="G53" t="str">
        <f t="shared" si="5"/>
        <v>q</v>
      </c>
      <c r="H53" t="str">
        <f>VLOOKUP(D53,name!A:C,3,1)</f>
        <v>assets/icons/image326.png</v>
      </c>
      <c r="I53" t="s">
        <v>403</v>
      </c>
    </row>
    <row r="54" spans="1:9" x14ac:dyDescent="0.15">
      <c r="A54">
        <f t="shared" si="1"/>
        <v>0</v>
      </c>
      <c r="B54">
        <f t="shared" si="3"/>
        <v>1</v>
      </c>
      <c r="C54">
        <f t="shared" si="4"/>
        <v>53</v>
      </c>
      <c r="D54">
        <f t="shared" si="6"/>
        <v>0</v>
      </c>
      <c r="E54" t="str">
        <f>VLOOKUP(D54,name!A:B,2,1)</f>
        <v>Player</v>
      </c>
      <c r="F54">
        <f t="shared" si="6"/>
        <v>0</v>
      </c>
      <c r="G54" t="str">
        <f t="shared" si="5"/>
        <v>q</v>
      </c>
      <c r="H54" t="str">
        <f>VLOOKUP(D54,name!A:C,3,1)</f>
        <v>assets/icons/image326.png</v>
      </c>
      <c r="I54" t="e">
        <f>IF(A54="","",VLOOKUP(A54,lng!A:B,2,0))</f>
        <v>#N/A</v>
      </c>
    </row>
    <row r="55" spans="1:9" x14ac:dyDescent="0.15">
      <c r="A55">
        <f t="shared" si="1"/>
        <v>0</v>
      </c>
      <c r="B55">
        <f t="shared" si="3"/>
        <v>1</v>
      </c>
      <c r="C55">
        <f t="shared" si="4"/>
        <v>54</v>
      </c>
      <c r="D55">
        <f t="shared" si="6"/>
        <v>0</v>
      </c>
      <c r="E55" t="str">
        <f>VLOOKUP(D55,name!A:B,2,1)</f>
        <v>Player</v>
      </c>
      <c r="F55">
        <f t="shared" si="6"/>
        <v>0</v>
      </c>
      <c r="G55" t="str">
        <f t="shared" si="5"/>
        <v>q</v>
      </c>
      <c r="H55" t="str">
        <f>VLOOKUP(D55,name!A:C,3,1)</f>
        <v>assets/icons/image326.png</v>
      </c>
      <c r="I55" t="s">
        <v>403</v>
      </c>
    </row>
    <row r="56" spans="1:9" x14ac:dyDescent="0.15">
      <c r="A56">
        <f t="shared" si="1"/>
        <v>0</v>
      </c>
      <c r="B56">
        <f t="shared" si="3"/>
        <v>1</v>
      </c>
      <c r="C56">
        <f t="shared" si="4"/>
        <v>55</v>
      </c>
      <c r="D56">
        <f t="shared" si="6"/>
        <v>0</v>
      </c>
      <c r="E56" t="str">
        <f>VLOOKUP(D56,name!A:B,2,1)</f>
        <v>Player</v>
      </c>
      <c r="F56">
        <f t="shared" si="6"/>
        <v>0</v>
      </c>
      <c r="G56" t="str">
        <f t="shared" si="5"/>
        <v>q</v>
      </c>
      <c r="H56" t="str">
        <f>VLOOKUP(D56,name!A:C,3,1)</f>
        <v>assets/icons/image326.png</v>
      </c>
      <c r="I56" t="e">
        <f>IF(A56="","",VLOOKUP(A56,lng!A:B,2,0))</f>
        <v>#N/A</v>
      </c>
    </row>
    <row r="57" spans="1:9" x14ac:dyDescent="0.15">
      <c r="A57">
        <f t="shared" si="1"/>
        <v>0</v>
      </c>
      <c r="B57">
        <f t="shared" si="3"/>
        <v>1</v>
      </c>
      <c r="C57">
        <f t="shared" si="4"/>
        <v>56</v>
      </c>
      <c r="D57">
        <f t="shared" si="6"/>
        <v>0</v>
      </c>
      <c r="E57" t="str">
        <f>VLOOKUP(D57,name!A:B,2,1)</f>
        <v>Player</v>
      </c>
      <c r="F57">
        <f t="shared" si="6"/>
        <v>0</v>
      </c>
      <c r="G57" t="str">
        <f t="shared" si="5"/>
        <v>q</v>
      </c>
      <c r="H57" t="str">
        <f>VLOOKUP(D57,name!A:C,3,1)</f>
        <v>assets/icons/image326.png</v>
      </c>
      <c r="I57" t="s">
        <v>403</v>
      </c>
    </row>
    <row r="58" spans="1:9" x14ac:dyDescent="0.15">
      <c r="A58">
        <f t="shared" si="1"/>
        <v>0</v>
      </c>
      <c r="B58">
        <f t="shared" si="3"/>
        <v>1</v>
      </c>
      <c r="C58">
        <f t="shared" si="4"/>
        <v>57</v>
      </c>
      <c r="D58">
        <f t="shared" si="6"/>
        <v>0</v>
      </c>
      <c r="E58" t="str">
        <f>VLOOKUP(D58,name!A:B,2,1)</f>
        <v>Player</v>
      </c>
      <c r="F58">
        <f t="shared" si="6"/>
        <v>0</v>
      </c>
      <c r="G58" t="str">
        <f t="shared" si="5"/>
        <v>q</v>
      </c>
      <c r="H58" t="str">
        <f>VLOOKUP(D58,name!A:C,3,1)</f>
        <v>assets/icons/image326.png</v>
      </c>
      <c r="I58" t="e">
        <f>IF(A58="","",VLOOKUP(A58,lng!A:B,2,0))</f>
        <v>#N/A</v>
      </c>
    </row>
    <row r="59" spans="1:9" x14ac:dyDescent="0.15">
      <c r="A59">
        <f t="shared" si="1"/>
        <v>0</v>
      </c>
      <c r="B59">
        <f t="shared" si="3"/>
        <v>1</v>
      </c>
      <c r="C59">
        <f t="shared" si="4"/>
        <v>58</v>
      </c>
      <c r="D59">
        <f t="shared" si="6"/>
        <v>0</v>
      </c>
      <c r="E59" t="str">
        <f>VLOOKUP(D59,name!A:B,2,1)</f>
        <v>Player</v>
      </c>
      <c r="F59">
        <f t="shared" si="6"/>
        <v>0</v>
      </c>
      <c r="G59" t="str">
        <f t="shared" si="5"/>
        <v>q</v>
      </c>
      <c r="H59" t="str">
        <f>VLOOKUP(D59,name!A:C,3,1)</f>
        <v>assets/icons/image326.png</v>
      </c>
      <c r="I59" t="s">
        <v>403</v>
      </c>
    </row>
    <row r="60" spans="1:9" x14ac:dyDescent="0.15">
      <c r="A60">
        <f t="shared" si="1"/>
        <v>0</v>
      </c>
      <c r="B60">
        <f t="shared" si="3"/>
        <v>1</v>
      </c>
      <c r="C60">
        <f t="shared" si="4"/>
        <v>59</v>
      </c>
      <c r="D60">
        <f t="shared" si="6"/>
        <v>0</v>
      </c>
      <c r="E60" t="str">
        <f>VLOOKUP(D60,name!A:B,2,1)</f>
        <v>Player</v>
      </c>
      <c r="F60">
        <f t="shared" si="6"/>
        <v>0</v>
      </c>
      <c r="G60" t="str">
        <f t="shared" si="5"/>
        <v>q</v>
      </c>
      <c r="H60" t="str">
        <f>VLOOKUP(D60,name!A:C,3,1)</f>
        <v>assets/icons/image326.png</v>
      </c>
      <c r="I60" t="e">
        <f>IF(A60="","",VLOOKUP(A60,lng!A:B,2,0))</f>
        <v>#N/A</v>
      </c>
    </row>
    <row r="61" spans="1:9" x14ac:dyDescent="0.15">
      <c r="A61">
        <f t="shared" si="1"/>
        <v>0</v>
      </c>
      <c r="B61">
        <f t="shared" si="3"/>
        <v>1</v>
      </c>
      <c r="C61">
        <f t="shared" si="4"/>
        <v>60</v>
      </c>
      <c r="D61">
        <f t="shared" si="6"/>
        <v>0</v>
      </c>
      <c r="E61" t="str">
        <f>VLOOKUP(D61,name!A:B,2,1)</f>
        <v>Player</v>
      </c>
      <c r="F61">
        <f t="shared" si="6"/>
        <v>0</v>
      </c>
      <c r="G61" t="str">
        <f t="shared" si="5"/>
        <v>q</v>
      </c>
      <c r="H61" t="str">
        <f>VLOOKUP(D61,name!A:C,3,1)</f>
        <v>assets/icons/image326.png</v>
      </c>
      <c r="I61" t="s">
        <v>403</v>
      </c>
    </row>
    <row r="62" spans="1:9" x14ac:dyDescent="0.15">
      <c r="A62">
        <f t="shared" si="1"/>
        <v>0</v>
      </c>
      <c r="B62">
        <f t="shared" si="3"/>
        <v>1</v>
      </c>
      <c r="C62">
        <f t="shared" si="4"/>
        <v>61</v>
      </c>
      <c r="D62">
        <f t="shared" si="6"/>
        <v>0</v>
      </c>
      <c r="E62" t="str">
        <f>VLOOKUP(D62,name!A:B,2,1)</f>
        <v>Player</v>
      </c>
      <c r="F62">
        <f t="shared" si="6"/>
        <v>0</v>
      </c>
      <c r="G62" t="str">
        <f t="shared" si="5"/>
        <v>q</v>
      </c>
      <c r="H62" t="str">
        <f>VLOOKUP(D62,name!A:C,3,1)</f>
        <v>assets/icons/image326.png</v>
      </c>
      <c r="I62" t="e">
        <f>IF(A62="","",VLOOKUP(A62,lng!A:B,2,0))</f>
        <v>#N/A</v>
      </c>
    </row>
    <row r="63" spans="1:9" x14ac:dyDescent="0.15">
      <c r="A63">
        <f t="shared" si="1"/>
        <v>0</v>
      </c>
      <c r="B63">
        <f t="shared" si="3"/>
        <v>1</v>
      </c>
      <c r="C63">
        <f t="shared" si="4"/>
        <v>62</v>
      </c>
      <c r="D63">
        <f t="shared" si="6"/>
        <v>0</v>
      </c>
      <c r="E63" t="str">
        <f>VLOOKUP(D63,name!A:B,2,1)</f>
        <v>Player</v>
      </c>
      <c r="F63">
        <f t="shared" si="6"/>
        <v>0</v>
      </c>
      <c r="G63" t="str">
        <f t="shared" si="5"/>
        <v>q</v>
      </c>
      <c r="H63" t="str">
        <f>VLOOKUP(D63,name!A:C,3,1)</f>
        <v>assets/icons/image326.png</v>
      </c>
      <c r="I63" t="s">
        <v>403</v>
      </c>
    </row>
    <row r="64" spans="1:9" x14ac:dyDescent="0.15">
      <c r="A64">
        <f t="shared" si="1"/>
        <v>0</v>
      </c>
      <c r="B64">
        <f t="shared" si="3"/>
        <v>1</v>
      </c>
      <c r="C64">
        <f t="shared" si="4"/>
        <v>63</v>
      </c>
      <c r="D64">
        <f t="shared" si="6"/>
        <v>0</v>
      </c>
      <c r="E64" t="str">
        <f>VLOOKUP(D64,name!A:B,2,1)</f>
        <v>Player</v>
      </c>
      <c r="F64">
        <f t="shared" si="6"/>
        <v>0</v>
      </c>
      <c r="G64" t="str">
        <f t="shared" si="5"/>
        <v>q</v>
      </c>
      <c r="H64" t="str">
        <f>VLOOKUP(D64,name!A:C,3,1)</f>
        <v>assets/icons/image326.png</v>
      </c>
      <c r="I64" t="e">
        <f>IF(A64="","",VLOOKUP(A64,lng!A:B,2,0))</f>
        <v>#N/A</v>
      </c>
    </row>
    <row r="65" spans="1:9" x14ac:dyDescent="0.15">
      <c r="A65">
        <f t="shared" si="1"/>
        <v>0</v>
      </c>
      <c r="B65">
        <f t="shared" si="3"/>
        <v>1</v>
      </c>
      <c r="C65">
        <f t="shared" si="4"/>
        <v>64</v>
      </c>
      <c r="D65">
        <f t="shared" si="6"/>
        <v>0</v>
      </c>
      <c r="E65" t="str">
        <f>VLOOKUP(D65,name!A:B,2,1)</f>
        <v>Player</v>
      </c>
      <c r="F65">
        <f t="shared" si="6"/>
        <v>0</v>
      </c>
      <c r="G65" t="str">
        <f t="shared" si="5"/>
        <v>q</v>
      </c>
      <c r="H65" t="str">
        <f>VLOOKUP(D65,name!A:C,3,1)</f>
        <v>assets/icons/image326.png</v>
      </c>
      <c r="I65" t="s">
        <v>403</v>
      </c>
    </row>
    <row r="66" spans="1:9" x14ac:dyDescent="0.15">
      <c r="A66">
        <f t="shared" si="1"/>
        <v>0</v>
      </c>
      <c r="B66">
        <f t="shared" si="3"/>
        <v>1</v>
      </c>
      <c r="C66">
        <f t="shared" si="4"/>
        <v>65</v>
      </c>
      <c r="D66">
        <f t="shared" si="6"/>
        <v>0</v>
      </c>
      <c r="E66" t="str">
        <f>VLOOKUP(D66,name!A:B,2,1)</f>
        <v>Player</v>
      </c>
      <c r="F66">
        <f t="shared" si="6"/>
        <v>0</v>
      </c>
      <c r="G66" t="str">
        <f t="shared" si="5"/>
        <v>q</v>
      </c>
      <c r="H66" t="str">
        <f>VLOOKUP(D66,name!A:C,3,1)</f>
        <v>assets/icons/image326.png</v>
      </c>
      <c r="I66" t="e">
        <f>IF(A66="","",VLOOKUP(A66,lng!A:B,2,0))</f>
        <v>#N/A</v>
      </c>
    </row>
    <row r="67" spans="1:9" x14ac:dyDescent="0.15">
      <c r="A67">
        <f t="shared" si="1"/>
        <v>0</v>
      </c>
      <c r="B67">
        <f t="shared" si="3"/>
        <v>1</v>
      </c>
      <c r="C67">
        <f t="shared" si="4"/>
        <v>66</v>
      </c>
      <c r="D67">
        <f t="shared" si="6"/>
        <v>0</v>
      </c>
      <c r="E67" t="str">
        <f>VLOOKUP(D67,name!A:B,2,1)</f>
        <v>Player</v>
      </c>
      <c r="F67">
        <f t="shared" si="6"/>
        <v>0</v>
      </c>
      <c r="G67" t="str">
        <f t="shared" si="5"/>
        <v>q</v>
      </c>
      <c r="H67" t="str">
        <f>VLOOKUP(D67,name!A:C,3,1)</f>
        <v>assets/icons/image326.png</v>
      </c>
      <c r="I67" t="s">
        <v>403</v>
      </c>
    </row>
    <row r="68" spans="1:9" x14ac:dyDescent="0.15">
      <c r="A68">
        <f t="shared" si="1"/>
        <v>0</v>
      </c>
      <c r="B68">
        <f t="shared" si="3"/>
        <v>1</v>
      </c>
      <c r="C68">
        <f t="shared" si="4"/>
        <v>67</v>
      </c>
      <c r="D68">
        <f t="shared" si="6"/>
        <v>0</v>
      </c>
      <c r="E68" t="str">
        <f>VLOOKUP(D68,name!A:B,2,1)</f>
        <v>Player</v>
      </c>
      <c r="F68">
        <f t="shared" si="6"/>
        <v>0</v>
      </c>
      <c r="G68" t="str">
        <f t="shared" si="5"/>
        <v>q</v>
      </c>
      <c r="H68" t="str">
        <f>VLOOKUP(D68,name!A:C,3,1)</f>
        <v>assets/icons/image326.png</v>
      </c>
      <c r="I68" t="e">
        <f>IF(A68="","",VLOOKUP(A68,lng!A:B,2,0))</f>
        <v>#N/A</v>
      </c>
    </row>
    <row r="69" spans="1:9" x14ac:dyDescent="0.15">
      <c r="A69">
        <f t="shared" si="1"/>
        <v>0</v>
      </c>
      <c r="B69">
        <f t="shared" si="3"/>
        <v>1</v>
      </c>
      <c r="C69">
        <f t="shared" si="4"/>
        <v>68</v>
      </c>
      <c r="D69">
        <f t="shared" si="6"/>
        <v>0</v>
      </c>
      <c r="E69" t="str">
        <f>VLOOKUP(D69,name!A:B,2,1)</f>
        <v>Player</v>
      </c>
      <c r="F69">
        <f t="shared" si="6"/>
        <v>0</v>
      </c>
      <c r="G69" t="str">
        <f t="shared" ref="G69:G132" si="7">IF(B69&lt;&gt;B70,"e",IF(D69=0,"q","a"))</f>
        <v>q</v>
      </c>
      <c r="H69" t="str">
        <f>VLOOKUP(D69,name!A:C,3,1)</f>
        <v>assets/icons/image326.png</v>
      </c>
      <c r="I69" t="s">
        <v>403</v>
      </c>
    </row>
    <row r="70" spans="1:9" x14ac:dyDescent="0.15">
      <c r="A70">
        <f t="shared" si="1"/>
        <v>0</v>
      </c>
      <c r="B70">
        <f t="shared" si="3"/>
        <v>1</v>
      </c>
      <c r="C70">
        <f t="shared" si="4"/>
        <v>69</v>
      </c>
      <c r="D70">
        <f t="shared" ref="D70:F83" si="8">D71</f>
        <v>0</v>
      </c>
      <c r="E70" t="str">
        <f>VLOOKUP(D70,name!A:B,2,1)</f>
        <v>Player</v>
      </c>
      <c r="F70">
        <f t="shared" si="8"/>
        <v>0</v>
      </c>
      <c r="G70" t="str">
        <f t="shared" si="7"/>
        <v>q</v>
      </c>
      <c r="H70" t="str">
        <f>VLOOKUP(D70,name!A:C,3,1)</f>
        <v>assets/icons/image326.png</v>
      </c>
      <c r="I70" t="e">
        <f>IF(A70="","",VLOOKUP(A70,lng!A:B,2,0))</f>
        <v>#N/A</v>
      </c>
    </row>
    <row r="71" spans="1:9" x14ac:dyDescent="0.15">
      <c r="A71">
        <f t="shared" si="1"/>
        <v>0</v>
      </c>
      <c r="B71">
        <f t="shared" si="3"/>
        <v>1</v>
      </c>
      <c r="C71">
        <f t="shared" si="4"/>
        <v>70</v>
      </c>
      <c r="D71">
        <f t="shared" si="8"/>
        <v>0</v>
      </c>
      <c r="E71" t="str">
        <f>VLOOKUP(D71,name!A:B,2,1)</f>
        <v>Player</v>
      </c>
      <c r="F71">
        <f t="shared" si="8"/>
        <v>0</v>
      </c>
      <c r="G71" t="str">
        <f t="shared" si="7"/>
        <v>q</v>
      </c>
      <c r="H71" t="str">
        <f>VLOOKUP(D71,name!A:C,3,1)</f>
        <v>assets/icons/image326.png</v>
      </c>
      <c r="I71" t="s">
        <v>403</v>
      </c>
    </row>
    <row r="72" spans="1:9" x14ac:dyDescent="0.15">
      <c r="A72">
        <f t="shared" si="1"/>
        <v>0</v>
      </c>
      <c r="B72">
        <f t="shared" si="3"/>
        <v>1</v>
      </c>
      <c r="C72">
        <f t="shared" si="4"/>
        <v>71</v>
      </c>
      <c r="D72">
        <f t="shared" si="8"/>
        <v>0</v>
      </c>
      <c r="E72" t="str">
        <f>VLOOKUP(D72,name!A:B,2,1)</f>
        <v>Player</v>
      </c>
      <c r="F72">
        <f t="shared" si="8"/>
        <v>0</v>
      </c>
      <c r="G72" t="str">
        <f t="shared" si="7"/>
        <v>q</v>
      </c>
      <c r="H72" t="str">
        <f>VLOOKUP(D72,name!A:C,3,1)</f>
        <v>assets/icons/image326.png</v>
      </c>
      <c r="I72" t="e">
        <f>IF(A72="","",VLOOKUP(A72,lng!A:B,2,0))</f>
        <v>#N/A</v>
      </c>
    </row>
    <row r="73" spans="1:9" x14ac:dyDescent="0.15">
      <c r="A73">
        <f t="shared" si="1"/>
        <v>0</v>
      </c>
      <c r="B73">
        <f t="shared" si="3"/>
        <v>1</v>
      </c>
      <c r="C73">
        <f t="shared" si="4"/>
        <v>72</v>
      </c>
      <c r="D73">
        <f t="shared" si="8"/>
        <v>0</v>
      </c>
      <c r="E73" t="str">
        <f>VLOOKUP(D73,name!A:B,2,1)</f>
        <v>Player</v>
      </c>
      <c r="F73">
        <f t="shared" si="8"/>
        <v>0</v>
      </c>
      <c r="G73" t="str">
        <f t="shared" si="7"/>
        <v>q</v>
      </c>
      <c r="H73" t="str">
        <f>VLOOKUP(D73,name!A:C,3,1)</f>
        <v>assets/icons/image326.png</v>
      </c>
      <c r="I73" t="s">
        <v>403</v>
      </c>
    </row>
    <row r="74" spans="1:9" x14ac:dyDescent="0.15">
      <c r="A74">
        <f t="shared" si="1"/>
        <v>0</v>
      </c>
      <c r="B74">
        <f t="shared" si="3"/>
        <v>1</v>
      </c>
      <c r="C74">
        <f t="shared" si="4"/>
        <v>73</v>
      </c>
      <c r="D74">
        <f t="shared" si="8"/>
        <v>0</v>
      </c>
      <c r="E74" t="str">
        <f>VLOOKUP(D74,name!A:B,2,1)</f>
        <v>Player</v>
      </c>
      <c r="F74">
        <f t="shared" si="8"/>
        <v>0</v>
      </c>
      <c r="G74" t="str">
        <f t="shared" si="7"/>
        <v>q</v>
      </c>
      <c r="H74" t="str">
        <f>VLOOKUP(D74,name!A:C,3,1)</f>
        <v>assets/icons/image326.png</v>
      </c>
      <c r="I74" t="e">
        <f>IF(A74="","",VLOOKUP(A74,lng!A:B,2,0))</f>
        <v>#N/A</v>
      </c>
    </row>
    <row r="75" spans="1:9" x14ac:dyDescent="0.15">
      <c r="A75">
        <f t="shared" si="1"/>
        <v>0</v>
      </c>
      <c r="B75">
        <f t="shared" si="3"/>
        <v>1</v>
      </c>
      <c r="C75">
        <f t="shared" si="4"/>
        <v>74</v>
      </c>
      <c r="D75">
        <f t="shared" si="8"/>
        <v>0</v>
      </c>
      <c r="E75" t="str">
        <f>VLOOKUP(D75,name!A:B,2,1)</f>
        <v>Player</v>
      </c>
      <c r="F75">
        <f t="shared" si="8"/>
        <v>0</v>
      </c>
      <c r="G75" t="str">
        <f t="shared" si="7"/>
        <v>q</v>
      </c>
      <c r="H75" t="str">
        <f>VLOOKUP(D75,name!A:C,3,1)</f>
        <v>assets/icons/image326.png</v>
      </c>
      <c r="I75" t="s">
        <v>403</v>
      </c>
    </row>
    <row r="76" spans="1:9" x14ac:dyDescent="0.15">
      <c r="A76">
        <f t="shared" si="1"/>
        <v>0</v>
      </c>
      <c r="B76">
        <f t="shared" si="3"/>
        <v>1</v>
      </c>
      <c r="C76">
        <f t="shared" si="4"/>
        <v>75</v>
      </c>
      <c r="D76">
        <f t="shared" si="8"/>
        <v>0</v>
      </c>
      <c r="E76" t="str">
        <f>VLOOKUP(D76,name!A:B,2,1)</f>
        <v>Player</v>
      </c>
      <c r="F76">
        <f t="shared" si="8"/>
        <v>0</v>
      </c>
      <c r="G76" t="str">
        <f t="shared" si="7"/>
        <v>q</v>
      </c>
      <c r="H76" t="str">
        <f>VLOOKUP(D76,name!A:C,3,1)</f>
        <v>assets/icons/image326.png</v>
      </c>
      <c r="I76" t="e">
        <f>IF(A76="","",VLOOKUP(A76,lng!A:B,2,0))</f>
        <v>#N/A</v>
      </c>
    </row>
    <row r="77" spans="1:9" x14ac:dyDescent="0.15">
      <c r="A77">
        <f t="shared" si="1"/>
        <v>0</v>
      </c>
      <c r="B77">
        <f t="shared" si="3"/>
        <v>1</v>
      </c>
      <c r="C77">
        <f t="shared" si="4"/>
        <v>76</v>
      </c>
      <c r="D77">
        <f t="shared" si="8"/>
        <v>0</v>
      </c>
      <c r="E77" t="str">
        <f>VLOOKUP(D77,name!A:B,2,1)</f>
        <v>Player</v>
      </c>
      <c r="F77">
        <f t="shared" si="8"/>
        <v>0</v>
      </c>
      <c r="G77" t="str">
        <f t="shared" si="7"/>
        <v>q</v>
      </c>
      <c r="H77" t="str">
        <f>VLOOKUP(D77,name!A:C,3,1)</f>
        <v>assets/icons/image326.png</v>
      </c>
      <c r="I77" t="s">
        <v>403</v>
      </c>
    </row>
    <row r="78" spans="1:9" x14ac:dyDescent="0.15">
      <c r="A78">
        <f t="shared" si="1"/>
        <v>0</v>
      </c>
      <c r="B78">
        <f t="shared" si="3"/>
        <v>1</v>
      </c>
      <c r="C78">
        <f t="shared" si="4"/>
        <v>77</v>
      </c>
      <c r="D78">
        <f t="shared" si="8"/>
        <v>0</v>
      </c>
      <c r="E78" t="str">
        <f>VLOOKUP(D78,name!A:B,2,1)</f>
        <v>Player</v>
      </c>
      <c r="F78">
        <f t="shared" si="8"/>
        <v>0</v>
      </c>
      <c r="G78" t="str">
        <f t="shared" si="7"/>
        <v>q</v>
      </c>
      <c r="H78" t="str">
        <f>VLOOKUP(D78,name!A:C,3,1)</f>
        <v>assets/icons/image326.png</v>
      </c>
      <c r="I78" t="e">
        <f>IF(A78="","",VLOOKUP(A78,lng!A:B,2,0))</f>
        <v>#N/A</v>
      </c>
    </row>
    <row r="79" spans="1:9" x14ac:dyDescent="0.15">
      <c r="A79">
        <f t="shared" si="1"/>
        <v>0</v>
      </c>
      <c r="B79">
        <f t="shared" si="3"/>
        <v>1</v>
      </c>
      <c r="C79">
        <f t="shared" si="4"/>
        <v>78</v>
      </c>
      <c r="D79">
        <f t="shared" si="8"/>
        <v>0</v>
      </c>
      <c r="E79" t="str">
        <f>VLOOKUP(D79,name!A:B,2,1)</f>
        <v>Player</v>
      </c>
      <c r="F79">
        <f t="shared" si="8"/>
        <v>0</v>
      </c>
      <c r="G79" t="str">
        <f t="shared" si="7"/>
        <v>q</v>
      </c>
      <c r="H79" t="str">
        <f>VLOOKUP(D79,name!A:C,3,1)</f>
        <v>assets/icons/image326.png</v>
      </c>
      <c r="I79" t="s">
        <v>403</v>
      </c>
    </row>
    <row r="80" spans="1:9" x14ac:dyDescent="0.15">
      <c r="A80">
        <f t="shared" si="1"/>
        <v>0</v>
      </c>
      <c r="B80">
        <f t="shared" si="3"/>
        <v>1</v>
      </c>
      <c r="C80">
        <f t="shared" si="4"/>
        <v>79</v>
      </c>
      <c r="D80">
        <f t="shared" si="8"/>
        <v>0</v>
      </c>
      <c r="E80" t="str">
        <f>VLOOKUP(D80,name!A:B,2,1)</f>
        <v>Player</v>
      </c>
      <c r="F80">
        <f t="shared" si="8"/>
        <v>0</v>
      </c>
      <c r="G80" t="str">
        <f t="shared" si="7"/>
        <v>q</v>
      </c>
      <c r="H80" t="str">
        <f>VLOOKUP(D80,name!A:C,3,1)</f>
        <v>assets/icons/image326.png</v>
      </c>
      <c r="I80" t="e">
        <f>IF(A80="","",VLOOKUP(A80,lng!A:B,2,0))</f>
        <v>#N/A</v>
      </c>
    </row>
    <row r="81" spans="1:9" x14ac:dyDescent="0.15">
      <c r="A81">
        <f t="shared" si="1"/>
        <v>0</v>
      </c>
      <c r="B81">
        <f t="shared" si="3"/>
        <v>1</v>
      </c>
      <c r="C81">
        <f t="shared" si="4"/>
        <v>80</v>
      </c>
      <c r="D81">
        <f t="shared" si="8"/>
        <v>0</v>
      </c>
      <c r="E81" t="str">
        <f>VLOOKUP(D81,name!A:B,2,1)</f>
        <v>Player</v>
      </c>
      <c r="F81">
        <f t="shared" si="8"/>
        <v>0</v>
      </c>
      <c r="G81" t="str">
        <f t="shared" si="7"/>
        <v>q</v>
      </c>
      <c r="H81" t="str">
        <f>VLOOKUP(D81,name!A:C,3,1)</f>
        <v>assets/icons/image326.png</v>
      </c>
      <c r="I81" t="s">
        <v>403</v>
      </c>
    </row>
    <row r="82" spans="1:9" x14ac:dyDescent="0.15">
      <c r="A82">
        <f t="shared" si="1"/>
        <v>0</v>
      </c>
      <c r="B82">
        <f t="shared" si="3"/>
        <v>1</v>
      </c>
      <c r="C82">
        <f t="shared" si="4"/>
        <v>81</v>
      </c>
      <c r="D82">
        <f t="shared" si="8"/>
        <v>0</v>
      </c>
      <c r="E82" t="str">
        <f>VLOOKUP(D82,name!A:B,2,1)</f>
        <v>Player</v>
      </c>
      <c r="F82">
        <f t="shared" si="8"/>
        <v>0</v>
      </c>
      <c r="G82" t="str">
        <f t="shared" si="7"/>
        <v>q</v>
      </c>
      <c r="H82" t="str">
        <f>VLOOKUP(D82,name!A:C,3,1)</f>
        <v>assets/icons/image326.png</v>
      </c>
      <c r="I82" t="e">
        <f>IF(A82="","",VLOOKUP(A82,lng!A:B,2,0))</f>
        <v>#N/A</v>
      </c>
    </row>
    <row r="83" spans="1:9" x14ac:dyDescent="0.15">
      <c r="A83">
        <f t="shared" si="1"/>
        <v>0</v>
      </c>
      <c r="B83">
        <f t="shared" si="3"/>
        <v>1</v>
      </c>
      <c r="C83">
        <f t="shared" si="4"/>
        <v>82</v>
      </c>
      <c r="D83">
        <f t="shared" si="8"/>
        <v>0</v>
      </c>
      <c r="E83" t="str">
        <f>VLOOKUP(D83,name!A:B,2,1)</f>
        <v>Player</v>
      </c>
      <c r="F83">
        <f t="shared" si="8"/>
        <v>0</v>
      </c>
      <c r="G83" t="str">
        <f t="shared" si="7"/>
        <v>q</v>
      </c>
      <c r="H83" t="str">
        <f>VLOOKUP(D83,name!A:C,3,1)</f>
        <v>assets/icons/image326.png</v>
      </c>
      <c r="I83" t="s">
        <v>403</v>
      </c>
    </row>
    <row r="84" spans="1:9" x14ac:dyDescent="0.15">
      <c r="A84">
        <f t="shared" si="1"/>
        <v>0</v>
      </c>
      <c r="B84">
        <f t="shared" si="3"/>
        <v>1</v>
      </c>
      <c r="C84">
        <f t="shared" si="4"/>
        <v>83</v>
      </c>
      <c r="E84" t="str">
        <f>VLOOKUP(D84,name!A:B,2,1)</f>
        <v>Player</v>
      </c>
      <c r="G84" t="str">
        <f t="shared" si="7"/>
        <v>q</v>
      </c>
      <c r="H84" t="str">
        <f>VLOOKUP(D84,name!A:C,3,1)</f>
        <v>assets/icons/image326.png</v>
      </c>
      <c r="I84" t="e">
        <f>IF(A84="","",VLOOKUP(A84,lng!A:B,2,0))</f>
        <v>#N/A</v>
      </c>
    </row>
    <row r="85" spans="1:9" x14ac:dyDescent="0.15">
      <c r="A85">
        <f t="shared" si="1"/>
        <v>0</v>
      </c>
      <c r="B85">
        <f t="shared" si="3"/>
        <v>1</v>
      </c>
      <c r="C85">
        <f t="shared" si="4"/>
        <v>84</v>
      </c>
      <c r="D85">
        <v>1</v>
      </c>
      <c r="E85" t="str">
        <f>VLOOKUP(D85,name!A:B,2,1)</f>
        <v>Navigator</v>
      </c>
      <c r="F85" t="str">
        <f>"次の"&amp;A85&amp;"を真似してね！"</f>
        <v>次の0を真似してね！</v>
      </c>
      <c r="G85" t="str">
        <f t="shared" si="7"/>
        <v>a</v>
      </c>
      <c r="H85" t="str">
        <f>VLOOKUP(D85,name!A:C,3,1)</f>
        <v>assets/icons/image014.png</v>
      </c>
      <c r="I85" t="s">
        <v>405</v>
      </c>
    </row>
    <row r="86" spans="1:9" x14ac:dyDescent="0.15">
      <c r="A86">
        <f t="shared" si="1"/>
        <v>0</v>
      </c>
      <c r="B86">
        <f t="shared" si="3"/>
        <v>1</v>
      </c>
      <c r="C86">
        <f t="shared" si="4"/>
        <v>85</v>
      </c>
      <c r="D86">
        <f>D5</f>
        <v>0</v>
      </c>
      <c r="E86" t="str">
        <f>VLOOKUP(D86,name!A:B,2,1)</f>
        <v>Player</v>
      </c>
      <c r="F86">
        <f>F5</f>
        <v>0</v>
      </c>
      <c r="G86" t="str">
        <f t="shared" si="7"/>
        <v>q</v>
      </c>
      <c r="H86" t="str">
        <f>VLOOKUP(D86,name!A:C,3,1)</f>
        <v>assets/icons/image326.png</v>
      </c>
      <c r="I86" t="s">
        <v>406</v>
      </c>
    </row>
    <row r="87" spans="1:9" x14ac:dyDescent="0.15">
      <c r="A87">
        <f t="shared" si="1"/>
        <v>0</v>
      </c>
      <c r="B87">
        <f t="shared" si="3"/>
        <v>1</v>
      </c>
      <c r="C87">
        <f t="shared" si="4"/>
        <v>86</v>
      </c>
      <c r="D87">
        <f>D6</f>
        <v>0</v>
      </c>
      <c r="E87" t="str">
        <f>VLOOKUP(D87,name!A:B,2,1)</f>
        <v>Player</v>
      </c>
      <c r="F87">
        <f>F6</f>
        <v>0</v>
      </c>
      <c r="G87" t="str">
        <f t="shared" si="7"/>
        <v>q</v>
      </c>
      <c r="H87" t="str">
        <f>VLOOKUP(D87,name!A:C,3,1)</f>
        <v>assets/icons/image326.png</v>
      </c>
      <c r="I87" t="e">
        <f>IF(A87="","",VLOOKUP(A87,lng!A:B,2,0))</f>
        <v>#N/A</v>
      </c>
    </row>
    <row r="88" spans="1:9" x14ac:dyDescent="0.15">
      <c r="A88">
        <f t="shared" si="1"/>
        <v>0</v>
      </c>
      <c r="B88">
        <f t="shared" si="3"/>
        <v>1</v>
      </c>
      <c r="C88">
        <f t="shared" si="4"/>
        <v>87</v>
      </c>
      <c r="D88">
        <v>0</v>
      </c>
      <c r="E88" t="str">
        <f>VLOOKUP(D88,name!A:B,2,1)</f>
        <v>Player</v>
      </c>
      <c r="F88">
        <f>F6</f>
        <v>0</v>
      </c>
      <c r="G88" t="str">
        <f t="shared" si="7"/>
        <v>q</v>
      </c>
      <c r="H88" t="str">
        <f>VLOOKUP(D88,name!A:C,3,1)</f>
        <v>assets/icons/image326.png</v>
      </c>
      <c r="I88" t="e">
        <f>IF(A88="","",VLOOKUP(A88,lng!A:B,2,0))</f>
        <v>#N/A</v>
      </c>
    </row>
    <row r="89" spans="1:9" x14ac:dyDescent="0.15">
      <c r="A89">
        <f t="shared" si="1"/>
        <v>0</v>
      </c>
      <c r="B89">
        <f t="shared" si="3"/>
        <v>1</v>
      </c>
      <c r="C89">
        <f t="shared" si="4"/>
        <v>88</v>
      </c>
      <c r="D89">
        <f>D7</f>
        <v>0</v>
      </c>
      <c r="E89" t="str">
        <f>VLOOKUP(D89,name!A:B,2,1)</f>
        <v>Player</v>
      </c>
      <c r="F89">
        <f>F7</f>
        <v>0</v>
      </c>
      <c r="G89" t="str">
        <f t="shared" si="7"/>
        <v>q</v>
      </c>
      <c r="H89" t="str">
        <f>VLOOKUP(D89,name!A:C,3,1)</f>
        <v>assets/icons/image326.png</v>
      </c>
      <c r="I89" t="s">
        <v>406</v>
      </c>
    </row>
    <row r="90" spans="1:9" x14ac:dyDescent="0.15">
      <c r="A90">
        <f t="shared" si="1"/>
        <v>0</v>
      </c>
      <c r="B90">
        <f t="shared" si="3"/>
        <v>1</v>
      </c>
      <c r="C90">
        <f t="shared" si="4"/>
        <v>89</v>
      </c>
      <c r="D90">
        <f t="shared" ref="D90:F90" si="9">D8</f>
        <v>0</v>
      </c>
      <c r="E90" t="str">
        <f>VLOOKUP(D90,name!A:B,2,1)</f>
        <v>Player</v>
      </c>
      <c r="F90">
        <f t="shared" si="9"/>
        <v>0</v>
      </c>
      <c r="G90" t="str">
        <f t="shared" si="7"/>
        <v>q</v>
      </c>
      <c r="H90" t="str">
        <f>VLOOKUP(D90,name!A:C,3,1)</f>
        <v>assets/icons/image326.png</v>
      </c>
      <c r="I90" t="e">
        <f>IF(A90="","",VLOOKUP(A90,lng!A:B,2,0))</f>
        <v>#N/A</v>
      </c>
    </row>
    <row r="91" spans="1:9" x14ac:dyDescent="0.15">
      <c r="A91">
        <f t="shared" si="1"/>
        <v>0</v>
      </c>
      <c r="B91">
        <f t="shared" si="3"/>
        <v>1</v>
      </c>
      <c r="C91">
        <f t="shared" si="4"/>
        <v>90</v>
      </c>
      <c r="D91">
        <v>0</v>
      </c>
      <c r="E91" t="str">
        <f>VLOOKUP(D91,name!A:B,2,1)</f>
        <v>Player</v>
      </c>
      <c r="F91">
        <f>F8</f>
        <v>0</v>
      </c>
      <c r="G91" t="str">
        <f t="shared" si="7"/>
        <v>q</v>
      </c>
      <c r="H91" t="str">
        <f>VLOOKUP(D91,name!A:C,3,1)</f>
        <v>assets/icons/image326.png</v>
      </c>
      <c r="I91" t="e">
        <f>IF(A91="","",VLOOKUP(A91,lng!A:B,2,0))</f>
        <v>#N/A</v>
      </c>
    </row>
    <row r="92" spans="1:9" x14ac:dyDescent="0.15">
      <c r="A92">
        <f t="shared" si="1"/>
        <v>0</v>
      </c>
      <c r="B92">
        <f t="shared" si="3"/>
        <v>1</v>
      </c>
      <c r="C92">
        <f t="shared" si="4"/>
        <v>91</v>
      </c>
      <c r="D92">
        <f>D9</f>
        <v>0</v>
      </c>
      <c r="E92" t="str">
        <f>VLOOKUP(D92,name!A:B,2,1)</f>
        <v>Player</v>
      </c>
      <c r="F92">
        <f>F9</f>
        <v>0</v>
      </c>
      <c r="G92" t="str">
        <f t="shared" si="7"/>
        <v>q</v>
      </c>
      <c r="H92" t="str">
        <f>VLOOKUP(D92,name!A:C,3,1)</f>
        <v>assets/icons/image326.png</v>
      </c>
      <c r="I92" t="s">
        <v>406</v>
      </c>
    </row>
    <row r="93" spans="1:9" x14ac:dyDescent="0.15">
      <c r="A93">
        <f t="shared" si="1"/>
        <v>0</v>
      </c>
      <c r="B93">
        <f t="shared" si="3"/>
        <v>1</v>
      </c>
      <c r="C93">
        <f t="shared" si="4"/>
        <v>92</v>
      </c>
      <c r="D93">
        <f>D10</f>
        <v>0</v>
      </c>
      <c r="E93" t="str">
        <f>VLOOKUP(D93,name!A:B,2,1)</f>
        <v>Player</v>
      </c>
      <c r="F93">
        <f>F10</f>
        <v>0</v>
      </c>
      <c r="G93" t="str">
        <f t="shared" si="7"/>
        <v>q</v>
      </c>
      <c r="H93" t="str">
        <f>VLOOKUP(D93,name!A:C,3,1)</f>
        <v>assets/icons/image326.png</v>
      </c>
      <c r="I93" t="e">
        <f>IF(A93="","",VLOOKUP(A93,lng!A:B,2,0))</f>
        <v>#N/A</v>
      </c>
    </row>
    <row r="94" spans="1:9" x14ac:dyDescent="0.15">
      <c r="A94">
        <f t="shared" si="1"/>
        <v>0</v>
      </c>
      <c r="B94">
        <f t="shared" si="3"/>
        <v>1</v>
      </c>
      <c r="C94">
        <f t="shared" si="4"/>
        <v>93</v>
      </c>
      <c r="D94">
        <v>0</v>
      </c>
      <c r="E94" t="str">
        <f>VLOOKUP(D94,name!A:B,2,1)</f>
        <v>Player</v>
      </c>
      <c r="F94">
        <f>F10</f>
        <v>0</v>
      </c>
      <c r="G94" t="str">
        <f t="shared" si="7"/>
        <v>q</v>
      </c>
      <c r="H94" t="str">
        <f>VLOOKUP(D94,name!A:C,3,1)</f>
        <v>assets/icons/image326.png</v>
      </c>
      <c r="I94" t="e">
        <f>IF(A94="","",VLOOKUP(A94,lng!A:B,2,0))</f>
        <v>#N/A</v>
      </c>
    </row>
    <row r="95" spans="1:9" x14ac:dyDescent="0.15">
      <c r="A95">
        <f t="shared" si="1"/>
        <v>0</v>
      </c>
      <c r="B95">
        <f t="shared" si="3"/>
        <v>1</v>
      </c>
      <c r="C95">
        <f t="shared" si="4"/>
        <v>94</v>
      </c>
      <c r="D95">
        <f>D11</f>
        <v>0</v>
      </c>
      <c r="E95" t="str">
        <f>VLOOKUP(D95,name!A:B,2,1)</f>
        <v>Player</v>
      </c>
      <c r="F95">
        <f>F11</f>
        <v>0</v>
      </c>
      <c r="G95" t="str">
        <f t="shared" si="7"/>
        <v>q</v>
      </c>
      <c r="H95" t="str">
        <f>VLOOKUP(D95,name!A:C,3,1)</f>
        <v>assets/icons/image326.png</v>
      </c>
      <c r="I95" t="s">
        <v>406</v>
      </c>
    </row>
    <row r="96" spans="1:9" x14ac:dyDescent="0.15">
      <c r="A96">
        <f t="shared" si="1"/>
        <v>0</v>
      </c>
      <c r="B96">
        <f t="shared" si="3"/>
        <v>1</v>
      </c>
      <c r="C96">
        <f t="shared" si="4"/>
        <v>95</v>
      </c>
      <c r="D96">
        <f>D12</f>
        <v>0</v>
      </c>
      <c r="E96" t="str">
        <f>VLOOKUP(D96,name!A:B,2,1)</f>
        <v>Player</v>
      </c>
      <c r="F96">
        <f>F12</f>
        <v>0</v>
      </c>
      <c r="G96" t="str">
        <f t="shared" si="7"/>
        <v>q</v>
      </c>
      <c r="H96" t="str">
        <f>VLOOKUP(D96,name!A:C,3,1)</f>
        <v>assets/icons/image326.png</v>
      </c>
      <c r="I96" t="e">
        <f>IF(A96="","",VLOOKUP(A96,lng!A:B,2,0))</f>
        <v>#N/A</v>
      </c>
    </row>
    <row r="97" spans="1:9" x14ac:dyDescent="0.15">
      <c r="A97">
        <f t="shared" si="1"/>
        <v>0</v>
      </c>
      <c r="B97">
        <f t="shared" si="3"/>
        <v>1</v>
      </c>
      <c r="C97">
        <f t="shared" si="4"/>
        <v>96</v>
      </c>
      <c r="D97">
        <v>0</v>
      </c>
      <c r="E97" t="str">
        <f>VLOOKUP(D97,name!A:B,2,1)</f>
        <v>Player</v>
      </c>
      <c r="F97">
        <f>F12</f>
        <v>0</v>
      </c>
      <c r="G97" t="str">
        <f t="shared" si="7"/>
        <v>q</v>
      </c>
      <c r="H97" t="str">
        <f>VLOOKUP(D97,name!A:C,3,1)</f>
        <v>assets/icons/image326.png</v>
      </c>
      <c r="I97" t="e">
        <f>IF(A97="","",VLOOKUP(A97,lng!A:B,2,0))</f>
        <v>#N/A</v>
      </c>
    </row>
    <row r="98" spans="1:9" x14ac:dyDescent="0.15">
      <c r="A98">
        <f t="shared" si="1"/>
        <v>0</v>
      </c>
      <c r="B98">
        <f t="shared" si="3"/>
        <v>1</v>
      </c>
      <c r="C98">
        <f t="shared" si="4"/>
        <v>97</v>
      </c>
      <c r="D98">
        <f>D13</f>
        <v>0</v>
      </c>
      <c r="E98" t="str">
        <f>VLOOKUP(D98,name!A:B,2,1)</f>
        <v>Player</v>
      </c>
      <c r="F98">
        <f>F13</f>
        <v>0</v>
      </c>
      <c r="G98" t="str">
        <f t="shared" si="7"/>
        <v>q</v>
      </c>
      <c r="H98" t="str">
        <f>VLOOKUP(D98,name!A:C,3,1)</f>
        <v>assets/icons/image326.png</v>
      </c>
      <c r="I98" t="s">
        <v>406</v>
      </c>
    </row>
    <row r="99" spans="1:9" x14ac:dyDescent="0.15">
      <c r="A99">
        <f t="shared" si="1"/>
        <v>0</v>
      </c>
      <c r="B99">
        <f t="shared" si="3"/>
        <v>1</v>
      </c>
      <c r="C99">
        <f t="shared" si="4"/>
        <v>98</v>
      </c>
      <c r="D99">
        <f>D14</f>
        <v>0</v>
      </c>
      <c r="E99" t="str">
        <f>VLOOKUP(D99,name!A:B,2,1)</f>
        <v>Player</v>
      </c>
      <c r="F99">
        <f>F14</f>
        <v>0</v>
      </c>
      <c r="G99" t="str">
        <f t="shared" si="7"/>
        <v>q</v>
      </c>
      <c r="H99" t="str">
        <f>VLOOKUP(D99,name!A:C,3,1)</f>
        <v>assets/icons/image326.png</v>
      </c>
      <c r="I99" t="e">
        <f>IF(A99="","",VLOOKUP(A99,lng!A:B,2,0))</f>
        <v>#N/A</v>
      </c>
    </row>
    <row r="100" spans="1:9" x14ac:dyDescent="0.15">
      <c r="A100">
        <f t="shared" si="1"/>
        <v>0</v>
      </c>
      <c r="B100">
        <f t="shared" si="3"/>
        <v>1</v>
      </c>
      <c r="C100">
        <f t="shared" si="4"/>
        <v>99</v>
      </c>
      <c r="D100">
        <v>0</v>
      </c>
      <c r="E100" t="str">
        <f>VLOOKUP(D100,name!A:B,2,1)</f>
        <v>Player</v>
      </c>
      <c r="F100">
        <f>F14</f>
        <v>0</v>
      </c>
      <c r="G100" t="str">
        <f t="shared" si="7"/>
        <v>q</v>
      </c>
      <c r="H100" t="str">
        <f>VLOOKUP(D100,name!A:C,3,1)</f>
        <v>assets/icons/image326.png</v>
      </c>
      <c r="I100" t="e">
        <f>IF(A100="","",VLOOKUP(A100,lng!A:B,2,0))</f>
        <v>#N/A</v>
      </c>
    </row>
    <row r="101" spans="1:9" x14ac:dyDescent="0.15">
      <c r="A101">
        <f t="shared" si="1"/>
        <v>0</v>
      </c>
      <c r="B101">
        <f t="shared" si="3"/>
        <v>1</v>
      </c>
      <c r="C101">
        <f t="shared" si="4"/>
        <v>100</v>
      </c>
      <c r="D101">
        <f>D15</f>
        <v>0</v>
      </c>
      <c r="E101" t="str">
        <f>VLOOKUP(D101,name!A:B,2,1)</f>
        <v>Player</v>
      </c>
      <c r="F101">
        <f>F15</f>
        <v>0</v>
      </c>
      <c r="G101" t="str">
        <f t="shared" si="7"/>
        <v>q</v>
      </c>
      <c r="H101" t="str">
        <f>VLOOKUP(D101,name!A:C,3,1)</f>
        <v>assets/icons/image326.png</v>
      </c>
      <c r="I101" t="s">
        <v>406</v>
      </c>
    </row>
    <row r="102" spans="1:9" x14ac:dyDescent="0.15">
      <c r="A102">
        <f t="shared" ref="A102:B117" si="10">A101</f>
        <v>0</v>
      </c>
      <c r="B102">
        <f t="shared" si="3"/>
        <v>1</v>
      </c>
      <c r="C102">
        <f t="shared" si="4"/>
        <v>101</v>
      </c>
      <c r="D102">
        <f>D16</f>
        <v>0</v>
      </c>
      <c r="E102" t="str">
        <f>VLOOKUP(D102,name!A:B,2,1)</f>
        <v>Player</v>
      </c>
      <c r="F102">
        <f>F16</f>
        <v>0</v>
      </c>
      <c r="G102" t="str">
        <f t="shared" si="7"/>
        <v>q</v>
      </c>
      <c r="H102" t="str">
        <f>VLOOKUP(D102,name!A:C,3,1)</f>
        <v>assets/icons/image326.png</v>
      </c>
      <c r="I102" t="e">
        <f>IF(A102="","",VLOOKUP(A102,lng!A:B,2,0))</f>
        <v>#N/A</v>
      </c>
    </row>
    <row r="103" spans="1:9" x14ac:dyDescent="0.15">
      <c r="A103">
        <f t="shared" si="10"/>
        <v>0</v>
      </c>
      <c r="B103">
        <f t="shared" si="3"/>
        <v>1</v>
      </c>
      <c r="C103">
        <f t="shared" si="4"/>
        <v>102</v>
      </c>
      <c r="D103">
        <v>0</v>
      </c>
      <c r="E103" t="str">
        <f>VLOOKUP(D103,name!A:B,2,1)</f>
        <v>Player</v>
      </c>
      <c r="F103">
        <f>F16</f>
        <v>0</v>
      </c>
      <c r="G103" t="str">
        <f t="shared" si="7"/>
        <v>q</v>
      </c>
      <c r="H103" t="str">
        <f>VLOOKUP(D103,name!A:C,3,1)</f>
        <v>assets/icons/image326.png</v>
      </c>
      <c r="I103" t="e">
        <f>IF(A103="","",VLOOKUP(A103,lng!A:B,2,0))</f>
        <v>#N/A</v>
      </c>
    </row>
    <row r="104" spans="1:9" x14ac:dyDescent="0.15">
      <c r="A104">
        <f t="shared" si="10"/>
        <v>0</v>
      </c>
      <c r="B104">
        <f t="shared" si="3"/>
        <v>1</v>
      </c>
      <c r="C104">
        <f t="shared" si="4"/>
        <v>103</v>
      </c>
      <c r="D104">
        <f>D17</f>
        <v>0</v>
      </c>
      <c r="E104" t="str">
        <f>VLOOKUP(D104,name!A:B,2,1)</f>
        <v>Player</v>
      </c>
      <c r="F104">
        <f>F17</f>
        <v>0</v>
      </c>
      <c r="G104" t="str">
        <f t="shared" si="7"/>
        <v>q</v>
      </c>
      <c r="H104" t="str">
        <f>VLOOKUP(D104,name!A:C,3,1)</f>
        <v>assets/icons/image326.png</v>
      </c>
      <c r="I104" t="s">
        <v>406</v>
      </c>
    </row>
    <row r="105" spans="1:9" x14ac:dyDescent="0.15">
      <c r="A105">
        <f t="shared" si="10"/>
        <v>0</v>
      </c>
      <c r="B105">
        <f t="shared" si="3"/>
        <v>1</v>
      </c>
      <c r="C105">
        <f t="shared" si="4"/>
        <v>104</v>
      </c>
      <c r="D105">
        <f>D18</f>
        <v>0</v>
      </c>
      <c r="E105" t="str">
        <f>VLOOKUP(D105,name!A:B,2,1)</f>
        <v>Player</v>
      </c>
      <c r="F105">
        <f>F18</f>
        <v>0</v>
      </c>
      <c r="G105" t="str">
        <f t="shared" si="7"/>
        <v>q</v>
      </c>
      <c r="H105" t="str">
        <f>VLOOKUP(D105,name!A:C,3,1)</f>
        <v>assets/icons/image326.png</v>
      </c>
      <c r="I105" t="e">
        <f>IF(A105="","",VLOOKUP(A105,lng!A:B,2,0))</f>
        <v>#N/A</v>
      </c>
    </row>
    <row r="106" spans="1:9" x14ac:dyDescent="0.15">
      <c r="A106">
        <f t="shared" si="10"/>
        <v>0</v>
      </c>
      <c r="B106">
        <f t="shared" si="3"/>
        <v>1</v>
      </c>
      <c r="C106">
        <f t="shared" si="4"/>
        <v>105</v>
      </c>
      <c r="D106">
        <v>0</v>
      </c>
      <c r="E106" t="str">
        <f>VLOOKUP(D106,name!A:B,2,1)</f>
        <v>Player</v>
      </c>
      <c r="F106">
        <f>F18</f>
        <v>0</v>
      </c>
      <c r="G106" t="str">
        <f t="shared" si="7"/>
        <v>q</v>
      </c>
      <c r="H106" t="str">
        <f>VLOOKUP(D106,name!A:C,3,1)</f>
        <v>assets/icons/image326.png</v>
      </c>
      <c r="I106" t="e">
        <f>IF(A106="","",VLOOKUP(A106,lng!A:B,2,0))</f>
        <v>#N/A</v>
      </c>
    </row>
    <row r="107" spans="1:9" x14ac:dyDescent="0.15">
      <c r="A107">
        <f t="shared" si="10"/>
        <v>0</v>
      </c>
      <c r="B107">
        <f t="shared" si="10"/>
        <v>1</v>
      </c>
      <c r="C107">
        <f t="shared" ref="C107:C170" si="11">C106+1</f>
        <v>106</v>
      </c>
      <c r="D107">
        <f>D19</f>
        <v>0</v>
      </c>
      <c r="E107" t="str">
        <f>VLOOKUP(D107,name!A:B,2,1)</f>
        <v>Player</v>
      </c>
      <c r="F107">
        <f>F19</f>
        <v>0</v>
      </c>
      <c r="G107" t="str">
        <f t="shared" si="7"/>
        <v>q</v>
      </c>
      <c r="H107" t="str">
        <f>VLOOKUP(D107,name!A:C,3,1)</f>
        <v>assets/icons/image326.png</v>
      </c>
      <c r="I107" t="s">
        <v>406</v>
      </c>
    </row>
    <row r="108" spans="1:9" x14ac:dyDescent="0.15">
      <c r="A108">
        <f t="shared" si="10"/>
        <v>0</v>
      </c>
      <c r="B108">
        <f t="shared" si="10"/>
        <v>1</v>
      </c>
      <c r="C108">
        <f t="shared" si="11"/>
        <v>107</v>
      </c>
      <c r="D108">
        <f>D20</f>
        <v>0</v>
      </c>
      <c r="E108" t="str">
        <f>VLOOKUP(D108,name!A:B,2,1)</f>
        <v>Player</v>
      </c>
      <c r="F108">
        <f>F20</f>
        <v>0</v>
      </c>
      <c r="G108" t="str">
        <f t="shared" si="7"/>
        <v>q</v>
      </c>
      <c r="H108" t="str">
        <f>VLOOKUP(D108,name!A:C,3,1)</f>
        <v>assets/icons/image326.png</v>
      </c>
      <c r="I108" t="e">
        <f>IF(A108="","",VLOOKUP(A108,lng!A:B,2,0))</f>
        <v>#N/A</v>
      </c>
    </row>
    <row r="109" spans="1:9" x14ac:dyDescent="0.15">
      <c r="A109">
        <f t="shared" si="10"/>
        <v>0</v>
      </c>
      <c r="B109">
        <f t="shared" si="10"/>
        <v>1</v>
      </c>
      <c r="C109">
        <f t="shared" si="11"/>
        <v>108</v>
      </c>
      <c r="D109">
        <v>0</v>
      </c>
      <c r="E109" t="str">
        <f>VLOOKUP(D109,name!A:B,2,1)</f>
        <v>Player</v>
      </c>
      <c r="F109">
        <f>F20</f>
        <v>0</v>
      </c>
      <c r="G109" t="str">
        <f t="shared" si="7"/>
        <v>q</v>
      </c>
      <c r="H109" t="str">
        <f>VLOOKUP(D109,name!A:C,3,1)</f>
        <v>assets/icons/image326.png</v>
      </c>
      <c r="I109" t="e">
        <f>IF(A109="","",VLOOKUP(A109,lng!A:B,2,0))</f>
        <v>#N/A</v>
      </c>
    </row>
    <row r="110" spans="1:9" x14ac:dyDescent="0.15">
      <c r="A110">
        <f t="shared" si="10"/>
        <v>0</v>
      </c>
      <c r="B110">
        <f t="shared" si="10"/>
        <v>1</v>
      </c>
      <c r="C110">
        <f t="shared" si="11"/>
        <v>109</v>
      </c>
      <c r="D110">
        <f>D21</f>
        <v>0</v>
      </c>
      <c r="E110" t="str">
        <f>VLOOKUP(D110,name!A:B,2,1)</f>
        <v>Player</v>
      </c>
      <c r="F110">
        <f>F21</f>
        <v>0</v>
      </c>
      <c r="G110" t="str">
        <f t="shared" si="7"/>
        <v>q</v>
      </c>
      <c r="H110" t="str">
        <f>VLOOKUP(D110,name!A:C,3,1)</f>
        <v>assets/icons/image326.png</v>
      </c>
      <c r="I110" t="s">
        <v>406</v>
      </c>
    </row>
    <row r="111" spans="1:9" x14ac:dyDescent="0.15">
      <c r="A111">
        <f t="shared" si="10"/>
        <v>0</v>
      </c>
      <c r="B111">
        <f t="shared" si="10"/>
        <v>1</v>
      </c>
      <c r="C111">
        <f t="shared" si="11"/>
        <v>110</v>
      </c>
      <c r="D111">
        <f>D22</f>
        <v>0</v>
      </c>
      <c r="E111" t="str">
        <f>VLOOKUP(D111,name!A:B,2,1)</f>
        <v>Player</v>
      </c>
      <c r="F111">
        <f>F22</f>
        <v>0</v>
      </c>
      <c r="G111" t="str">
        <f t="shared" si="7"/>
        <v>q</v>
      </c>
      <c r="H111" t="str">
        <f>VLOOKUP(D111,name!A:C,3,1)</f>
        <v>assets/icons/image326.png</v>
      </c>
      <c r="I111" t="e">
        <f>IF(A111="","",VLOOKUP(A111,lng!A:B,2,0))</f>
        <v>#N/A</v>
      </c>
    </row>
    <row r="112" spans="1:9" x14ac:dyDescent="0.15">
      <c r="A112">
        <f t="shared" si="10"/>
        <v>0</v>
      </c>
      <c r="B112">
        <f t="shared" si="10"/>
        <v>1</v>
      </c>
      <c r="C112">
        <f t="shared" si="11"/>
        <v>111</v>
      </c>
      <c r="D112">
        <v>0</v>
      </c>
      <c r="E112" t="str">
        <f>VLOOKUP(D112,name!A:B,2,1)</f>
        <v>Player</v>
      </c>
      <c r="F112">
        <f>F22</f>
        <v>0</v>
      </c>
      <c r="G112" t="str">
        <f t="shared" si="7"/>
        <v>q</v>
      </c>
      <c r="H112" t="str">
        <f>VLOOKUP(D112,name!A:C,3,1)</f>
        <v>assets/icons/image326.png</v>
      </c>
      <c r="I112" t="e">
        <f>IF(A112="","",VLOOKUP(A112,lng!A:B,2,0))</f>
        <v>#N/A</v>
      </c>
    </row>
    <row r="113" spans="1:9" x14ac:dyDescent="0.15">
      <c r="A113">
        <f t="shared" si="10"/>
        <v>0</v>
      </c>
      <c r="B113">
        <f t="shared" si="10"/>
        <v>1</v>
      </c>
      <c r="C113">
        <f t="shared" si="11"/>
        <v>112</v>
      </c>
      <c r="D113">
        <f>D23</f>
        <v>0</v>
      </c>
      <c r="E113" t="str">
        <f>VLOOKUP(D113,name!A:B,2,1)</f>
        <v>Player</v>
      </c>
      <c r="F113">
        <f>F23</f>
        <v>0</v>
      </c>
      <c r="G113" t="str">
        <f t="shared" si="7"/>
        <v>q</v>
      </c>
      <c r="H113" t="str">
        <f>VLOOKUP(D113,name!A:C,3,1)</f>
        <v>assets/icons/image326.png</v>
      </c>
      <c r="I113" t="s">
        <v>406</v>
      </c>
    </row>
    <row r="114" spans="1:9" x14ac:dyDescent="0.15">
      <c r="A114">
        <f t="shared" si="10"/>
        <v>0</v>
      </c>
      <c r="B114">
        <f t="shared" si="10"/>
        <v>1</v>
      </c>
      <c r="C114">
        <f t="shared" si="11"/>
        <v>113</v>
      </c>
      <c r="D114">
        <f>D24</f>
        <v>0</v>
      </c>
      <c r="E114" t="str">
        <f>VLOOKUP(D114,name!A:B,2,1)</f>
        <v>Player</v>
      </c>
      <c r="F114">
        <f>F24</f>
        <v>0</v>
      </c>
      <c r="G114" t="str">
        <f t="shared" si="7"/>
        <v>q</v>
      </c>
      <c r="H114" t="str">
        <f>VLOOKUP(D114,name!A:C,3,1)</f>
        <v>assets/icons/image326.png</v>
      </c>
      <c r="I114" t="e">
        <f>IF(A114="","",VLOOKUP(A114,lng!A:B,2,0))</f>
        <v>#N/A</v>
      </c>
    </row>
    <row r="115" spans="1:9" x14ac:dyDescent="0.15">
      <c r="A115">
        <f t="shared" si="10"/>
        <v>0</v>
      </c>
      <c r="B115">
        <f t="shared" si="10"/>
        <v>1</v>
      </c>
      <c r="C115">
        <f t="shared" si="11"/>
        <v>114</v>
      </c>
      <c r="D115">
        <v>0</v>
      </c>
      <c r="E115" t="str">
        <f>VLOOKUP(D115,name!A:B,2,1)</f>
        <v>Player</v>
      </c>
      <c r="F115">
        <f>F24</f>
        <v>0</v>
      </c>
      <c r="G115" t="str">
        <f t="shared" si="7"/>
        <v>q</v>
      </c>
      <c r="H115" t="str">
        <f>VLOOKUP(D115,name!A:C,3,1)</f>
        <v>assets/icons/image326.png</v>
      </c>
      <c r="I115" t="e">
        <f>IF(A115="","",VLOOKUP(A115,lng!A:B,2,0))</f>
        <v>#N/A</v>
      </c>
    </row>
    <row r="116" spans="1:9" x14ac:dyDescent="0.15">
      <c r="A116">
        <f t="shared" si="10"/>
        <v>0</v>
      </c>
      <c r="B116">
        <f t="shared" si="10"/>
        <v>1</v>
      </c>
      <c r="C116">
        <f t="shared" si="11"/>
        <v>115</v>
      </c>
      <c r="D116">
        <f>D25</f>
        <v>0</v>
      </c>
      <c r="E116" t="str">
        <f>VLOOKUP(D116,name!A:B,2,1)</f>
        <v>Player</v>
      </c>
      <c r="F116">
        <f>F25</f>
        <v>0</v>
      </c>
      <c r="G116" t="str">
        <f t="shared" si="7"/>
        <v>q</v>
      </c>
      <c r="H116" t="str">
        <f>VLOOKUP(D116,name!A:C,3,1)</f>
        <v>assets/icons/image326.png</v>
      </c>
      <c r="I116" t="s">
        <v>406</v>
      </c>
    </row>
    <row r="117" spans="1:9" x14ac:dyDescent="0.15">
      <c r="A117">
        <f t="shared" si="10"/>
        <v>0</v>
      </c>
      <c r="B117">
        <f t="shared" si="10"/>
        <v>1</v>
      </c>
      <c r="C117">
        <f t="shared" si="11"/>
        <v>116</v>
      </c>
      <c r="D117">
        <f>D26</f>
        <v>0</v>
      </c>
      <c r="E117" t="str">
        <f>VLOOKUP(D117,name!A:B,2,1)</f>
        <v>Player</v>
      </c>
      <c r="F117">
        <f>F26</f>
        <v>0</v>
      </c>
      <c r="G117" t="str">
        <f t="shared" si="7"/>
        <v>q</v>
      </c>
      <c r="H117" t="str">
        <f>VLOOKUP(D117,name!A:C,3,1)</f>
        <v>assets/icons/image326.png</v>
      </c>
      <c r="I117" t="e">
        <f>IF(A117="","",VLOOKUP(A117,lng!A:B,2,0))</f>
        <v>#N/A</v>
      </c>
    </row>
    <row r="118" spans="1:9" x14ac:dyDescent="0.15">
      <c r="A118">
        <f t="shared" ref="A118:B133" si="12">A117</f>
        <v>0</v>
      </c>
      <c r="B118">
        <f t="shared" si="12"/>
        <v>1</v>
      </c>
      <c r="C118">
        <f t="shared" si="11"/>
        <v>117</v>
      </c>
      <c r="D118">
        <v>0</v>
      </c>
      <c r="E118" t="str">
        <f>VLOOKUP(D118,name!A:B,2,1)</f>
        <v>Player</v>
      </c>
      <c r="F118">
        <f>F26</f>
        <v>0</v>
      </c>
      <c r="G118" t="str">
        <f t="shared" si="7"/>
        <v>q</v>
      </c>
      <c r="H118" t="str">
        <f>VLOOKUP(D118,name!A:C,3,1)</f>
        <v>assets/icons/image326.png</v>
      </c>
      <c r="I118" t="e">
        <f>IF(A118="","",VLOOKUP(A118,lng!A:B,2,0))</f>
        <v>#N/A</v>
      </c>
    </row>
    <row r="119" spans="1:9" x14ac:dyDescent="0.15">
      <c r="A119">
        <f t="shared" si="12"/>
        <v>0</v>
      </c>
      <c r="B119">
        <f t="shared" si="12"/>
        <v>1</v>
      </c>
      <c r="C119">
        <f t="shared" si="11"/>
        <v>118</v>
      </c>
      <c r="D119">
        <f>D27</f>
        <v>0</v>
      </c>
      <c r="E119" t="str">
        <f>VLOOKUP(D119,name!A:B,2,1)</f>
        <v>Player</v>
      </c>
      <c r="F119">
        <f>F27</f>
        <v>0</v>
      </c>
      <c r="G119" t="str">
        <f t="shared" si="7"/>
        <v>q</v>
      </c>
      <c r="H119" t="str">
        <f>VLOOKUP(D119,name!A:C,3,1)</f>
        <v>assets/icons/image326.png</v>
      </c>
      <c r="I119" t="s">
        <v>406</v>
      </c>
    </row>
    <row r="120" spans="1:9" x14ac:dyDescent="0.15">
      <c r="A120">
        <f t="shared" si="12"/>
        <v>0</v>
      </c>
      <c r="B120">
        <f t="shared" si="12"/>
        <v>1</v>
      </c>
      <c r="C120">
        <f t="shared" si="11"/>
        <v>119</v>
      </c>
      <c r="D120">
        <f>D28</f>
        <v>0</v>
      </c>
      <c r="E120" t="str">
        <f>VLOOKUP(D120,name!A:B,2,1)</f>
        <v>Player</v>
      </c>
      <c r="F120">
        <f>F28</f>
        <v>0</v>
      </c>
      <c r="G120" t="str">
        <f t="shared" si="7"/>
        <v>q</v>
      </c>
      <c r="H120" t="str">
        <f>VLOOKUP(D120,name!A:C,3,1)</f>
        <v>assets/icons/image326.png</v>
      </c>
      <c r="I120" t="e">
        <f>IF(A120="","",VLOOKUP(A120,lng!A:B,2,0))</f>
        <v>#N/A</v>
      </c>
    </row>
    <row r="121" spans="1:9" x14ac:dyDescent="0.15">
      <c r="A121">
        <f t="shared" si="12"/>
        <v>0</v>
      </c>
      <c r="B121">
        <f t="shared" si="12"/>
        <v>1</v>
      </c>
      <c r="C121">
        <f t="shared" si="11"/>
        <v>120</v>
      </c>
      <c r="D121">
        <v>0</v>
      </c>
      <c r="E121" t="str">
        <f>VLOOKUP(D121,name!A:B,2,1)</f>
        <v>Player</v>
      </c>
      <c r="F121">
        <f>F28</f>
        <v>0</v>
      </c>
      <c r="G121" t="str">
        <f t="shared" si="7"/>
        <v>q</v>
      </c>
      <c r="H121" t="str">
        <f>VLOOKUP(D121,name!A:C,3,1)</f>
        <v>assets/icons/image326.png</v>
      </c>
      <c r="I121" t="e">
        <f>IF(A121="","",VLOOKUP(A121,lng!A:B,2,0))</f>
        <v>#N/A</v>
      </c>
    </row>
    <row r="122" spans="1:9" x14ac:dyDescent="0.15">
      <c r="A122">
        <f t="shared" si="12"/>
        <v>0</v>
      </c>
      <c r="B122">
        <f t="shared" si="12"/>
        <v>1</v>
      </c>
      <c r="C122">
        <f t="shared" si="11"/>
        <v>121</v>
      </c>
      <c r="D122">
        <f>D29</f>
        <v>0</v>
      </c>
      <c r="E122" t="str">
        <f>VLOOKUP(D122,name!A:B,2,1)</f>
        <v>Player</v>
      </c>
      <c r="F122">
        <f>F29</f>
        <v>0</v>
      </c>
      <c r="G122" t="str">
        <f t="shared" si="7"/>
        <v>q</v>
      </c>
      <c r="H122" t="str">
        <f>VLOOKUP(D122,name!A:C,3,1)</f>
        <v>assets/icons/image326.png</v>
      </c>
      <c r="I122" t="s">
        <v>406</v>
      </c>
    </row>
    <row r="123" spans="1:9" x14ac:dyDescent="0.15">
      <c r="A123">
        <f t="shared" si="12"/>
        <v>0</v>
      </c>
      <c r="B123">
        <f t="shared" si="12"/>
        <v>1</v>
      </c>
      <c r="C123">
        <f t="shared" si="11"/>
        <v>122</v>
      </c>
      <c r="D123">
        <f>D30</f>
        <v>0</v>
      </c>
      <c r="E123" t="str">
        <f>VLOOKUP(D123,name!A:B,2,1)</f>
        <v>Player</v>
      </c>
      <c r="F123">
        <f>F30</f>
        <v>0</v>
      </c>
      <c r="G123" t="str">
        <f t="shared" si="7"/>
        <v>q</v>
      </c>
      <c r="H123" t="str">
        <f>VLOOKUP(D123,name!A:C,3,1)</f>
        <v>assets/icons/image326.png</v>
      </c>
      <c r="I123" t="e">
        <f>IF(A123="","",VLOOKUP(A123,lng!A:B,2,0))</f>
        <v>#N/A</v>
      </c>
    </row>
    <row r="124" spans="1:9" x14ac:dyDescent="0.15">
      <c r="A124">
        <f t="shared" si="12"/>
        <v>0</v>
      </c>
      <c r="B124">
        <f t="shared" si="12"/>
        <v>1</v>
      </c>
      <c r="C124">
        <f t="shared" si="11"/>
        <v>123</v>
      </c>
      <c r="D124">
        <v>0</v>
      </c>
      <c r="E124" t="str">
        <f>VLOOKUP(D124,name!A:B,2,1)</f>
        <v>Player</v>
      </c>
      <c r="F124">
        <f>F30</f>
        <v>0</v>
      </c>
      <c r="G124" t="str">
        <f t="shared" si="7"/>
        <v>q</v>
      </c>
      <c r="H124" t="str">
        <f>VLOOKUP(D124,name!A:C,3,1)</f>
        <v>assets/icons/image326.png</v>
      </c>
      <c r="I124" t="e">
        <f>IF(A124="","",VLOOKUP(A124,lng!A:B,2,0))</f>
        <v>#N/A</v>
      </c>
    </row>
    <row r="125" spans="1:9" x14ac:dyDescent="0.15">
      <c r="A125">
        <f t="shared" si="12"/>
        <v>0</v>
      </c>
      <c r="B125">
        <f t="shared" si="12"/>
        <v>1</v>
      </c>
      <c r="C125">
        <f t="shared" si="11"/>
        <v>124</v>
      </c>
      <c r="D125">
        <f>D31</f>
        <v>0</v>
      </c>
      <c r="E125" t="str">
        <f>VLOOKUP(D125,name!A:B,2,1)</f>
        <v>Player</v>
      </c>
      <c r="F125">
        <f>F31</f>
        <v>0</v>
      </c>
      <c r="G125" t="str">
        <f t="shared" si="7"/>
        <v>q</v>
      </c>
      <c r="H125" t="str">
        <f>VLOOKUP(D125,name!A:C,3,1)</f>
        <v>assets/icons/image326.png</v>
      </c>
      <c r="I125" t="s">
        <v>406</v>
      </c>
    </row>
    <row r="126" spans="1:9" x14ac:dyDescent="0.15">
      <c r="A126">
        <f t="shared" si="12"/>
        <v>0</v>
      </c>
      <c r="B126">
        <f t="shared" si="12"/>
        <v>1</v>
      </c>
      <c r="C126">
        <f t="shared" si="11"/>
        <v>125</v>
      </c>
      <c r="D126">
        <f>D32</f>
        <v>0</v>
      </c>
      <c r="E126" t="str">
        <f>VLOOKUP(D126,name!A:B,2,1)</f>
        <v>Player</v>
      </c>
      <c r="F126">
        <f>F32</f>
        <v>0</v>
      </c>
      <c r="G126" t="str">
        <f t="shared" si="7"/>
        <v>q</v>
      </c>
      <c r="H126" t="str">
        <f>VLOOKUP(D126,name!A:C,3,1)</f>
        <v>assets/icons/image326.png</v>
      </c>
      <c r="I126" t="e">
        <f>IF(A126="","",VLOOKUP(A126,lng!A:B,2,0))</f>
        <v>#N/A</v>
      </c>
    </row>
    <row r="127" spans="1:9" x14ac:dyDescent="0.15">
      <c r="A127">
        <f t="shared" si="12"/>
        <v>0</v>
      </c>
      <c r="B127">
        <f t="shared" si="12"/>
        <v>1</v>
      </c>
      <c r="C127">
        <f t="shared" si="11"/>
        <v>126</v>
      </c>
      <c r="D127">
        <v>0</v>
      </c>
      <c r="E127" t="str">
        <f>VLOOKUP(D127,name!A:B,2,1)</f>
        <v>Player</v>
      </c>
      <c r="F127">
        <f>F32</f>
        <v>0</v>
      </c>
      <c r="G127" t="str">
        <f t="shared" si="7"/>
        <v>q</v>
      </c>
      <c r="H127" t="str">
        <f>VLOOKUP(D127,name!A:C,3,1)</f>
        <v>assets/icons/image326.png</v>
      </c>
      <c r="I127" t="e">
        <f>IF(A127="","",VLOOKUP(A127,lng!A:B,2,0))</f>
        <v>#N/A</v>
      </c>
    </row>
    <row r="128" spans="1:9" x14ac:dyDescent="0.15">
      <c r="A128">
        <f t="shared" si="12"/>
        <v>0</v>
      </c>
      <c r="B128">
        <f t="shared" si="12"/>
        <v>1</v>
      </c>
      <c r="C128">
        <f t="shared" si="11"/>
        <v>127</v>
      </c>
      <c r="D128">
        <f>D33</f>
        <v>0</v>
      </c>
      <c r="E128" t="str">
        <f>VLOOKUP(D128,name!A:B,2,1)</f>
        <v>Player</v>
      </c>
      <c r="F128">
        <f>F33</f>
        <v>0</v>
      </c>
      <c r="G128" t="str">
        <f t="shared" si="7"/>
        <v>q</v>
      </c>
      <c r="H128" t="str">
        <f>VLOOKUP(D128,name!A:C,3,1)</f>
        <v>assets/icons/image326.png</v>
      </c>
      <c r="I128" t="s">
        <v>406</v>
      </c>
    </row>
    <row r="129" spans="1:9" x14ac:dyDescent="0.15">
      <c r="A129">
        <f t="shared" si="12"/>
        <v>0</v>
      </c>
      <c r="B129">
        <f t="shared" si="12"/>
        <v>1</v>
      </c>
      <c r="C129">
        <f t="shared" si="11"/>
        <v>128</v>
      </c>
      <c r="D129">
        <f>D34</f>
        <v>0</v>
      </c>
      <c r="E129" t="str">
        <f>VLOOKUP(D129,name!A:B,2,1)</f>
        <v>Player</v>
      </c>
      <c r="F129">
        <f>F34</f>
        <v>0</v>
      </c>
      <c r="G129" t="str">
        <f t="shared" si="7"/>
        <v>q</v>
      </c>
      <c r="H129" t="str">
        <f>VLOOKUP(D129,name!A:C,3,1)</f>
        <v>assets/icons/image326.png</v>
      </c>
      <c r="I129" t="e">
        <f>IF(A129="","",VLOOKUP(A129,lng!A:B,2,0))</f>
        <v>#N/A</v>
      </c>
    </row>
    <row r="130" spans="1:9" x14ac:dyDescent="0.15">
      <c r="A130">
        <f t="shared" si="12"/>
        <v>0</v>
      </c>
      <c r="B130">
        <f t="shared" si="12"/>
        <v>1</v>
      </c>
      <c r="C130">
        <f t="shared" si="11"/>
        <v>129</v>
      </c>
      <c r="D130">
        <v>0</v>
      </c>
      <c r="E130" t="str">
        <f>VLOOKUP(D130,name!A:B,2,1)</f>
        <v>Player</v>
      </c>
      <c r="F130">
        <f>F34</f>
        <v>0</v>
      </c>
      <c r="G130" t="str">
        <f t="shared" si="7"/>
        <v>q</v>
      </c>
      <c r="H130" t="str">
        <f>VLOOKUP(D130,name!A:C,3,1)</f>
        <v>assets/icons/image326.png</v>
      </c>
      <c r="I130" t="e">
        <f>IF(A130="","",VLOOKUP(A130,lng!A:B,2,0))</f>
        <v>#N/A</v>
      </c>
    </row>
    <row r="131" spans="1:9" x14ac:dyDescent="0.15">
      <c r="A131">
        <f t="shared" si="12"/>
        <v>0</v>
      </c>
      <c r="B131">
        <f t="shared" si="12"/>
        <v>1</v>
      </c>
      <c r="C131">
        <f t="shared" si="11"/>
        <v>130</v>
      </c>
      <c r="D131">
        <f>D35</f>
        <v>0</v>
      </c>
      <c r="E131" t="str">
        <f>VLOOKUP(D131,name!A:B,2,1)</f>
        <v>Player</v>
      </c>
      <c r="F131">
        <f>F35</f>
        <v>0</v>
      </c>
      <c r="G131" t="str">
        <f t="shared" si="7"/>
        <v>q</v>
      </c>
      <c r="H131" t="str">
        <f>VLOOKUP(D131,name!A:C,3,1)</f>
        <v>assets/icons/image326.png</v>
      </c>
      <c r="I131" t="s">
        <v>406</v>
      </c>
    </row>
    <row r="132" spans="1:9" x14ac:dyDescent="0.15">
      <c r="A132">
        <f t="shared" si="12"/>
        <v>0</v>
      </c>
      <c r="B132">
        <f t="shared" si="12"/>
        <v>1</v>
      </c>
      <c r="C132">
        <f t="shared" si="11"/>
        <v>131</v>
      </c>
      <c r="D132">
        <f>D36</f>
        <v>0</v>
      </c>
      <c r="E132" t="str">
        <f>VLOOKUP(D132,name!A:B,2,1)</f>
        <v>Player</v>
      </c>
      <c r="F132">
        <f>F36</f>
        <v>0</v>
      </c>
      <c r="G132" t="str">
        <f t="shared" si="7"/>
        <v>q</v>
      </c>
      <c r="H132" t="str">
        <f>VLOOKUP(D132,name!A:C,3,1)</f>
        <v>assets/icons/image326.png</v>
      </c>
      <c r="I132" t="e">
        <f>IF(A132="","",VLOOKUP(A132,lng!A:B,2,0))</f>
        <v>#N/A</v>
      </c>
    </row>
    <row r="133" spans="1:9" x14ac:dyDescent="0.15">
      <c r="A133">
        <f t="shared" si="12"/>
        <v>0</v>
      </c>
      <c r="B133">
        <f t="shared" si="12"/>
        <v>1</v>
      </c>
      <c r="C133">
        <f t="shared" si="11"/>
        <v>132</v>
      </c>
      <c r="D133">
        <v>0</v>
      </c>
      <c r="E133" t="str">
        <f>VLOOKUP(D133,name!A:B,2,1)</f>
        <v>Player</v>
      </c>
      <c r="F133">
        <f>F36</f>
        <v>0</v>
      </c>
      <c r="G133" t="str">
        <f t="shared" ref="G133:G196" si="13">IF(B133&lt;&gt;B134,"e",IF(D133=0,"q","a"))</f>
        <v>q</v>
      </c>
      <c r="H133" t="str">
        <f>VLOOKUP(D133,name!A:C,3,1)</f>
        <v>assets/icons/image326.png</v>
      </c>
      <c r="I133" t="e">
        <f>IF(A133="","",VLOOKUP(A133,lng!A:B,2,0))</f>
        <v>#N/A</v>
      </c>
    </row>
    <row r="134" spans="1:9" x14ac:dyDescent="0.15">
      <c r="A134">
        <f t="shared" ref="A134:B149" si="14">A133</f>
        <v>0</v>
      </c>
      <c r="B134">
        <f t="shared" si="14"/>
        <v>1</v>
      </c>
      <c r="C134">
        <f t="shared" si="11"/>
        <v>133</v>
      </c>
      <c r="D134">
        <f>D37</f>
        <v>0</v>
      </c>
      <c r="E134" t="str">
        <f>VLOOKUP(D134,name!A:B,2,1)</f>
        <v>Player</v>
      </c>
      <c r="F134">
        <f>F37</f>
        <v>0</v>
      </c>
      <c r="G134" t="str">
        <f t="shared" si="13"/>
        <v>q</v>
      </c>
      <c r="H134" t="str">
        <f>VLOOKUP(D134,name!A:C,3,1)</f>
        <v>assets/icons/image326.png</v>
      </c>
      <c r="I134" t="s">
        <v>406</v>
      </c>
    </row>
    <row r="135" spans="1:9" x14ac:dyDescent="0.15">
      <c r="A135">
        <f t="shared" si="14"/>
        <v>0</v>
      </c>
      <c r="B135">
        <f t="shared" si="14"/>
        <v>1</v>
      </c>
      <c r="C135">
        <f t="shared" si="11"/>
        <v>134</v>
      </c>
      <c r="D135">
        <f>D38</f>
        <v>0</v>
      </c>
      <c r="E135" t="str">
        <f>VLOOKUP(D135,name!A:B,2,1)</f>
        <v>Player</v>
      </c>
      <c r="F135">
        <f>F38</f>
        <v>0</v>
      </c>
      <c r="G135" t="str">
        <f t="shared" si="13"/>
        <v>q</v>
      </c>
      <c r="H135" t="str">
        <f>VLOOKUP(D135,name!A:C,3,1)</f>
        <v>assets/icons/image326.png</v>
      </c>
      <c r="I135" t="e">
        <f>IF(A135="","",VLOOKUP(A135,lng!A:B,2,0))</f>
        <v>#N/A</v>
      </c>
    </row>
    <row r="136" spans="1:9" x14ac:dyDescent="0.15">
      <c r="A136">
        <f t="shared" si="14"/>
        <v>0</v>
      </c>
      <c r="B136">
        <f t="shared" si="14"/>
        <v>1</v>
      </c>
      <c r="C136">
        <f t="shared" si="11"/>
        <v>135</v>
      </c>
      <c r="D136">
        <v>0</v>
      </c>
      <c r="E136" t="str">
        <f>VLOOKUP(D136,name!A:B,2,1)</f>
        <v>Player</v>
      </c>
      <c r="F136">
        <f>F38</f>
        <v>0</v>
      </c>
      <c r="G136" t="str">
        <f t="shared" si="13"/>
        <v>q</v>
      </c>
      <c r="H136" t="str">
        <f>VLOOKUP(D136,name!A:C,3,1)</f>
        <v>assets/icons/image326.png</v>
      </c>
      <c r="I136" t="e">
        <f>IF(A136="","",VLOOKUP(A136,lng!A:B,2,0))</f>
        <v>#N/A</v>
      </c>
    </row>
    <row r="137" spans="1:9" x14ac:dyDescent="0.15">
      <c r="A137">
        <f t="shared" si="14"/>
        <v>0</v>
      </c>
      <c r="B137">
        <f t="shared" si="14"/>
        <v>1</v>
      </c>
      <c r="C137">
        <f t="shared" si="11"/>
        <v>136</v>
      </c>
      <c r="D137">
        <f>D39</f>
        <v>0</v>
      </c>
      <c r="E137" t="str">
        <f>VLOOKUP(D137,name!A:B,2,1)</f>
        <v>Player</v>
      </c>
      <c r="F137">
        <f>F39</f>
        <v>0</v>
      </c>
      <c r="G137" t="str">
        <f t="shared" si="13"/>
        <v>q</v>
      </c>
      <c r="H137" t="str">
        <f>VLOOKUP(D137,name!A:C,3,1)</f>
        <v>assets/icons/image326.png</v>
      </c>
      <c r="I137" t="s">
        <v>406</v>
      </c>
    </row>
    <row r="138" spans="1:9" x14ac:dyDescent="0.15">
      <c r="A138">
        <f t="shared" si="14"/>
        <v>0</v>
      </c>
      <c r="B138">
        <f t="shared" si="14"/>
        <v>1</v>
      </c>
      <c r="C138">
        <f t="shared" si="11"/>
        <v>137</v>
      </c>
      <c r="D138">
        <f>D40</f>
        <v>0</v>
      </c>
      <c r="E138" t="str">
        <f>VLOOKUP(D138,name!A:B,2,1)</f>
        <v>Player</v>
      </c>
      <c r="F138">
        <f>F40</f>
        <v>0</v>
      </c>
      <c r="G138" t="str">
        <f t="shared" si="13"/>
        <v>q</v>
      </c>
      <c r="H138" t="str">
        <f>VLOOKUP(D138,name!A:C,3,1)</f>
        <v>assets/icons/image326.png</v>
      </c>
      <c r="I138" t="e">
        <f>IF(A138="","",VLOOKUP(A138,lng!A:B,2,0))</f>
        <v>#N/A</v>
      </c>
    </row>
    <row r="139" spans="1:9" x14ac:dyDescent="0.15">
      <c r="A139">
        <f t="shared" si="14"/>
        <v>0</v>
      </c>
      <c r="B139">
        <f t="shared" si="14"/>
        <v>1</v>
      </c>
      <c r="C139">
        <f t="shared" si="11"/>
        <v>138</v>
      </c>
      <c r="D139">
        <v>0</v>
      </c>
      <c r="E139" t="str">
        <f>VLOOKUP(D139,name!A:B,2,1)</f>
        <v>Player</v>
      </c>
      <c r="F139">
        <f>F40</f>
        <v>0</v>
      </c>
      <c r="G139" t="str">
        <f t="shared" si="13"/>
        <v>q</v>
      </c>
      <c r="H139" t="str">
        <f>VLOOKUP(D139,name!A:C,3,1)</f>
        <v>assets/icons/image326.png</v>
      </c>
      <c r="I139" t="e">
        <f>IF(A139="","",VLOOKUP(A139,lng!A:B,2,0))</f>
        <v>#N/A</v>
      </c>
    </row>
    <row r="140" spans="1:9" x14ac:dyDescent="0.15">
      <c r="A140">
        <f t="shared" si="14"/>
        <v>0</v>
      </c>
      <c r="B140">
        <f t="shared" si="14"/>
        <v>1</v>
      </c>
      <c r="C140">
        <f t="shared" si="11"/>
        <v>139</v>
      </c>
      <c r="D140">
        <f>D41</f>
        <v>0</v>
      </c>
      <c r="E140" t="str">
        <f>VLOOKUP(D140,name!A:B,2,1)</f>
        <v>Player</v>
      </c>
      <c r="F140">
        <f>F41</f>
        <v>0</v>
      </c>
      <c r="G140" t="str">
        <f t="shared" si="13"/>
        <v>q</v>
      </c>
      <c r="H140" t="str">
        <f>VLOOKUP(D140,name!A:C,3,1)</f>
        <v>assets/icons/image326.png</v>
      </c>
      <c r="I140" t="s">
        <v>406</v>
      </c>
    </row>
    <row r="141" spans="1:9" x14ac:dyDescent="0.15">
      <c r="A141">
        <f t="shared" si="14"/>
        <v>0</v>
      </c>
      <c r="B141">
        <f t="shared" si="14"/>
        <v>1</v>
      </c>
      <c r="C141">
        <f t="shared" si="11"/>
        <v>140</v>
      </c>
      <c r="D141">
        <f>D42</f>
        <v>0</v>
      </c>
      <c r="E141" t="str">
        <f>VLOOKUP(D141,name!A:B,2,1)</f>
        <v>Player</v>
      </c>
      <c r="F141">
        <f>F42</f>
        <v>0</v>
      </c>
      <c r="G141" t="str">
        <f t="shared" si="13"/>
        <v>q</v>
      </c>
      <c r="H141" t="str">
        <f>VLOOKUP(D141,name!A:C,3,1)</f>
        <v>assets/icons/image326.png</v>
      </c>
      <c r="I141" t="e">
        <f>IF(A141="","",VLOOKUP(A141,lng!A:B,2,0))</f>
        <v>#N/A</v>
      </c>
    </row>
    <row r="142" spans="1:9" x14ac:dyDescent="0.15">
      <c r="A142">
        <f t="shared" si="14"/>
        <v>0</v>
      </c>
      <c r="B142">
        <f t="shared" si="14"/>
        <v>1</v>
      </c>
      <c r="C142">
        <f t="shared" si="11"/>
        <v>141</v>
      </c>
      <c r="D142">
        <v>0</v>
      </c>
      <c r="E142" t="str">
        <f>VLOOKUP(D142,name!A:B,2,1)</f>
        <v>Player</v>
      </c>
      <c r="F142">
        <f>F42</f>
        <v>0</v>
      </c>
      <c r="G142" t="str">
        <f t="shared" si="13"/>
        <v>q</v>
      </c>
      <c r="H142" t="str">
        <f>VLOOKUP(D142,name!A:C,3,1)</f>
        <v>assets/icons/image326.png</v>
      </c>
      <c r="I142" t="e">
        <f>IF(A142="","",VLOOKUP(A142,lng!A:B,2,0))</f>
        <v>#N/A</v>
      </c>
    </row>
    <row r="143" spans="1:9" x14ac:dyDescent="0.15">
      <c r="A143">
        <f t="shared" si="14"/>
        <v>0</v>
      </c>
      <c r="B143">
        <f t="shared" si="14"/>
        <v>1</v>
      </c>
      <c r="C143">
        <f t="shared" si="11"/>
        <v>142</v>
      </c>
      <c r="D143">
        <f>D43</f>
        <v>0</v>
      </c>
      <c r="E143" t="str">
        <f>VLOOKUP(D143,name!A:B,2,1)</f>
        <v>Player</v>
      </c>
      <c r="F143">
        <f>F43</f>
        <v>0</v>
      </c>
      <c r="G143" t="str">
        <f t="shared" si="13"/>
        <v>q</v>
      </c>
      <c r="H143" t="str">
        <f>VLOOKUP(D143,name!A:C,3,1)</f>
        <v>assets/icons/image326.png</v>
      </c>
      <c r="I143" t="s">
        <v>406</v>
      </c>
    </row>
    <row r="144" spans="1:9" x14ac:dyDescent="0.15">
      <c r="A144">
        <f t="shared" si="14"/>
        <v>0</v>
      </c>
      <c r="B144">
        <f t="shared" si="14"/>
        <v>1</v>
      </c>
      <c r="C144">
        <f t="shared" si="11"/>
        <v>143</v>
      </c>
      <c r="D144">
        <f>D44</f>
        <v>0</v>
      </c>
      <c r="E144" t="str">
        <f>VLOOKUP(D144,name!A:B,2,1)</f>
        <v>Player</v>
      </c>
      <c r="F144">
        <f>F44</f>
        <v>0</v>
      </c>
      <c r="G144" t="str">
        <f t="shared" si="13"/>
        <v>q</v>
      </c>
      <c r="H144" t="str">
        <f>VLOOKUP(D144,name!A:C,3,1)</f>
        <v>assets/icons/image326.png</v>
      </c>
      <c r="I144" t="e">
        <f>IF(A144="","",VLOOKUP(A144,lng!A:B,2,0))</f>
        <v>#N/A</v>
      </c>
    </row>
    <row r="145" spans="1:9" x14ac:dyDescent="0.15">
      <c r="A145">
        <f t="shared" si="14"/>
        <v>0</v>
      </c>
      <c r="B145">
        <f t="shared" si="14"/>
        <v>1</v>
      </c>
      <c r="C145">
        <f t="shared" si="11"/>
        <v>144</v>
      </c>
      <c r="D145">
        <v>0</v>
      </c>
      <c r="E145" t="str">
        <f>VLOOKUP(D145,name!A:B,2,1)</f>
        <v>Player</v>
      </c>
      <c r="F145">
        <f>F44</f>
        <v>0</v>
      </c>
      <c r="G145" t="str">
        <f t="shared" si="13"/>
        <v>q</v>
      </c>
      <c r="H145" t="str">
        <f>VLOOKUP(D145,name!A:C,3,1)</f>
        <v>assets/icons/image326.png</v>
      </c>
      <c r="I145" t="e">
        <f>IF(A145="","",VLOOKUP(A145,lng!A:B,2,0))</f>
        <v>#N/A</v>
      </c>
    </row>
    <row r="146" spans="1:9" x14ac:dyDescent="0.15">
      <c r="A146">
        <f t="shared" si="14"/>
        <v>0</v>
      </c>
      <c r="B146">
        <f t="shared" si="14"/>
        <v>1</v>
      </c>
      <c r="C146">
        <f t="shared" si="11"/>
        <v>145</v>
      </c>
      <c r="D146">
        <f>D45</f>
        <v>0</v>
      </c>
      <c r="E146" t="str">
        <f>VLOOKUP(D146,name!A:B,2,1)</f>
        <v>Player</v>
      </c>
      <c r="F146">
        <f>F45</f>
        <v>0</v>
      </c>
      <c r="G146" t="str">
        <f t="shared" si="13"/>
        <v>q</v>
      </c>
      <c r="H146" t="str">
        <f>VLOOKUP(D146,name!A:C,3,1)</f>
        <v>assets/icons/image326.png</v>
      </c>
      <c r="I146" t="s">
        <v>406</v>
      </c>
    </row>
    <row r="147" spans="1:9" x14ac:dyDescent="0.15">
      <c r="A147">
        <f t="shared" si="14"/>
        <v>0</v>
      </c>
      <c r="B147">
        <f t="shared" si="14"/>
        <v>1</v>
      </c>
      <c r="C147">
        <f t="shared" si="11"/>
        <v>146</v>
      </c>
      <c r="D147">
        <f>D46</f>
        <v>0</v>
      </c>
      <c r="E147" t="str">
        <f>VLOOKUP(D147,name!A:B,2,1)</f>
        <v>Player</v>
      </c>
      <c r="F147">
        <f>F46</f>
        <v>0</v>
      </c>
      <c r="G147" t="str">
        <f t="shared" si="13"/>
        <v>q</v>
      </c>
      <c r="H147" t="str">
        <f>VLOOKUP(D147,name!A:C,3,1)</f>
        <v>assets/icons/image326.png</v>
      </c>
      <c r="I147" t="e">
        <f>IF(A147="","",VLOOKUP(A147,lng!A:B,2,0))</f>
        <v>#N/A</v>
      </c>
    </row>
    <row r="148" spans="1:9" x14ac:dyDescent="0.15">
      <c r="A148">
        <f t="shared" si="14"/>
        <v>0</v>
      </c>
      <c r="B148">
        <f t="shared" si="14"/>
        <v>1</v>
      </c>
      <c r="C148">
        <f t="shared" si="11"/>
        <v>147</v>
      </c>
      <c r="D148">
        <v>0</v>
      </c>
      <c r="E148" t="str">
        <f>VLOOKUP(D148,name!A:B,2,1)</f>
        <v>Player</v>
      </c>
      <c r="F148">
        <f>F46</f>
        <v>0</v>
      </c>
      <c r="G148" t="str">
        <f t="shared" si="13"/>
        <v>q</v>
      </c>
      <c r="H148" t="str">
        <f>VLOOKUP(D148,name!A:C,3,1)</f>
        <v>assets/icons/image326.png</v>
      </c>
      <c r="I148" t="e">
        <f>IF(A148="","",VLOOKUP(A148,lng!A:B,2,0))</f>
        <v>#N/A</v>
      </c>
    </row>
    <row r="149" spans="1:9" x14ac:dyDescent="0.15">
      <c r="A149">
        <f t="shared" si="14"/>
        <v>0</v>
      </c>
      <c r="B149">
        <f t="shared" si="14"/>
        <v>1</v>
      </c>
      <c r="C149">
        <f t="shared" si="11"/>
        <v>148</v>
      </c>
      <c r="D149">
        <f>D47</f>
        <v>0</v>
      </c>
      <c r="E149" t="str">
        <f>VLOOKUP(D149,name!A:B,2,1)</f>
        <v>Player</v>
      </c>
      <c r="F149">
        <f>F47</f>
        <v>0</v>
      </c>
      <c r="G149" t="str">
        <f t="shared" si="13"/>
        <v>q</v>
      </c>
      <c r="H149" t="str">
        <f>VLOOKUP(D149,name!A:C,3,1)</f>
        <v>assets/icons/image326.png</v>
      </c>
      <c r="I149" t="s">
        <v>406</v>
      </c>
    </row>
    <row r="150" spans="1:9" x14ac:dyDescent="0.15">
      <c r="A150">
        <f t="shared" ref="A150:B165" si="15">A149</f>
        <v>0</v>
      </c>
      <c r="B150">
        <f t="shared" si="15"/>
        <v>1</v>
      </c>
      <c r="C150">
        <f t="shared" si="11"/>
        <v>149</v>
      </c>
      <c r="D150">
        <f>D48</f>
        <v>0</v>
      </c>
      <c r="E150" t="str">
        <f>VLOOKUP(D150,name!A:B,2,1)</f>
        <v>Player</v>
      </c>
      <c r="F150">
        <f>F48</f>
        <v>0</v>
      </c>
      <c r="G150" t="str">
        <f t="shared" si="13"/>
        <v>q</v>
      </c>
      <c r="H150" t="str">
        <f>VLOOKUP(D150,name!A:C,3,1)</f>
        <v>assets/icons/image326.png</v>
      </c>
      <c r="I150" t="e">
        <f>IF(A150="","",VLOOKUP(A150,lng!A:B,2,0))</f>
        <v>#N/A</v>
      </c>
    </row>
    <row r="151" spans="1:9" x14ac:dyDescent="0.15">
      <c r="A151">
        <f t="shared" si="15"/>
        <v>0</v>
      </c>
      <c r="B151">
        <f t="shared" si="15"/>
        <v>1</v>
      </c>
      <c r="C151">
        <f t="shared" si="11"/>
        <v>150</v>
      </c>
      <c r="D151">
        <v>0</v>
      </c>
      <c r="E151" t="str">
        <f>VLOOKUP(D151,name!A:B,2,1)</f>
        <v>Player</v>
      </c>
      <c r="F151">
        <f>F48</f>
        <v>0</v>
      </c>
      <c r="G151" t="str">
        <f t="shared" si="13"/>
        <v>q</v>
      </c>
      <c r="H151" t="str">
        <f>VLOOKUP(D151,name!A:C,3,1)</f>
        <v>assets/icons/image326.png</v>
      </c>
      <c r="I151" t="e">
        <f>IF(A151="","",VLOOKUP(A151,lng!A:B,2,0))</f>
        <v>#N/A</v>
      </c>
    </row>
    <row r="152" spans="1:9" x14ac:dyDescent="0.15">
      <c r="A152">
        <f t="shared" si="15"/>
        <v>0</v>
      </c>
      <c r="B152">
        <f t="shared" si="15"/>
        <v>1</v>
      </c>
      <c r="C152">
        <f t="shared" si="11"/>
        <v>151</v>
      </c>
      <c r="D152">
        <f>D49</f>
        <v>0</v>
      </c>
      <c r="E152" t="str">
        <f>VLOOKUP(D152,name!A:B,2,1)</f>
        <v>Player</v>
      </c>
      <c r="F152">
        <f>F49</f>
        <v>0</v>
      </c>
      <c r="G152" t="str">
        <f t="shared" si="13"/>
        <v>q</v>
      </c>
      <c r="H152" t="str">
        <f>VLOOKUP(D152,name!A:C,3,1)</f>
        <v>assets/icons/image326.png</v>
      </c>
      <c r="I152" t="s">
        <v>406</v>
      </c>
    </row>
    <row r="153" spans="1:9" x14ac:dyDescent="0.15">
      <c r="A153">
        <f t="shared" si="15"/>
        <v>0</v>
      </c>
      <c r="B153">
        <f t="shared" si="15"/>
        <v>1</v>
      </c>
      <c r="C153">
        <f t="shared" si="11"/>
        <v>152</v>
      </c>
      <c r="D153">
        <f>D50</f>
        <v>0</v>
      </c>
      <c r="E153" t="str">
        <f>VLOOKUP(D153,name!A:B,2,1)</f>
        <v>Player</v>
      </c>
      <c r="F153">
        <f>F50</f>
        <v>0</v>
      </c>
      <c r="G153" t="str">
        <f t="shared" si="13"/>
        <v>q</v>
      </c>
      <c r="H153" t="str">
        <f>VLOOKUP(D153,name!A:C,3,1)</f>
        <v>assets/icons/image326.png</v>
      </c>
      <c r="I153" t="e">
        <f>IF(A153="","",VLOOKUP(A153,lng!A:B,2,0))</f>
        <v>#N/A</v>
      </c>
    </row>
    <row r="154" spans="1:9" x14ac:dyDescent="0.15">
      <c r="A154">
        <f t="shared" si="15"/>
        <v>0</v>
      </c>
      <c r="B154">
        <f t="shared" si="15"/>
        <v>1</v>
      </c>
      <c r="C154">
        <f t="shared" si="11"/>
        <v>153</v>
      </c>
      <c r="D154">
        <v>0</v>
      </c>
      <c r="E154" t="str">
        <f>VLOOKUP(D154,name!A:B,2,1)</f>
        <v>Player</v>
      </c>
      <c r="F154">
        <f>F50</f>
        <v>0</v>
      </c>
      <c r="G154" t="str">
        <f t="shared" si="13"/>
        <v>q</v>
      </c>
      <c r="H154" t="str">
        <f>VLOOKUP(D154,name!A:C,3,1)</f>
        <v>assets/icons/image326.png</v>
      </c>
      <c r="I154" t="e">
        <f>IF(A154="","",VLOOKUP(A154,lng!A:B,2,0))</f>
        <v>#N/A</v>
      </c>
    </row>
    <row r="155" spans="1:9" x14ac:dyDescent="0.15">
      <c r="A155">
        <f t="shared" si="15"/>
        <v>0</v>
      </c>
      <c r="B155">
        <f t="shared" si="15"/>
        <v>1</v>
      </c>
      <c r="C155">
        <f t="shared" si="11"/>
        <v>154</v>
      </c>
      <c r="D155">
        <f>D51</f>
        <v>0</v>
      </c>
      <c r="E155" t="str">
        <f>VLOOKUP(D155,name!A:B,2,1)</f>
        <v>Player</v>
      </c>
      <c r="F155">
        <f>F51</f>
        <v>0</v>
      </c>
      <c r="G155" t="str">
        <f t="shared" si="13"/>
        <v>q</v>
      </c>
      <c r="H155" t="str">
        <f>VLOOKUP(D155,name!A:C,3,1)</f>
        <v>assets/icons/image326.png</v>
      </c>
      <c r="I155" t="s">
        <v>406</v>
      </c>
    </row>
    <row r="156" spans="1:9" x14ac:dyDescent="0.15">
      <c r="A156">
        <f t="shared" si="15"/>
        <v>0</v>
      </c>
      <c r="B156">
        <f t="shared" si="15"/>
        <v>1</v>
      </c>
      <c r="C156">
        <f t="shared" si="11"/>
        <v>155</v>
      </c>
      <c r="D156">
        <f>D52</f>
        <v>0</v>
      </c>
      <c r="E156" t="str">
        <f>VLOOKUP(D156,name!A:B,2,1)</f>
        <v>Player</v>
      </c>
      <c r="F156">
        <f>F52</f>
        <v>0</v>
      </c>
      <c r="G156" t="str">
        <f t="shared" si="13"/>
        <v>q</v>
      </c>
      <c r="H156" t="str">
        <f>VLOOKUP(D156,name!A:C,3,1)</f>
        <v>assets/icons/image326.png</v>
      </c>
      <c r="I156" t="e">
        <f>IF(A156="","",VLOOKUP(A156,lng!A:B,2,0))</f>
        <v>#N/A</v>
      </c>
    </row>
    <row r="157" spans="1:9" x14ac:dyDescent="0.15">
      <c r="A157">
        <f t="shared" si="15"/>
        <v>0</v>
      </c>
      <c r="B157">
        <f t="shared" si="15"/>
        <v>1</v>
      </c>
      <c r="C157">
        <f t="shared" si="11"/>
        <v>156</v>
      </c>
      <c r="D157">
        <v>0</v>
      </c>
      <c r="E157" t="str">
        <f>VLOOKUP(D157,name!A:B,2,1)</f>
        <v>Player</v>
      </c>
      <c r="F157">
        <f>F52</f>
        <v>0</v>
      </c>
      <c r="G157" t="str">
        <f t="shared" si="13"/>
        <v>q</v>
      </c>
      <c r="H157" t="str">
        <f>VLOOKUP(D157,name!A:C,3,1)</f>
        <v>assets/icons/image326.png</v>
      </c>
      <c r="I157" t="e">
        <f>IF(A157="","",VLOOKUP(A157,lng!A:B,2,0))</f>
        <v>#N/A</v>
      </c>
    </row>
    <row r="158" spans="1:9" x14ac:dyDescent="0.15">
      <c r="A158">
        <f t="shared" si="15"/>
        <v>0</v>
      </c>
      <c r="B158">
        <f t="shared" si="15"/>
        <v>1</v>
      </c>
      <c r="C158">
        <f t="shared" si="11"/>
        <v>157</v>
      </c>
      <c r="D158">
        <f>D53</f>
        <v>0</v>
      </c>
      <c r="E158" t="str">
        <f>VLOOKUP(D158,name!A:B,2,1)</f>
        <v>Player</v>
      </c>
      <c r="F158">
        <f>F53</f>
        <v>0</v>
      </c>
      <c r="G158" t="str">
        <f t="shared" si="13"/>
        <v>q</v>
      </c>
      <c r="H158" t="str">
        <f>VLOOKUP(D158,name!A:C,3,1)</f>
        <v>assets/icons/image326.png</v>
      </c>
      <c r="I158" t="s">
        <v>406</v>
      </c>
    </row>
    <row r="159" spans="1:9" x14ac:dyDescent="0.15">
      <c r="A159">
        <f t="shared" si="15"/>
        <v>0</v>
      </c>
      <c r="B159">
        <f t="shared" si="15"/>
        <v>1</v>
      </c>
      <c r="C159">
        <f t="shared" si="11"/>
        <v>158</v>
      </c>
      <c r="D159">
        <f>D54</f>
        <v>0</v>
      </c>
      <c r="E159" t="str">
        <f>VLOOKUP(D159,name!A:B,2,1)</f>
        <v>Player</v>
      </c>
      <c r="F159">
        <f>F54</f>
        <v>0</v>
      </c>
      <c r="G159" t="str">
        <f t="shared" si="13"/>
        <v>q</v>
      </c>
      <c r="H159" t="str">
        <f>VLOOKUP(D159,name!A:C,3,1)</f>
        <v>assets/icons/image326.png</v>
      </c>
      <c r="I159" t="e">
        <f>IF(A159="","",VLOOKUP(A159,lng!A:B,2,0))</f>
        <v>#N/A</v>
      </c>
    </row>
    <row r="160" spans="1:9" x14ac:dyDescent="0.15">
      <c r="A160">
        <f t="shared" si="15"/>
        <v>0</v>
      </c>
      <c r="B160">
        <f t="shared" si="15"/>
        <v>1</v>
      </c>
      <c r="C160">
        <f t="shared" si="11"/>
        <v>159</v>
      </c>
      <c r="D160">
        <v>0</v>
      </c>
      <c r="E160" t="str">
        <f>VLOOKUP(D160,name!A:B,2,1)</f>
        <v>Player</v>
      </c>
      <c r="F160">
        <f>F54</f>
        <v>0</v>
      </c>
      <c r="G160" t="str">
        <f t="shared" si="13"/>
        <v>q</v>
      </c>
      <c r="H160" t="str">
        <f>VLOOKUP(D160,name!A:C,3,1)</f>
        <v>assets/icons/image326.png</v>
      </c>
      <c r="I160" t="e">
        <f>IF(A160="","",VLOOKUP(A160,lng!A:B,2,0))</f>
        <v>#N/A</v>
      </c>
    </row>
    <row r="161" spans="1:9" x14ac:dyDescent="0.15">
      <c r="A161">
        <f t="shared" si="15"/>
        <v>0</v>
      </c>
      <c r="B161">
        <f t="shared" si="15"/>
        <v>1</v>
      </c>
      <c r="C161">
        <f t="shared" si="11"/>
        <v>160</v>
      </c>
      <c r="D161">
        <f>D55</f>
        <v>0</v>
      </c>
      <c r="E161" t="str">
        <f>VLOOKUP(D161,name!A:B,2,1)</f>
        <v>Player</v>
      </c>
      <c r="F161">
        <f>F55</f>
        <v>0</v>
      </c>
      <c r="G161" t="str">
        <f t="shared" si="13"/>
        <v>q</v>
      </c>
      <c r="H161" t="str">
        <f>VLOOKUP(D161,name!A:C,3,1)</f>
        <v>assets/icons/image326.png</v>
      </c>
      <c r="I161" t="s">
        <v>406</v>
      </c>
    </row>
    <row r="162" spans="1:9" x14ac:dyDescent="0.15">
      <c r="A162">
        <f t="shared" si="15"/>
        <v>0</v>
      </c>
      <c r="B162">
        <f t="shared" si="15"/>
        <v>1</v>
      </c>
      <c r="C162">
        <f t="shared" si="11"/>
        <v>161</v>
      </c>
      <c r="D162">
        <f>D56</f>
        <v>0</v>
      </c>
      <c r="E162" t="str">
        <f>VLOOKUP(D162,name!A:B,2,1)</f>
        <v>Player</v>
      </c>
      <c r="F162">
        <f>F56</f>
        <v>0</v>
      </c>
      <c r="G162" t="str">
        <f t="shared" si="13"/>
        <v>q</v>
      </c>
      <c r="H162" t="str">
        <f>VLOOKUP(D162,name!A:C,3,1)</f>
        <v>assets/icons/image326.png</v>
      </c>
      <c r="I162" t="e">
        <f>IF(A162="","",VLOOKUP(A162,lng!A:B,2,0))</f>
        <v>#N/A</v>
      </c>
    </row>
    <row r="163" spans="1:9" x14ac:dyDescent="0.15">
      <c r="A163">
        <f t="shared" si="15"/>
        <v>0</v>
      </c>
      <c r="B163">
        <f t="shared" si="15"/>
        <v>1</v>
      </c>
      <c r="C163">
        <f t="shared" si="11"/>
        <v>162</v>
      </c>
      <c r="D163">
        <v>0</v>
      </c>
      <c r="E163" t="str">
        <f>VLOOKUP(D163,name!A:B,2,1)</f>
        <v>Player</v>
      </c>
      <c r="F163">
        <f>F56</f>
        <v>0</v>
      </c>
      <c r="G163" t="str">
        <f t="shared" si="13"/>
        <v>q</v>
      </c>
      <c r="H163" t="str">
        <f>VLOOKUP(D163,name!A:C,3,1)</f>
        <v>assets/icons/image326.png</v>
      </c>
      <c r="I163" t="e">
        <f>IF(A163="","",VLOOKUP(A163,lng!A:B,2,0))</f>
        <v>#N/A</v>
      </c>
    </row>
    <row r="164" spans="1:9" x14ac:dyDescent="0.15">
      <c r="A164">
        <f t="shared" si="15"/>
        <v>0</v>
      </c>
      <c r="B164">
        <f t="shared" si="15"/>
        <v>1</v>
      </c>
      <c r="C164">
        <f t="shared" si="11"/>
        <v>163</v>
      </c>
      <c r="D164">
        <f>D57</f>
        <v>0</v>
      </c>
      <c r="E164" t="str">
        <f>VLOOKUP(D164,name!A:B,2,1)</f>
        <v>Player</v>
      </c>
      <c r="F164">
        <f>F57</f>
        <v>0</v>
      </c>
      <c r="G164" t="str">
        <f t="shared" si="13"/>
        <v>q</v>
      </c>
      <c r="H164" t="str">
        <f>VLOOKUP(D164,name!A:C,3,1)</f>
        <v>assets/icons/image326.png</v>
      </c>
      <c r="I164" t="s">
        <v>406</v>
      </c>
    </row>
    <row r="165" spans="1:9" x14ac:dyDescent="0.15">
      <c r="A165">
        <f t="shared" si="15"/>
        <v>0</v>
      </c>
      <c r="B165">
        <f t="shared" si="15"/>
        <v>1</v>
      </c>
      <c r="C165">
        <f t="shared" si="11"/>
        <v>164</v>
      </c>
      <c r="D165">
        <f>D58</f>
        <v>0</v>
      </c>
      <c r="E165" t="str">
        <f>VLOOKUP(D165,name!A:B,2,1)</f>
        <v>Player</v>
      </c>
      <c r="F165">
        <f>F58</f>
        <v>0</v>
      </c>
      <c r="G165" t="str">
        <f t="shared" si="13"/>
        <v>q</v>
      </c>
      <c r="H165" t="str">
        <f>VLOOKUP(D165,name!A:C,3,1)</f>
        <v>assets/icons/image326.png</v>
      </c>
      <c r="I165" t="e">
        <f>IF(A165="","",VLOOKUP(A165,lng!A:B,2,0))</f>
        <v>#N/A</v>
      </c>
    </row>
    <row r="166" spans="1:9" x14ac:dyDescent="0.15">
      <c r="A166">
        <f t="shared" ref="A166:B181" si="16">A165</f>
        <v>0</v>
      </c>
      <c r="B166">
        <f t="shared" si="16"/>
        <v>1</v>
      </c>
      <c r="C166">
        <f t="shared" si="11"/>
        <v>165</v>
      </c>
      <c r="D166">
        <v>0</v>
      </c>
      <c r="E166" t="str">
        <f>VLOOKUP(D166,name!A:B,2,1)</f>
        <v>Player</v>
      </c>
      <c r="F166">
        <f>F58</f>
        <v>0</v>
      </c>
      <c r="G166" t="str">
        <f t="shared" si="13"/>
        <v>q</v>
      </c>
      <c r="H166" t="str">
        <f>VLOOKUP(D166,name!A:C,3,1)</f>
        <v>assets/icons/image326.png</v>
      </c>
      <c r="I166" t="e">
        <f>IF(A166="","",VLOOKUP(A166,lng!A:B,2,0))</f>
        <v>#N/A</v>
      </c>
    </row>
    <row r="167" spans="1:9" x14ac:dyDescent="0.15">
      <c r="A167">
        <f t="shared" si="16"/>
        <v>0</v>
      </c>
      <c r="B167">
        <f t="shared" si="16"/>
        <v>1</v>
      </c>
      <c r="C167">
        <f t="shared" si="11"/>
        <v>166</v>
      </c>
      <c r="D167">
        <f>D59</f>
        <v>0</v>
      </c>
      <c r="E167" t="str">
        <f>VLOOKUP(D167,name!A:B,2,1)</f>
        <v>Player</v>
      </c>
      <c r="F167">
        <f>F59</f>
        <v>0</v>
      </c>
      <c r="G167" t="str">
        <f t="shared" si="13"/>
        <v>q</v>
      </c>
      <c r="H167" t="str">
        <f>VLOOKUP(D167,name!A:C,3,1)</f>
        <v>assets/icons/image326.png</v>
      </c>
      <c r="I167" t="s">
        <v>406</v>
      </c>
    </row>
    <row r="168" spans="1:9" x14ac:dyDescent="0.15">
      <c r="A168">
        <f t="shared" si="16"/>
        <v>0</v>
      </c>
      <c r="B168">
        <f t="shared" si="16"/>
        <v>1</v>
      </c>
      <c r="C168">
        <f t="shared" si="11"/>
        <v>167</v>
      </c>
      <c r="D168">
        <f>D60</f>
        <v>0</v>
      </c>
      <c r="E168" t="str">
        <f>VLOOKUP(D168,name!A:B,2,1)</f>
        <v>Player</v>
      </c>
      <c r="F168">
        <f>F60</f>
        <v>0</v>
      </c>
      <c r="G168" t="str">
        <f t="shared" si="13"/>
        <v>q</v>
      </c>
      <c r="H168" t="str">
        <f>VLOOKUP(D168,name!A:C,3,1)</f>
        <v>assets/icons/image326.png</v>
      </c>
      <c r="I168" t="e">
        <f>IF(A168="","",VLOOKUP(A168,lng!A:B,2,0))</f>
        <v>#N/A</v>
      </c>
    </row>
    <row r="169" spans="1:9" x14ac:dyDescent="0.15">
      <c r="A169">
        <f t="shared" si="16"/>
        <v>0</v>
      </c>
      <c r="B169">
        <f t="shared" si="16"/>
        <v>1</v>
      </c>
      <c r="C169">
        <f t="shared" si="11"/>
        <v>168</v>
      </c>
      <c r="D169">
        <v>0</v>
      </c>
      <c r="E169" t="str">
        <f>VLOOKUP(D169,name!A:B,2,1)</f>
        <v>Player</v>
      </c>
      <c r="F169">
        <f>F60</f>
        <v>0</v>
      </c>
      <c r="G169" t="str">
        <f t="shared" si="13"/>
        <v>q</v>
      </c>
      <c r="H169" t="str">
        <f>VLOOKUP(D169,name!A:C,3,1)</f>
        <v>assets/icons/image326.png</v>
      </c>
      <c r="I169" t="e">
        <f>IF(A169="","",VLOOKUP(A169,lng!A:B,2,0))</f>
        <v>#N/A</v>
      </c>
    </row>
    <row r="170" spans="1:9" x14ac:dyDescent="0.15">
      <c r="A170">
        <f t="shared" si="16"/>
        <v>0</v>
      </c>
      <c r="B170">
        <f t="shared" si="16"/>
        <v>1</v>
      </c>
      <c r="C170">
        <f t="shared" si="11"/>
        <v>169</v>
      </c>
      <c r="D170">
        <f>D61</f>
        <v>0</v>
      </c>
      <c r="E170" t="str">
        <f>VLOOKUP(D170,name!A:B,2,1)</f>
        <v>Player</v>
      </c>
      <c r="F170">
        <f>F61</f>
        <v>0</v>
      </c>
      <c r="G170" t="str">
        <f t="shared" si="13"/>
        <v>q</v>
      </c>
      <c r="H170" t="str">
        <f>VLOOKUP(D170,name!A:C,3,1)</f>
        <v>assets/icons/image326.png</v>
      </c>
      <c r="I170" t="s">
        <v>406</v>
      </c>
    </row>
    <row r="171" spans="1:9" x14ac:dyDescent="0.15">
      <c r="A171">
        <f t="shared" si="16"/>
        <v>0</v>
      </c>
      <c r="B171">
        <f t="shared" si="16"/>
        <v>1</v>
      </c>
      <c r="C171">
        <f t="shared" ref="C171:C234" si="17">C170+1</f>
        <v>170</v>
      </c>
      <c r="D171">
        <f>D62</f>
        <v>0</v>
      </c>
      <c r="E171" t="str">
        <f>VLOOKUP(D171,name!A:B,2,1)</f>
        <v>Player</v>
      </c>
      <c r="F171">
        <f>F62</f>
        <v>0</v>
      </c>
      <c r="G171" t="str">
        <f t="shared" si="13"/>
        <v>q</v>
      </c>
      <c r="H171" t="str">
        <f>VLOOKUP(D171,name!A:C,3,1)</f>
        <v>assets/icons/image326.png</v>
      </c>
      <c r="I171" t="e">
        <f>IF(A171="","",VLOOKUP(A171,lng!A:B,2,0))</f>
        <v>#N/A</v>
      </c>
    </row>
    <row r="172" spans="1:9" x14ac:dyDescent="0.15">
      <c r="A172">
        <f t="shared" si="16"/>
        <v>0</v>
      </c>
      <c r="B172">
        <f t="shared" si="16"/>
        <v>1</v>
      </c>
      <c r="C172">
        <f t="shared" si="17"/>
        <v>171</v>
      </c>
      <c r="D172">
        <v>0</v>
      </c>
      <c r="E172" t="str">
        <f>VLOOKUP(D172,name!A:B,2,1)</f>
        <v>Player</v>
      </c>
      <c r="F172">
        <f>F62</f>
        <v>0</v>
      </c>
      <c r="G172" t="str">
        <f t="shared" si="13"/>
        <v>q</v>
      </c>
      <c r="H172" t="str">
        <f>VLOOKUP(D172,name!A:C,3,1)</f>
        <v>assets/icons/image326.png</v>
      </c>
      <c r="I172" t="e">
        <f>IF(A172="","",VLOOKUP(A172,lng!A:B,2,0))</f>
        <v>#N/A</v>
      </c>
    </row>
    <row r="173" spans="1:9" x14ac:dyDescent="0.15">
      <c r="A173">
        <f t="shared" si="16"/>
        <v>0</v>
      </c>
      <c r="B173">
        <f t="shared" si="16"/>
        <v>1</v>
      </c>
      <c r="C173">
        <f t="shared" si="17"/>
        <v>172</v>
      </c>
      <c r="D173">
        <f>D63</f>
        <v>0</v>
      </c>
      <c r="E173" t="str">
        <f>VLOOKUP(D173,name!A:B,2,1)</f>
        <v>Player</v>
      </c>
      <c r="F173">
        <f>F63</f>
        <v>0</v>
      </c>
      <c r="G173" t="str">
        <f t="shared" si="13"/>
        <v>q</v>
      </c>
      <c r="H173" t="str">
        <f>VLOOKUP(D173,name!A:C,3,1)</f>
        <v>assets/icons/image326.png</v>
      </c>
      <c r="I173" t="s">
        <v>406</v>
      </c>
    </row>
    <row r="174" spans="1:9" x14ac:dyDescent="0.15">
      <c r="A174">
        <f t="shared" si="16"/>
        <v>0</v>
      </c>
      <c r="B174">
        <f t="shared" si="16"/>
        <v>1</v>
      </c>
      <c r="C174">
        <f t="shared" si="17"/>
        <v>173</v>
      </c>
      <c r="D174">
        <f>D64</f>
        <v>0</v>
      </c>
      <c r="E174" t="str">
        <f>VLOOKUP(D174,name!A:B,2,1)</f>
        <v>Player</v>
      </c>
      <c r="F174">
        <f>F64</f>
        <v>0</v>
      </c>
      <c r="G174" t="str">
        <f t="shared" si="13"/>
        <v>q</v>
      </c>
      <c r="H174" t="str">
        <f>VLOOKUP(D174,name!A:C,3,1)</f>
        <v>assets/icons/image326.png</v>
      </c>
      <c r="I174" t="e">
        <f>IF(A174="","",VLOOKUP(A174,lng!A:B,2,0))</f>
        <v>#N/A</v>
      </c>
    </row>
    <row r="175" spans="1:9" x14ac:dyDescent="0.15">
      <c r="A175">
        <f t="shared" si="16"/>
        <v>0</v>
      </c>
      <c r="B175">
        <f t="shared" si="16"/>
        <v>1</v>
      </c>
      <c r="C175">
        <f t="shared" si="17"/>
        <v>174</v>
      </c>
      <c r="D175">
        <v>0</v>
      </c>
      <c r="E175" t="str">
        <f>VLOOKUP(D175,name!A:B,2,1)</f>
        <v>Player</v>
      </c>
      <c r="F175">
        <f>F64</f>
        <v>0</v>
      </c>
      <c r="G175" t="str">
        <f t="shared" si="13"/>
        <v>q</v>
      </c>
      <c r="H175" t="str">
        <f>VLOOKUP(D175,name!A:C,3,1)</f>
        <v>assets/icons/image326.png</v>
      </c>
      <c r="I175" t="e">
        <f>IF(A175="","",VLOOKUP(A175,lng!A:B,2,0))</f>
        <v>#N/A</v>
      </c>
    </row>
    <row r="176" spans="1:9" x14ac:dyDescent="0.15">
      <c r="A176">
        <f t="shared" si="16"/>
        <v>0</v>
      </c>
      <c r="B176">
        <f t="shared" si="16"/>
        <v>1</v>
      </c>
      <c r="C176">
        <f t="shared" si="17"/>
        <v>175</v>
      </c>
      <c r="D176">
        <f>D65</f>
        <v>0</v>
      </c>
      <c r="E176" t="str">
        <f>VLOOKUP(D176,name!A:B,2,1)</f>
        <v>Player</v>
      </c>
      <c r="F176">
        <f>F65</f>
        <v>0</v>
      </c>
      <c r="G176" t="str">
        <f t="shared" si="13"/>
        <v>q</v>
      </c>
      <c r="H176" t="str">
        <f>VLOOKUP(D176,name!A:C,3,1)</f>
        <v>assets/icons/image326.png</v>
      </c>
      <c r="I176" t="s">
        <v>406</v>
      </c>
    </row>
    <row r="177" spans="1:9" x14ac:dyDescent="0.15">
      <c r="A177">
        <f t="shared" si="16"/>
        <v>0</v>
      </c>
      <c r="B177">
        <f t="shared" si="16"/>
        <v>1</v>
      </c>
      <c r="C177">
        <f t="shared" si="17"/>
        <v>176</v>
      </c>
      <c r="D177">
        <f>D66</f>
        <v>0</v>
      </c>
      <c r="E177" t="str">
        <f>VLOOKUP(D177,name!A:B,2,1)</f>
        <v>Player</v>
      </c>
      <c r="F177">
        <f>F66</f>
        <v>0</v>
      </c>
      <c r="G177" t="str">
        <f t="shared" si="13"/>
        <v>q</v>
      </c>
      <c r="H177" t="str">
        <f>VLOOKUP(D177,name!A:C,3,1)</f>
        <v>assets/icons/image326.png</v>
      </c>
      <c r="I177" t="e">
        <f>IF(A177="","",VLOOKUP(A177,lng!A:B,2,0))</f>
        <v>#N/A</v>
      </c>
    </row>
    <row r="178" spans="1:9" x14ac:dyDescent="0.15">
      <c r="A178">
        <f t="shared" si="16"/>
        <v>0</v>
      </c>
      <c r="B178">
        <f t="shared" si="16"/>
        <v>1</v>
      </c>
      <c r="C178">
        <f t="shared" si="17"/>
        <v>177</v>
      </c>
      <c r="D178">
        <v>0</v>
      </c>
      <c r="E178" t="str">
        <f>VLOOKUP(D178,name!A:B,2,1)</f>
        <v>Player</v>
      </c>
      <c r="F178">
        <f>F66</f>
        <v>0</v>
      </c>
      <c r="G178" t="str">
        <f t="shared" si="13"/>
        <v>q</v>
      </c>
      <c r="H178" t="str">
        <f>VLOOKUP(D178,name!A:C,3,1)</f>
        <v>assets/icons/image326.png</v>
      </c>
      <c r="I178" t="e">
        <f>IF(A178="","",VLOOKUP(A178,lng!A:B,2,0))</f>
        <v>#N/A</v>
      </c>
    </row>
    <row r="179" spans="1:9" x14ac:dyDescent="0.15">
      <c r="A179">
        <f t="shared" si="16"/>
        <v>0</v>
      </c>
      <c r="B179">
        <f t="shared" si="16"/>
        <v>1</v>
      </c>
      <c r="C179">
        <f t="shared" si="17"/>
        <v>178</v>
      </c>
      <c r="D179">
        <f>D67</f>
        <v>0</v>
      </c>
      <c r="E179" t="str">
        <f>VLOOKUP(D179,name!A:B,2,1)</f>
        <v>Player</v>
      </c>
      <c r="F179">
        <f>F67</f>
        <v>0</v>
      </c>
      <c r="G179" t="str">
        <f t="shared" si="13"/>
        <v>q</v>
      </c>
      <c r="H179" t="str">
        <f>VLOOKUP(D179,name!A:C,3,1)</f>
        <v>assets/icons/image326.png</v>
      </c>
      <c r="I179" t="s">
        <v>406</v>
      </c>
    </row>
    <row r="180" spans="1:9" x14ac:dyDescent="0.15">
      <c r="A180">
        <f t="shared" si="16"/>
        <v>0</v>
      </c>
      <c r="B180">
        <f t="shared" si="16"/>
        <v>1</v>
      </c>
      <c r="C180">
        <f t="shared" si="17"/>
        <v>179</v>
      </c>
      <c r="D180">
        <f>D68</f>
        <v>0</v>
      </c>
      <c r="E180" t="str">
        <f>VLOOKUP(D180,name!A:B,2,1)</f>
        <v>Player</v>
      </c>
      <c r="F180">
        <f>F68</f>
        <v>0</v>
      </c>
      <c r="G180" t="str">
        <f t="shared" si="13"/>
        <v>q</v>
      </c>
      <c r="H180" t="str">
        <f>VLOOKUP(D180,name!A:C,3,1)</f>
        <v>assets/icons/image326.png</v>
      </c>
      <c r="I180" t="e">
        <f>IF(A180="","",VLOOKUP(A180,lng!A:B,2,0))</f>
        <v>#N/A</v>
      </c>
    </row>
    <row r="181" spans="1:9" x14ac:dyDescent="0.15">
      <c r="A181">
        <f t="shared" si="16"/>
        <v>0</v>
      </c>
      <c r="B181">
        <f t="shared" si="16"/>
        <v>1</v>
      </c>
      <c r="C181">
        <f t="shared" si="17"/>
        <v>180</v>
      </c>
      <c r="D181">
        <v>0</v>
      </c>
      <c r="E181" t="str">
        <f>VLOOKUP(D181,name!A:B,2,1)</f>
        <v>Player</v>
      </c>
      <c r="F181">
        <f>F68</f>
        <v>0</v>
      </c>
      <c r="G181" t="str">
        <f t="shared" si="13"/>
        <v>q</v>
      </c>
      <c r="H181" t="str">
        <f>VLOOKUP(D181,name!A:C,3,1)</f>
        <v>assets/icons/image326.png</v>
      </c>
      <c r="I181" t="e">
        <f>IF(A181="","",VLOOKUP(A181,lng!A:B,2,0))</f>
        <v>#N/A</v>
      </c>
    </row>
    <row r="182" spans="1:9" x14ac:dyDescent="0.15">
      <c r="A182">
        <f t="shared" ref="A182:B197" si="18">A181</f>
        <v>0</v>
      </c>
      <c r="B182">
        <f t="shared" si="18"/>
        <v>1</v>
      </c>
      <c r="C182">
        <f t="shared" si="17"/>
        <v>181</v>
      </c>
      <c r="D182">
        <f>D69</f>
        <v>0</v>
      </c>
      <c r="E182" t="str">
        <f>VLOOKUP(D182,name!A:B,2,1)</f>
        <v>Player</v>
      </c>
      <c r="F182">
        <f>F69</f>
        <v>0</v>
      </c>
      <c r="G182" t="str">
        <f t="shared" si="13"/>
        <v>q</v>
      </c>
      <c r="H182" t="str">
        <f>VLOOKUP(D182,name!A:C,3,1)</f>
        <v>assets/icons/image326.png</v>
      </c>
      <c r="I182" t="s">
        <v>406</v>
      </c>
    </row>
    <row r="183" spans="1:9" x14ac:dyDescent="0.15">
      <c r="A183">
        <f t="shared" si="18"/>
        <v>0</v>
      </c>
      <c r="B183">
        <f t="shared" si="18"/>
        <v>1</v>
      </c>
      <c r="C183">
        <f t="shared" si="17"/>
        <v>182</v>
      </c>
      <c r="D183">
        <f>D70</f>
        <v>0</v>
      </c>
      <c r="E183" t="str">
        <f>VLOOKUP(D183,name!A:B,2,1)</f>
        <v>Player</v>
      </c>
      <c r="F183">
        <f>F70</f>
        <v>0</v>
      </c>
      <c r="G183" t="str">
        <f t="shared" si="13"/>
        <v>q</v>
      </c>
      <c r="H183" t="str">
        <f>VLOOKUP(D183,name!A:C,3,1)</f>
        <v>assets/icons/image326.png</v>
      </c>
      <c r="I183" t="e">
        <f>IF(A183="","",VLOOKUP(A183,lng!A:B,2,0))</f>
        <v>#N/A</v>
      </c>
    </row>
    <row r="184" spans="1:9" x14ac:dyDescent="0.15">
      <c r="A184">
        <f t="shared" si="18"/>
        <v>0</v>
      </c>
      <c r="B184">
        <f t="shared" si="18"/>
        <v>1</v>
      </c>
      <c r="C184">
        <f t="shared" si="17"/>
        <v>183</v>
      </c>
      <c r="D184">
        <v>0</v>
      </c>
      <c r="E184" t="str">
        <f>VLOOKUP(D184,name!A:B,2,1)</f>
        <v>Player</v>
      </c>
      <c r="F184">
        <f>F70</f>
        <v>0</v>
      </c>
      <c r="G184" t="str">
        <f t="shared" si="13"/>
        <v>q</v>
      </c>
      <c r="H184" t="str">
        <f>VLOOKUP(D184,name!A:C,3,1)</f>
        <v>assets/icons/image326.png</v>
      </c>
      <c r="I184" t="e">
        <f>IF(A184="","",VLOOKUP(A184,lng!A:B,2,0))</f>
        <v>#N/A</v>
      </c>
    </row>
    <row r="185" spans="1:9" x14ac:dyDescent="0.15">
      <c r="A185">
        <f t="shared" si="18"/>
        <v>0</v>
      </c>
      <c r="B185">
        <f t="shared" si="18"/>
        <v>1</v>
      </c>
      <c r="C185">
        <f t="shared" si="17"/>
        <v>184</v>
      </c>
      <c r="D185">
        <f>D71</f>
        <v>0</v>
      </c>
      <c r="E185" t="str">
        <f>VLOOKUP(D185,name!A:B,2,1)</f>
        <v>Player</v>
      </c>
      <c r="F185">
        <f>F71</f>
        <v>0</v>
      </c>
      <c r="G185" t="str">
        <f t="shared" si="13"/>
        <v>q</v>
      </c>
      <c r="H185" t="str">
        <f>VLOOKUP(D185,name!A:C,3,1)</f>
        <v>assets/icons/image326.png</v>
      </c>
      <c r="I185" t="s">
        <v>406</v>
      </c>
    </row>
    <row r="186" spans="1:9" x14ac:dyDescent="0.15">
      <c r="A186">
        <f t="shared" si="18"/>
        <v>0</v>
      </c>
      <c r="B186">
        <f t="shared" si="18"/>
        <v>1</v>
      </c>
      <c r="C186">
        <f t="shared" si="17"/>
        <v>185</v>
      </c>
      <c r="D186">
        <f>D72</f>
        <v>0</v>
      </c>
      <c r="E186" t="str">
        <f>VLOOKUP(D186,name!A:B,2,1)</f>
        <v>Player</v>
      </c>
      <c r="F186">
        <f>F72</f>
        <v>0</v>
      </c>
      <c r="G186" t="str">
        <f t="shared" si="13"/>
        <v>q</v>
      </c>
      <c r="H186" t="str">
        <f>VLOOKUP(D186,name!A:C,3,1)</f>
        <v>assets/icons/image326.png</v>
      </c>
      <c r="I186" t="e">
        <f>IF(A186="","",VLOOKUP(A186,lng!A:B,2,0))</f>
        <v>#N/A</v>
      </c>
    </row>
    <row r="187" spans="1:9" x14ac:dyDescent="0.15">
      <c r="A187">
        <f t="shared" si="18"/>
        <v>0</v>
      </c>
      <c r="B187">
        <f t="shared" si="18"/>
        <v>1</v>
      </c>
      <c r="C187">
        <f t="shared" si="17"/>
        <v>186</v>
      </c>
      <c r="D187">
        <v>0</v>
      </c>
      <c r="E187" t="str">
        <f>VLOOKUP(D187,name!A:B,2,1)</f>
        <v>Player</v>
      </c>
      <c r="F187">
        <f>F72</f>
        <v>0</v>
      </c>
      <c r="G187" t="str">
        <f t="shared" si="13"/>
        <v>q</v>
      </c>
      <c r="H187" t="str">
        <f>VLOOKUP(D187,name!A:C,3,1)</f>
        <v>assets/icons/image326.png</v>
      </c>
      <c r="I187" t="e">
        <f>IF(A187="","",VLOOKUP(A187,lng!A:B,2,0))</f>
        <v>#N/A</v>
      </c>
    </row>
    <row r="188" spans="1:9" x14ac:dyDescent="0.15">
      <c r="A188">
        <f t="shared" si="18"/>
        <v>0</v>
      </c>
      <c r="B188">
        <f t="shared" si="18"/>
        <v>1</v>
      </c>
      <c r="C188">
        <f t="shared" si="17"/>
        <v>187</v>
      </c>
      <c r="D188">
        <f>D73</f>
        <v>0</v>
      </c>
      <c r="E188" t="str">
        <f>VLOOKUP(D188,name!A:B,2,1)</f>
        <v>Player</v>
      </c>
      <c r="F188">
        <f>F73</f>
        <v>0</v>
      </c>
      <c r="G188" t="str">
        <f t="shared" si="13"/>
        <v>q</v>
      </c>
      <c r="H188" t="str">
        <f>VLOOKUP(D188,name!A:C,3,1)</f>
        <v>assets/icons/image326.png</v>
      </c>
      <c r="I188" t="s">
        <v>406</v>
      </c>
    </row>
    <row r="189" spans="1:9" x14ac:dyDescent="0.15">
      <c r="A189">
        <f t="shared" si="18"/>
        <v>0</v>
      </c>
      <c r="B189">
        <f t="shared" si="18"/>
        <v>1</v>
      </c>
      <c r="C189">
        <f t="shared" si="17"/>
        <v>188</v>
      </c>
      <c r="D189">
        <f>D74</f>
        <v>0</v>
      </c>
      <c r="E189" t="str">
        <f>VLOOKUP(D189,name!A:B,2,1)</f>
        <v>Player</v>
      </c>
      <c r="F189">
        <f>F74</f>
        <v>0</v>
      </c>
      <c r="G189" t="str">
        <f t="shared" si="13"/>
        <v>q</v>
      </c>
      <c r="H189" t="str">
        <f>VLOOKUP(D189,name!A:C,3,1)</f>
        <v>assets/icons/image326.png</v>
      </c>
      <c r="I189" t="e">
        <f>IF(A189="","",VLOOKUP(A189,lng!A:B,2,0))</f>
        <v>#N/A</v>
      </c>
    </row>
    <row r="190" spans="1:9" x14ac:dyDescent="0.15">
      <c r="A190">
        <f t="shared" si="18"/>
        <v>0</v>
      </c>
      <c r="B190">
        <f t="shared" si="18"/>
        <v>1</v>
      </c>
      <c r="C190">
        <f t="shared" si="17"/>
        <v>189</v>
      </c>
      <c r="D190">
        <v>0</v>
      </c>
      <c r="E190" t="str">
        <f>VLOOKUP(D190,name!A:B,2,1)</f>
        <v>Player</v>
      </c>
      <c r="F190">
        <f>F74</f>
        <v>0</v>
      </c>
      <c r="G190" t="str">
        <f t="shared" si="13"/>
        <v>q</v>
      </c>
      <c r="H190" t="str">
        <f>VLOOKUP(D190,name!A:C,3,1)</f>
        <v>assets/icons/image326.png</v>
      </c>
      <c r="I190" t="e">
        <f>IF(A190="","",VLOOKUP(A190,lng!A:B,2,0))</f>
        <v>#N/A</v>
      </c>
    </row>
    <row r="191" spans="1:9" x14ac:dyDescent="0.15">
      <c r="A191">
        <f t="shared" si="18"/>
        <v>0</v>
      </c>
      <c r="B191">
        <f t="shared" si="18"/>
        <v>1</v>
      </c>
      <c r="C191">
        <f t="shared" si="17"/>
        <v>190</v>
      </c>
      <c r="D191">
        <f>D75</f>
        <v>0</v>
      </c>
      <c r="E191" t="str">
        <f>VLOOKUP(D191,name!A:B,2,1)</f>
        <v>Player</v>
      </c>
      <c r="F191">
        <f>F75</f>
        <v>0</v>
      </c>
      <c r="G191" t="str">
        <f t="shared" si="13"/>
        <v>q</v>
      </c>
      <c r="H191" t="str">
        <f>VLOOKUP(D191,name!A:C,3,1)</f>
        <v>assets/icons/image326.png</v>
      </c>
      <c r="I191" t="s">
        <v>406</v>
      </c>
    </row>
    <row r="192" spans="1:9" x14ac:dyDescent="0.15">
      <c r="A192">
        <f t="shared" si="18"/>
        <v>0</v>
      </c>
      <c r="B192">
        <f t="shared" si="18"/>
        <v>1</v>
      </c>
      <c r="C192">
        <f t="shared" si="17"/>
        <v>191</v>
      </c>
      <c r="D192">
        <f>D76</f>
        <v>0</v>
      </c>
      <c r="E192" t="str">
        <f>VLOOKUP(D192,name!A:B,2,1)</f>
        <v>Player</v>
      </c>
      <c r="F192">
        <f>F76</f>
        <v>0</v>
      </c>
      <c r="G192" t="str">
        <f t="shared" si="13"/>
        <v>q</v>
      </c>
      <c r="H192" t="str">
        <f>VLOOKUP(D192,name!A:C,3,1)</f>
        <v>assets/icons/image326.png</v>
      </c>
      <c r="I192" t="e">
        <f>IF(A192="","",VLOOKUP(A192,lng!A:B,2,0))</f>
        <v>#N/A</v>
      </c>
    </row>
    <row r="193" spans="1:9" x14ac:dyDescent="0.15">
      <c r="A193">
        <f t="shared" si="18"/>
        <v>0</v>
      </c>
      <c r="B193">
        <f t="shared" si="18"/>
        <v>1</v>
      </c>
      <c r="C193">
        <f t="shared" si="17"/>
        <v>192</v>
      </c>
      <c r="D193">
        <v>0</v>
      </c>
      <c r="E193" t="str">
        <f>VLOOKUP(D193,name!A:B,2,1)</f>
        <v>Player</v>
      </c>
      <c r="F193">
        <f>F76</f>
        <v>0</v>
      </c>
      <c r="G193" t="str">
        <f t="shared" si="13"/>
        <v>q</v>
      </c>
      <c r="H193" t="str">
        <f>VLOOKUP(D193,name!A:C,3,1)</f>
        <v>assets/icons/image326.png</v>
      </c>
      <c r="I193" t="e">
        <f>IF(A193="","",VLOOKUP(A193,lng!A:B,2,0))</f>
        <v>#N/A</v>
      </c>
    </row>
    <row r="194" spans="1:9" x14ac:dyDescent="0.15">
      <c r="A194">
        <f t="shared" si="18"/>
        <v>0</v>
      </c>
      <c r="B194">
        <f t="shared" si="18"/>
        <v>1</v>
      </c>
      <c r="C194">
        <f t="shared" si="17"/>
        <v>193</v>
      </c>
      <c r="D194">
        <f>D77</f>
        <v>0</v>
      </c>
      <c r="E194" t="str">
        <f>VLOOKUP(D194,name!A:B,2,1)</f>
        <v>Player</v>
      </c>
      <c r="F194">
        <f>F77</f>
        <v>0</v>
      </c>
      <c r="G194" t="str">
        <f t="shared" si="13"/>
        <v>q</v>
      </c>
      <c r="H194" t="str">
        <f>VLOOKUP(D194,name!A:C,3,1)</f>
        <v>assets/icons/image326.png</v>
      </c>
      <c r="I194" t="s">
        <v>406</v>
      </c>
    </row>
    <row r="195" spans="1:9" x14ac:dyDescent="0.15">
      <c r="A195">
        <f t="shared" si="18"/>
        <v>0</v>
      </c>
      <c r="B195">
        <f t="shared" si="18"/>
        <v>1</v>
      </c>
      <c r="C195">
        <f t="shared" si="17"/>
        <v>194</v>
      </c>
      <c r="D195">
        <f>D78</f>
        <v>0</v>
      </c>
      <c r="E195" t="str">
        <f>VLOOKUP(D195,name!A:B,2,1)</f>
        <v>Player</v>
      </c>
      <c r="F195">
        <f>F78</f>
        <v>0</v>
      </c>
      <c r="G195" t="str">
        <f t="shared" si="13"/>
        <v>q</v>
      </c>
      <c r="H195" t="str">
        <f>VLOOKUP(D195,name!A:C,3,1)</f>
        <v>assets/icons/image326.png</v>
      </c>
      <c r="I195" t="e">
        <f>IF(A195="","",VLOOKUP(A195,lng!A:B,2,0))</f>
        <v>#N/A</v>
      </c>
    </row>
    <row r="196" spans="1:9" x14ac:dyDescent="0.15">
      <c r="A196">
        <f t="shared" si="18"/>
        <v>0</v>
      </c>
      <c r="B196">
        <f t="shared" si="18"/>
        <v>1</v>
      </c>
      <c r="C196">
        <f t="shared" si="17"/>
        <v>195</v>
      </c>
      <c r="D196">
        <v>0</v>
      </c>
      <c r="E196" t="str">
        <f>VLOOKUP(D196,name!A:B,2,1)</f>
        <v>Player</v>
      </c>
      <c r="F196">
        <f>F78</f>
        <v>0</v>
      </c>
      <c r="G196" t="str">
        <f t="shared" si="13"/>
        <v>q</v>
      </c>
      <c r="H196" t="str">
        <f>VLOOKUP(D196,name!A:C,3,1)</f>
        <v>assets/icons/image326.png</v>
      </c>
      <c r="I196" t="e">
        <f>IF(A196="","",VLOOKUP(A196,lng!A:B,2,0))</f>
        <v>#N/A</v>
      </c>
    </row>
    <row r="197" spans="1:9" x14ac:dyDescent="0.15">
      <c r="A197">
        <f t="shared" si="18"/>
        <v>0</v>
      </c>
      <c r="B197">
        <f t="shared" si="18"/>
        <v>1</v>
      </c>
      <c r="C197">
        <f t="shared" si="17"/>
        <v>196</v>
      </c>
      <c r="D197">
        <f>D79</f>
        <v>0</v>
      </c>
      <c r="E197" t="str">
        <f>VLOOKUP(D197,name!A:B,2,1)</f>
        <v>Player</v>
      </c>
      <c r="F197">
        <f>F79</f>
        <v>0</v>
      </c>
      <c r="G197" t="str">
        <f t="shared" ref="G197:G250" si="19">IF(B197&lt;&gt;B198,"e",IF(D197=0,"q","a"))</f>
        <v>q</v>
      </c>
      <c r="H197" t="str">
        <f>VLOOKUP(D197,name!A:C,3,1)</f>
        <v>assets/icons/image326.png</v>
      </c>
      <c r="I197" t="s">
        <v>406</v>
      </c>
    </row>
    <row r="198" spans="1:9" x14ac:dyDescent="0.15">
      <c r="A198">
        <f t="shared" ref="A198:B205" si="20">A197</f>
        <v>0</v>
      </c>
      <c r="B198">
        <f t="shared" si="20"/>
        <v>1</v>
      </c>
      <c r="C198">
        <f t="shared" si="17"/>
        <v>197</v>
      </c>
      <c r="D198">
        <f>D80</f>
        <v>0</v>
      </c>
      <c r="E198" t="str">
        <f>VLOOKUP(D198,name!A:B,2,1)</f>
        <v>Player</v>
      </c>
      <c r="F198">
        <f>F80</f>
        <v>0</v>
      </c>
      <c r="G198" t="str">
        <f t="shared" si="19"/>
        <v>q</v>
      </c>
      <c r="H198" t="str">
        <f>VLOOKUP(D198,name!A:C,3,1)</f>
        <v>assets/icons/image326.png</v>
      </c>
      <c r="I198" t="e">
        <f>IF(A198="","",VLOOKUP(A198,lng!A:B,2,0))</f>
        <v>#N/A</v>
      </c>
    </row>
    <row r="199" spans="1:9" x14ac:dyDescent="0.15">
      <c r="A199">
        <f t="shared" si="20"/>
        <v>0</v>
      </c>
      <c r="B199">
        <f t="shared" si="20"/>
        <v>1</v>
      </c>
      <c r="C199">
        <f t="shared" si="17"/>
        <v>198</v>
      </c>
      <c r="D199">
        <v>0</v>
      </c>
      <c r="E199" t="str">
        <f>VLOOKUP(D199,name!A:B,2,1)</f>
        <v>Player</v>
      </c>
      <c r="F199">
        <f>F80</f>
        <v>0</v>
      </c>
      <c r="G199" t="str">
        <f t="shared" si="19"/>
        <v>q</v>
      </c>
      <c r="H199" t="str">
        <f>VLOOKUP(D199,name!A:C,3,1)</f>
        <v>assets/icons/image326.png</v>
      </c>
      <c r="I199" t="e">
        <f>IF(A199="","",VLOOKUP(A199,lng!A:B,2,0))</f>
        <v>#N/A</v>
      </c>
    </row>
    <row r="200" spans="1:9" x14ac:dyDescent="0.15">
      <c r="A200">
        <f t="shared" si="20"/>
        <v>0</v>
      </c>
      <c r="B200">
        <f t="shared" si="20"/>
        <v>1</v>
      </c>
      <c r="C200">
        <f t="shared" si="17"/>
        <v>199</v>
      </c>
      <c r="D200">
        <f>D81</f>
        <v>0</v>
      </c>
      <c r="E200" t="str">
        <f>VLOOKUP(D200,name!A:B,2,1)</f>
        <v>Player</v>
      </c>
      <c r="F200">
        <f>F81</f>
        <v>0</v>
      </c>
      <c r="G200" t="str">
        <f t="shared" si="19"/>
        <v>q</v>
      </c>
      <c r="H200" t="str">
        <f>VLOOKUP(D200,name!A:C,3,1)</f>
        <v>assets/icons/image326.png</v>
      </c>
      <c r="I200" t="s">
        <v>406</v>
      </c>
    </row>
    <row r="201" spans="1:9" x14ac:dyDescent="0.15">
      <c r="A201">
        <f t="shared" si="20"/>
        <v>0</v>
      </c>
      <c r="B201">
        <f t="shared" si="20"/>
        <v>1</v>
      </c>
      <c r="C201">
        <f t="shared" si="17"/>
        <v>200</v>
      </c>
      <c r="D201">
        <f>D82</f>
        <v>0</v>
      </c>
      <c r="E201" t="str">
        <f>VLOOKUP(D201,name!A:B,2,1)</f>
        <v>Player</v>
      </c>
      <c r="F201">
        <f>F82</f>
        <v>0</v>
      </c>
      <c r="G201" t="str">
        <f t="shared" si="19"/>
        <v>q</v>
      </c>
      <c r="H201" t="str">
        <f>VLOOKUP(D201,name!A:C,3,1)</f>
        <v>assets/icons/image326.png</v>
      </c>
      <c r="I201" t="e">
        <f>IF(A201="","",VLOOKUP(A201,lng!A:B,2,0))</f>
        <v>#N/A</v>
      </c>
    </row>
    <row r="202" spans="1:9" x14ac:dyDescent="0.15">
      <c r="A202">
        <f t="shared" si="20"/>
        <v>0</v>
      </c>
      <c r="B202">
        <f t="shared" si="20"/>
        <v>1</v>
      </c>
      <c r="C202">
        <f t="shared" si="17"/>
        <v>201</v>
      </c>
      <c r="D202">
        <v>0</v>
      </c>
      <c r="E202" t="str">
        <f>VLOOKUP(D202,name!A:B,2,1)</f>
        <v>Player</v>
      </c>
      <c r="F202">
        <f>F82</f>
        <v>0</v>
      </c>
      <c r="G202" t="str">
        <f t="shared" si="19"/>
        <v>q</v>
      </c>
      <c r="H202" t="str">
        <f>VLOOKUP(D202,name!A:C,3,1)</f>
        <v>assets/icons/image326.png</v>
      </c>
      <c r="I202" t="e">
        <f>IF(A202="","",VLOOKUP(A202,lng!A:B,2,0))</f>
        <v>#N/A</v>
      </c>
    </row>
    <row r="203" spans="1:9" x14ac:dyDescent="0.15">
      <c r="A203">
        <f t="shared" si="20"/>
        <v>0</v>
      </c>
      <c r="B203">
        <f t="shared" si="20"/>
        <v>1</v>
      </c>
      <c r="C203">
        <f t="shared" si="17"/>
        <v>202</v>
      </c>
      <c r="D203">
        <f>D83</f>
        <v>0</v>
      </c>
      <c r="E203" t="str">
        <f>VLOOKUP(D203,name!A:B,2,1)</f>
        <v>Player</v>
      </c>
      <c r="F203">
        <f>F83</f>
        <v>0</v>
      </c>
      <c r="G203" t="str">
        <f t="shared" si="19"/>
        <v>q</v>
      </c>
      <c r="H203" t="str">
        <f>VLOOKUP(D203,name!A:C,3,1)</f>
        <v>assets/icons/image326.png</v>
      </c>
      <c r="I203" t="s">
        <v>406</v>
      </c>
    </row>
    <row r="204" spans="1:9" x14ac:dyDescent="0.15">
      <c r="A204">
        <f t="shared" si="20"/>
        <v>0</v>
      </c>
      <c r="B204">
        <f t="shared" si="20"/>
        <v>1</v>
      </c>
      <c r="C204">
        <f t="shared" si="17"/>
        <v>203</v>
      </c>
      <c r="D204">
        <f>D84</f>
        <v>0</v>
      </c>
      <c r="E204" t="str">
        <f>VLOOKUP(D204,name!A:B,2,1)</f>
        <v>Player</v>
      </c>
      <c r="F204">
        <f>F84</f>
        <v>0</v>
      </c>
      <c r="G204" t="str">
        <f t="shared" si="19"/>
        <v>q</v>
      </c>
      <c r="H204" t="str">
        <f>VLOOKUP(D204,name!A:C,3,1)</f>
        <v>assets/icons/image326.png</v>
      </c>
      <c r="I204" t="e">
        <f>IF(A204="","",VLOOKUP(A204,lng!A:B,2,0))</f>
        <v>#N/A</v>
      </c>
    </row>
    <row r="205" spans="1:9" x14ac:dyDescent="0.15">
      <c r="A205">
        <f t="shared" si="20"/>
        <v>0</v>
      </c>
      <c r="B205">
        <f t="shared" si="20"/>
        <v>1</v>
      </c>
      <c r="C205">
        <f t="shared" si="17"/>
        <v>204</v>
      </c>
      <c r="D205">
        <v>0</v>
      </c>
      <c r="E205" t="str">
        <f>VLOOKUP(D205,name!A:B,2,1)</f>
        <v>Player</v>
      </c>
      <c r="F205">
        <f>F84</f>
        <v>0</v>
      </c>
      <c r="G205" t="str">
        <f t="shared" ref="G205:G206" si="21">IF(B205&lt;&gt;B206,"e",IF(D205=0,"q","a"))</f>
        <v>q</v>
      </c>
      <c r="H205" t="str">
        <f>VLOOKUP(D205,name!A:C,3,1)</f>
        <v>assets/icons/image326.png</v>
      </c>
      <c r="I205" t="e">
        <f>IF(A205="","",VLOOKUP(A205,lng!A:B,2,0))</f>
        <v>#N/A</v>
      </c>
    </row>
    <row r="206" spans="1:9" x14ac:dyDescent="0.15">
      <c r="A206">
        <f t="shared" ref="A206:B206" si="22">A205</f>
        <v>0</v>
      </c>
      <c r="B206">
        <f t="shared" si="22"/>
        <v>1</v>
      </c>
      <c r="C206">
        <f t="shared" si="17"/>
        <v>205</v>
      </c>
      <c r="D206">
        <v>1</v>
      </c>
      <c r="E206" t="str">
        <f>VLOOKUP(D206,name!A:B,2,1)</f>
        <v>Navigator</v>
      </c>
      <c r="F206" t="str">
        <f>"次の日本語を"&amp;A206&amp;"に訳して答えてね！"</f>
        <v>次の日本語を0に訳して答えてね！</v>
      </c>
      <c r="G206" t="str">
        <f t="shared" si="21"/>
        <v>a</v>
      </c>
      <c r="H206" t="str">
        <f>VLOOKUP(D206,name!A:C,3,1)</f>
        <v>assets/icons/image014.png</v>
      </c>
      <c r="I206" t="s">
        <v>403</v>
      </c>
    </row>
    <row r="207" spans="1:9" x14ac:dyDescent="0.15">
      <c r="A207">
        <f t="shared" ref="A207:B207" si="23">A206</f>
        <v>0</v>
      </c>
      <c r="B207">
        <f t="shared" si="23"/>
        <v>1</v>
      </c>
      <c r="C207">
        <f t="shared" si="17"/>
        <v>206</v>
      </c>
      <c r="D207">
        <f>D5</f>
        <v>0</v>
      </c>
      <c r="E207" t="str">
        <f>VLOOKUP(D207,name!A:B,2,1)</f>
        <v>Player</v>
      </c>
      <c r="F207">
        <f>F5</f>
        <v>0</v>
      </c>
      <c r="G207" t="str">
        <f t="shared" si="19"/>
        <v>q</v>
      </c>
      <c r="H207" t="str">
        <f>VLOOKUP(D207,name!A:C,3,1)</f>
        <v>assets/icons/image326.png</v>
      </c>
      <c r="I207" t="s">
        <v>403</v>
      </c>
    </row>
    <row r="208" spans="1:9" x14ac:dyDescent="0.15">
      <c r="A208">
        <f t="shared" ref="A208:B208" si="24">A207</f>
        <v>0</v>
      </c>
      <c r="B208">
        <f t="shared" si="24"/>
        <v>1</v>
      </c>
      <c r="C208">
        <f t="shared" si="17"/>
        <v>207</v>
      </c>
      <c r="D208">
        <v>0</v>
      </c>
      <c r="E208" t="str">
        <f>VLOOKUP(D208,name!A:B,2,1)</f>
        <v>Player</v>
      </c>
      <c r="F208">
        <f>F6</f>
        <v>0</v>
      </c>
      <c r="G208" t="str">
        <f t="shared" si="19"/>
        <v>q</v>
      </c>
      <c r="H208" t="str">
        <f>VLOOKUP(D208,name!A:C,3,1)</f>
        <v>assets/icons/image326.png</v>
      </c>
      <c r="I208" t="e">
        <f>IF(A208="","",VLOOKUP(A208,lng!A:B,2,0))</f>
        <v>#N/A</v>
      </c>
    </row>
    <row r="209" spans="1:9" x14ac:dyDescent="0.15">
      <c r="A209">
        <f t="shared" ref="A209:B209" si="25">A208</f>
        <v>0</v>
      </c>
      <c r="B209">
        <f t="shared" si="25"/>
        <v>1</v>
      </c>
      <c r="C209">
        <f t="shared" si="17"/>
        <v>208</v>
      </c>
      <c r="D209">
        <f t="shared" ref="D209:D271" si="26">D7</f>
        <v>0</v>
      </c>
      <c r="E209" t="str">
        <f>VLOOKUP(D209,name!A:B,2,1)</f>
        <v>Player</v>
      </c>
      <c r="F209">
        <f t="shared" ref="F209:F272" si="27">F7</f>
        <v>0</v>
      </c>
      <c r="G209" t="str">
        <f t="shared" si="19"/>
        <v>q</v>
      </c>
      <c r="H209" t="str">
        <f>VLOOKUP(D209,name!A:C,3,1)</f>
        <v>assets/icons/image326.png</v>
      </c>
      <c r="I209" t="s">
        <v>403</v>
      </c>
    </row>
    <row r="210" spans="1:9" x14ac:dyDescent="0.15">
      <c r="A210">
        <f t="shared" ref="A210:B210" si="28">A209</f>
        <v>0</v>
      </c>
      <c r="B210">
        <f t="shared" si="28"/>
        <v>1</v>
      </c>
      <c r="C210">
        <f t="shared" si="17"/>
        <v>209</v>
      </c>
      <c r="D210">
        <v>0</v>
      </c>
      <c r="E210" t="str">
        <f>VLOOKUP(D210,name!A:B,2,1)</f>
        <v>Player</v>
      </c>
      <c r="F210">
        <f t="shared" si="27"/>
        <v>0</v>
      </c>
      <c r="G210" t="str">
        <f t="shared" si="19"/>
        <v>q</v>
      </c>
      <c r="H210" t="str">
        <f>VLOOKUP(D210,name!A:C,3,1)</f>
        <v>assets/icons/image326.png</v>
      </c>
      <c r="I210" t="e">
        <f>IF(A210="","",VLOOKUP(A210,lng!A:B,2,0))</f>
        <v>#N/A</v>
      </c>
    </row>
    <row r="211" spans="1:9" x14ac:dyDescent="0.15">
      <c r="A211">
        <f t="shared" ref="A211:B211" si="29">A210</f>
        <v>0</v>
      </c>
      <c r="B211">
        <f t="shared" si="29"/>
        <v>1</v>
      </c>
      <c r="C211">
        <f t="shared" si="17"/>
        <v>210</v>
      </c>
      <c r="D211">
        <f t="shared" si="26"/>
        <v>0</v>
      </c>
      <c r="E211" t="str">
        <f>VLOOKUP(D211,name!A:B,2,1)</f>
        <v>Player</v>
      </c>
      <c r="F211">
        <f t="shared" si="27"/>
        <v>0</v>
      </c>
      <c r="G211" t="str">
        <f t="shared" si="19"/>
        <v>q</v>
      </c>
      <c r="H211" t="str">
        <f>VLOOKUP(D211,name!A:C,3,1)</f>
        <v>assets/icons/image326.png</v>
      </c>
      <c r="I211" t="s">
        <v>403</v>
      </c>
    </row>
    <row r="212" spans="1:9" x14ac:dyDescent="0.15">
      <c r="A212">
        <f t="shared" ref="A212:B212" si="30">A211</f>
        <v>0</v>
      </c>
      <c r="B212">
        <f t="shared" si="30"/>
        <v>1</v>
      </c>
      <c r="C212">
        <f t="shared" si="17"/>
        <v>211</v>
      </c>
      <c r="D212">
        <v>0</v>
      </c>
      <c r="E212" t="str">
        <f>VLOOKUP(D212,name!A:B,2,1)</f>
        <v>Player</v>
      </c>
      <c r="F212">
        <f t="shared" si="27"/>
        <v>0</v>
      </c>
      <c r="G212" t="str">
        <f t="shared" si="19"/>
        <v>q</v>
      </c>
      <c r="H212" t="str">
        <f>VLOOKUP(D212,name!A:C,3,1)</f>
        <v>assets/icons/image326.png</v>
      </c>
      <c r="I212" t="e">
        <f>IF(A212="","",VLOOKUP(A212,lng!A:B,2,0))</f>
        <v>#N/A</v>
      </c>
    </row>
    <row r="213" spans="1:9" x14ac:dyDescent="0.15">
      <c r="A213">
        <f t="shared" ref="A213:B213" si="31">A212</f>
        <v>0</v>
      </c>
      <c r="B213">
        <f t="shared" si="31"/>
        <v>1</v>
      </c>
      <c r="C213">
        <f t="shared" si="17"/>
        <v>212</v>
      </c>
      <c r="D213">
        <f t="shared" si="26"/>
        <v>0</v>
      </c>
      <c r="E213" t="str">
        <f>VLOOKUP(D213,name!A:B,2,1)</f>
        <v>Player</v>
      </c>
      <c r="F213">
        <f t="shared" si="27"/>
        <v>0</v>
      </c>
      <c r="G213" t="str">
        <f t="shared" si="19"/>
        <v>q</v>
      </c>
      <c r="H213" t="str">
        <f>VLOOKUP(D213,name!A:C,3,1)</f>
        <v>assets/icons/image326.png</v>
      </c>
      <c r="I213" t="s">
        <v>403</v>
      </c>
    </row>
    <row r="214" spans="1:9" x14ac:dyDescent="0.15">
      <c r="A214">
        <f t="shared" ref="A214:B214" si="32">A213</f>
        <v>0</v>
      </c>
      <c r="B214">
        <f t="shared" si="32"/>
        <v>1</v>
      </c>
      <c r="C214">
        <f t="shared" si="17"/>
        <v>213</v>
      </c>
      <c r="D214">
        <v>0</v>
      </c>
      <c r="E214" t="str">
        <f>VLOOKUP(D214,name!A:B,2,1)</f>
        <v>Player</v>
      </c>
      <c r="F214">
        <f t="shared" si="27"/>
        <v>0</v>
      </c>
      <c r="G214" t="str">
        <f t="shared" si="19"/>
        <v>q</v>
      </c>
      <c r="H214" t="str">
        <f>VLOOKUP(D214,name!A:C,3,1)</f>
        <v>assets/icons/image326.png</v>
      </c>
      <c r="I214" t="e">
        <f>IF(A214="","",VLOOKUP(A214,lng!A:B,2,0))</f>
        <v>#N/A</v>
      </c>
    </row>
    <row r="215" spans="1:9" x14ac:dyDescent="0.15">
      <c r="A215">
        <f t="shared" ref="A215:B215" si="33">A214</f>
        <v>0</v>
      </c>
      <c r="B215">
        <f t="shared" si="33"/>
        <v>1</v>
      </c>
      <c r="C215">
        <f t="shared" si="17"/>
        <v>214</v>
      </c>
      <c r="D215">
        <f t="shared" si="26"/>
        <v>0</v>
      </c>
      <c r="E215" t="str">
        <f>VLOOKUP(D215,name!A:B,2,1)</f>
        <v>Player</v>
      </c>
      <c r="F215">
        <f t="shared" si="27"/>
        <v>0</v>
      </c>
      <c r="G215" t="str">
        <f t="shared" si="19"/>
        <v>q</v>
      </c>
      <c r="H215" t="str">
        <f>VLOOKUP(D215,name!A:C,3,1)</f>
        <v>assets/icons/image326.png</v>
      </c>
      <c r="I215" t="s">
        <v>403</v>
      </c>
    </row>
    <row r="216" spans="1:9" x14ac:dyDescent="0.15">
      <c r="A216">
        <f t="shared" ref="A216:B216" si="34">A215</f>
        <v>0</v>
      </c>
      <c r="B216">
        <f t="shared" si="34"/>
        <v>1</v>
      </c>
      <c r="C216">
        <f t="shared" si="17"/>
        <v>215</v>
      </c>
      <c r="D216">
        <v>0</v>
      </c>
      <c r="E216" t="str">
        <f>VLOOKUP(D216,name!A:B,2,1)</f>
        <v>Player</v>
      </c>
      <c r="F216">
        <f t="shared" si="27"/>
        <v>0</v>
      </c>
      <c r="G216" t="str">
        <f t="shared" si="19"/>
        <v>q</v>
      </c>
      <c r="H216" t="str">
        <f>VLOOKUP(D216,name!A:C,3,1)</f>
        <v>assets/icons/image326.png</v>
      </c>
      <c r="I216" t="e">
        <f>IF(A216="","",VLOOKUP(A216,lng!A:B,2,0))</f>
        <v>#N/A</v>
      </c>
    </row>
    <row r="217" spans="1:9" x14ac:dyDescent="0.15">
      <c r="A217">
        <f t="shared" ref="A217:B217" si="35">A216</f>
        <v>0</v>
      </c>
      <c r="B217">
        <f t="shared" si="35"/>
        <v>1</v>
      </c>
      <c r="C217">
        <f t="shared" si="17"/>
        <v>216</v>
      </c>
      <c r="D217">
        <f t="shared" si="26"/>
        <v>0</v>
      </c>
      <c r="E217" t="str">
        <f>VLOOKUP(D217,name!A:B,2,1)</f>
        <v>Player</v>
      </c>
      <c r="F217">
        <f t="shared" si="27"/>
        <v>0</v>
      </c>
      <c r="G217" t="str">
        <f t="shared" si="19"/>
        <v>q</v>
      </c>
      <c r="H217" t="str">
        <f>VLOOKUP(D217,name!A:C,3,1)</f>
        <v>assets/icons/image326.png</v>
      </c>
      <c r="I217" t="s">
        <v>403</v>
      </c>
    </row>
    <row r="218" spans="1:9" x14ac:dyDescent="0.15">
      <c r="A218">
        <f t="shared" ref="A218:B218" si="36">A217</f>
        <v>0</v>
      </c>
      <c r="B218">
        <f t="shared" si="36"/>
        <v>1</v>
      </c>
      <c r="C218">
        <f t="shared" si="17"/>
        <v>217</v>
      </c>
      <c r="D218">
        <v>0</v>
      </c>
      <c r="E218" t="str">
        <f>VLOOKUP(D218,name!A:B,2,1)</f>
        <v>Player</v>
      </c>
      <c r="F218">
        <f t="shared" si="27"/>
        <v>0</v>
      </c>
      <c r="G218" t="str">
        <f t="shared" si="19"/>
        <v>q</v>
      </c>
      <c r="H218" t="str">
        <f>VLOOKUP(D218,name!A:C,3,1)</f>
        <v>assets/icons/image326.png</v>
      </c>
      <c r="I218" t="e">
        <f>IF(A218="","",VLOOKUP(A218,lng!A:B,2,0))</f>
        <v>#N/A</v>
      </c>
    </row>
    <row r="219" spans="1:9" x14ac:dyDescent="0.15">
      <c r="A219">
        <f t="shared" ref="A219:B219" si="37">A218</f>
        <v>0</v>
      </c>
      <c r="B219">
        <f t="shared" si="37"/>
        <v>1</v>
      </c>
      <c r="C219">
        <f t="shared" si="17"/>
        <v>218</v>
      </c>
      <c r="D219">
        <f t="shared" si="26"/>
        <v>0</v>
      </c>
      <c r="E219" t="str">
        <f>VLOOKUP(D219,name!A:B,2,1)</f>
        <v>Player</v>
      </c>
      <c r="F219">
        <f t="shared" si="27"/>
        <v>0</v>
      </c>
      <c r="G219" t="str">
        <f t="shared" si="19"/>
        <v>q</v>
      </c>
      <c r="H219" t="str">
        <f>VLOOKUP(D219,name!A:C,3,1)</f>
        <v>assets/icons/image326.png</v>
      </c>
      <c r="I219" t="s">
        <v>403</v>
      </c>
    </row>
    <row r="220" spans="1:9" x14ac:dyDescent="0.15">
      <c r="A220">
        <f t="shared" ref="A220:B220" si="38">A219</f>
        <v>0</v>
      </c>
      <c r="B220">
        <f t="shared" si="38"/>
        <v>1</v>
      </c>
      <c r="C220">
        <f t="shared" si="17"/>
        <v>219</v>
      </c>
      <c r="D220">
        <v>0</v>
      </c>
      <c r="E220" t="str">
        <f>VLOOKUP(D220,name!A:B,2,1)</f>
        <v>Player</v>
      </c>
      <c r="F220">
        <f t="shared" si="27"/>
        <v>0</v>
      </c>
      <c r="G220" t="str">
        <f t="shared" si="19"/>
        <v>q</v>
      </c>
      <c r="H220" t="str">
        <f>VLOOKUP(D220,name!A:C,3,1)</f>
        <v>assets/icons/image326.png</v>
      </c>
      <c r="I220" t="e">
        <f>IF(A220="","",VLOOKUP(A220,lng!A:B,2,0))</f>
        <v>#N/A</v>
      </c>
    </row>
    <row r="221" spans="1:9" x14ac:dyDescent="0.15">
      <c r="A221">
        <f t="shared" ref="A221:B221" si="39">A220</f>
        <v>0</v>
      </c>
      <c r="B221">
        <f t="shared" si="39"/>
        <v>1</v>
      </c>
      <c r="C221">
        <f t="shared" si="17"/>
        <v>220</v>
      </c>
      <c r="D221">
        <f t="shared" si="26"/>
        <v>0</v>
      </c>
      <c r="E221" t="str">
        <f>VLOOKUP(D221,name!A:B,2,1)</f>
        <v>Player</v>
      </c>
      <c r="F221">
        <f t="shared" si="27"/>
        <v>0</v>
      </c>
      <c r="G221" t="str">
        <f t="shared" si="19"/>
        <v>q</v>
      </c>
      <c r="H221" t="str">
        <f>VLOOKUP(D221,name!A:C,3,1)</f>
        <v>assets/icons/image326.png</v>
      </c>
      <c r="I221" t="s">
        <v>403</v>
      </c>
    </row>
    <row r="222" spans="1:9" x14ac:dyDescent="0.15">
      <c r="A222">
        <f t="shared" ref="A222:B222" si="40">A221</f>
        <v>0</v>
      </c>
      <c r="B222">
        <f t="shared" si="40"/>
        <v>1</v>
      </c>
      <c r="C222">
        <f t="shared" si="17"/>
        <v>221</v>
      </c>
      <c r="D222">
        <v>0</v>
      </c>
      <c r="E222" t="str">
        <f>VLOOKUP(D222,name!A:B,2,1)</f>
        <v>Player</v>
      </c>
      <c r="F222">
        <f t="shared" si="27"/>
        <v>0</v>
      </c>
      <c r="G222" t="str">
        <f t="shared" si="19"/>
        <v>q</v>
      </c>
      <c r="H222" t="str">
        <f>VLOOKUP(D222,name!A:C,3,1)</f>
        <v>assets/icons/image326.png</v>
      </c>
      <c r="I222" t="e">
        <f>IF(A222="","",VLOOKUP(A222,lng!A:B,2,0))</f>
        <v>#N/A</v>
      </c>
    </row>
    <row r="223" spans="1:9" x14ac:dyDescent="0.15">
      <c r="A223">
        <f t="shared" ref="A223:B223" si="41">A222</f>
        <v>0</v>
      </c>
      <c r="B223">
        <f t="shared" si="41"/>
        <v>1</v>
      </c>
      <c r="C223">
        <f t="shared" si="17"/>
        <v>222</v>
      </c>
      <c r="D223">
        <f t="shared" si="26"/>
        <v>0</v>
      </c>
      <c r="E223" t="str">
        <f>VLOOKUP(D223,name!A:B,2,1)</f>
        <v>Player</v>
      </c>
      <c r="F223">
        <f t="shared" si="27"/>
        <v>0</v>
      </c>
      <c r="G223" t="str">
        <f t="shared" si="19"/>
        <v>q</v>
      </c>
      <c r="H223" t="str">
        <f>VLOOKUP(D223,name!A:C,3,1)</f>
        <v>assets/icons/image326.png</v>
      </c>
      <c r="I223" t="s">
        <v>403</v>
      </c>
    </row>
    <row r="224" spans="1:9" x14ac:dyDescent="0.15">
      <c r="A224">
        <f t="shared" ref="A224:B224" si="42">A223</f>
        <v>0</v>
      </c>
      <c r="B224">
        <f t="shared" si="42"/>
        <v>1</v>
      </c>
      <c r="C224">
        <f t="shared" si="17"/>
        <v>223</v>
      </c>
      <c r="D224">
        <v>0</v>
      </c>
      <c r="E224" t="str">
        <f>VLOOKUP(D224,name!A:B,2,1)</f>
        <v>Player</v>
      </c>
      <c r="F224">
        <f t="shared" si="27"/>
        <v>0</v>
      </c>
      <c r="G224" t="str">
        <f t="shared" si="19"/>
        <v>q</v>
      </c>
      <c r="H224" t="str">
        <f>VLOOKUP(D224,name!A:C,3,1)</f>
        <v>assets/icons/image326.png</v>
      </c>
      <c r="I224" t="e">
        <f>IF(A224="","",VLOOKUP(A224,lng!A:B,2,0))</f>
        <v>#N/A</v>
      </c>
    </row>
    <row r="225" spans="1:9" x14ac:dyDescent="0.15">
      <c r="A225">
        <f t="shared" ref="A225:B225" si="43">A224</f>
        <v>0</v>
      </c>
      <c r="B225">
        <f t="shared" si="43"/>
        <v>1</v>
      </c>
      <c r="C225">
        <f t="shared" si="17"/>
        <v>224</v>
      </c>
      <c r="D225">
        <f t="shared" si="26"/>
        <v>0</v>
      </c>
      <c r="E225" t="str">
        <f>VLOOKUP(D225,name!A:B,2,1)</f>
        <v>Player</v>
      </c>
      <c r="F225">
        <f t="shared" si="27"/>
        <v>0</v>
      </c>
      <c r="G225" t="str">
        <f t="shared" si="19"/>
        <v>q</v>
      </c>
      <c r="H225" t="str">
        <f>VLOOKUP(D225,name!A:C,3,1)</f>
        <v>assets/icons/image326.png</v>
      </c>
      <c r="I225" t="s">
        <v>403</v>
      </c>
    </row>
    <row r="226" spans="1:9" x14ac:dyDescent="0.15">
      <c r="A226">
        <f t="shared" ref="A226:B226" si="44">A225</f>
        <v>0</v>
      </c>
      <c r="B226">
        <f t="shared" si="44"/>
        <v>1</v>
      </c>
      <c r="C226">
        <f t="shared" si="17"/>
        <v>225</v>
      </c>
      <c r="D226">
        <v>0</v>
      </c>
      <c r="E226" t="str">
        <f>VLOOKUP(D226,name!A:B,2,1)</f>
        <v>Player</v>
      </c>
      <c r="F226">
        <f t="shared" si="27"/>
        <v>0</v>
      </c>
      <c r="G226" t="str">
        <f t="shared" si="19"/>
        <v>q</v>
      </c>
      <c r="H226" t="str">
        <f>VLOOKUP(D226,name!A:C,3,1)</f>
        <v>assets/icons/image326.png</v>
      </c>
      <c r="I226" t="e">
        <f>IF(A226="","",VLOOKUP(A226,lng!A:B,2,0))</f>
        <v>#N/A</v>
      </c>
    </row>
    <row r="227" spans="1:9" x14ac:dyDescent="0.15">
      <c r="A227">
        <f t="shared" ref="A227:B227" si="45">A226</f>
        <v>0</v>
      </c>
      <c r="B227">
        <f t="shared" si="45"/>
        <v>1</v>
      </c>
      <c r="C227">
        <f t="shared" si="17"/>
        <v>226</v>
      </c>
      <c r="D227">
        <f t="shared" si="26"/>
        <v>0</v>
      </c>
      <c r="E227" t="str">
        <f>VLOOKUP(D227,name!A:B,2,1)</f>
        <v>Player</v>
      </c>
      <c r="F227">
        <f t="shared" si="27"/>
        <v>0</v>
      </c>
      <c r="G227" t="str">
        <f t="shared" si="19"/>
        <v>q</v>
      </c>
      <c r="H227" t="str">
        <f>VLOOKUP(D227,name!A:C,3,1)</f>
        <v>assets/icons/image326.png</v>
      </c>
      <c r="I227" t="s">
        <v>403</v>
      </c>
    </row>
    <row r="228" spans="1:9" x14ac:dyDescent="0.15">
      <c r="A228">
        <f t="shared" ref="A228:B228" si="46">A227</f>
        <v>0</v>
      </c>
      <c r="B228">
        <f t="shared" si="46"/>
        <v>1</v>
      </c>
      <c r="C228">
        <f t="shared" si="17"/>
        <v>227</v>
      </c>
      <c r="D228">
        <v>0</v>
      </c>
      <c r="E228" t="str">
        <f>VLOOKUP(D228,name!A:B,2,1)</f>
        <v>Player</v>
      </c>
      <c r="F228">
        <f t="shared" si="27"/>
        <v>0</v>
      </c>
      <c r="G228" t="str">
        <f t="shared" si="19"/>
        <v>q</v>
      </c>
      <c r="H228" t="str">
        <f>VLOOKUP(D228,name!A:C,3,1)</f>
        <v>assets/icons/image326.png</v>
      </c>
      <c r="I228" t="e">
        <f>IF(A228="","",VLOOKUP(A228,lng!A:B,2,0))</f>
        <v>#N/A</v>
      </c>
    </row>
    <row r="229" spans="1:9" x14ac:dyDescent="0.15">
      <c r="A229">
        <f t="shared" ref="A229:B229" si="47">A228</f>
        <v>0</v>
      </c>
      <c r="B229">
        <f t="shared" si="47"/>
        <v>1</v>
      </c>
      <c r="C229">
        <f t="shared" si="17"/>
        <v>228</v>
      </c>
      <c r="D229">
        <f t="shared" si="26"/>
        <v>0</v>
      </c>
      <c r="E229" t="str">
        <f>VLOOKUP(D229,name!A:B,2,1)</f>
        <v>Player</v>
      </c>
      <c r="F229">
        <f t="shared" si="27"/>
        <v>0</v>
      </c>
      <c r="G229" t="str">
        <f t="shared" si="19"/>
        <v>q</v>
      </c>
      <c r="H229" t="str">
        <f>VLOOKUP(D229,name!A:C,3,1)</f>
        <v>assets/icons/image326.png</v>
      </c>
      <c r="I229" t="s">
        <v>403</v>
      </c>
    </row>
    <row r="230" spans="1:9" x14ac:dyDescent="0.15">
      <c r="A230">
        <f t="shared" ref="A230:B230" si="48">A229</f>
        <v>0</v>
      </c>
      <c r="B230">
        <f t="shared" si="48"/>
        <v>1</v>
      </c>
      <c r="C230">
        <f t="shared" si="17"/>
        <v>229</v>
      </c>
      <c r="D230">
        <v>0</v>
      </c>
      <c r="E230" t="str">
        <f>VLOOKUP(D230,name!A:B,2,1)</f>
        <v>Player</v>
      </c>
      <c r="F230">
        <f t="shared" si="27"/>
        <v>0</v>
      </c>
      <c r="G230" t="str">
        <f t="shared" si="19"/>
        <v>q</v>
      </c>
      <c r="H230" t="str">
        <f>VLOOKUP(D230,name!A:C,3,1)</f>
        <v>assets/icons/image326.png</v>
      </c>
      <c r="I230" t="e">
        <f>IF(A230="","",VLOOKUP(A230,lng!A:B,2,0))</f>
        <v>#N/A</v>
      </c>
    </row>
    <row r="231" spans="1:9" x14ac:dyDescent="0.15">
      <c r="A231">
        <f t="shared" ref="A231:B231" si="49">A230</f>
        <v>0</v>
      </c>
      <c r="B231">
        <f t="shared" si="49"/>
        <v>1</v>
      </c>
      <c r="C231">
        <f t="shared" si="17"/>
        <v>230</v>
      </c>
      <c r="D231">
        <f t="shared" si="26"/>
        <v>0</v>
      </c>
      <c r="E231" t="str">
        <f>VLOOKUP(D231,name!A:B,2,1)</f>
        <v>Player</v>
      </c>
      <c r="F231">
        <f t="shared" si="27"/>
        <v>0</v>
      </c>
      <c r="G231" t="str">
        <f t="shared" si="19"/>
        <v>q</v>
      </c>
      <c r="H231" t="str">
        <f>VLOOKUP(D231,name!A:C,3,1)</f>
        <v>assets/icons/image326.png</v>
      </c>
      <c r="I231" t="s">
        <v>403</v>
      </c>
    </row>
    <row r="232" spans="1:9" x14ac:dyDescent="0.15">
      <c r="A232">
        <f t="shared" ref="A232:B232" si="50">A231</f>
        <v>0</v>
      </c>
      <c r="B232">
        <f t="shared" si="50"/>
        <v>1</v>
      </c>
      <c r="C232">
        <f t="shared" si="17"/>
        <v>231</v>
      </c>
      <c r="D232">
        <v>0</v>
      </c>
      <c r="E232" t="str">
        <f>VLOOKUP(D232,name!A:B,2,1)</f>
        <v>Player</v>
      </c>
      <c r="F232">
        <f t="shared" si="27"/>
        <v>0</v>
      </c>
      <c r="G232" t="str">
        <f t="shared" si="19"/>
        <v>q</v>
      </c>
      <c r="H232" t="str">
        <f>VLOOKUP(D232,name!A:C,3,1)</f>
        <v>assets/icons/image326.png</v>
      </c>
      <c r="I232" t="e">
        <f>IF(A232="","",VLOOKUP(A232,lng!A:B,2,0))</f>
        <v>#N/A</v>
      </c>
    </row>
    <row r="233" spans="1:9" x14ac:dyDescent="0.15">
      <c r="A233">
        <f t="shared" ref="A233:B233" si="51">A232</f>
        <v>0</v>
      </c>
      <c r="B233">
        <f t="shared" si="51"/>
        <v>1</v>
      </c>
      <c r="C233">
        <f t="shared" si="17"/>
        <v>232</v>
      </c>
      <c r="D233">
        <f t="shared" si="26"/>
        <v>0</v>
      </c>
      <c r="E233" t="str">
        <f>VLOOKUP(D233,name!A:B,2,1)</f>
        <v>Player</v>
      </c>
      <c r="F233">
        <f t="shared" si="27"/>
        <v>0</v>
      </c>
      <c r="G233" t="str">
        <f t="shared" si="19"/>
        <v>q</v>
      </c>
      <c r="H233" t="str">
        <f>VLOOKUP(D233,name!A:C,3,1)</f>
        <v>assets/icons/image326.png</v>
      </c>
      <c r="I233" t="s">
        <v>403</v>
      </c>
    </row>
    <row r="234" spans="1:9" x14ac:dyDescent="0.15">
      <c r="A234">
        <f t="shared" ref="A234:B234" si="52">A233</f>
        <v>0</v>
      </c>
      <c r="B234">
        <f t="shared" si="52"/>
        <v>1</v>
      </c>
      <c r="C234">
        <f t="shared" si="17"/>
        <v>233</v>
      </c>
      <c r="D234">
        <v>0</v>
      </c>
      <c r="E234" t="str">
        <f>VLOOKUP(D234,name!A:B,2,1)</f>
        <v>Player</v>
      </c>
      <c r="F234">
        <f t="shared" si="27"/>
        <v>0</v>
      </c>
      <c r="G234" t="str">
        <f t="shared" si="19"/>
        <v>q</v>
      </c>
      <c r="H234" t="str">
        <f>VLOOKUP(D234,name!A:C,3,1)</f>
        <v>assets/icons/image326.png</v>
      </c>
      <c r="I234" t="e">
        <f>IF(A234="","",VLOOKUP(A234,lng!A:B,2,0))</f>
        <v>#N/A</v>
      </c>
    </row>
    <row r="235" spans="1:9" x14ac:dyDescent="0.15">
      <c r="A235">
        <f t="shared" ref="A235:B235" si="53">A234</f>
        <v>0</v>
      </c>
      <c r="B235">
        <f t="shared" si="53"/>
        <v>1</v>
      </c>
      <c r="C235">
        <f t="shared" ref="C235:C287" si="54">C234+1</f>
        <v>234</v>
      </c>
      <c r="D235">
        <f t="shared" si="26"/>
        <v>0</v>
      </c>
      <c r="E235" t="str">
        <f>VLOOKUP(D235,name!A:B,2,1)</f>
        <v>Player</v>
      </c>
      <c r="F235">
        <f t="shared" si="27"/>
        <v>0</v>
      </c>
      <c r="G235" t="str">
        <f t="shared" si="19"/>
        <v>q</v>
      </c>
      <c r="H235" t="str">
        <f>VLOOKUP(D235,name!A:C,3,1)</f>
        <v>assets/icons/image326.png</v>
      </c>
      <c r="I235" t="s">
        <v>403</v>
      </c>
    </row>
    <row r="236" spans="1:9" x14ac:dyDescent="0.15">
      <c r="A236">
        <f t="shared" ref="A236:B236" si="55">A235</f>
        <v>0</v>
      </c>
      <c r="B236">
        <f t="shared" si="55"/>
        <v>1</v>
      </c>
      <c r="C236">
        <f t="shared" si="54"/>
        <v>235</v>
      </c>
      <c r="D236">
        <v>0</v>
      </c>
      <c r="E236" t="str">
        <f>VLOOKUP(D236,name!A:B,2,1)</f>
        <v>Player</v>
      </c>
      <c r="F236">
        <f t="shared" si="27"/>
        <v>0</v>
      </c>
      <c r="G236" t="str">
        <f t="shared" si="19"/>
        <v>q</v>
      </c>
      <c r="H236" t="str">
        <f>VLOOKUP(D236,name!A:C,3,1)</f>
        <v>assets/icons/image326.png</v>
      </c>
      <c r="I236" t="e">
        <f>IF(A236="","",VLOOKUP(A236,lng!A:B,2,0))</f>
        <v>#N/A</v>
      </c>
    </row>
    <row r="237" spans="1:9" x14ac:dyDescent="0.15">
      <c r="A237">
        <f t="shared" ref="A237:B237" si="56">A236</f>
        <v>0</v>
      </c>
      <c r="B237">
        <f t="shared" si="56"/>
        <v>1</v>
      </c>
      <c r="C237">
        <f t="shared" si="54"/>
        <v>236</v>
      </c>
      <c r="D237">
        <f t="shared" si="26"/>
        <v>0</v>
      </c>
      <c r="E237" t="str">
        <f>VLOOKUP(D237,name!A:B,2,1)</f>
        <v>Player</v>
      </c>
      <c r="F237">
        <f t="shared" si="27"/>
        <v>0</v>
      </c>
      <c r="G237" t="str">
        <f t="shared" si="19"/>
        <v>q</v>
      </c>
      <c r="H237" t="str">
        <f>VLOOKUP(D237,name!A:C,3,1)</f>
        <v>assets/icons/image326.png</v>
      </c>
      <c r="I237" t="s">
        <v>403</v>
      </c>
    </row>
    <row r="238" spans="1:9" x14ac:dyDescent="0.15">
      <c r="A238">
        <f t="shared" ref="A238:B238" si="57">A237</f>
        <v>0</v>
      </c>
      <c r="B238">
        <f t="shared" si="57"/>
        <v>1</v>
      </c>
      <c r="C238">
        <f t="shared" si="54"/>
        <v>237</v>
      </c>
      <c r="D238">
        <v>0</v>
      </c>
      <c r="E238" t="str">
        <f>VLOOKUP(D238,name!A:B,2,1)</f>
        <v>Player</v>
      </c>
      <c r="F238">
        <f t="shared" si="27"/>
        <v>0</v>
      </c>
      <c r="G238" t="str">
        <f t="shared" si="19"/>
        <v>q</v>
      </c>
      <c r="H238" t="str">
        <f>VLOOKUP(D238,name!A:C,3,1)</f>
        <v>assets/icons/image326.png</v>
      </c>
      <c r="I238" t="e">
        <f>IF(A238="","",VLOOKUP(A238,lng!A:B,2,0))</f>
        <v>#N/A</v>
      </c>
    </row>
    <row r="239" spans="1:9" x14ac:dyDescent="0.15">
      <c r="A239">
        <f t="shared" ref="A239:B239" si="58">A238</f>
        <v>0</v>
      </c>
      <c r="B239">
        <f t="shared" si="58"/>
        <v>1</v>
      </c>
      <c r="C239">
        <f t="shared" si="54"/>
        <v>238</v>
      </c>
      <c r="D239">
        <f t="shared" si="26"/>
        <v>0</v>
      </c>
      <c r="E239" t="str">
        <f>VLOOKUP(D239,name!A:B,2,1)</f>
        <v>Player</v>
      </c>
      <c r="F239">
        <f t="shared" si="27"/>
        <v>0</v>
      </c>
      <c r="G239" t="str">
        <f t="shared" si="19"/>
        <v>q</v>
      </c>
      <c r="H239" t="str">
        <f>VLOOKUP(D239,name!A:C,3,1)</f>
        <v>assets/icons/image326.png</v>
      </c>
      <c r="I239" t="s">
        <v>403</v>
      </c>
    </row>
    <row r="240" spans="1:9" x14ac:dyDescent="0.15">
      <c r="A240">
        <f t="shared" ref="A240:B240" si="59">A239</f>
        <v>0</v>
      </c>
      <c r="B240">
        <f t="shared" si="59"/>
        <v>1</v>
      </c>
      <c r="C240">
        <f t="shared" si="54"/>
        <v>239</v>
      </c>
      <c r="D240">
        <v>0</v>
      </c>
      <c r="E240" t="str">
        <f>VLOOKUP(D240,name!A:B,2,1)</f>
        <v>Player</v>
      </c>
      <c r="F240">
        <f t="shared" si="27"/>
        <v>0</v>
      </c>
      <c r="G240" t="str">
        <f t="shared" si="19"/>
        <v>q</v>
      </c>
      <c r="H240" t="str">
        <f>VLOOKUP(D240,name!A:C,3,1)</f>
        <v>assets/icons/image326.png</v>
      </c>
      <c r="I240" t="e">
        <f>IF(A240="","",VLOOKUP(A240,lng!A:B,2,0))</f>
        <v>#N/A</v>
      </c>
    </row>
    <row r="241" spans="1:9" x14ac:dyDescent="0.15">
      <c r="A241">
        <f t="shared" ref="A241:B241" si="60">A240</f>
        <v>0</v>
      </c>
      <c r="B241">
        <f t="shared" si="60"/>
        <v>1</v>
      </c>
      <c r="C241">
        <f t="shared" si="54"/>
        <v>240</v>
      </c>
      <c r="D241">
        <f t="shared" si="26"/>
        <v>0</v>
      </c>
      <c r="E241" t="str">
        <f>VLOOKUP(D241,name!A:B,2,1)</f>
        <v>Player</v>
      </c>
      <c r="F241">
        <f t="shared" si="27"/>
        <v>0</v>
      </c>
      <c r="G241" t="str">
        <f t="shared" si="19"/>
        <v>q</v>
      </c>
      <c r="H241" t="str">
        <f>VLOOKUP(D241,name!A:C,3,1)</f>
        <v>assets/icons/image326.png</v>
      </c>
      <c r="I241" t="s">
        <v>403</v>
      </c>
    </row>
    <row r="242" spans="1:9" x14ac:dyDescent="0.15">
      <c r="A242">
        <f t="shared" ref="A242:B242" si="61">A241</f>
        <v>0</v>
      </c>
      <c r="B242">
        <f t="shared" si="61"/>
        <v>1</v>
      </c>
      <c r="C242">
        <f t="shared" si="54"/>
        <v>241</v>
      </c>
      <c r="D242">
        <v>0</v>
      </c>
      <c r="E242" t="str">
        <f>VLOOKUP(D242,name!A:B,2,1)</f>
        <v>Player</v>
      </c>
      <c r="F242">
        <f t="shared" si="27"/>
        <v>0</v>
      </c>
      <c r="G242" t="str">
        <f t="shared" si="19"/>
        <v>q</v>
      </c>
      <c r="H242" t="str">
        <f>VLOOKUP(D242,name!A:C,3,1)</f>
        <v>assets/icons/image326.png</v>
      </c>
      <c r="I242" t="e">
        <f>IF(A242="","",VLOOKUP(A242,lng!A:B,2,0))</f>
        <v>#N/A</v>
      </c>
    </row>
    <row r="243" spans="1:9" x14ac:dyDescent="0.15">
      <c r="A243">
        <f t="shared" ref="A243:B243" si="62">A242</f>
        <v>0</v>
      </c>
      <c r="B243">
        <f t="shared" si="62"/>
        <v>1</v>
      </c>
      <c r="C243">
        <f t="shared" si="54"/>
        <v>242</v>
      </c>
      <c r="D243">
        <f t="shared" si="26"/>
        <v>0</v>
      </c>
      <c r="E243" t="str">
        <f>VLOOKUP(D243,name!A:B,2,1)</f>
        <v>Player</v>
      </c>
      <c r="F243">
        <f t="shared" si="27"/>
        <v>0</v>
      </c>
      <c r="G243" t="str">
        <f t="shared" si="19"/>
        <v>q</v>
      </c>
      <c r="H243" t="str">
        <f>VLOOKUP(D243,name!A:C,3,1)</f>
        <v>assets/icons/image326.png</v>
      </c>
      <c r="I243" t="s">
        <v>403</v>
      </c>
    </row>
    <row r="244" spans="1:9" x14ac:dyDescent="0.15">
      <c r="A244">
        <f t="shared" ref="A244:B244" si="63">A243</f>
        <v>0</v>
      </c>
      <c r="B244">
        <f t="shared" si="63"/>
        <v>1</v>
      </c>
      <c r="C244">
        <f t="shared" si="54"/>
        <v>243</v>
      </c>
      <c r="D244">
        <v>0</v>
      </c>
      <c r="E244" t="str">
        <f>VLOOKUP(D244,name!A:B,2,1)</f>
        <v>Player</v>
      </c>
      <c r="F244">
        <f t="shared" si="27"/>
        <v>0</v>
      </c>
      <c r="G244" t="str">
        <f t="shared" si="19"/>
        <v>q</v>
      </c>
      <c r="H244" t="str">
        <f>VLOOKUP(D244,name!A:C,3,1)</f>
        <v>assets/icons/image326.png</v>
      </c>
      <c r="I244" t="e">
        <f>IF(A244="","",VLOOKUP(A244,lng!A:B,2,0))</f>
        <v>#N/A</v>
      </c>
    </row>
    <row r="245" spans="1:9" x14ac:dyDescent="0.15">
      <c r="A245">
        <f t="shared" ref="A245:B245" si="64">A244</f>
        <v>0</v>
      </c>
      <c r="B245">
        <f t="shared" si="64"/>
        <v>1</v>
      </c>
      <c r="C245">
        <f t="shared" si="54"/>
        <v>244</v>
      </c>
      <c r="D245">
        <f t="shared" si="26"/>
        <v>0</v>
      </c>
      <c r="E245" t="str">
        <f>VLOOKUP(D245,name!A:B,2,1)</f>
        <v>Player</v>
      </c>
      <c r="F245">
        <f t="shared" si="27"/>
        <v>0</v>
      </c>
      <c r="G245" t="str">
        <f t="shared" si="19"/>
        <v>q</v>
      </c>
      <c r="H245" t="str">
        <f>VLOOKUP(D245,name!A:C,3,1)</f>
        <v>assets/icons/image326.png</v>
      </c>
      <c r="I245" t="s">
        <v>403</v>
      </c>
    </row>
    <row r="246" spans="1:9" x14ac:dyDescent="0.15">
      <c r="A246">
        <f t="shared" ref="A246:B246" si="65">A245</f>
        <v>0</v>
      </c>
      <c r="B246">
        <f t="shared" si="65"/>
        <v>1</v>
      </c>
      <c r="C246">
        <f t="shared" si="54"/>
        <v>245</v>
      </c>
      <c r="D246">
        <v>0</v>
      </c>
      <c r="E246" t="str">
        <f>VLOOKUP(D246,name!A:B,2,1)</f>
        <v>Player</v>
      </c>
      <c r="F246">
        <f t="shared" si="27"/>
        <v>0</v>
      </c>
      <c r="G246" t="str">
        <f t="shared" si="19"/>
        <v>q</v>
      </c>
      <c r="H246" t="str">
        <f>VLOOKUP(D246,name!A:C,3,1)</f>
        <v>assets/icons/image326.png</v>
      </c>
      <c r="I246" t="e">
        <f>IF(A246="","",VLOOKUP(A246,lng!A:B,2,0))</f>
        <v>#N/A</v>
      </c>
    </row>
    <row r="247" spans="1:9" x14ac:dyDescent="0.15">
      <c r="A247">
        <f t="shared" ref="A247:B247" si="66">A246</f>
        <v>0</v>
      </c>
      <c r="B247">
        <f t="shared" si="66"/>
        <v>1</v>
      </c>
      <c r="C247">
        <f t="shared" si="54"/>
        <v>246</v>
      </c>
      <c r="D247">
        <f t="shared" si="26"/>
        <v>0</v>
      </c>
      <c r="E247" t="str">
        <f>VLOOKUP(D247,name!A:B,2,1)</f>
        <v>Player</v>
      </c>
      <c r="F247">
        <f t="shared" si="27"/>
        <v>0</v>
      </c>
      <c r="G247" t="str">
        <f t="shared" si="19"/>
        <v>q</v>
      </c>
      <c r="H247" t="str">
        <f>VLOOKUP(D247,name!A:C,3,1)</f>
        <v>assets/icons/image326.png</v>
      </c>
      <c r="I247" t="s">
        <v>403</v>
      </c>
    </row>
    <row r="248" spans="1:9" x14ac:dyDescent="0.15">
      <c r="A248">
        <f t="shared" ref="A248:B248" si="67">A247</f>
        <v>0</v>
      </c>
      <c r="B248">
        <f t="shared" si="67"/>
        <v>1</v>
      </c>
      <c r="C248">
        <f t="shared" si="54"/>
        <v>247</v>
      </c>
      <c r="D248">
        <v>0</v>
      </c>
      <c r="E248" t="str">
        <f>VLOOKUP(D248,name!A:B,2,1)</f>
        <v>Player</v>
      </c>
      <c r="F248">
        <f t="shared" si="27"/>
        <v>0</v>
      </c>
      <c r="G248" t="str">
        <f t="shared" si="19"/>
        <v>q</v>
      </c>
      <c r="H248" t="str">
        <f>VLOOKUP(D248,name!A:C,3,1)</f>
        <v>assets/icons/image326.png</v>
      </c>
      <c r="I248" t="e">
        <f>IF(A248="","",VLOOKUP(A248,lng!A:B,2,0))</f>
        <v>#N/A</v>
      </c>
    </row>
    <row r="249" spans="1:9" x14ac:dyDescent="0.15">
      <c r="A249">
        <f t="shared" ref="A249:B249" si="68">A248</f>
        <v>0</v>
      </c>
      <c r="B249">
        <f t="shared" si="68"/>
        <v>1</v>
      </c>
      <c r="C249">
        <f t="shared" si="54"/>
        <v>248</v>
      </c>
      <c r="D249">
        <f t="shared" si="26"/>
        <v>0</v>
      </c>
      <c r="E249" t="str">
        <f>VLOOKUP(D249,name!A:B,2,1)</f>
        <v>Player</v>
      </c>
      <c r="F249">
        <f t="shared" si="27"/>
        <v>0</v>
      </c>
      <c r="G249" t="str">
        <f t="shared" si="19"/>
        <v>q</v>
      </c>
      <c r="H249" t="str">
        <f>VLOOKUP(D249,name!A:C,3,1)</f>
        <v>assets/icons/image326.png</v>
      </c>
      <c r="I249" t="s">
        <v>403</v>
      </c>
    </row>
    <row r="250" spans="1:9" x14ac:dyDescent="0.15">
      <c r="A250">
        <f t="shared" ref="A250:B250" si="69">A249</f>
        <v>0</v>
      </c>
      <c r="B250">
        <f t="shared" si="69"/>
        <v>1</v>
      </c>
      <c r="C250">
        <f t="shared" si="54"/>
        <v>249</v>
      </c>
      <c r="D250">
        <v>0</v>
      </c>
      <c r="E250" t="str">
        <f>VLOOKUP(D250,name!A:B,2,1)</f>
        <v>Player</v>
      </c>
      <c r="F250">
        <f t="shared" si="27"/>
        <v>0</v>
      </c>
      <c r="G250" t="str">
        <f t="shared" si="19"/>
        <v>q</v>
      </c>
      <c r="H250" t="str">
        <f>VLOOKUP(D250,name!A:C,3,1)</f>
        <v>assets/icons/image326.png</v>
      </c>
      <c r="I250" t="e">
        <f>IF(A250="","",VLOOKUP(A250,lng!A:B,2,0))</f>
        <v>#N/A</v>
      </c>
    </row>
    <row r="251" spans="1:9" x14ac:dyDescent="0.15">
      <c r="A251">
        <f t="shared" ref="A251:B251" si="70">A250</f>
        <v>0</v>
      </c>
      <c r="B251">
        <f t="shared" si="70"/>
        <v>1</v>
      </c>
      <c r="C251">
        <f t="shared" si="54"/>
        <v>250</v>
      </c>
      <c r="D251">
        <f t="shared" si="26"/>
        <v>0</v>
      </c>
      <c r="E251" t="str">
        <f>VLOOKUP(D251,name!A:B,2,1)</f>
        <v>Player</v>
      </c>
      <c r="F251">
        <f t="shared" si="27"/>
        <v>0</v>
      </c>
      <c r="G251" t="str">
        <f t="shared" ref="G251:G286" si="71">IF(B251&lt;&gt;B252,"e",IF(D251=0,"q","a"))</f>
        <v>q</v>
      </c>
      <c r="H251" t="str">
        <f>VLOOKUP(D251,name!A:C,3,1)</f>
        <v>assets/icons/image326.png</v>
      </c>
      <c r="I251" t="s">
        <v>403</v>
      </c>
    </row>
    <row r="252" spans="1:9" x14ac:dyDescent="0.15">
      <c r="A252">
        <f t="shared" ref="A252:B252" si="72">A251</f>
        <v>0</v>
      </c>
      <c r="B252">
        <f t="shared" si="72"/>
        <v>1</v>
      </c>
      <c r="C252">
        <f t="shared" si="54"/>
        <v>251</v>
      </c>
      <c r="D252">
        <v>0</v>
      </c>
      <c r="E252" t="str">
        <f>VLOOKUP(D252,name!A:B,2,1)</f>
        <v>Player</v>
      </c>
      <c r="F252">
        <f t="shared" si="27"/>
        <v>0</v>
      </c>
      <c r="G252" t="str">
        <f t="shared" si="71"/>
        <v>q</v>
      </c>
      <c r="H252" t="str">
        <f>VLOOKUP(D252,name!A:C,3,1)</f>
        <v>assets/icons/image326.png</v>
      </c>
      <c r="I252" t="e">
        <f>IF(A252="","",VLOOKUP(A252,lng!A:B,2,0))</f>
        <v>#N/A</v>
      </c>
    </row>
    <row r="253" spans="1:9" x14ac:dyDescent="0.15">
      <c r="A253">
        <f t="shared" ref="A253:B253" si="73">A252</f>
        <v>0</v>
      </c>
      <c r="B253">
        <f t="shared" si="73"/>
        <v>1</v>
      </c>
      <c r="C253">
        <f t="shared" si="54"/>
        <v>252</v>
      </c>
      <c r="D253">
        <f t="shared" si="26"/>
        <v>0</v>
      </c>
      <c r="E253" t="str">
        <f>VLOOKUP(D253,name!A:B,2,1)</f>
        <v>Player</v>
      </c>
      <c r="F253">
        <f t="shared" si="27"/>
        <v>0</v>
      </c>
      <c r="G253" t="str">
        <f t="shared" si="71"/>
        <v>q</v>
      </c>
      <c r="H253" t="str">
        <f>VLOOKUP(D253,name!A:C,3,1)</f>
        <v>assets/icons/image326.png</v>
      </c>
      <c r="I253" t="s">
        <v>403</v>
      </c>
    </row>
    <row r="254" spans="1:9" x14ac:dyDescent="0.15">
      <c r="A254">
        <f t="shared" ref="A254:B254" si="74">A253</f>
        <v>0</v>
      </c>
      <c r="B254">
        <f t="shared" si="74"/>
        <v>1</v>
      </c>
      <c r="C254">
        <f t="shared" si="54"/>
        <v>253</v>
      </c>
      <c r="D254">
        <v>0</v>
      </c>
      <c r="E254" t="str">
        <f>VLOOKUP(D254,name!A:B,2,1)</f>
        <v>Player</v>
      </c>
      <c r="F254">
        <f t="shared" si="27"/>
        <v>0</v>
      </c>
      <c r="G254" t="str">
        <f t="shared" si="71"/>
        <v>q</v>
      </c>
      <c r="H254" t="str">
        <f>VLOOKUP(D254,name!A:C,3,1)</f>
        <v>assets/icons/image326.png</v>
      </c>
      <c r="I254" t="e">
        <f>IF(A254="","",VLOOKUP(A254,lng!A:B,2,0))</f>
        <v>#N/A</v>
      </c>
    </row>
    <row r="255" spans="1:9" x14ac:dyDescent="0.15">
      <c r="A255">
        <f t="shared" ref="A255:B255" si="75">A254</f>
        <v>0</v>
      </c>
      <c r="B255">
        <f t="shared" si="75"/>
        <v>1</v>
      </c>
      <c r="C255">
        <f t="shared" si="54"/>
        <v>254</v>
      </c>
      <c r="D255">
        <f t="shared" si="26"/>
        <v>0</v>
      </c>
      <c r="E255" t="str">
        <f>VLOOKUP(D255,name!A:B,2,1)</f>
        <v>Player</v>
      </c>
      <c r="F255">
        <f t="shared" si="27"/>
        <v>0</v>
      </c>
      <c r="G255" t="str">
        <f t="shared" si="71"/>
        <v>q</v>
      </c>
      <c r="H255" t="str">
        <f>VLOOKUP(D255,name!A:C,3,1)</f>
        <v>assets/icons/image326.png</v>
      </c>
      <c r="I255" t="s">
        <v>403</v>
      </c>
    </row>
    <row r="256" spans="1:9" x14ac:dyDescent="0.15">
      <c r="A256">
        <f t="shared" ref="A256:B256" si="76">A255</f>
        <v>0</v>
      </c>
      <c r="B256">
        <f t="shared" si="76"/>
        <v>1</v>
      </c>
      <c r="C256">
        <f t="shared" si="54"/>
        <v>255</v>
      </c>
      <c r="D256">
        <v>0</v>
      </c>
      <c r="E256" t="str">
        <f>VLOOKUP(D256,name!A:B,2,1)</f>
        <v>Player</v>
      </c>
      <c r="F256">
        <f t="shared" si="27"/>
        <v>0</v>
      </c>
      <c r="G256" t="str">
        <f t="shared" si="71"/>
        <v>q</v>
      </c>
      <c r="H256" t="str">
        <f>VLOOKUP(D256,name!A:C,3,1)</f>
        <v>assets/icons/image326.png</v>
      </c>
      <c r="I256" t="e">
        <f>IF(A256="","",VLOOKUP(A256,lng!A:B,2,0))</f>
        <v>#N/A</v>
      </c>
    </row>
    <row r="257" spans="1:9" x14ac:dyDescent="0.15">
      <c r="A257">
        <f t="shared" ref="A257:B257" si="77">A256</f>
        <v>0</v>
      </c>
      <c r="B257">
        <f t="shared" si="77"/>
        <v>1</v>
      </c>
      <c r="C257">
        <f t="shared" si="54"/>
        <v>256</v>
      </c>
      <c r="D257">
        <f t="shared" si="26"/>
        <v>0</v>
      </c>
      <c r="E257" t="str">
        <f>VLOOKUP(D257,name!A:B,2,1)</f>
        <v>Player</v>
      </c>
      <c r="F257">
        <f t="shared" si="27"/>
        <v>0</v>
      </c>
      <c r="G257" t="str">
        <f t="shared" si="71"/>
        <v>q</v>
      </c>
      <c r="H257" t="str">
        <f>VLOOKUP(D257,name!A:C,3,1)</f>
        <v>assets/icons/image326.png</v>
      </c>
      <c r="I257" t="s">
        <v>403</v>
      </c>
    </row>
    <row r="258" spans="1:9" x14ac:dyDescent="0.15">
      <c r="A258">
        <f t="shared" ref="A258:B258" si="78">A257</f>
        <v>0</v>
      </c>
      <c r="B258">
        <f t="shared" si="78"/>
        <v>1</v>
      </c>
      <c r="C258">
        <f t="shared" si="54"/>
        <v>257</v>
      </c>
      <c r="D258">
        <v>0</v>
      </c>
      <c r="E258" t="str">
        <f>VLOOKUP(D258,name!A:B,2,1)</f>
        <v>Player</v>
      </c>
      <c r="F258">
        <f t="shared" si="27"/>
        <v>0</v>
      </c>
      <c r="G258" t="str">
        <f t="shared" si="71"/>
        <v>q</v>
      </c>
      <c r="H258" t="str">
        <f>VLOOKUP(D258,name!A:C,3,1)</f>
        <v>assets/icons/image326.png</v>
      </c>
      <c r="I258" t="e">
        <f>IF(A258="","",VLOOKUP(A258,lng!A:B,2,0))</f>
        <v>#N/A</v>
      </c>
    </row>
    <row r="259" spans="1:9" x14ac:dyDescent="0.15">
      <c r="A259">
        <f t="shared" ref="A259:B259" si="79">A258</f>
        <v>0</v>
      </c>
      <c r="B259">
        <f t="shared" si="79"/>
        <v>1</v>
      </c>
      <c r="C259">
        <f t="shared" si="54"/>
        <v>258</v>
      </c>
      <c r="D259">
        <f t="shared" si="26"/>
        <v>0</v>
      </c>
      <c r="E259" t="str">
        <f>VLOOKUP(D259,name!A:B,2,1)</f>
        <v>Player</v>
      </c>
      <c r="F259">
        <f t="shared" si="27"/>
        <v>0</v>
      </c>
      <c r="G259" t="str">
        <f t="shared" si="71"/>
        <v>q</v>
      </c>
      <c r="H259" t="str">
        <f>VLOOKUP(D259,name!A:C,3,1)</f>
        <v>assets/icons/image326.png</v>
      </c>
      <c r="I259" t="s">
        <v>403</v>
      </c>
    </row>
    <row r="260" spans="1:9" x14ac:dyDescent="0.15">
      <c r="A260">
        <f t="shared" ref="A260:B260" si="80">A259</f>
        <v>0</v>
      </c>
      <c r="B260">
        <f t="shared" si="80"/>
        <v>1</v>
      </c>
      <c r="C260">
        <f t="shared" si="54"/>
        <v>259</v>
      </c>
      <c r="D260">
        <v>0</v>
      </c>
      <c r="E260" t="str">
        <f>VLOOKUP(D260,name!A:B,2,1)</f>
        <v>Player</v>
      </c>
      <c r="F260">
        <f t="shared" si="27"/>
        <v>0</v>
      </c>
      <c r="G260" t="str">
        <f t="shared" si="71"/>
        <v>q</v>
      </c>
      <c r="H260" t="str">
        <f>VLOOKUP(D260,name!A:C,3,1)</f>
        <v>assets/icons/image326.png</v>
      </c>
      <c r="I260" t="e">
        <f>IF(A260="","",VLOOKUP(A260,lng!A:B,2,0))</f>
        <v>#N/A</v>
      </c>
    </row>
    <row r="261" spans="1:9" x14ac:dyDescent="0.15">
      <c r="A261">
        <f t="shared" ref="A261:B261" si="81">A260</f>
        <v>0</v>
      </c>
      <c r="B261">
        <f t="shared" si="81"/>
        <v>1</v>
      </c>
      <c r="C261">
        <f t="shared" si="54"/>
        <v>260</v>
      </c>
      <c r="D261">
        <f t="shared" si="26"/>
        <v>0</v>
      </c>
      <c r="E261" t="str">
        <f>VLOOKUP(D261,name!A:B,2,1)</f>
        <v>Player</v>
      </c>
      <c r="F261">
        <f t="shared" si="27"/>
        <v>0</v>
      </c>
      <c r="G261" t="str">
        <f t="shared" si="71"/>
        <v>q</v>
      </c>
      <c r="H261" t="str">
        <f>VLOOKUP(D261,name!A:C,3,1)</f>
        <v>assets/icons/image326.png</v>
      </c>
      <c r="I261" t="s">
        <v>403</v>
      </c>
    </row>
    <row r="262" spans="1:9" x14ac:dyDescent="0.15">
      <c r="A262">
        <f t="shared" ref="A262:B262" si="82">A261</f>
        <v>0</v>
      </c>
      <c r="B262">
        <f t="shared" si="82"/>
        <v>1</v>
      </c>
      <c r="C262">
        <f t="shared" si="54"/>
        <v>261</v>
      </c>
      <c r="D262">
        <v>0</v>
      </c>
      <c r="E262" t="str">
        <f>VLOOKUP(D262,name!A:B,2,1)</f>
        <v>Player</v>
      </c>
      <c r="F262">
        <f t="shared" si="27"/>
        <v>0</v>
      </c>
      <c r="G262" t="str">
        <f t="shared" si="71"/>
        <v>q</v>
      </c>
      <c r="H262" t="str">
        <f>VLOOKUP(D262,name!A:C,3,1)</f>
        <v>assets/icons/image326.png</v>
      </c>
      <c r="I262" t="e">
        <f>IF(A262="","",VLOOKUP(A262,lng!A:B,2,0))</f>
        <v>#N/A</v>
      </c>
    </row>
    <row r="263" spans="1:9" x14ac:dyDescent="0.15">
      <c r="A263">
        <f t="shared" ref="A263:B263" si="83">A262</f>
        <v>0</v>
      </c>
      <c r="B263">
        <f t="shared" si="83"/>
        <v>1</v>
      </c>
      <c r="C263">
        <f t="shared" si="54"/>
        <v>262</v>
      </c>
      <c r="D263">
        <f t="shared" si="26"/>
        <v>0</v>
      </c>
      <c r="E263" t="str">
        <f>VLOOKUP(D263,name!A:B,2,1)</f>
        <v>Player</v>
      </c>
      <c r="F263">
        <f t="shared" si="27"/>
        <v>0</v>
      </c>
      <c r="G263" t="str">
        <f t="shared" si="71"/>
        <v>q</v>
      </c>
      <c r="H263" t="str">
        <f>VLOOKUP(D263,name!A:C,3,1)</f>
        <v>assets/icons/image326.png</v>
      </c>
      <c r="I263" t="s">
        <v>403</v>
      </c>
    </row>
    <row r="264" spans="1:9" x14ac:dyDescent="0.15">
      <c r="A264">
        <f t="shared" ref="A264:B264" si="84">A263</f>
        <v>0</v>
      </c>
      <c r="B264">
        <f t="shared" si="84"/>
        <v>1</v>
      </c>
      <c r="C264">
        <f t="shared" si="54"/>
        <v>263</v>
      </c>
      <c r="D264">
        <v>0</v>
      </c>
      <c r="E264" t="str">
        <f>VLOOKUP(D264,name!A:B,2,1)</f>
        <v>Player</v>
      </c>
      <c r="F264">
        <f t="shared" si="27"/>
        <v>0</v>
      </c>
      <c r="G264" t="str">
        <f t="shared" si="71"/>
        <v>q</v>
      </c>
      <c r="H264" t="str">
        <f>VLOOKUP(D264,name!A:C,3,1)</f>
        <v>assets/icons/image326.png</v>
      </c>
      <c r="I264" t="e">
        <f>IF(A264="","",VLOOKUP(A264,lng!A:B,2,0))</f>
        <v>#N/A</v>
      </c>
    </row>
    <row r="265" spans="1:9" x14ac:dyDescent="0.15">
      <c r="A265">
        <f t="shared" ref="A265:B265" si="85">A264</f>
        <v>0</v>
      </c>
      <c r="B265">
        <f t="shared" si="85"/>
        <v>1</v>
      </c>
      <c r="C265">
        <f t="shared" si="54"/>
        <v>264</v>
      </c>
      <c r="D265">
        <f t="shared" si="26"/>
        <v>0</v>
      </c>
      <c r="E265" t="str">
        <f>VLOOKUP(D265,name!A:B,2,1)</f>
        <v>Player</v>
      </c>
      <c r="F265">
        <f t="shared" si="27"/>
        <v>0</v>
      </c>
      <c r="G265" t="str">
        <f t="shared" si="71"/>
        <v>q</v>
      </c>
      <c r="H265" t="str">
        <f>VLOOKUP(D265,name!A:C,3,1)</f>
        <v>assets/icons/image326.png</v>
      </c>
      <c r="I265" t="s">
        <v>403</v>
      </c>
    </row>
    <row r="266" spans="1:9" x14ac:dyDescent="0.15">
      <c r="A266">
        <f t="shared" ref="A266:B266" si="86">A265</f>
        <v>0</v>
      </c>
      <c r="B266">
        <f t="shared" si="86"/>
        <v>1</v>
      </c>
      <c r="C266">
        <f t="shared" si="54"/>
        <v>265</v>
      </c>
      <c r="D266">
        <v>0</v>
      </c>
      <c r="E266" t="str">
        <f>VLOOKUP(D266,name!A:B,2,1)</f>
        <v>Player</v>
      </c>
      <c r="F266">
        <f t="shared" si="27"/>
        <v>0</v>
      </c>
      <c r="G266" t="str">
        <f t="shared" si="71"/>
        <v>q</v>
      </c>
      <c r="H266" t="str">
        <f>VLOOKUP(D266,name!A:C,3,1)</f>
        <v>assets/icons/image326.png</v>
      </c>
      <c r="I266" t="e">
        <f>IF(A266="","",VLOOKUP(A266,lng!A:B,2,0))</f>
        <v>#N/A</v>
      </c>
    </row>
    <row r="267" spans="1:9" x14ac:dyDescent="0.15">
      <c r="A267">
        <f t="shared" ref="A267:B267" si="87">A266</f>
        <v>0</v>
      </c>
      <c r="B267">
        <f t="shared" si="87"/>
        <v>1</v>
      </c>
      <c r="C267">
        <f t="shared" si="54"/>
        <v>266</v>
      </c>
      <c r="D267">
        <f t="shared" si="26"/>
        <v>0</v>
      </c>
      <c r="E267" t="str">
        <f>VLOOKUP(D267,name!A:B,2,1)</f>
        <v>Player</v>
      </c>
      <c r="F267">
        <f t="shared" si="27"/>
        <v>0</v>
      </c>
      <c r="G267" t="str">
        <f t="shared" si="71"/>
        <v>q</v>
      </c>
      <c r="H267" t="str">
        <f>VLOOKUP(D267,name!A:C,3,1)</f>
        <v>assets/icons/image326.png</v>
      </c>
      <c r="I267" t="s">
        <v>403</v>
      </c>
    </row>
    <row r="268" spans="1:9" x14ac:dyDescent="0.15">
      <c r="A268">
        <f t="shared" ref="A268:B268" si="88">A267</f>
        <v>0</v>
      </c>
      <c r="B268">
        <f t="shared" si="88"/>
        <v>1</v>
      </c>
      <c r="C268">
        <f t="shared" si="54"/>
        <v>267</v>
      </c>
      <c r="D268">
        <v>0</v>
      </c>
      <c r="E268" t="str">
        <f>VLOOKUP(D268,name!A:B,2,1)</f>
        <v>Player</v>
      </c>
      <c r="F268">
        <f t="shared" si="27"/>
        <v>0</v>
      </c>
      <c r="G268" t="str">
        <f t="shared" si="71"/>
        <v>q</v>
      </c>
      <c r="H268" t="str">
        <f>VLOOKUP(D268,name!A:C,3,1)</f>
        <v>assets/icons/image326.png</v>
      </c>
      <c r="I268" t="e">
        <f>IF(A268="","",VLOOKUP(A268,lng!A:B,2,0))</f>
        <v>#N/A</v>
      </c>
    </row>
    <row r="269" spans="1:9" x14ac:dyDescent="0.15">
      <c r="A269">
        <f t="shared" ref="A269:B269" si="89">A268</f>
        <v>0</v>
      </c>
      <c r="B269">
        <f t="shared" si="89"/>
        <v>1</v>
      </c>
      <c r="C269">
        <f t="shared" si="54"/>
        <v>268</v>
      </c>
      <c r="D269">
        <f t="shared" si="26"/>
        <v>0</v>
      </c>
      <c r="E269" t="str">
        <f>VLOOKUP(D269,name!A:B,2,1)</f>
        <v>Player</v>
      </c>
      <c r="F269">
        <f t="shared" si="27"/>
        <v>0</v>
      </c>
      <c r="G269" t="str">
        <f t="shared" si="71"/>
        <v>q</v>
      </c>
      <c r="H269" t="str">
        <f>VLOOKUP(D269,name!A:C,3,1)</f>
        <v>assets/icons/image326.png</v>
      </c>
      <c r="I269" t="s">
        <v>403</v>
      </c>
    </row>
    <row r="270" spans="1:9" x14ac:dyDescent="0.15">
      <c r="A270">
        <f t="shared" ref="A270:B270" si="90">A269</f>
        <v>0</v>
      </c>
      <c r="B270">
        <f t="shared" si="90"/>
        <v>1</v>
      </c>
      <c r="C270">
        <f t="shared" si="54"/>
        <v>269</v>
      </c>
      <c r="D270">
        <v>0</v>
      </c>
      <c r="E270" t="str">
        <f>VLOOKUP(D270,name!A:B,2,1)</f>
        <v>Player</v>
      </c>
      <c r="F270">
        <f t="shared" si="27"/>
        <v>0</v>
      </c>
      <c r="G270" t="str">
        <f t="shared" si="71"/>
        <v>q</v>
      </c>
      <c r="H270" t="str">
        <f>VLOOKUP(D270,name!A:C,3,1)</f>
        <v>assets/icons/image326.png</v>
      </c>
      <c r="I270" t="e">
        <f>IF(A270="","",VLOOKUP(A270,lng!A:B,2,0))</f>
        <v>#N/A</v>
      </c>
    </row>
    <row r="271" spans="1:9" x14ac:dyDescent="0.15">
      <c r="A271">
        <f t="shared" ref="A271:B271" si="91">A270</f>
        <v>0</v>
      </c>
      <c r="B271">
        <f t="shared" si="91"/>
        <v>1</v>
      </c>
      <c r="C271">
        <f t="shared" si="54"/>
        <v>270</v>
      </c>
      <c r="D271">
        <f t="shared" si="26"/>
        <v>0</v>
      </c>
      <c r="E271" t="str">
        <f>VLOOKUP(D271,name!A:B,2,1)</f>
        <v>Player</v>
      </c>
      <c r="F271">
        <f t="shared" si="27"/>
        <v>0</v>
      </c>
      <c r="G271" t="str">
        <f t="shared" si="71"/>
        <v>q</v>
      </c>
      <c r="H271" t="str">
        <f>VLOOKUP(D271,name!A:C,3,1)</f>
        <v>assets/icons/image326.png</v>
      </c>
      <c r="I271" t="s">
        <v>403</v>
      </c>
    </row>
    <row r="272" spans="1:9" x14ac:dyDescent="0.15">
      <c r="A272">
        <f t="shared" ref="A272:B272" si="92">A271</f>
        <v>0</v>
      </c>
      <c r="B272">
        <f t="shared" si="92"/>
        <v>1</v>
      </c>
      <c r="C272">
        <f t="shared" si="54"/>
        <v>271</v>
      </c>
      <c r="D272">
        <v>0</v>
      </c>
      <c r="E272" t="str">
        <f>VLOOKUP(D272,name!A:B,2,1)</f>
        <v>Player</v>
      </c>
      <c r="F272">
        <f t="shared" si="27"/>
        <v>0</v>
      </c>
      <c r="G272" t="str">
        <f t="shared" si="71"/>
        <v>q</v>
      </c>
      <c r="H272" t="str">
        <f>VLOOKUP(D272,name!A:C,3,1)</f>
        <v>assets/icons/image326.png</v>
      </c>
      <c r="I272" t="e">
        <f>IF(A272="","",VLOOKUP(A272,lng!A:B,2,0))</f>
        <v>#N/A</v>
      </c>
    </row>
    <row r="273" spans="1:9" x14ac:dyDescent="0.15">
      <c r="A273">
        <f t="shared" ref="A273:B273" si="93">A272</f>
        <v>0</v>
      </c>
      <c r="B273">
        <f t="shared" si="93"/>
        <v>1</v>
      </c>
      <c r="C273">
        <f t="shared" si="54"/>
        <v>272</v>
      </c>
      <c r="D273">
        <f t="shared" ref="D273:D285" si="94">D71</f>
        <v>0</v>
      </c>
      <c r="E273" t="str">
        <f>VLOOKUP(D273,name!A:B,2,1)</f>
        <v>Player</v>
      </c>
      <c r="F273">
        <f t="shared" ref="F273:F286" si="95">F71</f>
        <v>0</v>
      </c>
      <c r="G273" t="str">
        <f t="shared" si="71"/>
        <v>q</v>
      </c>
      <c r="H273" t="str">
        <f>VLOOKUP(D273,name!A:C,3,1)</f>
        <v>assets/icons/image326.png</v>
      </c>
      <c r="I273" t="s">
        <v>403</v>
      </c>
    </row>
    <row r="274" spans="1:9" x14ac:dyDescent="0.15">
      <c r="A274">
        <f t="shared" ref="A274:B274" si="96">A273</f>
        <v>0</v>
      </c>
      <c r="B274">
        <f t="shared" si="96"/>
        <v>1</v>
      </c>
      <c r="C274">
        <f t="shared" si="54"/>
        <v>273</v>
      </c>
      <c r="D274">
        <v>0</v>
      </c>
      <c r="E274" t="str">
        <f>VLOOKUP(D274,name!A:B,2,1)</f>
        <v>Player</v>
      </c>
      <c r="F274">
        <f t="shared" si="95"/>
        <v>0</v>
      </c>
      <c r="G274" t="str">
        <f t="shared" si="71"/>
        <v>q</v>
      </c>
      <c r="H274" t="str">
        <f>VLOOKUP(D274,name!A:C,3,1)</f>
        <v>assets/icons/image326.png</v>
      </c>
      <c r="I274" t="e">
        <f>IF(A274="","",VLOOKUP(A274,lng!A:B,2,0))</f>
        <v>#N/A</v>
      </c>
    </row>
    <row r="275" spans="1:9" x14ac:dyDescent="0.15">
      <c r="A275">
        <f t="shared" ref="A275:B275" si="97">A274</f>
        <v>0</v>
      </c>
      <c r="B275">
        <f t="shared" si="97"/>
        <v>1</v>
      </c>
      <c r="C275">
        <f t="shared" si="54"/>
        <v>274</v>
      </c>
      <c r="D275">
        <f t="shared" si="94"/>
        <v>0</v>
      </c>
      <c r="E275" t="str">
        <f>VLOOKUP(D275,name!A:B,2,1)</f>
        <v>Player</v>
      </c>
      <c r="F275">
        <f t="shared" si="95"/>
        <v>0</v>
      </c>
      <c r="G275" t="str">
        <f t="shared" si="71"/>
        <v>q</v>
      </c>
      <c r="H275" t="str">
        <f>VLOOKUP(D275,name!A:C,3,1)</f>
        <v>assets/icons/image326.png</v>
      </c>
      <c r="I275" t="s">
        <v>403</v>
      </c>
    </row>
    <row r="276" spans="1:9" x14ac:dyDescent="0.15">
      <c r="A276">
        <f t="shared" ref="A276:B276" si="98">A275</f>
        <v>0</v>
      </c>
      <c r="B276">
        <f t="shared" si="98"/>
        <v>1</v>
      </c>
      <c r="C276">
        <f t="shared" si="54"/>
        <v>275</v>
      </c>
      <c r="D276">
        <v>0</v>
      </c>
      <c r="E276" t="str">
        <f>VLOOKUP(D276,name!A:B,2,1)</f>
        <v>Player</v>
      </c>
      <c r="F276">
        <f t="shared" si="95"/>
        <v>0</v>
      </c>
      <c r="G276" t="str">
        <f t="shared" si="71"/>
        <v>q</v>
      </c>
      <c r="H276" t="str">
        <f>VLOOKUP(D276,name!A:C,3,1)</f>
        <v>assets/icons/image326.png</v>
      </c>
      <c r="I276" t="e">
        <f>IF(A276="","",VLOOKUP(A276,lng!A:B,2,0))</f>
        <v>#N/A</v>
      </c>
    </row>
    <row r="277" spans="1:9" x14ac:dyDescent="0.15">
      <c r="A277">
        <f t="shared" ref="A277:B277" si="99">A276</f>
        <v>0</v>
      </c>
      <c r="B277">
        <f t="shared" si="99"/>
        <v>1</v>
      </c>
      <c r="C277">
        <f t="shared" si="54"/>
        <v>276</v>
      </c>
      <c r="D277">
        <f t="shared" si="94"/>
        <v>0</v>
      </c>
      <c r="E277" t="str">
        <f>VLOOKUP(D277,name!A:B,2,1)</f>
        <v>Player</v>
      </c>
      <c r="F277">
        <f t="shared" si="95"/>
        <v>0</v>
      </c>
      <c r="G277" t="str">
        <f t="shared" si="71"/>
        <v>q</v>
      </c>
      <c r="H277" t="str">
        <f>VLOOKUP(D277,name!A:C,3,1)</f>
        <v>assets/icons/image326.png</v>
      </c>
      <c r="I277" t="s">
        <v>403</v>
      </c>
    </row>
    <row r="278" spans="1:9" x14ac:dyDescent="0.15">
      <c r="A278">
        <f t="shared" ref="A278:B278" si="100">A277</f>
        <v>0</v>
      </c>
      <c r="B278">
        <f t="shared" si="100"/>
        <v>1</v>
      </c>
      <c r="C278">
        <f t="shared" si="54"/>
        <v>277</v>
      </c>
      <c r="D278">
        <v>0</v>
      </c>
      <c r="E278" t="str">
        <f>VLOOKUP(D278,name!A:B,2,1)</f>
        <v>Player</v>
      </c>
      <c r="F278">
        <f t="shared" si="95"/>
        <v>0</v>
      </c>
      <c r="G278" t="str">
        <f t="shared" si="71"/>
        <v>q</v>
      </c>
      <c r="H278" t="str">
        <f>VLOOKUP(D278,name!A:C,3,1)</f>
        <v>assets/icons/image326.png</v>
      </c>
      <c r="I278" t="e">
        <f>IF(A278="","",VLOOKUP(A278,lng!A:B,2,0))</f>
        <v>#N/A</v>
      </c>
    </row>
    <row r="279" spans="1:9" x14ac:dyDescent="0.15">
      <c r="A279">
        <f t="shared" ref="A279:B279" si="101">A278</f>
        <v>0</v>
      </c>
      <c r="B279">
        <f t="shared" si="101"/>
        <v>1</v>
      </c>
      <c r="C279">
        <f t="shared" si="54"/>
        <v>278</v>
      </c>
      <c r="D279">
        <f t="shared" si="94"/>
        <v>0</v>
      </c>
      <c r="E279" t="str">
        <f>VLOOKUP(D279,name!A:B,2,1)</f>
        <v>Player</v>
      </c>
      <c r="F279">
        <f t="shared" si="95"/>
        <v>0</v>
      </c>
      <c r="G279" t="str">
        <f t="shared" si="71"/>
        <v>q</v>
      </c>
      <c r="H279" t="str">
        <f>VLOOKUP(D279,name!A:C,3,1)</f>
        <v>assets/icons/image326.png</v>
      </c>
      <c r="I279" t="s">
        <v>403</v>
      </c>
    </row>
    <row r="280" spans="1:9" x14ac:dyDescent="0.15">
      <c r="A280">
        <f t="shared" ref="A280:B280" si="102">A279</f>
        <v>0</v>
      </c>
      <c r="B280">
        <f t="shared" si="102"/>
        <v>1</v>
      </c>
      <c r="C280">
        <f t="shared" si="54"/>
        <v>279</v>
      </c>
      <c r="D280">
        <v>0</v>
      </c>
      <c r="E280" t="str">
        <f>VLOOKUP(D280,name!A:B,2,1)</f>
        <v>Player</v>
      </c>
      <c r="F280">
        <f t="shared" si="95"/>
        <v>0</v>
      </c>
      <c r="G280" t="str">
        <f t="shared" si="71"/>
        <v>q</v>
      </c>
      <c r="H280" t="str">
        <f>VLOOKUP(D280,name!A:C,3,1)</f>
        <v>assets/icons/image326.png</v>
      </c>
      <c r="I280" t="e">
        <f>IF(A280="","",VLOOKUP(A280,lng!A:B,2,0))</f>
        <v>#N/A</v>
      </c>
    </row>
    <row r="281" spans="1:9" x14ac:dyDescent="0.15">
      <c r="A281">
        <f t="shared" ref="A281:B281" si="103">A280</f>
        <v>0</v>
      </c>
      <c r="B281">
        <f t="shared" si="103"/>
        <v>1</v>
      </c>
      <c r="C281">
        <f t="shared" si="54"/>
        <v>280</v>
      </c>
      <c r="D281">
        <f t="shared" si="94"/>
        <v>0</v>
      </c>
      <c r="E281" t="str">
        <f>VLOOKUP(D281,name!A:B,2,1)</f>
        <v>Player</v>
      </c>
      <c r="F281">
        <f t="shared" si="95"/>
        <v>0</v>
      </c>
      <c r="G281" t="str">
        <f t="shared" si="71"/>
        <v>q</v>
      </c>
      <c r="H281" t="str">
        <f>VLOOKUP(D281,name!A:C,3,1)</f>
        <v>assets/icons/image326.png</v>
      </c>
      <c r="I281" t="s">
        <v>403</v>
      </c>
    </row>
    <row r="282" spans="1:9" x14ac:dyDescent="0.15">
      <c r="A282">
        <f t="shared" ref="A282:B282" si="104">A281</f>
        <v>0</v>
      </c>
      <c r="B282">
        <f t="shared" si="104"/>
        <v>1</v>
      </c>
      <c r="C282">
        <f t="shared" si="54"/>
        <v>281</v>
      </c>
      <c r="D282">
        <v>0</v>
      </c>
      <c r="E282" t="str">
        <f>VLOOKUP(D282,name!A:B,2,1)</f>
        <v>Player</v>
      </c>
      <c r="F282">
        <f t="shared" si="95"/>
        <v>0</v>
      </c>
      <c r="G282" t="str">
        <f t="shared" si="71"/>
        <v>q</v>
      </c>
      <c r="H282" t="str">
        <f>VLOOKUP(D282,name!A:C,3,1)</f>
        <v>assets/icons/image326.png</v>
      </c>
      <c r="I282" t="e">
        <f>IF(A282="","",VLOOKUP(A282,lng!A:B,2,0))</f>
        <v>#N/A</v>
      </c>
    </row>
    <row r="283" spans="1:9" x14ac:dyDescent="0.15">
      <c r="A283">
        <f t="shared" ref="A283:B283" si="105">A282</f>
        <v>0</v>
      </c>
      <c r="B283">
        <f t="shared" si="105"/>
        <v>1</v>
      </c>
      <c r="C283">
        <f t="shared" si="54"/>
        <v>282</v>
      </c>
      <c r="D283">
        <f t="shared" si="94"/>
        <v>0</v>
      </c>
      <c r="E283" t="str">
        <f>VLOOKUP(D283,name!A:B,2,1)</f>
        <v>Player</v>
      </c>
      <c r="F283">
        <f t="shared" si="95"/>
        <v>0</v>
      </c>
      <c r="G283" t="str">
        <f t="shared" si="71"/>
        <v>q</v>
      </c>
      <c r="H283" t="str">
        <f>VLOOKUP(D283,name!A:C,3,1)</f>
        <v>assets/icons/image326.png</v>
      </c>
      <c r="I283" t="s">
        <v>403</v>
      </c>
    </row>
    <row r="284" spans="1:9" x14ac:dyDescent="0.15">
      <c r="A284">
        <f t="shared" ref="A284:B284" si="106">A283</f>
        <v>0</v>
      </c>
      <c r="B284">
        <f t="shared" si="106"/>
        <v>1</v>
      </c>
      <c r="C284">
        <f t="shared" si="54"/>
        <v>283</v>
      </c>
      <c r="D284">
        <v>0</v>
      </c>
      <c r="E284" t="str">
        <f>VLOOKUP(D284,name!A:B,2,1)</f>
        <v>Player</v>
      </c>
      <c r="F284">
        <f t="shared" si="95"/>
        <v>0</v>
      </c>
      <c r="G284" t="str">
        <f t="shared" si="71"/>
        <v>q</v>
      </c>
      <c r="H284" t="str">
        <f>VLOOKUP(D284,name!A:C,3,1)</f>
        <v>assets/icons/image326.png</v>
      </c>
      <c r="I284" t="e">
        <f>IF(A284="","",VLOOKUP(A284,lng!A:B,2,0))</f>
        <v>#N/A</v>
      </c>
    </row>
    <row r="285" spans="1:9" x14ac:dyDescent="0.15">
      <c r="A285">
        <f t="shared" ref="A285:B285" si="107">A284</f>
        <v>0</v>
      </c>
      <c r="B285">
        <f t="shared" si="107"/>
        <v>1</v>
      </c>
      <c r="C285">
        <f t="shared" si="54"/>
        <v>284</v>
      </c>
      <c r="D285">
        <f t="shared" si="94"/>
        <v>0</v>
      </c>
      <c r="E285" t="str">
        <f>VLOOKUP(D285,name!A:B,2,1)</f>
        <v>Player</v>
      </c>
      <c r="F285">
        <f t="shared" si="95"/>
        <v>0</v>
      </c>
      <c r="G285" t="str">
        <f t="shared" si="71"/>
        <v>q</v>
      </c>
      <c r="H285" t="str">
        <f>VLOOKUP(D285,name!A:C,3,1)</f>
        <v>assets/icons/image326.png</v>
      </c>
      <c r="I285" t="s">
        <v>403</v>
      </c>
    </row>
    <row r="286" spans="1:9" x14ac:dyDescent="0.15">
      <c r="A286">
        <f t="shared" ref="A286:B286" si="108">A285</f>
        <v>0</v>
      </c>
      <c r="B286">
        <f t="shared" si="108"/>
        <v>1</v>
      </c>
      <c r="C286">
        <f t="shared" si="54"/>
        <v>285</v>
      </c>
      <c r="D286">
        <v>0</v>
      </c>
      <c r="E286" t="str">
        <f>VLOOKUP(D286,name!A:B,2,1)</f>
        <v>Player</v>
      </c>
      <c r="F286">
        <f t="shared" si="95"/>
        <v>0</v>
      </c>
      <c r="G286" t="str">
        <f t="shared" si="71"/>
        <v>q</v>
      </c>
      <c r="H286" t="str">
        <f>VLOOKUP(D286,name!A:C,3,1)</f>
        <v>assets/icons/image326.png</v>
      </c>
      <c r="I286" t="e">
        <f>IF(A286="","",VLOOKUP(A286,lng!A:B,2,0))</f>
        <v>#N/A</v>
      </c>
    </row>
    <row r="287" spans="1:9" x14ac:dyDescent="0.15">
      <c r="A287">
        <f t="shared" ref="A287:B287" si="109">A286</f>
        <v>0</v>
      </c>
      <c r="B287">
        <f t="shared" si="109"/>
        <v>1</v>
      </c>
      <c r="C287">
        <f t="shared" si="54"/>
        <v>286</v>
      </c>
      <c r="D287">
        <v>1</v>
      </c>
      <c r="E287" t="str">
        <f>VLOOKUP(D287,name!A:B,2,1)</f>
        <v>Navigator</v>
      </c>
      <c r="F287" t="str">
        <f>"とても良くできました。レッスン"&amp;B287&amp;"はこれで終了です。"</f>
        <v>とても良くできました。レッスン1はこれで終了です。</v>
      </c>
      <c r="G287" t="str">
        <f t="shared" si="2"/>
        <v>e</v>
      </c>
      <c r="H287" t="str">
        <f>VLOOKUP(D287,name!A:C,3,1)</f>
        <v>assets/icons/image014.png</v>
      </c>
      <c r="I287" t="s">
        <v>403</v>
      </c>
    </row>
  </sheetData>
  <sheetProtection algorithmName="SHA-512" hashValue="HE4CmSWBNsMfzF7JKNkSjP2OnxXLVAqYHCKev2xi8HdSFx9KkNNMeZZUsjs7xHQew0SuKxmIvrKrf7DTFVpj0g==" saltValue="43Xdy3gZiaPfAqw4hxrp3A==" spinCount="100000" sheet="1" objects="1" scenarios="1"/>
  <phoneticPr fontId="1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90" operator="containsText" id="{0B57F934-680E-4B7B-9308-0DF3EB75A883}">
            <xm:f>NOT(ISERROR(SEARCH($G$84,G2)))</xm:f>
            <xm:f>$G$84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G2:G287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1"/>
  <sheetViews>
    <sheetView workbookViewId="0">
      <selection sqref="A1:XFD1"/>
    </sheetView>
  </sheetViews>
  <sheetFormatPr defaultRowHeight="13.5" x14ac:dyDescent="0.15"/>
  <sheetData>
    <row r="1" spans="1:9" x14ac:dyDescent="0.15">
      <c r="A1" t="s">
        <v>0</v>
      </c>
      <c r="B1" t="s">
        <v>1</v>
      </c>
      <c r="C1" t="s">
        <v>2</v>
      </c>
      <c r="D1" t="s">
        <v>4</v>
      </c>
      <c r="E1" t="s">
        <v>5</v>
      </c>
      <c r="F1" t="s">
        <v>3</v>
      </c>
      <c r="G1" t="s">
        <v>19</v>
      </c>
      <c r="H1" t="s">
        <v>20</v>
      </c>
      <c r="I1" t="s">
        <v>402</v>
      </c>
    </row>
  </sheetData>
  <phoneticPr fontId="1"/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BE210885-ACB8-4189-9DF9-0D06FA615595}">
            <xm:f>NOT(ISERROR(SEARCH($G$4,G1)))</xm:f>
            <xm:f>$G$4</xm:f>
            <x14:dxf>
              <font>
                <color auto="1"/>
              </font>
              <fill>
                <patternFill>
                  <bgColor rgb="FFFFC000"/>
                </patternFill>
              </fill>
            </x14:dxf>
          </x14:cfRule>
          <xm:sqref>G1:I1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talk</vt:lpstr>
      <vt:lpstr>lng</vt:lpstr>
      <vt:lpstr>name</vt:lpstr>
      <vt:lpstr>img</vt:lpstr>
      <vt:lpstr>templete</vt:lpstr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角田真樹</dc:creator>
  <cp:lastModifiedBy>角田真樹</cp:lastModifiedBy>
  <dcterms:created xsi:type="dcterms:W3CDTF">2022-12-09T16:19:31Z</dcterms:created>
  <dcterms:modified xsi:type="dcterms:W3CDTF">2022-12-31T12:20:14Z</dcterms:modified>
</cp:coreProperties>
</file>