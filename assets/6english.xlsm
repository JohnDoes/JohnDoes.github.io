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真樹\Desktop\JohnDoes.github.io\assets\"/>
    </mc:Choice>
  </mc:AlternateContent>
  <bookViews>
    <workbookView xWindow="0" yWindow="0" windowWidth="11970" windowHeight="8985"/>
  </bookViews>
  <sheets>
    <sheet name="talk" sheetId="1" r:id="rId1"/>
    <sheet name="lng" sheetId="5" r:id="rId2"/>
    <sheet name="name" sheetId="2" r:id="rId3"/>
    <sheet name="img" sheetId="3" r:id="rId4"/>
    <sheet name="templete" sheetId="4" r:id="rId5"/>
    <sheet name="Sheet1" sheetId="6" r:id="rId6"/>
  </sheets>
  <functionGroups builtInGroupCount="18"/>
  <definedNames>
    <definedName name="_xlnm._FilterDatabase" localSheetId="0" hidden="1">talk!$A$1:$L$46</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0" i="1" l="1"/>
  <c r="H20" i="1"/>
  <c r="G21" i="1"/>
  <c r="H21" i="1"/>
  <c r="G22" i="1"/>
  <c r="H22" i="1"/>
  <c r="G23" i="1"/>
  <c r="H23" i="1"/>
  <c r="G24" i="1"/>
  <c r="H24" i="1"/>
  <c r="G25" i="1"/>
  <c r="H25" i="1"/>
  <c r="G26" i="1"/>
  <c r="H26" i="1"/>
  <c r="G27" i="1"/>
  <c r="H27" i="1"/>
  <c r="G28" i="1"/>
  <c r="H28" i="1"/>
  <c r="G29" i="1"/>
  <c r="H29" i="1"/>
  <c r="G30" i="1"/>
  <c r="H30" i="1"/>
  <c r="G31" i="1"/>
  <c r="H31" i="1"/>
  <c r="G32" i="1"/>
  <c r="H32" i="1"/>
  <c r="G33" i="1"/>
  <c r="H33" i="1"/>
  <c r="G34" i="1"/>
  <c r="H34" i="1"/>
  <c r="G35" i="1"/>
  <c r="H35" i="1"/>
  <c r="G36" i="1"/>
  <c r="H36" i="1"/>
  <c r="G37" i="1"/>
  <c r="H37" i="1"/>
  <c r="G38" i="1"/>
  <c r="H38" i="1"/>
  <c r="G39" i="1"/>
  <c r="H39" i="1"/>
  <c r="G40" i="1"/>
  <c r="H40" i="1"/>
  <c r="G41" i="1"/>
  <c r="H41" i="1"/>
  <c r="G42" i="1"/>
  <c r="H42" i="1"/>
  <c r="G43" i="1"/>
  <c r="H43" i="1"/>
  <c r="G44" i="1"/>
  <c r="H44" i="1"/>
  <c r="G45" i="1"/>
  <c r="H45" i="1"/>
  <c r="G46" i="1"/>
  <c r="H46" i="1"/>
  <c r="G47" i="1"/>
  <c r="H47" i="1"/>
  <c r="G48" i="1"/>
  <c r="H48" i="1"/>
  <c r="G49" i="1"/>
  <c r="H49" i="1"/>
  <c r="G50" i="1"/>
  <c r="H50" i="1"/>
  <c r="G51" i="1"/>
  <c r="H51" i="1"/>
  <c r="G52" i="1"/>
  <c r="H52" i="1"/>
  <c r="G53" i="1"/>
  <c r="H53" i="1"/>
  <c r="G54" i="1"/>
  <c r="H54" i="1"/>
  <c r="G55" i="1"/>
  <c r="H55" i="1"/>
  <c r="G56" i="1"/>
  <c r="H56" i="1"/>
  <c r="G57" i="1"/>
  <c r="H57" i="1"/>
  <c r="G58" i="1"/>
  <c r="H58" i="1"/>
  <c r="G59" i="1"/>
  <c r="H59" i="1"/>
  <c r="G60" i="1"/>
  <c r="H60" i="1"/>
  <c r="G61" i="1"/>
  <c r="H61" i="1"/>
  <c r="G62" i="1"/>
  <c r="H62" i="1"/>
  <c r="G63" i="1"/>
  <c r="H63" i="1"/>
  <c r="G64" i="1"/>
  <c r="H64" i="1"/>
  <c r="G65" i="1"/>
  <c r="H65" i="1"/>
  <c r="G66" i="1"/>
  <c r="H66" i="1"/>
  <c r="G67" i="1"/>
  <c r="H67" i="1"/>
  <c r="G68" i="1"/>
  <c r="H68" i="1"/>
  <c r="G69" i="1"/>
  <c r="H69" i="1"/>
  <c r="G70" i="1"/>
  <c r="H70" i="1"/>
  <c r="G71" i="1"/>
  <c r="H71" i="1"/>
  <c r="G72" i="1"/>
  <c r="H72" i="1"/>
  <c r="G73" i="1"/>
  <c r="H73" i="1"/>
  <c r="G74" i="1"/>
  <c r="H74" i="1"/>
  <c r="G75" i="1"/>
  <c r="H75" i="1"/>
  <c r="G76" i="1"/>
  <c r="H76" i="1"/>
  <c r="G77" i="1"/>
  <c r="H77" i="1"/>
  <c r="G78" i="1"/>
  <c r="H78" i="1"/>
  <c r="G79" i="1"/>
  <c r="H79" i="1"/>
  <c r="G80" i="1"/>
  <c r="H80" i="1"/>
  <c r="G81" i="1"/>
  <c r="H81" i="1"/>
  <c r="G82" i="1"/>
  <c r="H82" i="1"/>
  <c r="G83" i="1"/>
  <c r="H83" i="1"/>
  <c r="G84" i="1"/>
  <c r="H84" i="1"/>
  <c r="G85" i="1"/>
  <c r="H85" i="1"/>
  <c r="G86" i="1"/>
  <c r="H86" i="1"/>
  <c r="G87" i="1"/>
  <c r="H87" i="1"/>
  <c r="G88" i="1"/>
  <c r="H88" i="1"/>
  <c r="G89" i="1"/>
  <c r="H89" i="1"/>
  <c r="G90" i="1"/>
  <c r="H90" i="1"/>
  <c r="G91" i="1"/>
  <c r="H91" i="1"/>
  <c r="G92" i="1"/>
  <c r="H92" i="1"/>
  <c r="G93" i="1"/>
  <c r="H93" i="1"/>
  <c r="G94" i="1"/>
  <c r="H94" i="1"/>
  <c r="G95" i="1"/>
  <c r="H95" i="1"/>
  <c r="G96" i="1"/>
  <c r="H96" i="1"/>
  <c r="G97" i="1"/>
  <c r="H97" i="1"/>
  <c r="G98" i="1"/>
  <c r="H98" i="1"/>
  <c r="G99" i="1"/>
  <c r="H99" i="1"/>
  <c r="G100" i="1"/>
  <c r="H100" i="1"/>
  <c r="G101" i="1"/>
  <c r="H101" i="1"/>
  <c r="G102" i="1"/>
  <c r="H102" i="1"/>
  <c r="G103" i="1"/>
  <c r="H103" i="1"/>
  <c r="G104" i="1"/>
  <c r="H104" i="1"/>
  <c r="G105" i="1"/>
  <c r="H105" i="1"/>
  <c r="G106" i="1"/>
  <c r="H106" i="1"/>
  <c r="G107" i="1"/>
  <c r="H107" i="1"/>
  <c r="G108" i="1"/>
  <c r="H108" i="1"/>
  <c r="G109" i="1"/>
  <c r="H109" i="1"/>
  <c r="G110" i="1"/>
  <c r="H110" i="1"/>
  <c r="G111" i="1"/>
  <c r="H111" i="1"/>
  <c r="G112" i="1"/>
  <c r="H112" i="1"/>
  <c r="G113" i="1"/>
  <c r="H113" i="1"/>
  <c r="G114" i="1"/>
  <c r="H114" i="1"/>
  <c r="G115" i="1"/>
  <c r="H115" i="1"/>
  <c r="G116" i="1"/>
  <c r="H116" i="1"/>
  <c r="G117" i="1"/>
  <c r="H117" i="1"/>
  <c r="G118" i="1"/>
  <c r="H118" i="1"/>
  <c r="G119" i="1"/>
  <c r="H119" i="1"/>
  <c r="G120" i="1"/>
  <c r="H120" i="1"/>
  <c r="G121" i="1"/>
  <c r="H121" i="1"/>
  <c r="G122" i="1"/>
  <c r="H122" i="1"/>
  <c r="G123" i="1"/>
  <c r="H123" i="1"/>
  <c r="G124" i="1"/>
  <c r="H124" i="1"/>
  <c r="G125" i="1"/>
  <c r="H125" i="1"/>
  <c r="G126" i="1"/>
  <c r="H126" i="1"/>
  <c r="G127" i="1"/>
  <c r="H127" i="1"/>
  <c r="G128" i="1"/>
  <c r="H128" i="1"/>
  <c r="G129" i="1"/>
  <c r="H129" i="1"/>
  <c r="G130" i="1"/>
  <c r="H130" i="1"/>
  <c r="G131" i="1"/>
  <c r="H131" i="1"/>
  <c r="G132" i="1"/>
  <c r="H132" i="1"/>
  <c r="G133" i="1"/>
  <c r="H133" i="1"/>
  <c r="G134" i="1"/>
  <c r="H134" i="1"/>
  <c r="G135" i="1"/>
  <c r="H135" i="1"/>
  <c r="G136" i="1"/>
  <c r="H136" i="1"/>
  <c r="G137" i="1"/>
  <c r="H137" i="1"/>
  <c r="G138" i="1"/>
  <c r="H138" i="1"/>
  <c r="G139" i="1"/>
  <c r="H139" i="1"/>
  <c r="G140" i="1"/>
  <c r="H140" i="1"/>
  <c r="G141" i="1"/>
  <c r="H141" i="1"/>
  <c r="G142" i="1"/>
  <c r="H142" i="1"/>
  <c r="G143" i="1"/>
  <c r="H143" i="1"/>
  <c r="G144" i="1"/>
  <c r="H144" i="1"/>
  <c r="G145" i="1"/>
  <c r="H145" i="1"/>
  <c r="G146" i="1"/>
  <c r="H146" i="1"/>
  <c r="G147" i="1"/>
  <c r="H147" i="1"/>
  <c r="G148" i="1"/>
  <c r="H148" i="1"/>
  <c r="G149" i="1"/>
  <c r="H149" i="1"/>
  <c r="G150" i="1"/>
  <c r="H150" i="1"/>
  <c r="G151" i="1"/>
  <c r="H151" i="1"/>
  <c r="G152" i="1"/>
  <c r="H152" i="1"/>
  <c r="G153" i="1"/>
  <c r="H153" i="1"/>
  <c r="G154" i="1"/>
  <c r="H154" i="1"/>
  <c r="G155" i="1"/>
  <c r="H155" i="1"/>
  <c r="G156" i="1"/>
  <c r="H156" i="1"/>
  <c r="G157" i="1"/>
  <c r="H157" i="1"/>
  <c r="G158" i="1"/>
  <c r="H158" i="1"/>
  <c r="G159" i="1"/>
  <c r="H159" i="1"/>
  <c r="G160" i="1"/>
  <c r="H160" i="1"/>
  <c r="G161" i="1"/>
  <c r="H161" i="1"/>
  <c r="G162" i="1"/>
  <c r="H162" i="1"/>
  <c r="G163" i="1"/>
  <c r="H163" i="1"/>
  <c r="G164" i="1"/>
  <c r="H164" i="1"/>
  <c r="G165" i="1"/>
  <c r="H165" i="1"/>
  <c r="G166" i="1"/>
  <c r="H166" i="1"/>
  <c r="G167" i="1"/>
  <c r="H167" i="1"/>
  <c r="G168" i="1"/>
  <c r="H168" i="1"/>
  <c r="G169" i="1"/>
  <c r="H169" i="1"/>
  <c r="G170" i="1"/>
  <c r="H170" i="1"/>
  <c r="G171" i="1"/>
  <c r="H171" i="1"/>
  <c r="G172" i="1"/>
  <c r="H172" i="1"/>
  <c r="G173" i="1"/>
  <c r="H173" i="1"/>
  <c r="G174" i="1"/>
  <c r="H174" i="1"/>
  <c r="G175" i="1"/>
  <c r="H175" i="1"/>
  <c r="G176" i="1"/>
  <c r="H176" i="1"/>
  <c r="G177" i="1"/>
  <c r="H177" i="1"/>
  <c r="G178" i="1"/>
  <c r="H178" i="1"/>
  <c r="G179" i="1"/>
  <c r="H179" i="1"/>
  <c r="G180" i="1"/>
  <c r="H180" i="1"/>
  <c r="G181" i="1"/>
  <c r="H181" i="1"/>
  <c r="G182" i="1"/>
  <c r="H182" i="1"/>
  <c r="G183" i="1"/>
  <c r="H183" i="1"/>
  <c r="G184" i="1"/>
  <c r="H184" i="1"/>
  <c r="G185" i="1"/>
  <c r="H185" i="1"/>
  <c r="G186" i="1"/>
  <c r="H186" i="1"/>
  <c r="G187" i="1"/>
  <c r="H187" i="1"/>
  <c r="G188" i="1"/>
  <c r="H188" i="1"/>
  <c r="G189" i="1"/>
  <c r="H189" i="1"/>
  <c r="G190" i="1"/>
  <c r="H190" i="1"/>
  <c r="G191" i="1"/>
  <c r="H191" i="1"/>
  <c r="G192" i="1"/>
  <c r="H192" i="1"/>
  <c r="G193" i="1"/>
  <c r="H193" i="1"/>
  <c r="G194" i="1"/>
  <c r="H194" i="1"/>
  <c r="G195" i="1"/>
  <c r="H195" i="1"/>
  <c r="G196" i="1"/>
  <c r="H196" i="1"/>
  <c r="G197" i="1"/>
  <c r="H197" i="1"/>
  <c r="G198" i="1"/>
  <c r="H198" i="1"/>
  <c r="G199" i="1"/>
  <c r="H199" i="1"/>
  <c r="G200" i="1"/>
  <c r="H200" i="1"/>
  <c r="G201" i="1"/>
  <c r="H201" i="1"/>
  <c r="G202" i="1"/>
  <c r="H202" i="1"/>
  <c r="G203" i="1"/>
  <c r="H203" i="1"/>
  <c r="G204" i="1"/>
  <c r="H204" i="1"/>
  <c r="G205" i="1"/>
  <c r="H205" i="1"/>
  <c r="G206" i="1"/>
  <c r="H206" i="1"/>
  <c r="G207" i="1"/>
  <c r="H207" i="1"/>
  <c r="G208" i="1"/>
  <c r="H208" i="1"/>
  <c r="G209" i="1"/>
  <c r="H209" i="1"/>
  <c r="G210" i="1"/>
  <c r="H210" i="1"/>
  <c r="G211" i="1"/>
  <c r="H211" i="1"/>
  <c r="G212" i="1"/>
  <c r="H212" i="1"/>
  <c r="G213" i="1"/>
  <c r="H213" i="1"/>
  <c r="G214" i="1"/>
  <c r="H214" i="1"/>
  <c r="G215" i="1"/>
  <c r="H215" i="1"/>
  <c r="G216" i="1"/>
  <c r="H216" i="1"/>
  <c r="G217" i="1"/>
  <c r="H217" i="1"/>
  <c r="G218" i="1"/>
  <c r="H218" i="1"/>
  <c r="G219" i="1"/>
  <c r="H219" i="1"/>
  <c r="G220" i="1"/>
  <c r="H220" i="1"/>
  <c r="G221" i="1"/>
  <c r="H221" i="1"/>
  <c r="G222" i="1"/>
  <c r="H222" i="1"/>
  <c r="G223" i="1"/>
  <c r="H223" i="1"/>
  <c r="G224" i="1"/>
  <c r="H224" i="1"/>
  <c r="G225" i="1"/>
  <c r="H225" i="1"/>
  <c r="G226" i="1"/>
  <c r="H226" i="1"/>
  <c r="G227" i="1"/>
  <c r="H227" i="1"/>
  <c r="G228" i="1"/>
  <c r="H228" i="1"/>
  <c r="G229" i="1"/>
  <c r="H229" i="1"/>
  <c r="G230" i="1"/>
  <c r="H230" i="1"/>
  <c r="G231" i="1"/>
  <c r="H231" i="1"/>
  <c r="G232" i="1"/>
  <c r="H232" i="1"/>
  <c r="G233" i="1"/>
  <c r="H233" i="1"/>
  <c r="G234" i="1"/>
  <c r="H234" i="1"/>
  <c r="G235" i="1"/>
  <c r="H235" i="1"/>
  <c r="G236" i="1"/>
  <c r="H236" i="1"/>
  <c r="G237" i="1"/>
  <c r="H237" i="1"/>
  <c r="G238" i="1"/>
  <c r="H238" i="1"/>
  <c r="G239" i="1"/>
  <c r="H239" i="1"/>
  <c r="G240" i="1"/>
  <c r="H240" i="1"/>
  <c r="G241" i="1"/>
  <c r="H241" i="1"/>
  <c r="G242" i="1"/>
  <c r="H242" i="1"/>
  <c r="G243" i="1"/>
  <c r="H243" i="1"/>
  <c r="G244" i="1"/>
  <c r="H244" i="1"/>
  <c r="G245" i="1"/>
  <c r="H245" i="1"/>
  <c r="G246" i="1"/>
  <c r="H246" i="1"/>
  <c r="G247" i="1"/>
  <c r="H247" i="1"/>
  <c r="G248" i="1"/>
  <c r="H248" i="1"/>
  <c r="G249" i="1"/>
  <c r="H249" i="1"/>
  <c r="G250" i="1"/>
  <c r="H250" i="1"/>
  <c r="G251" i="1"/>
  <c r="H251" i="1"/>
  <c r="G252" i="1"/>
  <c r="H252" i="1"/>
  <c r="G253" i="1"/>
  <c r="H253" i="1"/>
  <c r="G254" i="1"/>
  <c r="H254" i="1"/>
  <c r="G255" i="1"/>
  <c r="H255" i="1"/>
  <c r="G256" i="1"/>
  <c r="H256" i="1"/>
  <c r="G257" i="1"/>
  <c r="H257" i="1"/>
  <c r="G258" i="1"/>
  <c r="H258" i="1"/>
  <c r="G259" i="1"/>
  <c r="H259" i="1"/>
  <c r="G260" i="1"/>
  <c r="H260" i="1"/>
  <c r="G261" i="1"/>
  <c r="H261" i="1"/>
  <c r="G262" i="1"/>
  <c r="H262" i="1"/>
  <c r="G263" i="1"/>
  <c r="H263" i="1"/>
  <c r="G264" i="1"/>
  <c r="H264" i="1"/>
  <c r="G265" i="1"/>
  <c r="H265" i="1"/>
  <c r="G266" i="1"/>
  <c r="H266" i="1"/>
  <c r="G267" i="1"/>
  <c r="H267" i="1"/>
  <c r="G268" i="1"/>
  <c r="H268" i="1"/>
  <c r="G269" i="1"/>
  <c r="H269" i="1"/>
  <c r="G270" i="1"/>
  <c r="H270" i="1"/>
  <c r="G271" i="1"/>
  <c r="H271" i="1"/>
  <c r="G272" i="1"/>
  <c r="H272" i="1"/>
  <c r="G273" i="1"/>
  <c r="H273" i="1"/>
  <c r="G274" i="1"/>
  <c r="H274" i="1"/>
  <c r="G275" i="1"/>
  <c r="H275" i="1"/>
  <c r="G276" i="1"/>
  <c r="H276" i="1"/>
  <c r="G277" i="1"/>
  <c r="H277" i="1"/>
  <c r="G278" i="1"/>
  <c r="H278" i="1"/>
  <c r="G279" i="1"/>
  <c r="H279" i="1"/>
  <c r="G280" i="1"/>
  <c r="H280" i="1"/>
  <c r="G281" i="1"/>
  <c r="H281" i="1"/>
  <c r="G282" i="1"/>
  <c r="H282" i="1"/>
  <c r="G283" i="1"/>
  <c r="H283" i="1"/>
  <c r="G284" i="1"/>
  <c r="H284" i="1"/>
  <c r="G285" i="1"/>
  <c r="H285" i="1"/>
  <c r="G286" i="1"/>
  <c r="H286" i="1"/>
  <c r="G287" i="1"/>
  <c r="H287" i="1"/>
  <c r="G288" i="1"/>
  <c r="H288" i="1"/>
  <c r="G289" i="1"/>
  <c r="H289" i="1"/>
  <c r="G290" i="1"/>
  <c r="H290" i="1"/>
  <c r="G291" i="1"/>
  <c r="H291" i="1"/>
  <c r="G292" i="1"/>
  <c r="H292" i="1"/>
  <c r="G293" i="1"/>
  <c r="H293" i="1"/>
  <c r="G294" i="1"/>
  <c r="H294" i="1"/>
  <c r="G295" i="1"/>
  <c r="H295" i="1"/>
  <c r="G296" i="1"/>
  <c r="H296" i="1"/>
  <c r="G297" i="1"/>
  <c r="H297" i="1"/>
  <c r="G298" i="1"/>
  <c r="H298" i="1"/>
  <c r="G299" i="1"/>
  <c r="H299" i="1"/>
  <c r="G300" i="1"/>
  <c r="H300" i="1"/>
  <c r="G301" i="1"/>
  <c r="H301" i="1"/>
  <c r="G302" i="1"/>
  <c r="H302" i="1"/>
  <c r="G303" i="1"/>
  <c r="H303" i="1"/>
  <c r="G304" i="1"/>
  <c r="H304" i="1"/>
  <c r="G305" i="1"/>
  <c r="H305" i="1"/>
  <c r="G306" i="1"/>
  <c r="H306" i="1"/>
  <c r="G307" i="1"/>
  <c r="H307" i="1"/>
  <c r="G308" i="1"/>
  <c r="H308" i="1"/>
  <c r="G309" i="1"/>
  <c r="H309" i="1"/>
  <c r="G310" i="1"/>
  <c r="H310" i="1"/>
  <c r="G311" i="1"/>
  <c r="H311" i="1"/>
  <c r="G312" i="1"/>
  <c r="H312" i="1"/>
  <c r="G313" i="1"/>
  <c r="H313" i="1"/>
  <c r="G314" i="1"/>
  <c r="H314" i="1"/>
  <c r="G315" i="1"/>
  <c r="H315" i="1"/>
  <c r="G316" i="1"/>
  <c r="H316" i="1"/>
  <c r="G317" i="1"/>
  <c r="H317" i="1"/>
  <c r="G318" i="1"/>
  <c r="H318" i="1"/>
  <c r="G319" i="1"/>
  <c r="H319" i="1"/>
  <c r="G320" i="1"/>
  <c r="H320" i="1"/>
  <c r="G321" i="1"/>
  <c r="H321" i="1"/>
  <c r="G322" i="1"/>
  <c r="H322" i="1"/>
  <c r="G323" i="1"/>
  <c r="H323" i="1"/>
  <c r="G324" i="1"/>
  <c r="H324" i="1"/>
  <c r="G325" i="1"/>
  <c r="H325" i="1"/>
  <c r="G326" i="1"/>
  <c r="H326" i="1"/>
  <c r="G327" i="1"/>
  <c r="H327" i="1"/>
  <c r="G328" i="1"/>
  <c r="H328" i="1"/>
  <c r="G329" i="1"/>
  <c r="H329" i="1"/>
  <c r="G330" i="1"/>
  <c r="H330" i="1"/>
  <c r="G331" i="1"/>
  <c r="H331" i="1"/>
  <c r="G332" i="1"/>
  <c r="H332" i="1"/>
  <c r="G333" i="1"/>
  <c r="H333" i="1"/>
  <c r="G334" i="1"/>
  <c r="H334" i="1"/>
  <c r="G335" i="1"/>
  <c r="H335" i="1"/>
  <c r="G336" i="1"/>
  <c r="H336" i="1"/>
  <c r="G337" i="1"/>
  <c r="H337" i="1"/>
  <c r="G338" i="1"/>
  <c r="H338" i="1"/>
  <c r="G339" i="1"/>
  <c r="H339" i="1"/>
  <c r="G340" i="1"/>
  <c r="H340" i="1"/>
  <c r="G341" i="1"/>
  <c r="H341" i="1"/>
  <c r="G342" i="1"/>
  <c r="H342" i="1"/>
  <c r="G343" i="1"/>
  <c r="H343" i="1"/>
  <c r="G344" i="1"/>
  <c r="H344" i="1"/>
  <c r="G345" i="1"/>
  <c r="H345" i="1"/>
  <c r="G346" i="1"/>
  <c r="H346" i="1"/>
  <c r="G347" i="1"/>
  <c r="H347" i="1"/>
  <c r="G348" i="1"/>
  <c r="H348" i="1"/>
  <c r="G349" i="1"/>
  <c r="H349" i="1"/>
  <c r="G350" i="1"/>
  <c r="H350" i="1"/>
  <c r="G351" i="1"/>
  <c r="H351" i="1"/>
  <c r="G352" i="1"/>
  <c r="H352" i="1"/>
  <c r="G353" i="1"/>
  <c r="H353" i="1"/>
  <c r="G354" i="1"/>
  <c r="H354" i="1"/>
  <c r="G355" i="1"/>
  <c r="H355" i="1"/>
  <c r="G356" i="1"/>
  <c r="H356" i="1"/>
  <c r="G357" i="1"/>
  <c r="H357" i="1"/>
  <c r="G358" i="1"/>
  <c r="H358" i="1"/>
  <c r="G359" i="1"/>
  <c r="H359" i="1"/>
  <c r="G360" i="1"/>
  <c r="H360" i="1"/>
  <c r="G361" i="1"/>
  <c r="H361" i="1"/>
  <c r="G362" i="1"/>
  <c r="H362" i="1"/>
  <c r="G363" i="1"/>
  <c r="H363" i="1"/>
  <c r="G364" i="1"/>
  <c r="H364" i="1"/>
  <c r="G365" i="1"/>
  <c r="H365" i="1"/>
  <c r="G366" i="1"/>
  <c r="H366" i="1"/>
  <c r="G367" i="1"/>
  <c r="H367" i="1"/>
  <c r="G368" i="1"/>
  <c r="H368" i="1"/>
  <c r="G369" i="1"/>
  <c r="H369" i="1"/>
  <c r="G370" i="1"/>
  <c r="H370" i="1"/>
  <c r="G371" i="1"/>
  <c r="H371" i="1"/>
  <c r="G372" i="1"/>
  <c r="H372" i="1"/>
  <c r="G373" i="1"/>
  <c r="H373" i="1"/>
  <c r="G374" i="1"/>
  <c r="H374" i="1"/>
  <c r="G375" i="1"/>
  <c r="H375" i="1"/>
  <c r="G376" i="1"/>
  <c r="H376" i="1"/>
  <c r="G377" i="1"/>
  <c r="H377" i="1"/>
  <c r="G378" i="1"/>
  <c r="H378" i="1"/>
  <c r="G379" i="1"/>
  <c r="H379" i="1"/>
  <c r="G380" i="1"/>
  <c r="H380" i="1"/>
  <c r="G381" i="1"/>
  <c r="H381" i="1"/>
  <c r="G382" i="1"/>
  <c r="H382" i="1"/>
  <c r="G383" i="1"/>
  <c r="H383" i="1"/>
  <c r="G384" i="1"/>
  <c r="H384" i="1"/>
  <c r="G385" i="1"/>
  <c r="H385" i="1"/>
  <c r="G386" i="1"/>
  <c r="H386" i="1"/>
  <c r="G387" i="1"/>
  <c r="H387" i="1"/>
  <c r="G388" i="1"/>
  <c r="H388" i="1"/>
  <c r="G389" i="1"/>
  <c r="H389" i="1"/>
  <c r="G390" i="1"/>
  <c r="H390" i="1"/>
  <c r="G391" i="1"/>
  <c r="H391" i="1"/>
  <c r="G392" i="1"/>
  <c r="H392" i="1"/>
  <c r="G393" i="1"/>
  <c r="H393" i="1"/>
  <c r="G394" i="1"/>
  <c r="H394" i="1"/>
  <c r="G395" i="1"/>
  <c r="H395" i="1"/>
  <c r="G396" i="1"/>
  <c r="H396" i="1"/>
  <c r="G397" i="1"/>
  <c r="H397" i="1"/>
  <c r="G398" i="1"/>
  <c r="H398" i="1"/>
  <c r="G399" i="1"/>
  <c r="H399" i="1"/>
  <c r="G400" i="1"/>
  <c r="H400" i="1"/>
  <c r="G401" i="1"/>
  <c r="H401" i="1"/>
  <c r="G402" i="1"/>
  <c r="H402" i="1"/>
  <c r="G403" i="1"/>
  <c r="H403" i="1"/>
  <c r="G404" i="1"/>
  <c r="H404" i="1"/>
  <c r="G405" i="1"/>
  <c r="H405" i="1"/>
  <c r="G406" i="1"/>
  <c r="H406" i="1"/>
  <c r="G407" i="1"/>
  <c r="H407" i="1"/>
  <c r="G408" i="1"/>
  <c r="H408" i="1"/>
  <c r="G409" i="1"/>
  <c r="H409" i="1"/>
  <c r="G410" i="1"/>
  <c r="H410" i="1"/>
  <c r="G411" i="1"/>
  <c r="H411" i="1"/>
  <c r="G412" i="1"/>
  <c r="H412" i="1"/>
  <c r="G413" i="1"/>
  <c r="H413" i="1"/>
  <c r="G414" i="1"/>
  <c r="H414" i="1"/>
  <c r="G415" i="1"/>
  <c r="H415" i="1"/>
  <c r="G416" i="1"/>
  <c r="H416" i="1"/>
  <c r="G417" i="1"/>
  <c r="H417" i="1"/>
  <c r="G418" i="1"/>
  <c r="H418" i="1"/>
  <c r="G419" i="1"/>
  <c r="H419" i="1"/>
  <c r="G420" i="1"/>
  <c r="H420" i="1"/>
  <c r="G421" i="1"/>
  <c r="H421" i="1"/>
  <c r="G422" i="1"/>
  <c r="H422" i="1"/>
  <c r="G423" i="1"/>
  <c r="H423" i="1"/>
  <c r="G424" i="1"/>
  <c r="H424" i="1"/>
  <c r="G425" i="1"/>
  <c r="H425" i="1"/>
  <c r="G426" i="1"/>
  <c r="H426" i="1"/>
  <c r="G427" i="1"/>
  <c r="H427" i="1"/>
  <c r="G428" i="1"/>
  <c r="H428" i="1"/>
  <c r="G429" i="1"/>
  <c r="H429" i="1"/>
  <c r="G430" i="1"/>
  <c r="H430" i="1"/>
  <c r="G431" i="1"/>
  <c r="H431" i="1"/>
  <c r="G432" i="1"/>
  <c r="H432" i="1"/>
  <c r="G433" i="1"/>
  <c r="H433" i="1"/>
  <c r="G434" i="1"/>
  <c r="H434" i="1"/>
  <c r="G435" i="1"/>
  <c r="H435" i="1"/>
  <c r="G436" i="1"/>
  <c r="H436" i="1"/>
  <c r="G437" i="1"/>
  <c r="H437" i="1"/>
  <c r="G438" i="1"/>
  <c r="H438" i="1"/>
  <c r="G439" i="1"/>
  <c r="H439" i="1"/>
  <c r="G440" i="1"/>
  <c r="H440" i="1"/>
  <c r="G441" i="1"/>
  <c r="H441" i="1"/>
  <c r="G442" i="1"/>
  <c r="H442" i="1"/>
  <c r="G443" i="1"/>
  <c r="H443" i="1"/>
  <c r="G444" i="1"/>
  <c r="H444" i="1"/>
  <c r="G445" i="1"/>
  <c r="H445" i="1"/>
  <c r="G446" i="1"/>
  <c r="H446" i="1"/>
  <c r="G447" i="1"/>
  <c r="H447" i="1"/>
  <c r="G448" i="1"/>
  <c r="H448" i="1"/>
  <c r="G449" i="1"/>
  <c r="H449" i="1"/>
  <c r="G450" i="1"/>
  <c r="H450" i="1"/>
  <c r="G451" i="1"/>
  <c r="H451" i="1"/>
  <c r="G452" i="1"/>
  <c r="H452" i="1"/>
  <c r="G453" i="1"/>
  <c r="H453" i="1"/>
  <c r="G454" i="1"/>
  <c r="H454" i="1"/>
  <c r="G455" i="1"/>
  <c r="H455" i="1"/>
  <c r="G456" i="1"/>
  <c r="H456" i="1"/>
  <c r="G457" i="1"/>
  <c r="H457" i="1"/>
  <c r="G458" i="1"/>
  <c r="H458" i="1"/>
  <c r="G459" i="1"/>
  <c r="H459" i="1"/>
  <c r="G460" i="1"/>
  <c r="H460" i="1"/>
  <c r="G461" i="1"/>
  <c r="H461" i="1"/>
  <c r="G462" i="1"/>
  <c r="H462" i="1"/>
  <c r="G463" i="1"/>
  <c r="H463" i="1"/>
  <c r="G464" i="1"/>
  <c r="H464" i="1"/>
  <c r="G465" i="1"/>
  <c r="H465" i="1"/>
  <c r="G466" i="1"/>
  <c r="H466" i="1"/>
  <c r="G467" i="1"/>
  <c r="H467" i="1"/>
  <c r="G468" i="1"/>
  <c r="H468" i="1"/>
  <c r="G469" i="1"/>
  <c r="H469" i="1"/>
  <c r="G470" i="1"/>
  <c r="H470" i="1"/>
  <c r="G471" i="1"/>
  <c r="H471" i="1"/>
  <c r="G472" i="1"/>
  <c r="H472" i="1"/>
  <c r="G473" i="1"/>
  <c r="H473" i="1"/>
  <c r="G474" i="1"/>
  <c r="H474" i="1"/>
  <c r="G475" i="1"/>
  <c r="H475" i="1"/>
  <c r="G476" i="1"/>
  <c r="H476" i="1"/>
  <c r="G477" i="1"/>
  <c r="H477" i="1"/>
  <c r="G478" i="1"/>
  <c r="H478" i="1"/>
  <c r="G479" i="1"/>
  <c r="H479" i="1"/>
  <c r="G480" i="1"/>
  <c r="H480" i="1"/>
  <c r="G481" i="1"/>
  <c r="H481" i="1"/>
  <c r="G482" i="1"/>
  <c r="H482" i="1"/>
  <c r="G483" i="1"/>
  <c r="H483" i="1"/>
  <c r="G484" i="1"/>
  <c r="H484" i="1"/>
  <c r="G485" i="1"/>
  <c r="H485" i="1"/>
  <c r="G486" i="1"/>
  <c r="H486" i="1"/>
  <c r="G487" i="1"/>
  <c r="H487" i="1"/>
  <c r="G488" i="1"/>
  <c r="H488" i="1"/>
  <c r="G489" i="1"/>
  <c r="H489" i="1"/>
  <c r="G490" i="1"/>
  <c r="H490" i="1"/>
  <c r="G491" i="1"/>
  <c r="H491" i="1"/>
  <c r="G492" i="1"/>
  <c r="H492" i="1"/>
  <c r="G493" i="1"/>
  <c r="H493" i="1"/>
  <c r="G494" i="1"/>
  <c r="H494" i="1"/>
  <c r="G495" i="1"/>
  <c r="H495" i="1"/>
  <c r="G496" i="1"/>
  <c r="H496" i="1"/>
  <c r="G497" i="1"/>
  <c r="H497" i="1"/>
  <c r="G498" i="1"/>
  <c r="H498" i="1"/>
  <c r="G499" i="1"/>
  <c r="H499" i="1"/>
  <c r="G500" i="1"/>
  <c r="H500" i="1"/>
  <c r="G501" i="1"/>
  <c r="H501" i="1"/>
  <c r="G502" i="1"/>
  <c r="H502" i="1"/>
  <c r="G503" i="1"/>
  <c r="H503" i="1"/>
  <c r="G504" i="1"/>
  <c r="H504" i="1"/>
  <c r="G505" i="1"/>
  <c r="H505" i="1"/>
  <c r="G506" i="1"/>
  <c r="H506" i="1"/>
  <c r="G507" i="1"/>
  <c r="H507" i="1"/>
  <c r="G508" i="1"/>
  <c r="H508" i="1"/>
  <c r="G509" i="1"/>
  <c r="H509" i="1"/>
  <c r="G510" i="1"/>
  <c r="H510" i="1"/>
  <c r="G511" i="1"/>
  <c r="H511" i="1"/>
  <c r="G512" i="1"/>
  <c r="H512" i="1"/>
  <c r="G513" i="1"/>
  <c r="H513" i="1"/>
  <c r="G514" i="1"/>
  <c r="H514" i="1"/>
  <c r="G515" i="1"/>
  <c r="H515" i="1"/>
  <c r="G516" i="1"/>
  <c r="H516" i="1"/>
  <c r="G517" i="1"/>
  <c r="H517" i="1"/>
  <c r="G518" i="1"/>
  <c r="H518" i="1"/>
  <c r="G519" i="1"/>
  <c r="H519" i="1"/>
  <c r="G520" i="1"/>
  <c r="H520" i="1"/>
  <c r="G521" i="1"/>
  <c r="H521" i="1"/>
  <c r="G522" i="1"/>
  <c r="H522" i="1"/>
  <c r="G523" i="1"/>
  <c r="H523" i="1"/>
  <c r="G524" i="1"/>
  <c r="H524" i="1"/>
  <c r="G525" i="1"/>
  <c r="H525" i="1"/>
  <c r="G526" i="1"/>
  <c r="H526" i="1"/>
  <c r="G527" i="1"/>
  <c r="H527" i="1"/>
  <c r="G528" i="1"/>
  <c r="H528" i="1"/>
  <c r="G529" i="1"/>
  <c r="H529" i="1"/>
  <c r="G530" i="1"/>
  <c r="H530" i="1"/>
  <c r="G531" i="1"/>
  <c r="H531" i="1"/>
  <c r="G532" i="1"/>
  <c r="H532" i="1"/>
  <c r="G533" i="1"/>
  <c r="H533" i="1"/>
  <c r="G534" i="1"/>
  <c r="H534" i="1"/>
  <c r="G535" i="1"/>
  <c r="H535" i="1"/>
  <c r="G536" i="1"/>
  <c r="H536" i="1"/>
  <c r="G537" i="1"/>
  <c r="H537" i="1"/>
  <c r="G538" i="1"/>
  <c r="H538" i="1"/>
  <c r="G539" i="1"/>
  <c r="H539" i="1"/>
  <c r="G540" i="1"/>
  <c r="H540" i="1"/>
  <c r="G541" i="1"/>
  <c r="H541" i="1"/>
  <c r="G542" i="1"/>
  <c r="H542" i="1"/>
  <c r="G543" i="1"/>
  <c r="H543" i="1"/>
  <c r="G544" i="1"/>
  <c r="H544" i="1"/>
  <c r="G545" i="1"/>
  <c r="H545" i="1"/>
  <c r="G546" i="1"/>
  <c r="H546" i="1"/>
  <c r="G547" i="1"/>
  <c r="H547" i="1"/>
  <c r="G548" i="1"/>
  <c r="H548" i="1"/>
  <c r="G549" i="1"/>
  <c r="H549" i="1"/>
  <c r="G550" i="1"/>
  <c r="H550" i="1"/>
  <c r="G551" i="1"/>
  <c r="H551" i="1"/>
  <c r="G552" i="1"/>
  <c r="H552" i="1"/>
  <c r="G553" i="1"/>
  <c r="H553" i="1"/>
  <c r="G554" i="1"/>
  <c r="H554" i="1"/>
  <c r="G555" i="1"/>
  <c r="H555" i="1"/>
  <c r="G556" i="1"/>
  <c r="H556" i="1"/>
  <c r="G557" i="1"/>
  <c r="H557" i="1"/>
  <c r="G558" i="1"/>
  <c r="H558" i="1"/>
  <c r="G559" i="1"/>
  <c r="H559" i="1"/>
  <c r="G560" i="1"/>
  <c r="H560" i="1"/>
  <c r="G561" i="1"/>
  <c r="H561" i="1"/>
  <c r="G562" i="1"/>
  <c r="H562" i="1"/>
  <c r="G563" i="1"/>
  <c r="H563" i="1"/>
  <c r="G564" i="1"/>
  <c r="H564" i="1"/>
  <c r="G565" i="1"/>
  <c r="H565" i="1"/>
  <c r="G566" i="1"/>
  <c r="H566" i="1"/>
  <c r="G567" i="1"/>
  <c r="H567" i="1"/>
  <c r="G568" i="1"/>
  <c r="H568" i="1"/>
  <c r="G569" i="1"/>
  <c r="H569" i="1"/>
  <c r="G570" i="1"/>
  <c r="H570" i="1"/>
  <c r="G571" i="1"/>
  <c r="H571" i="1"/>
  <c r="G572" i="1"/>
  <c r="H572" i="1"/>
  <c r="G573" i="1"/>
  <c r="H573" i="1"/>
  <c r="G574" i="1"/>
  <c r="H574" i="1"/>
  <c r="G575" i="1"/>
  <c r="H575" i="1"/>
  <c r="G576" i="1"/>
  <c r="H576" i="1"/>
  <c r="G577" i="1"/>
  <c r="H577" i="1"/>
  <c r="G578" i="1"/>
  <c r="H578" i="1"/>
  <c r="G579" i="1"/>
  <c r="H579" i="1"/>
  <c r="G580" i="1"/>
  <c r="H580" i="1"/>
  <c r="G581" i="1"/>
  <c r="H581" i="1"/>
  <c r="G582" i="1"/>
  <c r="H582" i="1"/>
  <c r="G583" i="1"/>
  <c r="H583" i="1"/>
  <c r="G584" i="1"/>
  <c r="H584" i="1"/>
  <c r="G585" i="1"/>
  <c r="H585" i="1"/>
  <c r="G586" i="1"/>
  <c r="H586" i="1"/>
  <c r="G587" i="1"/>
  <c r="H587" i="1"/>
  <c r="G588" i="1"/>
  <c r="H588" i="1"/>
  <c r="G589" i="1"/>
  <c r="H589" i="1"/>
  <c r="G590" i="1"/>
  <c r="H590" i="1"/>
  <c r="G591" i="1"/>
  <c r="H591" i="1"/>
  <c r="G592" i="1"/>
  <c r="H592" i="1"/>
  <c r="G593" i="1"/>
  <c r="H593" i="1"/>
  <c r="G594" i="1"/>
  <c r="H594" i="1"/>
  <c r="G595" i="1"/>
  <c r="H595" i="1"/>
  <c r="G596" i="1"/>
  <c r="H596" i="1"/>
  <c r="G597" i="1"/>
  <c r="H597" i="1"/>
  <c r="G598" i="1"/>
  <c r="H598" i="1"/>
  <c r="G599" i="1"/>
  <c r="H599" i="1"/>
  <c r="G600" i="1"/>
  <c r="H600" i="1"/>
  <c r="G601" i="1"/>
  <c r="H601" i="1"/>
  <c r="G602" i="1"/>
  <c r="H602" i="1"/>
  <c r="G603" i="1"/>
  <c r="H603" i="1"/>
  <c r="G604" i="1"/>
  <c r="H604" i="1"/>
  <c r="G605" i="1"/>
  <c r="H605" i="1"/>
  <c r="G606" i="1"/>
  <c r="H606" i="1"/>
  <c r="G607" i="1"/>
  <c r="H607" i="1"/>
  <c r="G608" i="1"/>
  <c r="H608" i="1"/>
  <c r="G609" i="1"/>
  <c r="H609" i="1"/>
  <c r="G610" i="1"/>
  <c r="H610" i="1"/>
  <c r="G611" i="1"/>
  <c r="H611" i="1"/>
  <c r="G612" i="1"/>
  <c r="H612" i="1"/>
  <c r="G613" i="1"/>
  <c r="H613" i="1"/>
  <c r="G614" i="1"/>
  <c r="H614" i="1"/>
  <c r="G615" i="1"/>
  <c r="H615" i="1"/>
  <c r="G616" i="1"/>
  <c r="H616" i="1"/>
  <c r="G617" i="1"/>
  <c r="H617" i="1"/>
  <c r="G618" i="1"/>
  <c r="H618" i="1"/>
  <c r="G619" i="1"/>
  <c r="H619" i="1"/>
  <c r="G620" i="1"/>
  <c r="H620" i="1"/>
  <c r="G621" i="1"/>
  <c r="H621" i="1"/>
  <c r="G622" i="1"/>
  <c r="H622" i="1"/>
  <c r="G623" i="1"/>
  <c r="H623" i="1"/>
  <c r="G624" i="1"/>
  <c r="H624" i="1"/>
  <c r="G625" i="1"/>
  <c r="H625" i="1"/>
  <c r="G626" i="1"/>
  <c r="H626" i="1"/>
  <c r="G627" i="1"/>
  <c r="H627" i="1"/>
  <c r="G628" i="1"/>
  <c r="H628" i="1"/>
  <c r="G629" i="1"/>
  <c r="H629" i="1"/>
  <c r="G630" i="1"/>
  <c r="H630" i="1"/>
  <c r="G631" i="1"/>
  <c r="H631" i="1"/>
  <c r="G632" i="1"/>
  <c r="H632" i="1"/>
  <c r="G633" i="1"/>
  <c r="H633" i="1"/>
  <c r="G634" i="1"/>
  <c r="H634" i="1"/>
  <c r="G635" i="1"/>
  <c r="H635" i="1"/>
  <c r="G636" i="1"/>
  <c r="H636" i="1"/>
  <c r="G637" i="1"/>
  <c r="H637" i="1"/>
  <c r="G638" i="1"/>
  <c r="H638" i="1"/>
  <c r="G639" i="1"/>
  <c r="H639" i="1"/>
  <c r="G640" i="1"/>
  <c r="H640" i="1"/>
  <c r="G641" i="1"/>
  <c r="H641" i="1"/>
  <c r="G642" i="1"/>
  <c r="H642" i="1"/>
  <c r="G643" i="1"/>
  <c r="H643" i="1"/>
  <c r="G644" i="1"/>
  <c r="H644" i="1"/>
  <c r="G645" i="1"/>
  <c r="H645" i="1"/>
  <c r="G646" i="1"/>
  <c r="H646" i="1"/>
  <c r="G647" i="1"/>
  <c r="H647" i="1"/>
  <c r="G648" i="1"/>
  <c r="H648" i="1"/>
  <c r="G649" i="1"/>
  <c r="H649" i="1"/>
  <c r="G650" i="1"/>
  <c r="H650" i="1"/>
  <c r="G651" i="1"/>
  <c r="H651" i="1"/>
  <c r="G652" i="1"/>
  <c r="H652" i="1"/>
  <c r="G653" i="1"/>
  <c r="H653" i="1"/>
  <c r="G654" i="1"/>
  <c r="H654" i="1"/>
  <c r="G655" i="1"/>
  <c r="H655" i="1"/>
  <c r="G656" i="1"/>
  <c r="H656" i="1"/>
  <c r="G657" i="1"/>
  <c r="H657" i="1"/>
  <c r="G658" i="1"/>
  <c r="H658" i="1"/>
  <c r="G659" i="1"/>
  <c r="H659" i="1"/>
  <c r="G660" i="1"/>
  <c r="H660" i="1"/>
  <c r="G661" i="1"/>
  <c r="H661" i="1"/>
  <c r="G662" i="1"/>
  <c r="H662" i="1"/>
  <c r="G663" i="1"/>
  <c r="H663" i="1"/>
  <c r="G664" i="1"/>
  <c r="H664" i="1"/>
  <c r="G665" i="1"/>
  <c r="H665" i="1"/>
  <c r="G666" i="1"/>
  <c r="H666" i="1"/>
  <c r="G667" i="1"/>
  <c r="H667" i="1"/>
  <c r="G668" i="1"/>
  <c r="H668" i="1"/>
  <c r="G669" i="1"/>
  <c r="H669" i="1"/>
  <c r="G670" i="1"/>
  <c r="H670" i="1"/>
  <c r="G671" i="1"/>
  <c r="H671" i="1"/>
  <c r="G672" i="1"/>
  <c r="H672" i="1"/>
  <c r="G673" i="1"/>
  <c r="H673" i="1"/>
  <c r="G674" i="1"/>
  <c r="H674" i="1"/>
  <c r="G675" i="1"/>
  <c r="H675" i="1"/>
  <c r="G676" i="1"/>
  <c r="H676" i="1"/>
  <c r="G677" i="1"/>
  <c r="H677" i="1"/>
  <c r="G678" i="1"/>
  <c r="H678" i="1"/>
  <c r="G679" i="1"/>
  <c r="H679" i="1"/>
  <c r="G680" i="1"/>
  <c r="H680" i="1"/>
  <c r="G681" i="1"/>
  <c r="H681" i="1"/>
  <c r="G682" i="1"/>
  <c r="H682" i="1"/>
  <c r="G683" i="1"/>
  <c r="H683" i="1"/>
  <c r="G684" i="1"/>
  <c r="H684" i="1"/>
  <c r="G685" i="1"/>
  <c r="H685" i="1"/>
  <c r="G686" i="1"/>
  <c r="H686" i="1"/>
  <c r="G687" i="1"/>
  <c r="H687" i="1"/>
  <c r="G688" i="1"/>
  <c r="H688" i="1"/>
  <c r="G689" i="1"/>
  <c r="H689" i="1"/>
  <c r="G690" i="1"/>
  <c r="H690" i="1"/>
  <c r="G691" i="1"/>
  <c r="H691" i="1"/>
  <c r="G692" i="1"/>
  <c r="H692" i="1"/>
  <c r="G693" i="1"/>
  <c r="H693" i="1"/>
  <c r="G694" i="1"/>
  <c r="H694" i="1"/>
  <c r="G695" i="1"/>
  <c r="H695" i="1"/>
  <c r="G696" i="1"/>
  <c r="H696" i="1"/>
  <c r="G697" i="1"/>
  <c r="H697" i="1"/>
  <c r="G698" i="1"/>
  <c r="H698" i="1"/>
  <c r="G699" i="1"/>
  <c r="H699" i="1"/>
  <c r="G700" i="1"/>
  <c r="H700" i="1"/>
  <c r="G701" i="1"/>
  <c r="H701" i="1"/>
  <c r="G702" i="1"/>
  <c r="H702" i="1"/>
  <c r="G703" i="1"/>
  <c r="H703" i="1"/>
  <c r="G704" i="1"/>
  <c r="H704" i="1"/>
  <c r="G705" i="1"/>
  <c r="H705" i="1"/>
  <c r="G706" i="1"/>
  <c r="H706" i="1"/>
  <c r="G707" i="1"/>
  <c r="H707" i="1"/>
  <c r="G708" i="1"/>
  <c r="H708" i="1"/>
  <c r="G709" i="1"/>
  <c r="H709" i="1"/>
  <c r="G710" i="1"/>
  <c r="H710" i="1"/>
  <c r="G711" i="1"/>
  <c r="H711" i="1"/>
  <c r="G712" i="1"/>
  <c r="H712" i="1"/>
  <c r="G713" i="1"/>
  <c r="H713" i="1"/>
  <c r="G714" i="1"/>
  <c r="H714" i="1"/>
  <c r="G715" i="1"/>
  <c r="H715" i="1"/>
  <c r="G716" i="1"/>
  <c r="H716" i="1"/>
  <c r="G717" i="1"/>
  <c r="H717" i="1"/>
  <c r="G718" i="1"/>
  <c r="H718" i="1"/>
  <c r="G719" i="1"/>
  <c r="H719" i="1"/>
  <c r="G720" i="1"/>
  <c r="H720" i="1"/>
  <c r="G721" i="1"/>
  <c r="H721" i="1"/>
  <c r="G722" i="1"/>
  <c r="H722" i="1"/>
  <c r="G723" i="1"/>
  <c r="H723" i="1"/>
  <c r="G724" i="1"/>
  <c r="H724" i="1"/>
  <c r="G725" i="1"/>
  <c r="H725" i="1"/>
  <c r="G726" i="1"/>
  <c r="H726" i="1"/>
  <c r="G727" i="1"/>
  <c r="H727" i="1"/>
  <c r="G728" i="1"/>
  <c r="H728" i="1"/>
  <c r="G729" i="1"/>
  <c r="H729" i="1"/>
  <c r="G730" i="1"/>
  <c r="H730" i="1"/>
  <c r="G731" i="1"/>
  <c r="H731" i="1"/>
  <c r="G732" i="1"/>
  <c r="H732" i="1"/>
  <c r="G733" i="1"/>
  <c r="H733" i="1"/>
  <c r="G734" i="1"/>
  <c r="H734" i="1"/>
  <c r="G735" i="1"/>
  <c r="H735" i="1"/>
  <c r="G736" i="1"/>
  <c r="H736" i="1"/>
  <c r="G737" i="1"/>
  <c r="H737" i="1"/>
  <c r="G738" i="1"/>
  <c r="H738" i="1"/>
  <c r="G739" i="1"/>
  <c r="H739" i="1"/>
  <c r="G740" i="1"/>
  <c r="H740" i="1"/>
  <c r="G741" i="1"/>
  <c r="H741" i="1"/>
  <c r="G742" i="1"/>
  <c r="H742" i="1"/>
  <c r="G743" i="1"/>
  <c r="H743" i="1"/>
  <c r="G744" i="1"/>
  <c r="H744" i="1"/>
  <c r="G745" i="1"/>
  <c r="H745" i="1"/>
  <c r="G746" i="1"/>
  <c r="H746" i="1"/>
  <c r="G747" i="1"/>
  <c r="H747" i="1"/>
  <c r="G748" i="1"/>
  <c r="H748" i="1"/>
  <c r="G749" i="1"/>
  <c r="H749" i="1"/>
  <c r="G750" i="1"/>
  <c r="H750" i="1"/>
  <c r="G751" i="1"/>
  <c r="H751" i="1"/>
  <c r="G752" i="1"/>
  <c r="H752" i="1"/>
  <c r="G753" i="1"/>
  <c r="H753" i="1"/>
  <c r="G754" i="1"/>
  <c r="H754" i="1"/>
  <c r="G755" i="1"/>
  <c r="H755" i="1"/>
  <c r="G756" i="1"/>
  <c r="H756" i="1"/>
  <c r="G757" i="1"/>
  <c r="H757" i="1"/>
  <c r="G758" i="1"/>
  <c r="H758" i="1"/>
  <c r="G759" i="1"/>
  <c r="H759" i="1"/>
  <c r="G760" i="1"/>
  <c r="H760" i="1"/>
  <c r="G761" i="1"/>
  <c r="H761" i="1"/>
  <c r="G762" i="1"/>
  <c r="H762" i="1"/>
  <c r="G763" i="1"/>
  <c r="H763" i="1"/>
  <c r="G764" i="1"/>
  <c r="H764" i="1"/>
  <c r="G765" i="1"/>
  <c r="H765" i="1"/>
  <c r="G766" i="1"/>
  <c r="H766" i="1"/>
  <c r="G767" i="1"/>
  <c r="H767" i="1"/>
  <c r="G768" i="1"/>
  <c r="H768" i="1"/>
  <c r="G769" i="1"/>
  <c r="H769" i="1"/>
  <c r="G770" i="1"/>
  <c r="H770" i="1"/>
  <c r="G771" i="1"/>
  <c r="H771" i="1"/>
  <c r="G772" i="1"/>
  <c r="H772" i="1"/>
  <c r="G773" i="1"/>
  <c r="H773" i="1"/>
  <c r="G774" i="1"/>
  <c r="H774" i="1"/>
  <c r="G775" i="1"/>
  <c r="H775" i="1"/>
  <c r="G776" i="1"/>
  <c r="H776" i="1"/>
  <c r="G777" i="1"/>
  <c r="H777" i="1"/>
  <c r="G778" i="1"/>
  <c r="H778" i="1"/>
  <c r="G779" i="1"/>
  <c r="H779" i="1"/>
  <c r="G780" i="1"/>
  <c r="H780" i="1"/>
  <c r="G781" i="1"/>
  <c r="H781" i="1"/>
  <c r="G782" i="1"/>
  <c r="H782" i="1"/>
  <c r="G783" i="1"/>
  <c r="H783" i="1"/>
  <c r="G784" i="1"/>
  <c r="H784" i="1"/>
  <c r="G785" i="1"/>
  <c r="H785" i="1"/>
  <c r="G786" i="1"/>
  <c r="H786" i="1"/>
  <c r="G787" i="1"/>
  <c r="H787" i="1"/>
  <c r="G788" i="1"/>
  <c r="H788" i="1"/>
  <c r="G789" i="1"/>
  <c r="H789" i="1"/>
  <c r="G790" i="1"/>
  <c r="H790" i="1"/>
  <c r="G791" i="1"/>
  <c r="H791" i="1"/>
  <c r="G792" i="1"/>
  <c r="H792" i="1"/>
  <c r="G793" i="1"/>
  <c r="H793" i="1"/>
  <c r="G794" i="1"/>
  <c r="H794" i="1"/>
  <c r="G795" i="1"/>
  <c r="H795" i="1"/>
  <c r="G796" i="1"/>
  <c r="H796" i="1"/>
  <c r="G797" i="1"/>
  <c r="H797" i="1"/>
  <c r="G798" i="1"/>
  <c r="H798" i="1"/>
  <c r="G799" i="1"/>
  <c r="H799" i="1"/>
  <c r="G800" i="1"/>
  <c r="H800" i="1"/>
  <c r="G801" i="1"/>
  <c r="H801" i="1"/>
  <c r="G802" i="1"/>
  <c r="H802" i="1"/>
  <c r="G803" i="1"/>
  <c r="H803" i="1"/>
  <c r="G804" i="1"/>
  <c r="H804" i="1"/>
  <c r="G805" i="1"/>
  <c r="H805" i="1"/>
  <c r="G806" i="1"/>
  <c r="H806" i="1"/>
  <c r="G807" i="1"/>
  <c r="H807" i="1"/>
  <c r="G808" i="1"/>
  <c r="H808" i="1"/>
  <c r="G809" i="1"/>
  <c r="H809" i="1"/>
  <c r="G810" i="1"/>
  <c r="H810" i="1"/>
  <c r="G811" i="1"/>
  <c r="H811" i="1"/>
  <c r="G812" i="1"/>
  <c r="H812" i="1"/>
  <c r="G813" i="1"/>
  <c r="H813" i="1"/>
  <c r="G814" i="1"/>
  <c r="H814" i="1"/>
  <c r="G815" i="1"/>
  <c r="H815" i="1"/>
  <c r="G816" i="1"/>
  <c r="H816" i="1"/>
  <c r="G817" i="1"/>
  <c r="H817" i="1"/>
  <c r="G818" i="1"/>
  <c r="H818" i="1"/>
  <c r="G819" i="1"/>
  <c r="H819" i="1"/>
  <c r="G820" i="1"/>
  <c r="H820" i="1"/>
  <c r="G821" i="1"/>
  <c r="H821" i="1"/>
  <c r="G822" i="1"/>
  <c r="H822" i="1"/>
  <c r="G823" i="1"/>
  <c r="H823" i="1"/>
  <c r="G824" i="1"/>
  <c r="H824" i="1"/>
  <c r="G825" i="1"/>
  <c r="H825" i="1"/>
  <c r="G826" i="1"/>
  <c r="H826" i="1"/>
  <c r="G827" i="1"/>
  <c r="H827" i="1"/>
  <c r="G828" i="1"/>
  <c r="H828" i="1"/>
  <c r="G829" i="1"/>
  <c r="H829" i="1"/>
  <c r="G830" i="1"/>
  <c r="H830" i="1"/>
  <c r="G831" i="1"/>
  <c r="H831" i="1"/>
  <c r="G832" i="1"/>
  <c r="H832" i="1"/>
  <c r="G833" i="1"/>
  <c r="H833" i="1"/>
  <c r="G834" i="1"/>
  <c r="H834" i="1"/>
  <c r="G835" i="1"/>
  <c r="H835" i="1"/>
  <c r="G836" i="1"/>
  <c r="H836" i="1"/>
  <c r="G837" i="1"/>
  <c r="H837" i="1"/>
  <c r="G838" i="1"/>
  <c r="H838" i="1"/>
  <c r="G839" i="1"/>
  <c r="H839" i="1"/>
  <c r="G840" i="1"/>
  <c r="H840" i="1"/>
  <c r="G841" i="1"/>
  <c r="H841" i="1"/>
  <c r="G842" i="1"/>
  <c r="H842" i="1"/>
  <c r="G843" i="1"/>
  <c r="H843" i="1"/>
  <c r="G844" i="1"/>
  <c r="H844" i="1"/>
  <c r="G845" i="1"/>
  <c r="H845" i="1"/>
  <c r="G846" i="1"/>
  <c r="H846" i="1"/>
  <c r="G847" i="1"/>
  <c r="H847" i="1"/>
  <c r="G848" i="1"/>
  <c r="H848" i="1"/>
  <c r="G849" i="1"/>
  <c r="H849" i="1"/>
  <c r="G850" i="1"/>
  <c r="H850" i="1"/>
  <c r="G851" i="1"/>
  <c r="H851" i="1"/>
  <c r="G852" i="1"/>
  <c r="H852" i="1"/>
  <c r="G853" i="1"/>
  <c r="H853" i="1"/>
  <c r="G854" i="1"/>
  <c r="H854" i="1"/>
  <c r="G855" i="1"/>
  <c r="H855" i="1"/>
  <c r="G856" i="1"/>
  <c r="H856" i="1"/>
  <c r="G857" i="1"/>
  <c r="H857" i="1"/>
  <c r="G858" i="1"/>
  <c r="H858" i="1"/>
  <c r="G859" i="1"/>
  <c r="H859" i="1"/>
  <c r="G860" i="1"/>
  <c r="H860" i="1"/>
  <c r="G861" i="1"/>
  <c r="H861" i="1"/>
  <c r="G862" i="1"/>
  <c r="H862" i="1"/>
  <c r="G863" i="1"/>
  <c r="H863" i="1"/>
  <c r="G864" i="1"/>
  <c r="H864" i="1"/>
  <c r="G865" i="1"/>
  <c r="H865" i="1"/>
  <c r="G866" i="1"/>
  <c r="H866" i="1"/>
  <c r="G867" i="1"/>
  <c r="H867" i="1"/>
  <c r="G868" i="1"/>
  <c r="H868" i="1"/>
  <c r="G869" i="1"/>
  <c r="H869" i="1"/>
  <c r="G870" i="1"/>
  <c r="H870" i="1"/>
  <c r="G871" i="1"/>
  <c r="H871" i="1"/>
  <c r="G872" i="1"/>
  <c r="H872" i="1"/>
  <c r="G873" i="1"/>
  <c r="H873" i="1"/>
  <c r="G874" i="1"/>
  <c r="H874" i="1"/>
  <c r="G875" i="1"/>
  <c r="H875" i="1"/>
  <c r="G876" i="1"/>
  <c r="H876" i="1"/>
  <c r="G877" i="1"/>
  <c r="H877" i="1"/>
  <c r="G878" i="1"/>
  <c r="H878" i="1"/>
  <c r="G879" i="1"/>
  <c r="H879" i="1"/>
  <c r="G880" i="1"/>
  <c r="H880" i="1"/>
  <c r="G881" i="1"/>
  <c r="H881" i="1"/>
  <c r="G882" i="1"/>
  <c r="H882" i="1"/>
  <c r="G883" i="1"/>
  <c r="H883" i="1"/>
  <c r="G884" i="1"/>
  <c r="H884" i="1"/>
  <c r="G885" i="1"/>
  <c r="H885" i="1"/>
  <c r="G886" i="1"/>
  <c r="H886" i="1"/>
  <c r="G887" i="1"/>
  <c r="H887" i="1"/>
  <c r="G888" i="1"/>
  <c r="H888" i="1"/>
  <c r="G889" i="1"/>
  <c r="H889" i="1"/>
  <c r="G890" i="1"/>
  <c r="H890" i="1"/>
  <c r="G891" i="1"/>
  <c r="H891" i="1"/>
  <c r="G892" i="1"/>
  <c r="H892" i="1"/>
  <c r="G893" i="1"/>
  <c r="H893" i="1"/>
  <c r="G894" i="1"/>
  <c r="H894" i="1"/>
  <c r="G895" i="1"/>
  <c r="H895" i="1"/>
  <c r="G896" i="1"/>
  <c r="H896" i="1"/>
  <c r="G897" i="1"/>
  <c r="H897" i="1"/>
  <c r="G898" i="1"/>
  <c r="H898" i="1"/>
  <c r="G899" i="1"/>
  <c r="H899" i="1"/>
  <c r="G900" i="1"/>
  <c r="H900" i="1"/>
  <c r="G901" i="1"/>
  <c r="H901" i="1"/>
  <c r="G902" i="1"/>
  <c r="H902" i="1"/>
  <c r="G903" i="1"/>
  <c r="H903" i="1"/>
  <c r="G904" i="1"/>
  <c r="H904" i="1"/>
  <c r="G905" i="1"/>
  <c r="H905" i="1"/>
  <c r="G906" i="1"/>
  <c r="H906" i="1"/>
  <c r="G907" i="1"/>
  <c r="H907" i="1"/>
  <c r="G908" i="1"/>
  <c r="H908" i="1"/>
  <c r="G909" i="1"/>
  <c r="H909" i="1"/>
  <c r="G910" i="1"/>
  <c r="H910" i="1"/>
  <c r="G911" i="1"/>
  <c r="H911" i="1"/>
  <c r="G912" i="1"/>
  <c r="H912" i="1"/>
  <c r="G913" i="1"/>
  <c r="H913" i="1"/>
  <c r="G914" i="1"/>
  <c r="H914" i="1"/>
  <c r="G915" i="1"/>
  <c r="H915" i="1"/>
  <c r="G916" i="1"/>
  <c r="H916" i="1"/>
  <c r="G917" i="1"/>
  <c r="H917" i="1"/>
  <c r="G918" i="1"/>
  <c r="H918" i="1"/>
  <c r="G919" i="1"/>
  <c r="H919" i="1"/>
  <c r="G920" i="1"/>
  <c r="H920" i="1"/>
  <c r="G921" i="1"/>
  <c r="H921" i="1"/>
  <c r="G922" i="1"/>
  <c r="H922" i="1"/>
  <c r="G923" i="1"/>
  <c r="H923" i="1"/>
  <c r="G924" i="1"/>
  <c r="H924" i="1"/>
  <c r="G925" i="1"/>
  <c r="H925" i="1"/>
  <c r="G926" i="1"/>
  <c r="H926" i="1"/>
  <c r="G927" i="1"/>
  <c r="H927" i="1"/>
  <c r="G928" i="1"/>
  <c r="H928" i="1"/>
  <c r="G929" i="1"/>
  <c r="H929" i="1"/>
  <c r="G930" i="1"/>
  <c r="H930" i="1"/>
  <c r="G931" i="1"/>
  <c r="H931" i="1"/>
  <c r="G932" i="1"/>
  <c r="H932" i="1"/>
  <c r="G933" i="1"/>
  <c r="H933" i="1"/>
  <c r="G934" i="1"/>
  <c r="H934" i="1"/>
  <c r="G935" i="1"/>
  <c r="H935" i="1"/>
  <c r="G936" i="1"/>
  <c r="H936" i="1"/>
  <c r="G937" i="1"/>
  <c r="H937" i="1"/>
  <c r="G938" i="1"/>
  <c r="H938" i="1"/>
  <c r="G939" i="1"/>
  <c r="H939" i="1"/>
  <c r="G940" i="1"/>
  <c r="H940" i="1"/>
  <c r="G941" i="1"/>
  <c r="H941" i="1"/>
  <c r="G942" i="1"/>
  <c r="H942" i="1"/>
  <c r="G943" i="1"/>
  <c r="H943" i="1"/>
  <c r="G944" i="1"/>
  <c r="H944" i="1"/>
  <c r="G945" i="1"/>
  <c r="H945" i="1"/>
  <c r="G946" i="1"/>
  <c r="H946" i="1"/>
  <c r="G947" i="1"/>
  <c r="H947" i="1"/>
  <c r="G948" i="1"/>
  <c r="H948" i="1"/>
  <c r="G949" i="1"/>
  <c r="H949" i="1"/>
  <c r="G950" i="1"/>
  <c r="H950" i="1"/>
  <c r="G951" i="1"/>
  <c r="H951" i="1"/>
  <c r="G952" i="1"/>
  <c r="H952" i="1"/>
  <c r="G953" i="1"/>
  <c r="H953" i="1"/>
  <c r="G954" i="1"/>
  <c r="H954" i="1"/>
  <c r="G955" i="1"/>
  <c r="H955" i="1"/>
  <c r="G956" i="1"/>
  <c r="H956" i="1"/>
  <c r="G957" i="1"/>
  <c r="H957" i="1"/>
  <c r="G958" i="1"/>
  <c r="H958" i="1"/>
  <c r="G959" i="1"/>
  <c r="H959" i="1"/>
  <c r="G960" i="1"/>
  <c r="H960" i="1"/>
  <c r="G961" i="1"/>
  <c r="H961" i="1"/>
  <c r="G962" i="1"/>
  <c r="H962" i="1"/>
  <c r="G963" i="1"/>
  <c r="H963" i="1"/>
  <c r="G964" i="1"/>
  <c r="H964" i="1"/>
  <c r="G965" i="1"/>
  <c r="H965" i="1"/>
  <c r="G966" i="1"/>
  <c r="H966" i="1"/>
  <c r="G967" i="1"/>
  <c r="H967" i="1"/>
  <c r="G968" i="1"/>
  <c r="H968" i="1"/>
  <c r="G969" i="1"/>
  <c r="H969" i="1"/>
  <c r="G970" i="1"/>
  <c r="H970" i="1"/>
  <c r="G971" i="1"/>
  <c r="H971" i="1"/>
  <c r="G972" i="1"/>
  <c r="H972" i="1"/>
  <c r="G973" i="1"/>
  <c r="H973" i="1"/>
  <c r="G974" i="1"/>
  <c r="H974" i="1"/>
  <c r="G975" i="1"/>
  <c r="H975" i="1"/>
  <c r="G976" i="1"/>
  <c r="H976" i="1"/>
  <c r="G977" i="1"/>
  <c r="H977" i="1"/>
  <c r="G978" i="1"/>
  <c r="H978" i="1"/>
  <c r="G979" i="1"/>
  <c r="H979" i="1"/>
  <c r="G980" i="1"/>
  <c r="H980" i="1"/>
  <c r="G981" i="1"/>
  <c r="H981" i="1"/>
  <c r="G982" i="1"/>
  <c r="H982" i="1"/>
  <c r="G983" i="1"/>
  <c r="H983" i="1"/>
  <c r="G984" i="1"/>
  <c r="H984" i="1"/>
  <c r="G985" i="1"/>
  <c r="H985" i="1"/>
  <c r="G986" i="1"/>
  <c r="H986" i="1"/>
  <c r="G987" i="1"/>
  <c r="H987" i="1"/>
  <c r="G988" i="1"/>
  <c r="H988" i="1"/>
  <c r="G989" i="1"/>
  <c r="H989" i="1"/>
  <c r="G990" i="1"/>
  <c r="H990" i="1"/>
  <c r="G991" i="1"/>
  <c r="H991" i="1"/>
  <c r="G992" i="1"/>
  <c r="H992" i="1"/>
  <c r="G993" i="1"/>
  <c r="H993" i="1"/>
  <c r="G994" i="1"/>
  <c r="H994" i="1"/>
  <c r="G995" i="1"/>
  <c r="H995" i="1"/>
  <c r="G996" i="1"/>
  <c r="H996" i="1"/>
  <c r="G997" i="1"/>
  <c r="H997" i="1"/>
  <c r="G998" i="1"/>
  <c r="H998" i="1"/>
  <c r="G999" i="1"/>
  <c r="H999" i="1"/>
  <c r="G1000" i="1"/>
  <c r="H1000" i="1"/>
  <c r="G1001" i="1"/>
  <c r="H1001" i="1"/>
  <c r="G1002" i="1"/>
  <c r="H1002" i="1"/>
  <c r="G1003" i="1"/>
  <c r="H1003" i="1"/>
  <c r="G1004" i="1"/>
  <c r="H1004" i="1"/>
  <c r="G1005" i="1"/>
  <c r="H1005" i="1"/>
  <c r="G1006" i="1"/>
  <c r="H1006" i="1"/>
  <c r="G1007" i="1"/>
  <c r="H1007" i="1"/>
  <c r="G1008" i="1"/>
  <c r="H1008" i="1"/>
  <c r="G1009" i="1"/>
  <c r="H1009" i="1"/>
  <c r="G1010" i="1"/>
  <c r="H1010" i="1"/>
  <c r="G1011" i="1"/>
  <c r="H1011" i="1"/>
  <c r="G1012" i="1"/>
  <c r="H1012" i="1"/>
  <c r="G1013" i="1"/>
  <c r="H1013" i="1"/>
  <c r="G1014" i="1"/>
  <c r="H1014" i="1"/>
  <c r="G1015" i="1"/>
  <c r="H1015" i="1"/>
  <c r="G1016" i="1"/>
  <c r="H1016" i="1"/>
  <c r="G1017" i="1"/>
  <c r="H1017" i="1"/>
  <c r="G1018" i="1"/>
  <c r="H1018" i="1"/>
  <c r="G1019" i="1"/>
  <c r="H1019" i="1"/>
  <c r="G1020" i="1"/>
  <c r="H1020" i="1"/>
  <c r="G1021" i="1"/>
  <c r="H1021" i="1"/>
  <c r="G1022" i="1"/>
  <c r="H1022" i="1"/>
  <c r="G1023" i="1"/>
  <c r="H1023" i="1"/>
  <c r="G1024" i="1"/>
  <c r="H1024" i="1"/>
  <c r="G1025" i="1"/>
  <c r="H1025" i="1"/>
  <c r="G1026" i="1"/>
  <c r="H1026" i="1"/>
  <c r="G1027" i="1"/>
  <c r="H1027" i="1"/>
  <c r="G1028" i="1"/>
  <c r="H1028" i="1"/>
  <c r="G1029" i="1"/>
  <c r="H1029" i="1"/>
  <c r="G1030" i="1"/>
  <c r="H1030" i="1"/>
  <c r="G1031" i="1"/>
  <c r="H1031" i="1"/>
  <c r="G1032" i="1"/>
  <c r="H1032" i="1"/>
  <c r="G1033" i="1"/>
  <c r="H1033" i="1"/>
  <c r="G1034" i="1"/>
  <c r="H1034" i="1"/>
  <c r="G1035" i="1"/>
  <c r="H1035" i="1"/>
  <c r="G1036" i="1"/>
  <c r="H1036" i="1"/>
  <c r="G1037" i="1"/>
  <c r="H1037" i="1"/>
  <c r="G1038" i="1"/>
  <c r="H1038" i="1"/>
  <c r="G1039" i="1"/>
  <c r="H1039" i="1"/>
  <c r="G1040" i="1"/>
  <c r="H1040" i="1"/>
  <c r="G1041" i="1"/>
  <c r="H1041" i="1"/>
  <c r="G1042" i="1"/>
  <c r="H1042" i="1"/>
  <c r="G1043" i="1"/>
  <c r="H1043" i="1"/>
  <c r="G1044" i="1"/>
  <c r="H1044" i="1"/>
  <c r="G1045" i="1"/>
  <c r="H1045" i="1"/>
  <c r="G1046" i="1"/>
  <c r="H1046" i="1"/>
  <c r="G1047" i="1"/>
  <c r="H1047" i="1"/>
  <c r="G1048" i="1"/>
  <c r="H1048" i="1"/>
  <c r="G1049" i="1"/>
  <c r="H1049" i="1"/>
  <c r="G1050" i="1"/>
  <c r="H1050" i="1"/>
  <c r="G1051" i="1"/>
  <c r="H1051" i="1"/>
  <c r="G1052" i="1"/>
  <c r="H1052" i="1"/>
  <c r="G1053" i="1"/>
  <c r="H1053" i="1"/>
  <c r="G1054" i="1"/>
  <c r="H1054" i="1"/>
  <c r="G1055" i="1"/>
  <c r="H1055" i="1"/>
  <c r="G1056" i="1"/>
  <c r="H1056" i="1"/>
  <c r="G1057" i="1"/>
  <c r="H1057" i="1"/>
  <c r="G1058" i="1"/>
  <c r="H1058" i="1"/>
  <c r="G1059" i="1"/>
  <c r="H1059" i="1"/>
  <c r="G1060" i="1"/>
  <c r="H1060" i="1"/>
  <c r="G1061" i="1"/>
  <c r="H1061" i="1"/>
  <c r="G1062" i="1"/>
  <c r="H1062" i="1"/>
  <c r="G1063" i="1"/>
  <c r="H1063" i="1"/>
  <c r="G1064" i="1"/>
  <c r="H1064" i="1"/>
  <c r="G1065" i="1"/>
  <c r="H1065" i="1"/>
  <c r="G1066" i="1"/>
  <c r="H1066" i="1"/>
  <c r="G1067" i="1"/>
  <c r="H1067" i="1"/>
  <c r="G1068" i="1"/>
  <c r="H1068" i="1"/>
  <c r="G1069" i="1"/>
  <c r="H1069" i="1"/>
  <c r="G1070" i="1"/>
  <c r="H1070" i="1"/>
  <c r="G1071" i="1"/>
  <c r="H1071" i="1"/>
  <c r="G1072" i="1"/>
  <c r="H1072" i="1"/>
  <c r="G1073" i="1"/>
  <c r="H1073" i="1"/>
  <c r="G1074" i="1"/>
  <c r="H1074" i="1"/>
  <c r="G1075" i="1"/>
  <c r="H1075" i="1"/>
  <c r="G1076" i="1"/>
  <c r="H1076" i="1"/>
  <c r="G1077" i="1"/>
  <c r="H1077" i="1"/>
  <c r="G1078" i="1"/>
  <c r="H1078" i="1"/>
  <c r="G1079" i="1"/>
  <c r="H1079" i="1"/>
  <c r="G1080" i="1"/>
  <c r="H1080" i="1"/>
  <c r="G1081" i="1"/>
  <c r="H1081" i="1"/>
  <c r="G1082" i="1"/>
  <c r="H1082" i="1"/>
  <c r="G1083" i="1"/>
  <c r="H1083" i="1"/>
  <c r="G1084" i="1"/>
  <c r="H1084" i="1"/>
  <c r="G1085" i="1"/>
  <c r="H1085" i="1"/>
  <c r="G1086" i="1"/>
  <c r="H1086" i="1"/>
  <c r="G1087" i="1"/>
  <c r="H1087" i="1"/>
  <c r="G1088" i="1"/>
  <c r="H1088" i="1"/>
  <c r="G1089" i="1"/>
  <c r="H1089" i="1"/>
  <c r="G1090" i="1"/>
  <c r="H1090" i="1"/>
  <c r="G1091" i="1"/>
  <c r="H1091" i="1"/>
  <c r="G1092" i="1"/>
  <c r="H1092" i="1"/>
  <c r="G1093" i="1"/>
  <c r="H1093" i="1"/>
  <c r="G1094" i="1"/>
  <c r="H1094" i="1"/>
  <c r="G1095" i="1"/>
  <c r="H1095" i="1"/>
  <c r="G1096" i="1"/>
  <c r="H1096" i="1"/>
  <c r="G1097" i="1"/>
  <c r="H1097" i="1"/>
  <c r="G1098" i="1"/>
  <c r="H1098" i="1"/>
  <c r="G1099" i="1"/>
  <c r="H1099" i="1"/>
  <c r="G1100" i="1"/>
  <c r="H1100" i="1"/>
  <c r="G1101" i="1"/>
  <c r="H1101" i="1"/>
  <c r="G1102" i="1"/>
  <c r="H1102" i="1"/>
  <c r="G1103" i="1"/>
  <c r="H1103" i="1"/>
  <c r="G1104" i="1"/>
  <c r="H1104" i="1"/>
  <c r="G1105" i="1"/>
  <c r="H1105" i="1"/>
  <c r="G1106" i="1"/>
  <c r="H1106" i="1"/>
  <c r="G1107" i="1"/>
  <c r="H1107" i="1"/>
  <c r="G1108" i="1"/>
  <c r="H1108" i="1"/>
  <c r="G1109" i="1"/>
  <c r="H1109" i="1"/>
  <c r="G1110" i="1"/>
  <c r="H1110" i="1"/>
  <c r="G1111" i="1"/>
  <c r="H1111" i="1"/>
  <c r="G1112" i="1"/>
  <c r="H1112" i="1"/>
  <c r="G1113" i="1"/>
  <c r="H1113" i="1"/>
  <c r="G1114" i="1"/>
  <c r="H1114" i="1"/>
  <c r="G1115" i="1"/>
  <c r="H1115" i="1"/>
  <c r="G1116" i="1"/>
  <c r="H1116" i="1"/>
  <c r="G1117" i="1"/>
  <c r="H1117" i="1"/>
  <c r="G1118" i="1"/>
  <c r="H1118" i="1"/>
  <c r="G1119" i="1"/>
  <c r="H1119" i="1"/>
  <c r="G1120" i="1"/>
  <c r="H1120" i="1"/>
  <c r="G1121" i="1"/>
  <c r="H1121" i="1"/>
  <c r="G1122" i="1"/>
  <c r="H1122" i="1"/>
  <c r="G1123" i="1"/>
  <c r="H1123" i="1"/>
  <c r="G1124" i="1"/>
  <c r="H1124" i="1"/>
  <c r="G1125" i="1"/>
  <c r="H1125" i="1"/>
  <c r="G1126" i="1"/>
  <c r="H1126" i="1"/>
  <c r="G1127" i="1"/>
  <c r="H1127" i="1"/>
  <c r="G1128" i="1"/>
  <c r="H1128" i="1"/>
  <c r="G1129" i="1"/>
  <c r="H1129" i="1"/>
  <c r="G1130" i="1"/>
  <c r="H1130" i="1"/>
  <c r="G1131" i="1"/>
  <c r="H1131" i="1"/>
  <c r="G1132" i="1"/>
  <c r="H1132" i="1"/>
  <c r="G1133" i="1"/>
  <c r="H1133" i="1"/>
  <c r="G1134" i="1"/>
  <c r="H1134" i="1"/>
  <c r="G1135" i="1"/>
  <c r="H1135" i="1"/>
  <c r="G1136" i="1"/>
  <c r="H1136" i="1"/>
  <c r="G1137" i="1"/>
  <c r="H1137" i="1"/>
  <c r="G1138" i="1"/>
  <c r="H1138" i="1"/>
  <c r="G1139" i="1"/>
  <c r="H1139" i="1"/>
  <c r="G1140" i="1"/>
  <c r="H1140" i="1"/>
  <c r="G1141" i="1"/>
  <c r="H1141" i="1"/>
  <c r="G1142" i="1"/>
  <c r="H1142" i="1"/>
  <c r="G1143" i="1"/>
  <c r="H1143" i="1"/>
  <c r="G1144" i="1"/>
  <c r="H1144" i="1"/>
  <c r="G1145" i="1"/>
  <c r="H1145" i="1"/>
  <c r="G1146" i="1"/>
  <c r="H1146" i="1"/>
  <c r="G1147" i="1"/>
  <c r="H1147" i="1"/>
  <c r="G1148" i="1"/>
  <c r="H1148" i="1"/>
  <c r="G1149" i="1"/>
  <c r="H1149" i="1"/>
  <c r="G1150" i="1"/>
  <c r="H1150" i="1"/>
  <c r="G1151" i="1"/>
  <c r="H1151" i="1"/>
  <c r="G1152" i="1"/>
  <c r="H1152" i="1"/>
  <c r="G1153" i="1"/>
  <c r="H1153" i="1"/>
  <c r="G1154" i="1"/>
  <c r="H1154" i="1"/>
  <c r="G1155" i="1"/>
  <c r="H1155" i="1"/>
  <c r="G1156" i="1"/>
  <c r="H1156" i="1"/>
  <c r="G1157" i="1"/>
  <c r="H1157" i="1"/>
  <c r="G1158" i="1"/>
  <c r="H1158" i="1"/>
  <c r="G1159" i="1"/>
  <c r="H1159" i="1"/>
  <c r="G1160" i="1"/>
  <c r="H1160" i="1"/>
  <c r="G1161" i="1"/>
  <c r="H1161" i="1"/>
  <c r="G1162" i="1"/>
  <c r="H1162" i="1"/>
  <c r="G1163" i="1"/>
  <c r="H1163" i="1"/>
  <c r="G1164" i="1"/>
  <c r="H1164" i="1"/>
  <c r="G1165" i="1"/>
  <c r="H1165" i="1"/>
  <c r="G1166" i="1"/>
  <c r="H1166" i="1"/>
  <c r="G1167" i="1"/>
  <c r="H1167" i="1"/>
  <c r="G1168" i="1"/>
  <c r="H1168" i="1"/>
  <c r="G1169" i="1"/>
  <c r="H1169" i="1"/>
  <c r="G1170" i="1"/>
  <c r="H1170" i="1"/>
  <c r="G1171" i="1"/>
  <c r="H1171" i="1"/>
  <c r="G1172" i="1"/>
  <c r="H1172" i="1"/>
  <c r="G1173" i="1"/>
  <c r="H1173" i="1"/>
  <c r="G1174" i="1"/>
  <c r="H1174" i="1"/>
  <c r="G1175" i="1"/>
  <c r="H1175" i="1"/>
  <c r="G1176" i="1"/>
  <c r="H1176" i="1"/>
  <c r="G1177" i="1"/>
  <c r="H1177" i="1"/>
  <c r="G1178" i="1"/>
  <c r="H1178" i="1"/>
  <c r="G1179" i="1"/>
  <c r="H1179" i="1"/>
  <c r="G1180" i="1"/>
  <c r="H1180" i="1"/>
  <c r="G1181" i="1"/>
  <c r="H1181" i="1"/>
  <c r="G1182" i="1"/>
  <c r="H1182" i="1"/>
  <c r="G1183" i="1"/>
  <c r="H1183" i="1"/>
  <c r="G1184" i="1"/>
  <c r="H1184" i="1"/>
  <c r="G1185" i="1"/>
  <c r="H1185" i="1"/>
  <c r="G1186" i="1"/>
  <c r="H1186" i="1"/>
  <c r="G1187" i="1"/>
  <c r="H1187" i="1"/>
  <c r="G1188" i="1"/>
  <c r="H1188" i="1"/>
  <c r="G1189" i="1"/>
  <c r="H1189" i="1"/>
  <c r="G1190" i="1"/>
  <c r="H1190" i="1"/>
  <c r="G1191" i="1"/>
  <c r="H1191" i="1"/>
  <c r="G1192" i="1"/>
  <c r="H1192" i="1"/>
  <c r="G1193" i="1"/>
  <c r="H1193" i="1"/>
  <c r="G1194" i="1"/>
  <c r="H1194" i="1"/>
  <c r="G1195" i="1"/>
  <c r="H1195" i="1"/>
  <c r="G1196" i="1"/>
  <c r="H1196" i="1"/>
  <c r="G1197" i="1"/>
  <c r="H1197" i="1"/>
  <c r="G1198" i="1"/>
  <c r="H1198" i="1"/>
  <c r="G1199" i="1"/>
  <c r="H1199" i="1"/>
  <c r="G1200" i="1"/>
  <c r="H1200" i="1"/>
  <c r="G1201" i="1"/>
  <c r="H1201" i="1"/>
  <c r="G1202" i="1"/>
  <c r="H1202" i="1"/>
  <c r="G1203" i="1"/>
  <c r="H1203" i="1"/>
  <c r="G1204" i="1"/>
  <c r="H1204" i="1"/>
  <c r="G1205" i="1"/>
  <c r="H1205" i="1"/>
  <c r="G1206" i="1"/>
  <c r="H1206" i="1"/>
  <c r="G1207" i="1"/>
  <c r="H1207" i="1"/>
  <c r="G1208" i="1"/>
  <c r="H1208" i="1"/>
  <c r="G1209" i="1"/>
  <c r="H1209" i="1"/>
  <c r="G1210" i="1"/>
  <c r="H1210" i="1"/>
  <c r="G1211" i="1"/>
  <c r="H1211" i="1"/>
  <c r="G1212" i="1"/>
  <c r="H1212" i="1"/>
  <c r="G1213" i="1"/>
  <c r="H1213" i="1"/>
  <c r="G1214" i="1"/>
  <c r="H1214" i="1"/>
  <c r="G1215" i="1"/>
  <c r="H1215" i="1"/>
  <c r="G1216" i="1"/>
  <c r="H1216" i="1"/>
  <c r="G1217" i="1"/>
  <c r="H1217" i="1"/>
  <c r="G1218" i="1"/>
  <c r="H1218" i="1"/>
  <c r="G1219" i="1"/>
  <c r="H1219" i="1"/>
  <c r="G1220" i="1"/>
  <c r="H1220" i="1"/>
  <c r="G1221" i="1"/>
  <c r="H1221" i="1"/>
  <c r="G1222" i="1"/>
  <c r="H1222" i="1"/>
  <c r="G1223" i="1"/>
  <c r="H1223" i="1"/>
  <c r="G1224" i="1"/>
  <c r="H1224" i="1"/>
  <c r="G1225" i="1"/>
  <c r="H1225" i="1"/>
  <c r="G1226" i="1"/>
  <c r="H1226" i="1"/>
  <c r="G1227" i="1"/>
  <c r="H1227" i="1"/>
  <c r="G1228" i="1"/>
  <c r="H1228" i="1"/>
  <c r="G1229" i="1"/>
  <c r="H1229" i="1"/>
  <c r="G1230" i="1"/>
  <c r="H1230" i="1"/>
  <c r="G1231" i="1"/>
  <c r="H1231" i="1"/>
  <c r="G1232" i="1"/>
  <c r="H1232" i="1"/>
  <c r="G1233" i="1"/>
  <c r="H1233" i="1"/>
  <c r="G1234" i="1"/>
  <c r="H1234" i="1"/>
  <c r="G1235" i="1"/>
  <c r="H1235" i="1"/>
  <c r="G1236" i="1"/>
  <c r="H1236" i="1"/>
  <c r="G1237" i="1"/>
  <c r="H1237" i="1"/>
  <c r="G1238" i="1"/>
  <c r="H1238" i="1"/>
  <c r="G1239" i="1"/>
  <c r="H1239" i="1"/>
  <c r="G1240" i="1"/>
  <c r="H1240" i="1"/>
  <c r="G1241" i="1"/>
  <c r="H1241" i="1"/>
  <c r="G1242" i="1"/>
  <c r="H1242" i="1"/>
  <c r="G1243" i="1"/>
  <c r="H1243" i="1"/>
  <c r="G1244" i="1"/>
  <c r="H1244" i="1"/>
  <c r="G1245" i="1"/>
  <c r="H1245" i="1"/>
  <c r="G1246" i="1"/>
  <c r="H1246" i="1"/>
  <c r="G1247" i="1"/>
  <c r="H1247" i="1"/>
  <c r="G1248" i="1"/>
  <c r="H1248" i="1"/>
  <c r="G1249" i="1"/>
  <c r="H1249" i="1"/>
  <c r="G1250" i="1"/>
  <c r="H1250" i="1"/>
  <c r="G1251" i="1"/>
  <c r="H1251" i="1"/>
  <c r="G1252" i="1"/>
  <c r="H1252" i="1"/>
  <c r="G1253" i="1"/>
  <c r="H1253" i="1"/>
  <c r="G1254" i="1"/>
  <c r="H1254" i="1"/>
  <c r="G1255" i="1"/>
  <c r="H1255" i="1"/>
  <c r="G1256" i="1"/>
  <c r="H1256" i="1"/>
  <c r="G1257" i="1"/>
  <c r="H1257" i="1"/>
  <c r="G1258" i="1"/>
  <c r="H1258" i="1"/>
  <c r="G1259" i="1"/>
  <c r="H1259" i="1"/>
  <c r="G1260" i="1"/>
  <c r="H1260" i="1"/>
  <c r="G1261" i="1"/>
  <c r="H1261" i="1"/>
  <c r="G1262" i="1"/>
  <c r="H1262" i="1"/>
  <c r="G1263" i="1"/>
  <c r="H1263" i="1"/>
  <c r="G1264" i="1"/>
  <c r="H1264" i="1"/>
  <c r="G1265" i="1"/>
  <c r="H1265" i="1"/>
  <c r="G1266" i="1"/>
  <c r="H1266" i="1"/>
  <c r="G1267" i="1"/>
  <c r="H1267" i="1"/>
  <c r="G1268" i="1"/>
  <c r="H1268" i="1"/>
  <c r="G1269" i="1"/>
  <c r="H1269" i="1"/>
  <c r="G1270" i="1"/>
  <c r="H1270" i="1"/>
  <c r="G1271" i="1"/>
  <c r="H1271" i="1"/>
  <c r="G1272" i="1"/>
  <c r="H1272" i="1"/>
  <c r="G1273" i="1"/>
  <c r="H1273" i="1"/>
  <c r="G1274" i="1"/>
  <c r="H1274" i="1"/>
  <c r="G1275" i="1"/>
  <c r="H1275" i="1"/>
  <c r="G1276" i="1"/>
  <c r="H1276" i="1"/>
  <c r="G1277" i="1"/>
  <c r="H1277" i="1"/>
  <c r="G1278" i="1"/>
  <c r="H1278" i="1"/>
  <c r="G1279" i="1"/>
  <c r="H1279" i="1"/>
  <c r="G1280" i="1"/>
  <c r="H1280" i="1"/>
  <c r="G1281" i="1"/>
  <c r="H1281" i="1"/>
  <c r="G1282" i="1"/>
  <c r="H1282" i="1"/>
  <c r="G1283" i="1"/>
  <c r="H1283" i="1"/>
  <c r="G1284" i="1"/>
  <c r="H1284" i="1"/>
  <c r="G1285" i="1"/>
  <c r="H1285" i="1"/>
  <c r="G1286" i="1"/>
  <c r="H1286" i="1"/>
  <c r="G1287" i="1"/>
  <c r="H1287" i="1"/>
  <c r="G1288" i="1"/>
  <c r="H1288" i="1"/>
  <c r="G1289" i="1"/>
  <c r="H1289" i="1"/>
  <c r="G1290" i="1"/>
  <c r="H1290" i="1"/>
  <c r="G1291" i="1"/>
  <c r="H1291" i="1"/>
  <c r="G1292" i="1"/>
  <c r="H1292" i="1"/>
  <c r="G1293" i="1"/>
  <c r="H1293" i="1"/>
  <c r="G1294" i="1"/>
  <c r="H1294" i="1"/>
  <c r="G1295" i="1"/>
  <c r="H1295" i="1"/>
  <c r="G1296" i="1"/>
  <c r="H1296" i="1"/>
  <c r="G1297" i="1"/>
  <c r="H1297" i="1"/>
  <c r="G1298" i="1"/>
  <c r="H1298" i="1"/>
  <c r="G1299" i="1"/>
  <c r="H1299" i="1"/>
  <c r="G1300" i="1"/>
  <c r="H1300" i="1"/>
  <c r="G1301" i="1"/>
  <c r="H1301" i="1"/>
  <c r="G1302" i="1"/>
  <c r="H1302" i="1"/>
  <c r="G1303" i="1"/>
  <c r="H1303" i="1"/>
  <c r="G1304" i="1"/>
  <c r="H1304" i="1"/>
  <c r="G1305" i="1"/>
  <c r="H1305" i="1"/>
  <c r="G1306" i="1"/>
  <c r="H1306" i="1"/>
  <c r="G1307" i="1"/>
  <c r="H1307" i="1"/>
  <c r="G1308" i="1"/>
  <c r="H1308" i="1"/>
  <c r="G1309" i="1"/>
  <c r="H1309" i="1"/>
  <c r="G1310" i="1"/>
  <c r="H1310" i="1"/>
  <c r="G1311" i="1"/>
  <c r="H1311" i="1"/>
  <c r="G1312" i="1"/>
  <c r="H1312" i="1"/>
  <c r="G1313" i="1"/>
  <c r="H1313" i="1"/>
  <c r="G1314" i="1"/>
  <c r="H1314" i="1"/>
  <c r="G1315" i="1"/>
  <c r="H1315" i="1"/>
  <c r="G1316" i="1"/>
  <c r="H1316" i="1"/>
  <c r="G1317" i="1"/>
  <c r="H1317" i="1"/>
  <c r="G1318" i="1"/>
  <c r="H1318" i="1"/>
  <c r="G1319" i="1"/>
  <c r="H1319" i="1"/>
  <c r="G1320" i="1"/>
  <c r="H1320" i="1"/>
  <c r="G1321" i="1"/>
  <c r="H1321" i="1"/>
  <c r="G1322" i="1"/>
  <c r="H1322" i="1"/>
  <c r="G1323" i="1"/>
  <c r="H1323" i="1"/>
  <c r="G1324" i="1"/>
  <c r="H1324" i="1"/>
  <c r="G1325" i="1"/>
  <c r="H1325" i="1"/>
  <c r="G1326" i="1"/>
  <c r="H1326" i="1"/>
  <c r="G1327" i="1"/>
  <c r="H1327" i="1"/>
  <c r="G1328" i="1"/>
  <c r="H1328" i="1"/>
  <c r="G1329" i="1"/>
  <c r="H1329" i="1"/>
  <c r="G1330" i="1"/>
  <c r="H1330" i="1"/>
  <c r="G1331" i="1"/>
  <c r="H1331" i="1"/>
  <c r="G1332" i="1"/>
  <c r="H1332" i="1"/>
  <c r="G1333" i="1"/>
  <c r="H1333" i="1"/>
  <c r="G1334" i="1"/>
  <c r="H1334" i="1"/>
  <c r="G1335" i="1"/>
  <c r="H1335" i="1"/>
  <c r="G1336" i="1"/>
  <c r="H1336" i="1"/>
  <c r="G1337" i="1"/>
  <c r="H1337" i="1"/>
  <c r="G1338" i="1"/>
  <c r="H1338" i="1"/>
  <c r="G1339" i="1"/>
  <c r="H1339" i="1"/>
  <c r="G1340" i="1"/>
  <c r="H1340" i="1"/>
  <c r="G1341" i="1"/>
  <c r="H1341" i="1"/>
  <c r="G1342" i="1"/>
  <c r="H1342" i="1"/>
  <c r="G1343" i="1"/>
  <c r="H1343" i="1"/>
  <c r="G1344" i="1"/>
  <c r="H1344" i="1"/>
  <c r="G1345" i="1"/>
  <c r="H1345" i="1"/>
  <c r="G1346" i="1"/>
  <c r="H1346" i="1"/>
  <c r="G1347" i="1"/>
  <c r="H1347" i="1"/>
  <c r="G1348" i="1"/>
  <c r="H1348" i="1"/>
  <c r="G1349" i="1"/>
  <c r="H1349" i="1"/>
  <c r="G1350" i="1"/>
  <c r="H1350" i="1"/>
  <c r="G1351" i="1"/>
  <c r="H1351" i="1"/>
  <c r="G1352" i="1"/>
  <c r="H1352" i="1"/>
  <c r="G1353" i="1"/>
  <c r="H1353" i="1"/>
  <c r="G1354" i="1"/>
  <c r="H1354" i="1"/>
  <c r="G1355" i="1"/>
  <c r="H1355" i="1"/>
  <c r="G1356" i="1"/>
  <c r="H1356" i="1"/>
  <c r="G1357" i="1"/>
  <c r="H1357" i="1"/>
  <c r="G1358" i="1"/>
  <c r="H1358" i="1"/>
  <c r="G1359" i="1"/>
  <c r="H1359" i="1"/>
  <c r="G1360" i="1"/>
  <c r="H1360" i="1"/>
  <c r="G1361" i="1"/>
  <c r="H1361" i="1"/>
  <c r="G1362" i="1"/>
  <c r="H1362" i="1"/>
  <c r="G1363" i="1"/>
  <c r="H1363" i="1"/>
  <c r="G1364" i="1"/>
  <c r="H1364" i="1"/>
  <c r="G1365" i="1"/>
  <c r="H1365" i="1"/>
  <c r="G1366" i="1"/>
  <c r="H1366" i="1"/>
  <c r="G1367" i="1"/>
  <c r="H1367" i="1"/>
  <c r="G1368" i="1"/>
  <c r="H1368" i="1"/>
  <c r="G1369" i="1"/>
  <c r="H1369" i="1"/>
  <c r="G1370" i="1"/>
  <c r="H1370" i="1"/>
  <c r="G1371" i="1"/>
  <c r="H1371" i="1"/>
  <c r="G1372" i="1"/>
  <c r="H1372" i="1"/>
  <c r="G1373" i="1"/>
  <c r="H1373" i="1"/>
  <c r="G1374" i="1"/>
  <c r="H1374" i="1"/>
  <c r="G1375" i="1"/>
  <c r="H1375" i="1"/>
  <c r="G1376" i="1"/>
  <c r="H1376" i="1"/>
  <c r="G1377" i="1"/>
  <c r="H1377" i="1"/>
  <c r="G1378" i="1"/>
  <c r="H1378" i="1"/>
  <c r="G1379" i="1"/>
  <c r="H1379" i="1"/>
  <c r="G1380" i="1"/>
  <c r="H1380" i="1"/>
  <c r="G1381" i="1"/>
  <c r="H1381" i="1"/>
  <c r="G1382" i="1"/>
  <c r="H1382" i="1"/>
  <c r="G1383" i="1"/>
  <c r="H1383" i="1"/>
  <c r="G1384" i="1"/>
  <c r="H1384" i="1"/>
  <c r="G1385" i="1"/>
  <c r="H1385" i="1"/>
  <c r="G1386" i="1"/>
  <c r="H1386" i="1"/>
  <c r="G1387" i="1"/>
  <c r="H1387" i="1"/>
  <c r="G1388" i="1"/>
  <c r="H1388" i="1"/>
  <c r="G1389" i="1"/>
  <c r="H1389" i="1"/>
  <c r="G1390" i="1"/>
  <c r="H1390" i="1"/>
  <c r="G1391" i="1"/>
  <c r="H1391" i="1"/>
  <c r="G1392" i="1"/>
  <c r="H1392" i="1"/>
  <c r="G1393" i="1"/>
  <c r="H1393" i="1"/>
  <c r="G1394" i="1"/>
  <c r="H1394" i="1"/>
  <c r="G1395" i="1"/>
  <c r="H1395" i="1"/>
  <c r="G1396" i="1"/>
  <c r="H1396" i="1"/>
  <c r="G1397" i="1"/>
  <c r="H1397" i="1"/>
  <c r="G1398" i="1"/>
  <c r="H1398" i="1"/>
  <c r="G1399" i="1"/>
  <c r="H1399" i="1"/>
  <c r="G1400" i="1"/>
  <c r="H1400" i="1"/>
  <c r="G1401" i="1"/>
  <c r="H1401" i="1"/>
  <c r="G1402" i="1"/>
  <c r="H1402" i="1"/>
  <c r="G1403" i="1"/>
  <c r="H1403" i="1"/>
  <c r="G1404" i="1"/>
  <c r="H1404" i="1"/>
  <c r="G1405" i="1"/>
  <c r="H1405" i="1"/>
  <c r="G1406" i="1"/>
  <c r="H1406" i="1"/>
  <c r="G1407" i="1"/>
  <c r="H1407" i="1"/>
  <c r="G1408" i="1"/>
  <c r="H1408" i="1"/>
  <c r="G1409" i="1"/>
  <c r="H1409" i="1"/>
  <c r="G1410" i="1"/>
  <c r="H1410" i="1"/>
  <c r="G1411" i="1"/>
  <c r="H1411" i="1"/>
  <c r="G1412" i="1"/>
  <c r="H1412" i="1"/>
  <c r="G1413" i="1"/>
  <c r="H1413" i="1"/>
  <c r="G1414" i="1"/>
  <c r="H1414" i="1"/>
  <c r="G1415" i="1"/>
  <c r="H1415" i="1"/>
  <c r="G1416" i="1"/>
  <c r="H1416" i="1"/>
  <c r="G1417" i="1"/>
  <c r="H1417" i="1"/>
  <c r="G1418" i="1"/>
  <c r="H1418" i="1"/>
  <c r="G1419" i="1"/>
  <c r="H1419" i="1"/>
  <c r="G1420" i="1"/>
  <c r="H1420" i="1"/>
  <c r="G1421" i="1"/>
  <c r="H1421" i="1"/>
  <c r="G1422" i="1"/>
  <c r="H1422" i="1"/>
  <c r="G1423" i="1"/>
  <c r="H1423" i="1"/>
  <c r="G1424" i="1"/>
  <c r="H1424" i="1"/>
  <c r="G1425" i="1"/>
  <c r="H1425" i="1"/>
  <c r="G1426" i="1"/>
  <c r="H1426" i="1"/>
  <c r="G1427" i="1"/>
  <c r="H1427" i="1"/>
  <c r="G1428" i="1"/>
  <c r="H1428" i="1"/>
  <c r="G1429" i="1"/>
  <c r="H1429" i="1"/>
  <c r="G1430" i="1"/>
  <c r="H1430" i="1"/>
  <c r="G1431" i="1"/>
  <c r="H1431" i="1"/>
  <c r="G1432" i="1"/>
  <c r="H1432" i="1"/>
  <c r="G1433" i="1"/>
  <c r="H1433" i="1"/>
  <c r="G1434" i="1"/>
  <c r="H1434" i="1"/>
  <c r="G1435" i="1"/>
  <c r="H1435" i="1"/>
  <c r="G1436" i="1"/>
  <c r="H1436" i="1"/>
  <c r="G1437" i="1"/>
  <c r="H1437" i="1"/>
  <c r="G1438" i="1"/>
  <c r="H1438" i="1"/>
  <c r="G1439" i="1"/>
  <c r="H1439" i="1"/>
  <c r="G1440" i="1"/>
  <c r="H1440" i="1"/>
  <c r="G1441" i="1"/>
  <c r="H1441" i="1"/>
  <c r="G1442" i="1"/>
  <c r="H1442" i="1"/>
  <c r="G1443" i="1"/>
  <c r="H1443" i="1"/>
  <c r="G1444" i="1"/>
  <c r="H1444" i="1"/>
  <c r="G1445" i="1"/>
  <c r="H1445" i="1"/>
  <c r="G1446" i="1"/>
  <c r="H1446" i="1"/>
  <c r="G1447" i="1"/>
  <c r="H1447" i="1"/>
  <c r="G1448" i="1"/>
  <c r="H1448" i="1"/>
  <c r="G1449" i="1"/>
  <c r="H1449" i="1"/>
  <c r="G1450" i="1"/>
  <c r="H1450" i="1"/>
  <c r="G1451" i="1"/>
  <c r="H1451" i="1"/>
  <c r="G1452" i="1"/>
  <c r="H1452" i="1"/>
  <c r="G1453" i="1"/>
  <c r="H1453" i="1"/>
  <c r="G1454" i="1"/>
  <c r="H1454" i="1"/>
  <c r="G1455" i="1"/>
  <c r="H1455" i="1"/>
  <c r="G1456" i="1"/>
  <c r="H1456" i="1"/>
  <c r="G1457" i="1"/>
  <c r="H1457" i="1"/>
  <c r="G1458" i="1"/>
  <c r="H1458" i="1"/>
  <c r="G1459" i="1"/>
  <c r="H1459" i="1"/>
  <c r="G1460" i="1"/>
  <c r="H1460" i="1"/>
  <c r="G1461" i="1"/>
  <c r="H1461" i="1"/>
  <c r="G1462" i="1"/>
  <c r="H1462" i="1"/>
  <c r="G1463" i="1"/>
  <c r="H1463" i="1"/>
  <c r="G1464" i="1"/>
  <c r="H1464" i="1"/>
  <c r="G1465" i="1"/>
  <c r="H1465" i="1"/>
  <c r="G1466" i="1"/>
  <c r="H1466" i="1"/>
  <c r="G1467" i="1"/>
  <c r="H1467" i="1"/>
  <c r="G1468" i="1"/>
  <c r="H1468" i="1"/>
  <c r="G1469" i="1"/>
  <c r="H1469" i="1"/>
  <c r="G1470" i="1"/>
  <c r="H1470" i="1"/>
  <c r="G1471" i="1"/>
  <c r="H1471" i="1"/>
  <c r="G1472" i="1"/>
  <c r="H1472" i="1"/>
  <c r="G1473" i="1"/>
  <c r="H1473" i="1"/>
  <c r="G1474" i="1"/>
  <c r="H1474" i="1"/>
  <c r="G1475" i="1"/>
  <c r="H1475" i="1"/>
  <c r="G1476" i="1"/>
  <c r="H1476" i="1"/>
  <c r="G1477" i="1"/>
  <c r="H1477" i="1"/>
  <c r="G1478" i="1"/>
  <c r="H1478" i="1"/>
  <c r="G1479" i="1"/>
  <c r="H1479" i="1"/>
  <c r="G1480" i="1"/>
  <c r="H1480" i="1"/>
  <c r="G1481" i="1"/>
  <c r="H1481" i="1"/>
  <c r="G1482" i="1"/>
  <c r="H1482" i="1"/>
  <c r="G1483" i="1"/>
  <c r="H1483" i="1"/>
  <c r="G1484" i="1"/>
  <c r="H1484" i="1"/>
  <c r="G1485" i="1"/>
  <c r="H1485" i="1"/>
  <c r="G1486" i="1"/>
  <c r="H1486" i="1"/>
  <c r="G1487" i="1"/>
  <c r="H1487" i="1"/>
  <c r="G1488" i="1"/>
  <c r="H1488" i="1"/>
  <c r="G1489" i="1"/>
  <c r="H1489" i="1"/>
  <c r="G1490" i="1"/>
  <c r="H1490" i="1"/>
  <c r="G1491" i="1"/>
  <c r="H1491" i="1"/>
  <c r="G1492" i="1"/>
  <c r="H1492" i="1"/>
  <c r="G1493" i="1"/>
  <c r="H1493" i="1"/>
  <c r="G1494" i="1"/>
  <c r="H1494" i="1"/>
  <c r="G1495" i="1"/>
  <c r="H1495" i="1"/>
  <c r="G1496" i="1"/>
  <c r="H1496" i="1"/>
  <c r="G1497" i="1"/>
  <c r="H1497" i="1"/>
  <c r="G1498" i="1"/>
  <c r="H1498" i="1"/>
  <c r="G1499" i="1"/>
  <c r="H1499" i="1"/>
  <c r="G1500" i="1"/>
  <c r="H1500" i="1"/>
  <c r="G1501" i="1"/>
  <c r="H1501" i="1"/>
  <c r="G1502" i="1"/>
  <c r="H1502" i="1"/>
  <c r="G1503" i="1"/>
  <c r="H1503" i="1"/>
  <c r="G1504" i="1"/>
  <c r="H1504" i="1"/>
  <c r="G1505" i="1"/>
  <c r="H1505" i="1"/>
  <c r="G1506" i="1"/>
  <c r="H1506" i="1"/>
  <c r="G1507" i="1"/>
  <c r="H1507" i="1"/>
  <c r="G1508" i="1"/>
  <c r="H1508" i="1"/>
  <c r="G1509" i="1"/>
  <c r="H1509" i="1"/>
  <c r="G1510" i="1"/>
  <c r="H1510" i="1"/>
  <c r="G1511" i="1"/>
  <c r="H1511" i="1"/>
  <c r="G1512" i="1"/>
  <c r="H1512" i="1"/>
  <c r="G1513" i="1"/>
  <c r="H1513" i="1"/>
  <c r="G1514" i="1"/>
  <c r="H1514" i="1"/>
  <c r="G1515" i="1"/>
  <c r="H1515" i="1"/>
  <c r="G1516" i="1"/>
  <c r="H1516" i="1"/>
  <c r="G1517" i="1"/>
  <c r="H1517" i="1"/>
  <c r="G1518" i="1"/>
  <c r="H1518" i="1"/>
  <c r="G1519" i="1"/>
  <c r="H1519" i="1"/>
  <c r="G1520" i="1"/>
  <c r="H1520" i="1"/>
  <c r="G1521" i="1"/>
  <c r="H1521" i="1"/>
  <c r="G1522" i="1"/>
  <c r="H1522" i="1"/>
  <c r="G1523" i="1"/>
  <c r="H1523" i="1"/>
  <c r="G1524" i="1"/>
  <c r="H1524" i="1"/>
  <c r="G1525" i="1"/>
  <c r="H1525" i="1"/>
  <c r="G1526" i="1"/>
  <c r="H1526" i="1"/>
  <c r="G1527" i="1"/>
  <c r="H1527" i="1"/>
  <c r="G1528" i="1"/>
  <c r="H1528" i="1"/>
  <c r="G1529" i="1"/>
  <c r="H1529" i="1"/>
  <c r="G1530" i="1"/>
  <c r="H1530" i="1"/>
  <c r="G1531" i="1"/>
  <c r="H1531" i="1"/>
  <c r="G1532" i="1"/>
  <c r="H1532" i="1"/>
  <c r="G1533" i="1"/>
  <c r="H1533" i="1"/>
  <c r="G1534" i="1"/>
  <c r="H1534" i="1"/>
  <c r="G1535" i="1"/>
  <c r="H1535" i="1"/>
  <c r="G1536" i="1"/>
  <c r="H1536" i="1"/>
  <c r="G1537" i="1"/>
  <c r="H1537" i="1"/>
  <c r="G1538" i="1"/>
  <c r="H1538" i="1"/>
  <c r="G1539" i="1"/>
  <c r="H1539" i="1"/>
  <c r="G1540" i="1"/>
  <c r="H1540" i="1"/>
  <c r="G1541" i="1"/>
  <c r="H1541" i="1"/>
  <c r="G1542" i="1"/>
  <c r="H1542" i="1"/>
  <c r="G1543" i="1"/>
  <c r="H1543" i="1"/>
  <c r="G1544" i="1"/>
  <c r="H1544" i="1"/>
  <c r="G1545" i="1"/>
  <c r="H1545" i="1"/>
  <c r="G1546" i="1"/>
  <c r="H1546" i="1"/>
  <c r="G1547" i="1"/>
  <c r="H1547" i="1"/>
  <c r="G1548" i="1"/>
  <c r="H1548" i="1"/>
  <c r="G1549" i="1"/>
  <c r="H1549" i="1"/>
  <c r="G1550" i="1"/>
  <c r="H1550" i="1"/>
  <c r="G1551" i="1"/>
  <c r="H1551" i="1"/>
  <c r="G1552" i="1"/>
  <c r="H1552" i="1"/>
  <c r="G1553" i="1"/>
  <c r="H1553" i="1"/>
  <c r="G1554" i="1"/>
  <c r="H1554" i="1"/>
  <c r="G1555" i="1"/>
  <c r="H1555" i="1"/>
  <c r="G1556" i="1"/>
  <c r="H1556" i="1"/>
  <c r="G1557" i="1"/>
  <c r="H1557" i="1"/>
  <c r="G1558" i="1"/>
  <c r="H1558" i="1"/>
  <c r="G1559" i="1"/>
  <c r="H1559" i="1"/>
  <c r="G1560" i="1"/>
  <c r="H1560" i="1"/>
  <c r="G1561" i="1"/>
  <c r="H1561" i="1"/>
  <c r="G1562" i="1"/>
  <c r="H1562" i="1"/>
  <c r="G1563" i="1"/>
  <c r="H1563" i="1"/>
  <c r="G1564" i="1"/>
  <c r="H1564" i="1"/>
  <c r="G1565" i="1"/>
  <c r="H1565" i="1"/>
  <c r="G1566" i="1"/>
  <c r="H1566" i="1"/>
  <c r="G1567" i="1"/>
  <c r="H1567" i="1"/>
  <c r="G1568" i="1"/>
  <c r="H1568" i="1"/>
  <c r="G1569" i="1"/>
  <c r="H1569" i="1"/>
  <c r="G1570" i="1"/>
  <c r="H1570" i="1"/>
  <c r="G1571" i="1"/>
  <c r="H1571" i="1"/>
  <c r="G1572" i="1"/>
  <c r="H1572" i="1"/>
  <c r="G1573" i="1"/>
  <c r="H1573" i="1"/>
  <c r="G1574" i="1"/>
  <c r="H1574" i="1"/>
  <c r="G1575" i="1"/>
  <c r="H1575" i="1"/>
  <c r="G1576" i="1"/>
  <c r="H1576" i="1"/>
  <c r="G1577" i="1"/>
  <c r="H1577" i="1"/>
  <c r="G1578" i="1"/>
  <c r="H1578" i="1"/>
  <c r="G1579" i="1"/>
  <c r="H1579" i="1"/>
  <c r="G1580" i="1"/>
  <c r="H1580" i="1"/>
  <c r="G1581" i="1"/>
  <c r="H1581" i="1"/>
  <c r="G1582" i="1"/>
  <c r="H1582" i="1"/>
  <c r="G1583" i="1"/>
  <c r="H1583" i="1"/>
  <c r="G1584" i="1"/>
  <c r="H1584" i="1"/>
  <c r="G1585" i="1"/>
  <c r="H1585" i="1"/>
  <c r="G1586" i="1"/>
  <c r="H1586" i="1"/>
  <c r="G1587" i="1"/>
  <c r="H1587" i="1"/>
  <c r="G1588" i="1"/>
  <c r="H1588" i="1"/>
  <c r="G1589" i="1"/>
  <c r="H1589" i="1"/>
  <c r="G1590" i="1"/>
  <c r="H1590" i="1"/>
  <c r="G1591" i="1"/>
  <c r="H1591" i="1"/>
  <c r="G1592" i="1"/>
  <c r="H1592" i="1"/>
  <c r="G1593" i="1"/>
  <c r="H1593" i="1"/>
  <c r="G1594" i="1"/>
  <c r="H1594" i="1"/>
  <c r="G1595" i="1"/>
  <c r="H1595" i="1"/>
  <c r="G1596" i="1"/>
  <c r="H1596" i="1"/>
  <c r="G1597" i="1"/>
  <c r="H1597" i="1"/>
  <c r="G1598" i="1"/>
  <c r="H1598" i="1"/>
  <c r="G1599" i="1"/>
  <c r="H1599" i="1"/>
  <c r="G1600" i="1"/>
  <c r="H1600" i="1"/>
  <c r="G1601" i="1"/>
  <c r="H1601" i="1"/>
  <c r="G1602" i="1"/>
  <c r="H1602" i="1"/>
  <c r="G1603" i="1"/>
  <c r="H1603" i="1"/>
  <c r="G1604" i="1"/>
  <c r="H1604" i="1"/>
  <c r="G1605" i="1"/>
  <c r="H1605" i="1"/>
  <c r="G1606" i="1"/>
  <c r="H1606" i="1"/>
  <c r="G1607" i="1"/>
  <c r="H1607" i="1"/>
  <c r="G1608" i="1"/>
  <c r="H1608" i="1"/>
  <c r="G1609" i="1"/>
  <c r="H1609" i="1"/>
  <c r="G1610" i="1"/>
  <c r="H1610" i="1"/>
  <c r="G1611" i="1"/>
  <c r="H1611" i="1"/>
  <c r="G1612" i="1"/>
  <c r="H1612" i="1"/>
  <c r="G1613" i="1"/>
  <c r="H1613" i="1"/>
  <c r="G1614" i="1"/>
  <c r="H1614" i="1"/>
  <c r="G1615" i="1"/>
  <c r="H1615" i="1"/>
  <c r="G1616" i="1"/>
  <c r="H1616" i="1"/>
  <c r="G1617" i="1"/>
  <c r="H1617" i="1"/>
  <c r="G1618" i="1"/>
  <c r="H1618" i="1"/>
  <c r="G1619" i="1"/>
  <c r="H1619" i="1"/>
  <c r="G1620" i="1"/>
  <c r="H1620" i="1"/>
  <c r="G1621" i="1"/>
  <c r="H1621" i="1"/>
  <c r="G1622" i="1"/>
  <c r="H1622" i="1"/>
  <c r="G1623" i="1"/>
  <c r="H1623" i="1"/>
  <c r="G1624" i="1"/>
  <c r="H1624" i="1"/>
  <c r="G1625" i="1"/>
  <c r="H1625" i="1"/>
  <c r="G1626" i="1"/>
  <c r="H1626" i="1"/>
  <c r="G1627" i="1"/>
  <c r="H1627" i="1"/>
  <c r="G1628" i="1"/>
  <c r="H1628" i="1"/>
  <c r="G1629" i="1"/>
  <c r="H1629" i="1"/>
  <c r="G1630" i="1"/>
  <c r="H1630" i="1"/>
  <c r="G1631" i="1"/>
  <c r="H1631" i="1"/>
  <c r="G1632" i="1"/>
  <c r="H1632" i="1"/>
  <c r="G1633" i="1"/>
  <c r="H1633" i="1"/>
  <c r="G1634" i="1"/>
  <c r="H1634" i="1"/>
  <c r="G1635" i="1"/>
  <c r="H1635" i="1"/>
  <c r="G1636" i="1"/>
  <c r="H1636" i="1"/>
  <c r="G1637" i="1"/>
  <c r="H1637" i="1"/>
  <c r="G1638" i="1"/>
  <c r="H1638" i="1"/>
  <c r="G1639" i="1"/>
  <c r="H1639" i="1"/>
  <c r="G1640" i="1"/>
  <c r="H1640" i="1"/>
  <c r="G1641" i="1"/>
  <c r="H1641" i="1"/>
  <c r="G1642" i="1"/>
  <c r="H1642" i="1"/>
  <c r="G1643" i="1"/>
  <c r="H1643" i="1"/>
  <c r="G1644" i="1"/>
  <c r="H1644" i="1"/>
  <c r="G1645" i="1"/>
  <c r="H1645" i="1"/>
  <c r="G1646" i="1"/>
  <c r="H1646" i="1"/>
  <c r="G1647" i="1"/>
  <c r="H1647" i="1"/>
  <c r="G1648" i="1"/>
  <c r="H1648" i="1"/>
  <c r="G1649" i="1"/>
  <c r="H1649" i="1"/>
  <c r="G1650" i="1"/>
  <c r="H1650" i="1"/>
  <c r="G1651" i="1"/>
  <c r="H1651" i="1"/>
  <c r="G1652" i="1"/>
  <c r="H1652" i="1"/>
  <c r="G1653" i="1"/>
  <c r="H1653" i="1"/>
  <c r="G1654" i="1"/>
  <c r="H1654" i="1"/>
  <c r="G1655" i="1"/>
  <c r="H1655" i="1"/>
  <c r="G1656" i="1"/>
  <c r="H1656" i="1"/>
  <c r="G1657" i="1"/>
  <c r="H1657" i="1"/>
  <c r="G1658" i="1"/>
  <c r="H1658" i="1"/>
  <c r="G1659" i="1"/>
  <c r="H1659" i="1"/>
  <c r="G1660" i="1"/>
  <c r="H1660" i="1"/>
  <c r="G1661" i="1"/>
  <c r="H1661" i="1"/>
  <c r="G1662" i="1"/>
  <c r="H1662" i="1"/>
  <c r="G1663" i="1"/>
  <c r="H1663" i="1"/>
  <c r="G1664" i="1"/>
  <c r="H1664" i="1"/>
  <c r="G1665" i="1"/>
  <c r="H1665" i="1"/>
  <c r="G1666" i="1"/>
  <c r="H1666" i="1"/>
  <c r="G1667" i="1"/>
  <c r="H1667" i="1"/>
  <c r="G1668" i="1"/>
  <c r="H1668" i="1"/>
  <c r="G1669" i="1"/>
  <c r="H1669" i="1"/>
  <c r="G1670" i="1"/>
  <c r="H1670" i="1"/>
  <c r="G1671" i="1"/>
  <c r="H1671" i="1"/>
  <c r="G1672" i="1"/>
  <c r="H1672" i="1"/>
  <c r="G1673" i="1"/>
  <c r="H1673" i="1"/>
  <c r="G1674" i="1"/>
  <c r="H1674" i="1"/>
  <c r="G1675" i="1"/>
  <c r="H1675" i="1"/>
  <c r="G1676" i="1"/>
  <c r="H1676" i="1"/>
  <c r="G1677" i="1"/>
  <c r="H1677" i="1"/>
  <c r="G1678" i="1"/>
  <c r="H1678" i="1"/>
  <c r="G1679" i="1"/>
  <c r="H1679" i="1"/>
  <c r="G1680" i="1"/>
  <c r="H1680" i="1"/>
  <c r="G1681" i="1"/>
  <c r="H1681" i="1"/>
  <c r="G1682" i="1"/>
  <c r="H1682" i="1"/>
  <c r="G1683" i="1"/>
  <c r="H1683" i="1"/>
  <c r="G1684" i="1"/>
  <c r="H1684" i="1"/>
  <c r="G1685" i="1"/>
  <c r="H1685" i="1"/>
  <c r="G1686" i="1"/>
  <c r="H1686" i="1"/>
  <c r="G1687" i="1"/>
  <c r="H1687" i="1"/>
  <c r="G1688" i="1"/>
  <c r="H1688" i="1"/>
  <c r="G1689" i="1"/>
  <c r="H1689" i="1"/>
  <c r="G1690" i="1"/>
  <c r="H1690" i="1"/>
  <c r="G1691" i="1"/>
  <c r="H1691" i="1"/>
  <c r="G1692" i="1"/>
  <c r="H1692" i="1"/>
  <c r="G1693" i="1"/>
  <c r="H1693" i="1"/>
  <c r="G1694" i="1"/>
  <c r="H1694" i="1"/>
  <c r="G1695" i="1"/>
  <c r="H1695" i="1"/>
  <c r="G1696" i="1"/>
  <c r="H1696" i="1"/>
  <c r="G1697" i="1"/>
  <c r="H1697" i="1"/>
  <c r="G1698" i="1"/>
  <c r="H1698" i="1"/>
  <c r="G1699" i="1"/>
  <c r="H1699" i="1"/>
  <c r="G1700" i="1"/>
  <c r="H1700" i="1"/>
  <c r="G1701" i="1"/>
  <c r="H1701" i="1"/>
  <c r="G1702" i="1"/>
  <c r="H1702" i="1"/>
  <c r="G1703" i="1"/>
  <c r="H1703" i="1"/>
  <c r="G1704" i="1"/>
  <c r="H1704" i="1"/>
  <c r="G1705" i="1"/>
  <c r="H1705" i="1"/>
  <c r="G1706" i="1"/>
  <c r="H1706" i="1"/>
  <c r="G1707" i="1"/>
  <c r="H1707" i="1"/>
  <c r="G1708" i="1"/>
  <c r="H1708" i="1"/>
  <c r="G1709" i="1"/>
  <c r="H1709" i="1"/>
  <c r="G1710" i="1"/>
  <c r="H1710" i="1"/>
  <c r="G1711" i="1"/>
  <c r="H1711" i="1"/>
  <c r="G1712" i="1"/>
  <c r="H1712" i="1"/>
  <c r="G1713" i="1"/>
  <c r="H1713" i="1"/>
  <c r="G1714" i="1"/>
  <c r="H1714" i="1"/>
  <c r="G1715" i="1"/>
  <c r="H1715" i="1"/>
  <c r="G1716" i="1"/>
  <c r="H1716" i="1"/>
  <c r="G1717" i="1"/>
  <c r="H1717" i="1"/>
  <c r="G1718" i="1"/>
  <c r="H1718" i="1"/>
  <c r="G1719" i="1"/>
  <c r="H1719" i="1"/>
  <c r="G1720" i="1"/>
  <c r="H1720" i="1"/>
  <c r="G1721" i="1"/>
  <c r="H1721" i="1"/>
  <c r="G1722" i="1"/>
  <c r="H1722" i="1"/>
  <c r="G1723" i="1"/>
  <c r="H1723" i="1"/>
  <c r="G1724" i="1"/>
  <c r="H1724" i="1"/>
  <c r="G1725" i="1"/>
  <c r="H1725" i="1"/>
  <c r="G1726" i="1"/>
  <c r="H1726" i="1"/>
  <c r="G1727" i="1"/>
  <c r="H1727" i="1"/>
  <c r="G1728" i="1"/>
  <c r="H1728" i="1"/>
  <c r="G1729" i="1"/>
  <c r="H1729" i="1"/>
  <c r="G1730" i="1"/>
  <c r="H1730" i="1"/>
  <c r="G1731" i="1"/>
  <c r="H1731" i="1"/>
  <c r="G1732" i="1"/>
  <c r="H1732" i="1"/>
  <c r="G1733" i="1"/>
  <c r="H1733" i="1"/>
  <c r="G1734" i="1"/>
  <c r="H1734" i="1"/>
  <c r="G1735" i="1"/>
  <c r="H1735" i="1"/>
  <c r="G1736" i="1"/>
  <c r="H1736" i="1"/>
  <c r="G1737" i="1"/>
  <c r="H1737" i="1"/>
  <c r="G1738" i="1"/>
  <c r="H1738" i="1"/>
  <c r="G1739" i="1"/>
  <c r="H1739" i="1"/>
  <c r="G1740" i="1"/>
  <c r="H1740" i="1"/>
  <c r="G1741" i="1"/>
  <c r="H1741" i="1"/>
  <c r="G1742" i="1"/>
  <c r="H1742" i="1"/>
  <c r="G1743" i="1"/>
  <c r="H1743" i="1"/>
  <c r="G1744" i="1"/>
  <c r="H1744" i="1"/>
  <c r="G1745" i="1"/>
  <c r="H1745" i="1"/>
  <c r="G1746" i="1"/>
  <c r="H1746" i="1"/>
  <c r="G1747" i="1"/>
  <c r="H1747" i="1"/>
  <c r="G1748" i="1"/>
  <c r="H1748" i="1"/>
  <c r="G1749" i="1"/>
  <c r="H1749" i="1"/>
  <c r="G1750" i="1"/>
  <c r="H1750" i="1"/>
  <c r="G1751" i="1"/>
  <c r="H1751" i="1"/>
  <c r="G1752" i="1"/>
  <c r="H1752" i="1"/>
  <c r="G1753" i="1"/>
  <c r="H1753" i="1"/>
  <c r="G1754" i="1"/>
  <c r="H1754" i="1"/>
  <c r="G1755" i="1"/>
  <c r="H1755" i="1"/>
  <c r="G1756" i="1"/>
  <c r="H1756" i="1"/>
  <c r="G1757" i="1"/>
  <c r="H1757" i="1"/>
  <c r="G1758" i="1"/>
  <c r="H1758" i="1"/>
  <c r="G1759" i="1"/>
  <c r="H1759" i="1"/>
  <c r="G1760" i="1"/>
  <c r="H1760" i="1"/>
  <c r="G1761" i="1"/>
  <c r="H1761" i="1"/>
  <c r="G1762" i="1"/>
  <c r="H1762" i="1"/>
  <c r="G1763" i="1"/>
  <c r="H1763" i="1"/>
  <c r="G1764" i="1"/>
  <c r="H1764" i="1"/>
  <c r="G1765" i="1"/>
  <c r="H1765" i="1"/>
  <c r="G1766" i="1"/>
  <c r="H1766" i="1"/>
  <c r="G1767" i="1"/>
  <c r="H1767" i="1"/>
  <c r="G1768" i="1"/>
  <c r="H1768" i="1"/>
  <c r="G1769" i="1"/>
  <c r="H1769" i="1"/>
  <c r="G1770" i="1"/>
  <c r="H1770" i="1"/>
  <c r="G1771" i="1"/>
  <c r="H1771" i="1"/>
  <c r="G1772" i="1"/>
  <c r="H1772" i="1"/>
  <c r="G1773" i="1"/>
  <c r="H1773" i="1"/>
  <c r="G1774" i="1"/>
  <c r="H1774" i="1"/>
  <c r="G1775" i="1"/>
  <c r="H1775" i="1"/>
  <c r="G1776" i="1"/>
  <c r="H1776" i="1"/>
  <c r="G1777" i="1"/>
  <c r="H1777" i="1"/>
  <c r="G1778" i="1"/>
  <c r="H1778" i="1"/>
  <c r="G1779" i="1"/>
  <c r="H1779" i="1"/>
  <c r="G1780" i="1"/>
  <c r="H1780" i="1"/>
  <c r="G1781" i="1"/>
  <c r="H1781" i="1"/>
  <c r="G1782" i="1"/>
  <c r="H1782" i="1"/>
  <c r="G1783" i="1"/>
  <c r="H1783" i="1"/>
  <c r="G1784" i="1"/>
  <c r="H1784" i="1"/>
  <c r="G1785" i="1"/>
  <c r="H1785" i="1"/>
  <c r="G1786" i="1"/>
  <c r="H1786" i="1"/>
  <c r="G1787" i="1"/>
  <c r="H1787" i="1"/>
  <c r="G1788" i="1"/>
  <c r="H1788" i="1"/>
  <c r="G1789" i="1"/>
  <c r="H1789" i="1"/>
  <c r="G1790" i="1"/>
  <c r="H1790" i="1"/>
  <c r="G1791" i="1"/>
  <c r="H1791" i="1"/>
  <c r="G1792" i="1"/>
  <c r="H1792" i="1"/>
  <c r="G1793" i="1"/>
  <c r="H1793" i="1"/>
  <c r="G1794" i="1"/>
  <c r="H1794" i="1"/>
  <c r="G1795" i="1"/>
  <c r="H1795" i="1"/>
  <c r="G1796" i="1"/>
  <c r="H1796" i="1"/>
  <c r="G1797" i="1"/>
  <c r="H1797" i="1"/>
  <c r="G1798" i="1"/>
  <c r="H1798" i="1"/>
  <c r="G1799" i="1"/>
  <c r="H1799" i="1"/>
  <c r="G1800" i="1"/>
  <c r="H1800" i="1"/>
  <c r="G1801" i="1"/>
  <c r="H1801" i="1"/>
  <c r="G1802" i="1"/>
  <c r="H1802" i="1"/>
  <c r="G1803" i="1"/>
  <c r="H1803" i="1"/>
  <c r="G1804" i="1"/>
  <c r="H1804" i="1"/>
  <c r="G1805" i="1"/>
  <c r="H1805" i="1"/>
  <c r="G1806" i="1"/>
  <c r="H1806" i="1"/>
  <c r="G1807" i="1"/>
  <c r="H1807" i="1"/>
  <c r="G1808" i="1"/>
  <c r="H1808" i="1"/>
  <c r="G1809" i="1"/>
  <c r="H1809" i="1"/>
  <c r="G1810" i="1"/>
  <c r="H1810" i="1"/>
  <c r="G1811" i="1"/>
  <c r="H1811" i="1"/>
  <c r="G1812" i="1"/>
  <c r="H1812" i="1"/>
  <c r="G1813" i="1"/>
  <c r="H1813" i="1"/>
  <c r="G1814" i="1"/>
  <c r="H1814" i="1"/>
  <c r="G1815" i="1"/>
  <c r="H1815" i="1"/>
  <c r="G1816" i="1"/>
  <c r="H1816" i="1"/>
  <c r="G1817" i="1"/>
  <c r="H1817" i="1"/>
  <c r="G1818" i="1"/>
  <c r="H1818" i="1"/>
  <c r="G1819" i="1"/>
  <c r="H1819" i="1"/>
  <c r="G1820" i="1"/>
  <c r="H1820" i="1"/>
  <c r="G1821" i="1"/>
  <c r="H1821" i="1"/>
  <c r="G1822" i="1"/>
  <c r="H1822" i="1"/>
  <c r="G1823" i="1"/>
  <c r="H1823" i="1"/>
  <c r="G1824" i="1"/>
  <c r="H1824" i="1"/>
  <c r="G1825" i="1"/>
  <c r="H1825" i="1"/>
  <c r="G1826" i="1"/>
  <c r="H1826" i="1"/>
  <c r="G1827" i="1"/>
  <c r="H1827" i="1"/>
  <c r="G1828" i="1"/>
  <c r="H1828" i="1"/>
  <c r="G1829" i="1"/>
  <c r="H1829" i="1"/>
  <c r="G1830" i="1"/>
  <c r="H1830" i="1"/>
  <c r="G1831" i="1"/>
  <c r="H1831" i="1"/>
  <c r="G1832" i="1"/>
  <c r="H1832" i="1"/>
  <c r="G1833" i="1"/>
  <c r="H1833" i="1"/>
  <c r="G1834" i="1"/>
  <c r="H1834" i="1"/>
  <c r="G1835" i="1"/>
  <c r="H1835" i="1"/>
  <c r="G1836" i="1"/>
  <c r="H1836" i="1"/>
  <c r="G1837" i="1"/>
  <c r="H1837" i="1"/>
  <c r="G1838" i="1"/>
  <c r="H1838" i="1"/>
  <c r="G1839" i="1"/>
  <c r="H1839" i="1"/>
  <c r="G1840" i="1"/>
  <c r="H1840" i="1"/>
  <c r="G1841" i="1"/>
  <c r="H1841" i="1"/>
  <c r="G1842" i="1"/>
  <c r="H1842" i="1"/>
  <c r="G1843" i="1"/>
  <c r="H1843" i="1"/>
  <c r="G1844" i="1"/>
  <c r="H1844" i="1"/>
  <c r="G1845" i="1"/>
  <c r="H1845" i="1"/>
  <c r="G1846" i="1"/>
  <c r="H1846" i="1"/>
  <c r="G1847" i="1"/>
  <c r="H1847" i="1"/>
  <c r="G1848" i="1"/>
  <c r="H1848" i="1"/>
  <c r="G1849" i="1"/>
  <c r="H1849" i="1"/>
  <c r="G1850" i="1"/>
  <c r="H1850" i="1"/>
  <c r="G1851" i="1"/>
  <c r="H1851" i="1"/>
  <c r="G1852" i="1"/>
  <c r="H1852" i="1"/>
  <c r="G1853" i="1"/>
  <c r="H1853" i="1"/>
  <c r="G1854" i="1"/>
  <c r="H1854" i="1"/>
  <c r="G1855" i="1"/>
  <c r="H1855" i="1"/>
  <c r="G1856" i="1"/>
  <c r="H1856" i="1"/>
  <c r="G1857" i="1"/>
  <c r="H1857" i="1"/>
  <c r="G1858" i="1"/>
  <c r="H1858" i="1"/>
  <c r="G1859" i="1"/>
  <c r="H1859" i="1"/>
  <c r="G1860" i="1"/>
  <c r="H1860" i="1"/>
  <c r="G1861" i="1"/>
  <c r="H1861" i="1"/>
  <c r="G1862" i="1"/>
  <c r="H1862" i="1"/>
  <c r="G1863" i="1"/>
  <c r="H1863" i="1"/>
  <c r="G1864" i="1"/>
  <c r="H1864" i="1"/>
  <c r="G1865" i="1"/>
  <c r="H1865" i="1"/>
  <c r="G1866" i="1"/>
  <c r="H1866" i="1"/>
  <c r="G1867" i="1"/>
  <c r="H1867" i="1"/>
  <c r="G1868" i="1"/>
  <c r="H1868" i="1"/>
  <c r="G1869" i="1"/>
  <c r="H1869" i="1"/>
  <c r="G1870" i="1"/>
  <c r="H1870" i="1"/>
  <c r="G1871" i="1"/>
  <c r="H1871" i="1"/>
  <c r="G1872" i="1"/>
  <c r="H1872" i="1"/>
  <c r="G1873" i="1"/>
  <c r="H1873" i="1"/>
  <c r="G1874" i="1"/>
  <c r="H1874" i="1"/>
  <c r="G1875" i="1"/>
  <c r="H1875" i="1"/>
  <c r="G1876" i="1"/>
  <c r="H1876" i="1"/>
  <c r="G1877" i="1"/>
  <c r="H1877" i="1"/>
  <c r="G1878" i="1"/>
  <c r="H1878" i="1"/>
  <c r="G1879" i="1"/>
  <c r="H1879" i="1"/>
  <c r="G1880" i="1"/>
  <c r="H1880" i="1"/>
  <c r="G1881" i="1"/>
  <c r="H1881" i="1"/>
  <c r="G1882" i="1"/>
  <c r="H1882" i="1"/>
  <c r="G1883" i="1"/>
  <c r="H1883" i="1"/>
  <c r="G1884" i="1"/>
  <c r="H1884" i="1"/>
  <c r="G1885" i="1"/>
  <c r="H1885" i="1"/>
  <c r="G1886" i="1"/>
  <c r="H1886" i="1"/>
  <c r="G1887" i="1"/>
  <c r="H1887" i="1"/>
  <c r="G1888" i="1"/>
  <c r="H1888" i="1"/>
  <c r="G1889" i="1"/>
  <c r="H1889" i="1"/>
  <c r="G1890" i="1"/>
  <c r="H1890" i="1"/>
  <c r="G1891" i="1"/>
  <c r="H1891" i="1"/>
  <c r="G1892" i="1"/>
  <c r="H1892" i="1"/>
  <c r="G1893" i="1"/>
  <c r="H1893" i="1"/>
  <c r="G1894" i="1"/>
  <c r="H1894" i="1"/>
  <c r="G1895" i="1"/>
  <c r="H1895" i="1"/>
  <c r="G1896" i="1"/>
  <c r="H1896" i="1"/>
  <c r="G1897" i="1"/>
  <c r="H1897" i="1"/>
  <c r="G1898" i="1"/>
  <c r="H1898" i="1"/>
  <c r="G1899" i="1"/>
  <c r="H1899" i="1"/>
  <c r="G1900" i="1"/>
  <c r="H1900" i="1"/>
  <c r="G1901" i="1"/>
  <c r="H1901" i="1"/>
  <c r="G1902" i="1"/>
  <c r="H1902" i="1"/>
  <c r="G1903" i="1"/>
  <c r="H1903" i="1"/>
  <c r="G1904" i="1"/>
  <c r="H1904" i="1"/>
  <c r="G1905" i="1"/>
  <c r="H1905" i="1"/>
  <c r="G1906" i="1"/>
  <c r="H1906" i="1"/>
  <c r="G1907" i="1"/>
  <c r="H1907" i="1"/>
  <c r="G1908" i="1"/>
  <c r="H1908" i="1"/>
  <c r="G1909" i="1"/>
  <c r="H1909" i="1"/>
  <c r="G1910" i="1"/>
  <c r="H1910" i="1"/>
  <c r="G1911" i="1"/>
  <c r="H1911" i="1"/>
  <c r="G1912" i="1"/>
  <c r="H1912" i="1"/>
  <c r="G1913" i="1"/>
  <c r="H1913" i="1"/>
  <c r="G1914" i="1"/>
  <c r="H1914" i="1"/>
  <c r="G1915" i="1"/>
  <c r="H1915" i="1"/>
  <c r="G1916" i="1"/>
  <c r="H1916" i="1"/>
  <c r="G1917" i="1"/>
  <c r="H1917" i="1"/>
  <c r="G1918" i="1"/>
  <c r="H1918" i="1"/>
  <c r="G1919" i="1"/>
  <c r="H1919" i="1"/>
  <c r="G1920" i="1"/>
  <c r="H1920" i="1"/>
  <c r="G1921" i="1"/>
  <c r="H1921" i="1"/>
  <c r="G1922" i="1"/>
  <c r="H1922" i="1"/>
  <c r="G1923" i="1"/>
  <c r="H1923" i="1"/>
  <c r="G1924" i="1"/>
  <c r="H1924" i="1"/>
  <c r="G1925" i="1"/>
  <c r="H1925" i="1"/>
  <c r="G1926" i="1"/>
  <c r="H1926" i="1"/>
  <c r="G1927" i="1"/>
  <c r="H1927" i="1"/>
  <c r="G1928" i="1"/>
  <c r="H1928" i="1"/>
  <c r="G1929" i="1"/>
  <c r="H1929" i="1"/>
  <c r="G1930" i="1"/>
  <c r="H1930" i="1"/>
  <c r="G1931" i="1"/>
  <c r="H1931" i="1"/>
  <c r="G1932" i="1"/>
  <c r="H1932" i="1"/>
  <c r="G1933" i="1"/>
  <c r="H1933" i="1"/>
  <c r="G1934" i="1"/>
  <c r="H1934" i="1"/>
  <c r="G1935" i="1"/>
  <c r="H1935" i="1"/>
  <c r="G1936" i="1"/>
  <c r="H1936" i="1"/>
  <c r="G1937" i="1"/>
  <c r="H1937" i="1"/>
  <c r="G1938" i="1"/>
  <c r="H1938" i="1"/>
  <c r="G1939" i="1"/>
  <c r="H1939" i="1"/>
  <c r="G1940" i="1"/>
  <c r="H1940" i="1"/>
  <c r="G1941" i="1"/>
  <c r="H1941" i="1"/>
  <c r="G1942" i="1"/>
  <c r="H1942" i="1"/>
  <c r="G1943" i="1"/>
  <c r="H1943" i="1"/>
  <c r="G1944" i="1"/>
  <c r="H1944" i="1"/>
  <c r="G1945" i="1"/>
  <c r="H1945" i="1"/>
  <c r="G1946" i="1"/>
  <c r="H1946" i="1"/>
  <c r="G1947" i="1"/>
  <c r="H1947" i="1"/>
  <c r="G1948" i="1"/>
  <c r="H1948" i="1"/>
  <c r="G1949" i="1"/>
  <c r="H1949" i="1"/>
  <c r="G1950" i="1"/>
  <c r="H1950" i="1"/>
  <c r="G1951" i="1"/>
  <c r="H1951" i="1"/>
  <c r="G1952" i="1"/>
  <c r="H1952" i="1"/>
  <c r="G1953" i="1"/>
  <c r="H1953" i="1"/>
  <c r="G1954" i="1"/>
  <c r="H1954" i="1"/>
  <c r="G1955" i="1"/>
  <c r="H1955" i="1"/>
  <c r="G1956" i="1"/>
  <c r="H1956" i="1"/>
  <c r="G1957" i="1"/>
  <c r="H1957" i="1"/>
  <c r="G1958" i="1"/>
  <c r="H1958" i="1"/>
  <c r="G1959" i="1"/>
  <c r="H1959" i="1"/>
  <c r="G1960" i="1"/>
  <c r="H1960" i="1"/>
  <c r="G1961" i="1"/>
  <c r="H1961" i="1"/>
  <c r="G1962" i="1"/>
  <c r="H1962" i="1"/>
  <c r="G1963" i="1"/>
  <c r="H1963" i="1"/>
  <c r="G1964" i="1"/>
  <c r="H1964" i="1"/>
  <c r="G1965" i="1"/>
  <c r="H1965" i="1"/>
  <c r="G1966" i="1"/>
  <c r="H1966" i="1"/>
  <c r="G1967" i="1"/>
  <c r="H1967" i="1"/>
  <c r="G1968" i="1"/>
  <c r="H1968" i="1"/>
  <c r="G1969" i="1"/>
  <c r="H1969" i="1"/>
  <c r="G1970" i="1"/>
  <c r="H1970" i="1"/>
  <c r="G1971" i="1"/>
  <c r="H1971" i="1"/>
  <c r="G1972" i="1"/>
  <c r="H1972" i="1"/>
  <c r="G1973" i="1"/>
  <c r="H1973" i="1"/>
  <c r="G1974" i="1"/>
  <c r="H1974" i="1"/>
  <c r="G1975" i="1"/>
  <c r="H1975" i="1"/>
  <c r="G1976" i="1"/>
  <c r="H1976" i="1"/>
  <c r="G1977" i="1"/>
  <c r="H1977" i="1"/>
  <c r="G1978" i="1"/>
  <c r="H1978" i="1"/>
  <c r="G1979" i="1"/>
  <c r="H1979" i="1"/>
  <c r="G1980" i="1"/>
  <c r="H1980" i="1"/>
  <c r="G1981" i="1"/>
  <c r="H1981" i="1"/>
  <c r="G1982" i="1"/>
  <c r="H1982" i="1"/>
  <c r="G1983" i="1"/>
  <c r="H1983" i="1"/>
  <c r="G1984" i="1"/>
  <c r="H1984" i="1"/>
  <c r="G1985" i="1"/>
  <c r="H1985" i="1"/>
  <c r="G1986" i="1"/>
  <c r="H1986" i="1"/>
  <c r="G1987" i="1"/>
  <c r="H1987" i="1"/>
  <c r="G1988" i="1"/>
  <c r="H1988" i="1"/>
  <c r="G1989" i="1"/>
  <c r="H1989" i="1"/>
  <c r="G1990" i="1"/>
  <c r="H1990" i="1"/>
  <c r="G1991" i="1"/>
  <c r="H1991" i="1"/>
  <c r="G1992" i="1"/>
  <c r="H1992" i="1"/>
  <c r="G1993" i="1"/>
  <c r="H1993" i="1"/>
  <c r="G1994" i="1"/>
  <c r="H1994" i="1"/>
  <c r="G1995" i="1"/>
  <c r="H1995" i="1"/>
  <c r="G1996" i="1"/>
  <c r="H1996" i="1"/>
  <c r="G1997" i="1"/>
  <c r="H1997" i="1"/>
  <c r="G1998" i="1"/>
  <c r="H1998" i="1"/>
  <c r="G1999" i="1"/>
  <c r="H1999" i="1"/>
  <c r="G2000" i="1"/>
  <c r="H2000" i="1"/>
  <c r="G2001" i="1"/>
  <c r="H2001" i="1"/>
  <c r="G2002" i="1"/>
  <c r="H2002" i="1"/>
  <c r="G2003" i="1"/>
  <c r="H2003" i="1"/>
  <c r="G2004" i="1"/>
  <c r="H2004" i="1"/>
  <c r="G2005" i="1"/>
  <c r="H2005" i="1"/>
  <c r="G2006" i="1"/>
  <c r="H2006" i="1"/>
  <c r="G2007" i="1"/>
  <c r="H2007" i="1"/>
  <c r="G2008" i="1"/>
  <c r="H2008" i="1"/>
  <c r="G2009" i="1"/>
  <c r="H2009" i="1"/>
  <c r="G2010" i="1"/>
  <c r="H2010" i="1"/>
  <c r="G2011" i="1"/>
  <c r="H2011" i="1"/>
  <c r="G2012" i="1"/>
  <c r="H2012" i="1"/>
  <c r="G2013" i="1"/>
  <c r="H2013" i="1"/>
  <c r="G2014" i="1"/>
  <c r="H2014" i="1"/>
  <c r="G2015" i="1"/>
  <c r="H2015" i="1"/>
  <c r="G2016" i="1"/>
  <c r="H2016" i="1"/>
  <c r="G2017" i="1"/>
  <c r="H2017" i="1"/>
  <c r="G2018" i="1"/>
  <c r="H2018" i="1"/>
  <c r="G2019" i="1"/>
  <c r="H2019" i="1"/>
  <c r="G2020" i="1"/>
  <c r="H2020" i="1"/>
  <c r="G2021" i="1"/>
  <c r="H2021" i="1"/>
  <c r="G2022" i="1"/>
  <c r="H2022" i="1"/>
  <c r="G2023" i="1"/>
  <c r="H2023" i="1"/>
  <c r="G2024" i="1"/>
  <c r="H2024" i="1"/>
  <c r="G2025" i="1"/>
  <c r="H2025" i="1"/>
  <c r="G2026" i="1"/>
  <c r="H2026" i="1"/>
  <c r="G2027" i="1"/>
  <c r="H2027" i="1"/>
  <c r="G2028" i="1"/>
  <c r="H2028" i="1"/>
  <c r="G2029" i="1"/>
  <c r="H2029" i="1"/>
  <c r="G2030" i="1"/>
  <c r="H2030" i="1"/>
  <c r="G2031" i="1"/>
  <c r="H2031" i="1"/>
  <c r="G2032" i="1"/>
  <c r="H2032" i="1"/>
  <c r="G2033" i="1"/>
  <c r="H2033" i="1"/>
  <c r="G2034" i="1"/>
  <c r="H2034" i="1"/>
  <c r="G2035" i="1"/>
  <c r="H2035" i="1"/>
  <c r="G2036" i="1"/>
  <c r="H2036" i="1"/>
  <c r="G2037" i="1"/>
  <c r="H2037" i="1"/>
  <c r="G2038" i="1"/>
  <c r="H2038" i="1"/>
  <c r="G2039" i="1"/>
  <c r="H2039" i="1"/>
  <c r="G2040" i="1"/>
  <c r="H2040" i="1"/>
  <c r="G2041" i="1"/>
  <c r="H2041" i="1"/>
  <c r="G2042" i="1"/>
  <c r="H2042" i="1"/>
  <c r="G2043" i="1"/>
  <c r="H2043" i="1"/>
  <c r="G2044" i="1"/>
  <c r="H2044" i="1"/>
  <c r="G2045" i="1"/>
  <c r="H2045" i="1"/>
  <c r="G2046" i="1"/>
  <c r="H2046" i="1"/>
  <c r="G2047" i="1"/>
  <c r="H2047" i="1"/>
  <c r="G2048" i="1"/>
  <c r="H2048" i="1"/>
  <c r="G2049" i="1"/>
  <c r="H2049" i="1"/>
  <c r="G2050" i="1"/>
  <c r="H2050" i="1"/>
  <c r="G2051" i="1"/>
  <c r="H2051" i="1"/>
  <c r="G2052" i="1"/>
  <c r="H2052" i="1"/>
  <c r="G2053" i="1"/>
  <c r="H2053" i="1"/>
  <c r="G2054" i="1"/>
  <c r="H2054" i="1"/>
  <c r="G2055" i="1"/>
  <c r="H2055" i="1"/>
  <c r="G2056" i="1"/>
  <c r="H2056" i="1"/>
  <c r="G2057" i="1"/>
  <c r="H2057" i="1"/>
  <c r="G2058" i="1"/>
  <c r="H2058" i="1"/>
  <c r="G2059" i="1"/>
  <c r="H2059" i="1"/>
  <c r="G2060" i="1"/>
  <c r="H2060" i="1"/>
  <c r="G2061" i="1"/>
  <c r="H2061" i="1"/>
  <c r="G2062" i="1"/>
  <c r="H2062" i="1"/>
  <c r="G2063" i="1"/>
  <c r="H2063" i="1"/>
  <c r="G2064" i="1"/>
  <c r="H2064" i="1"/>
  <c r="G2065" i="1"/>
  <c r="H2065" i="1"/>
  <c r="G2066" i="1"/>
  <c r="H2066" i="1"/>
  <c r="G2067" i="1"/>
  <c r="H2067" i="1"/>
  <c r="G2068" i="1"/>
  <c r="H2068" i="1"/>
  <c r="G2069" i="1"/>
  <c r="H2069" i="1"/>
  <c r="G2070" i="1"/>
  <c r="H2070" i="1"/>
  <c r="G2071" i="1"/>
  <c r="H2071" i="1"/>
  <c r="G2072" i="1"/>
  <c r="H2072" i="1"/>
  <c r="G2073" i="1"/>
  <c r="H2073" i="1"/>
  <c r="G2074" i="1"/>
  <c r="H2074" i="1"/>
  <c r="G2075" i="1"/>
  <c r="H2075" i="1"/>
  <c r="G2076" i="1"/>
  <c r="H2076" i="1"/>
  <c r="G2077" i="1"/>
  <c r="H2077" i="1"/>
  <c r="G2078" i="1"/>
  <c r="H2078" i="1"/>
  <c r="G2079" i="1"/>
  <c r="H2079" i="1"/>
  <c r="G2080" i="1"/>
  <c r="H2080" i="1"/>
  <c r="G2081" i="1"/>
  <c r="H2081" i="1"/>
  <c r="G2082" i="1"/>
  <c r="H2082" i="1"/>
  <c r="G2083" i="1"/>
  <c r="H2083" i="1"/>
  <c r="G2084" i="1"/>
  <c r="H2084" i="1"/>
  <c r="G2085" i="1"/>
  <c r="H2085" i="1"/>
  <c r="G2086" i="1"/>
  <c r="H2086" i="1"/>
  <c r="G2087" i="1"/>
  <c r="H2087" i="1"/>
  <c r="G2088" i="1"/>
  <c r="H2088" i="1"/>
  <c r="G2089" i="1"/>
  <c r="H2089" i="1"/>
  <c r="G2090" i="1"/>
  <c r="H2090" i="1"/>
  <c r="G2091" i="1"/>
  <c r="H2091" i="1"/>
  <c r="G2092" i="1"/>
  <c r="H2092" i="1"/>
  <c r="G2093" i="1"/>
  <c r="H2093" i="1"/>
  <c r="G2094" i="1"/>
  <c r="H2094" i="1"/>
  <c r="G2095" i="1"/>
  <c r="H2095" i="1"/>
  <c r="G2096" i="1"/>
  <c r="H2096" i="1"/>
  <c r="G2097" i="1"/>
  <c r="H2097" i="1"/>
  <c r="G2098" i="1"/>
  <c r="H2098" i="1"/>
  <c r="G2099" i="1"/>
  <c r="H2099" i="1"/>
  <c r="G2100" i="1"/>
  <c r="H2100" i="1"/>
  <c r="G2101" i="1"/>
  <c r="H2101" i="1"/>
  <c r="G2102" i="1"/>
  <c r="H2102" i="1"/>
  <c r="G2103" i="1"/>
  <c r="H2103" i="1"/>
  <c r="G2104" i="1"/>
  <c r="H2104" i="1"/>
  <c r="G2105" i="1"/>
  <c r="H2105" i="1"/>
  <c r="G2106" i="1"/>
  <c r="H2106" i="1"/>
  <c r="G2107" i="1"/>
  <c r="H2107" i="1"/>
  <c r="G2108" i="1"/>
  <c r="H2108" i="1"/>
  <c r="G2109" i="1"/>
  <c r="H2109" i="1"/>
  <c r="H18" i="1"/>
  <c r="I18" i="1"/>
  <c r="H19" i="1"/>
  <c r="I20" i="1"/>
  <c r="I22" i="1"/>
  <c r="I24" i="1"/>
  <c r="I26" i="1"/>
  <c r="I28" i="1"/>
  <c r="I30" i="1"/>
  <c r="I32" i="1"/>
  <c r="I35" i="1"/>
  <c r="I36" i="1"/>
  <c r="I38" i="1"/>
  <c r="I39" i="1"/>
  <c r="I41" i="1"/>
  <c r="I42" i="1"/>
  <c r="I44" i="1"/>
  <c r="I45" i="1"/>
  <c r="I47" i="1"/>
  <c r="I48" i="1"/>
  <c r="I50" i="1"/>
  <c r="I51" i="1"/>
  <c r="I53" i="1"/>
  <c r="I54" i="1"/>
  <c r="I56" i="1"/>
  <c r="I57" i="1"/>
  <c r="I59" i="1"/>
  <c r="I60" i="1"/>
  <c r="I62" i="1"/>
  <c r="I63" i="1"/>
  <c r="I65" i="1"/>
  <c r="I66" i="1"/>
  <c r="I68" i="1"/>
  <c r="I69" i="1"/>
  <c r="I71" i="1"/>
  <c r="I72" i="1"/>
  <c r="I74" i="1"/>
  <c r="I75" i="1"/>
  <c r="I78" i="1"/>
  <c r="I80" i="1"/>
  <c r="I82" i="1"/>
  <c r="I84" i="1"/>
  <c r="I86" i="1"/>
  <c r="I88" i="1"/>
  <c r="I90" i="1"/>
  <c r="I92" i="1"/>
  <c r="I94" i="1"/>
  <c r="I96" i="1"/>
  <c r="I98" i="1"/>
  <c r="I100" i="1"/>
  <c r="I102" i="1"/>
  <c r="I104" i="1"/>
  <c r="I106" i="1"/>
  <c r="I110" i="1"/>
  <c r="I112" i="1"/>
  <c r="I114" i="1"/>
  <c r="I116" i="1"/>
  <c r="I118" i="1"/>
  <c r="I120" i="1"/>
  <c r="I122" i="1"/>
  <c r="I124" i="1"/>
  <c r="I126" i="1"/>
  <c r="I128" i="1"/>
  <c r="I130" i="1"/>
  <c r="I132" i="1"/>
  <c r="I134" i="1"/>
  <c r="I136" i="1"/>
  <c r="I138" i="1"/>
  <c r="I140" i="1"/>
  <c r="I143" i="1"/>
  <c r="I144" i="1"/>
  <c r="I146" i="1"/>
  <c r="I147" i="1"/>
  <c r="I149" i="1"/>
  <c r="I150" i="1"/>
  <c r="I152" i="1"/>
  <c r="I153" i="1"/>
  <c r="I155" i="1"/>
  <c r="I156" i="1"/>
  <c r="I158" i="1"/>
  <c r="I159" i="1"/>
  <c r="I161" i="1"/>
  <c r="I162" i="1"/>
  <c r="I164" i="1"/>
  <c r="I165" i="1"/>
  <c r="I167" i="1"/>
  <c r="I168" i="1"/>
  <c r="I170" i="1"/>
  <c r="I171" i="1"/>
  <c r="I173" i="1"/>
  <c r="I174" i="1"/>
  <c r="I176" i="1"/>
  <c r="I177" i="1"/>
  <c r="I179" i="1"/>
  <c r="I180" i="1"/>
  <c r="I182" i="1"/>
  <c r="I183" i="1"/>
  <c r="I185" i="1"/>
  <c r="I186" i="1"/>
  <c r="I188" i="1"/>
  <c r="I189" i="1"/>
  <c r="I192" i="1"/>
  <c r="I194" i="1"/>
  <c r="I196" i="1"/>
  <c r="I198" i="1"/>
  <c r="I200" i="1"/>
  <c r="I202" i="1"/>
  <c r="I204" i="1"/>
  <c r="I206" i="1"/>
  <c r="I208" i="1"/>
  <c r="I210" i="1"/>
  <c r="I212" i="1"/>
  <c r="I214" i="1"/>
  <c r="I216" i="1"/>
  <c r="I218" i="1"/>
  <c r="I220" i="1"/>
  <c r="I222" i="1"/>
  <c r="I224" i="1"/>
  <c r="I228" i="1"/>
  <c r="I230" i="1"/>
  <c r="I232" i="1"/>
  <c r="I234" i="1"/>
  <c r="I236" i="1"/>
  <c r="I238" i="1"/>
  <c r="I240" i="1"/>
  <c r="I242" i="1"/>
  <c r="I244" i="1"/>
  <c r="I246" i="1"/>
  <c r="I248" i="1"/>
  <c r="I250" i="1"/>
  <c r="I252" i="1"/>
  <c r="I254" i="1"/>
  <c r="I256" i="1"/>
  <c r="I259" i="1"/>
  <c r="I260" i="1"/>
  <c r="I262" i="1"/>
  <c r="I263" i="1"/>
  <c r="I265" i="1"/>
  <c r="I266" i="1"/>
  <c r="I268" i="1"/>
  <c r="I269" i="1"/>
  <c r="I271" i="1"/>
  <c r="I272" i="1"/>
  <c r="I274" i="1"/>
  <c r="I275" i="1"/>
  <c r="I277" i="1"/>
  <c r="I278" i="1"/>
  <c r="I280" i="1"/>
  <c r="I281" i="1"/>
  <c r="I283" i="1"/>
  <c r="I284" i="1"/>
  <c r="I286" i="1"/>
  <c r="I287" i="1"/>
  <c r="I289" i="1"/>
  <c r="I290" i="1"/>
  <c r="I292" i="1"/>
  <c r="I293" i="1"/>
  <c r="I295" i="1"/>
  <c r="I296" i="1"/>
  <c r="I298" i="1"/>
  <c r="I299" i="1"/>
  <c r="I301" i="1"/>
  <c r="I302" i="1"/>
  <c r="I305" i="1"/>
  <c r="I307" i="1"/>
  <c r="I309" i="1"/>
  <c r="I311" i="1"/>
  <c r="I313" i="1"/>
  <c r="I315" i="1"/>
  <c r="I317" i="1"/>
  <c r="I319" i="1"/>
  <c r="I321" i="1"/>
  <c r="I323" i="1"/>
  <c r="I325" i="1"/>
  <c r="I327" i="1"/>
  <c r="I329" i="1"/>
  <c r="I331" i="1"/>
  <c r="I333" i="1"/>
  <c r="I335" i="1"/>
  <c r="I339" i="1"/>
  <c r="I341" i="1"/>
  <c r="I343" i="1"/>
  <c r="I345" i="1"/>
  <c r="I347" i="1"/>
  <c r="I349" i="1"/>
  <c r="I351" i="1"/>
  <c r="I353" i="1"/>
  <c r="I355" i="1"/>
  <c r="I357" i="1"/>
  <c r="I359" i="1"/>
  <c r="I361" i="1"/>
  <c r="I363" i="1"/>
  <c r="I365" i="1"/>
  <c r="I367" i="1"/>
  <c r="I369" i="1"/>
  <c r="I371" i="1"/>
  <c r="I373" i="1"/>
  <c r="I376" i="1"/>
  <c r="I377" i="1"/>
  <c r="I379" i="1"/>
  <c r="I380" i="1"/>
  <c r="I382" i="1"/>
  <c r="I383" i="1"/>
  <c r="I385" i="1"/>
  <c r="I386" i="1"/>
  <c r="I388" i="1"/>
  <c r="I389" i="1"/>
  <c r="I391" i="1"/>
  <c r="I392" i="1"/>
  <c r="I394" i="1"/>
  <c r="I395" i="1"/>
  <c r="I397" i="1"/>
  <c r="I398" i="1"/>
  <c r="I400" i="1"/>
  <c r="I401" i="1"/>
  <c r="I403" i="1"/>
  <c r="I404" i="1"/>
  <c r="I406" i="1"/>
  <c r="I407" i="1"/>
  <c r="I409" i="1"/>
  <c r="I410" i="1"/>
  <c r="I412" i="1"/>
  <c r="I413" i="1"/>
  <c r="I415" i="1"/>
  <c r="I416" i="1"/>
  <c r="I418" i="1"/>
  <c r="I419" i="1"/>
  <c r="I421" i="1"/>
  <c r="I422" i="1"/>
  <c r="I424" i="1"/>
  <c r="I425" i="1"/>
  <c r="I427" i="1"/>
  <c r="I428" i="1"/>
  <c r="I431" i="1"/>
  <c r="I433" i="1"/>
  <c r="I435" i="1"/>
  <c r="I437" i="1"/>
  <c r="I439" i="1"/>
  <c r="I441" i="1"/>
  <c r="I443" i="1"/>
  <c r="I445" i="1"/>
  <c r="I447" i="1"/>
  <c r="I449" i="1"/>
  <c r="I451" i="1"/>
  <c r="I453" i="1"/>
  <c r="I455" i="1"/>
  <c r="I457" i="1"/>
  <c r="I459" i="1"/>
  <c r="I461" i="1"/>
  <c r="I463" i="1"/>
  <c r="I465" i="1"/>
  <c r="I467" i="1"/>
  <c r="I471" i="1"/>
  <c r="I473" i="1"/>
  <c r="I475" i="1"/>
  <c r="I477" i="1"/>
  <c r="I479" i="1"/>
  <c r="I481" i="1"/>
  <c r="I483" i="1"/>
  <c r="I485" i="1"/>
  <c r="I487" i="1"/>
  <c r="I489" i="1"/>
  <c r="I491" i="1"/>
  <c r="I493" i="1"/>
  <c r="I495" i="1"/>
  <c r="I497" i="1"/>
  <c r="I499" i="1"/>
  <c r="I501" i="1"/>
  <c r="I503" i="1"/>
  <c r="I505" i="1"/>
  <c r="I508" i="1"/>
  <c r="I509" i="1"/>
  <c r="I511" i="1"/>
  <c r="I512" i="1"/>
  <c r="I514" i="1"/>
  <c r="I515" i="1"/>
  <c r="I517" i="1"/>
  <c r="I518" i="1"/>
  <c r="I520" i="1"/>
  <c r="I521" i="1"/>
  <c r="I523" i="1"/>
  <c r="I524" i="1"/>
  <c r="I526" i="1"/>
  <c r="I527" i="1"/>
  <c r="I529" i="1"/>
  <c r="I530" i="1"/>
  <c r="I532" i="1"/>
  <c r="I533" i="1"/>
  <c r="I535" i="1"/>
  <c r="I536" i="1"/>
  <c r="I538" i="1"/>
  <c r="I539" i="1"/>
  <c r="I541" i="1"/>
  <c r="I542" i="1"/>
  <c r="I544" i="1"/>
  <c r="I545" i="1"/>
  <c r="I547" i="1"/>
  <c r="I548" i="1"/>
  <c r="I550" i="1"/>
  <c r="I551" i="1"/>
  <c r="I553" i="1"/>
  <c r="I554" i="1"/>
  <c r="I556" i="1"/>
  <c r="I557" i="1"/>
  <c r="I559" i="1"/>
  <c r="I560" i="1"/>
  <c r="I563" i="1"/>
  <c r="I565" i="1"/>
  <c r="I567" i="1"/>
  <c r="I569" i="1"/>
  <c r="I571" i="1"/>
  <c r="I573" i="1"/>
  <c r="I575" i="1"/>
  <c r="I577" i="1"/>
  <c r="I579" i="1"/>
  <c r="I581" i="1"/>
  <c r="I583" i="1"/>
  <c r="I585" i="1"/>
  <c r="I587" i="1"/>
  <c r="I589" i="1"/>
  <c r="I591" i="1"/>
  <c r="I593" i="1"/>
  <c r="I595" i="1"/>
  <c r="I597" i="1"/>
  <c r="I599" i="1"/>
  <c r="I603" i="1"/>
  <c r="I605" i="1"/>
  <c r="I607" i="1"/>
  <c r="I609" i="1"/>
  <c r="I611" i="1"/>
  <c r="I613" i="1"/>
  <c r="I615" i="1"/>
  <c r="I617" i="1"/>
  <c r="I619" i="1"/>
  <c r="I621" i="1"/>
  <c r="I623" i="1"/>
  <c r="I625" i="1"/>
  <c r="I627" i="1"/>
  <c r="I629" i="1"/>
  <c r="I631" i="1"/>
  <c r="I634" i="1"/>
  <c r="I635" i="1"/>
  <c r="I637" i="1"/>
  <c r="I638" i="1"/>
  <c r="I640" i="1"/>
  <c r="I641" i="1"/>
  <c r="I643" i="1"/>
  <c r="I644" i="1"/>
  <c r="I646" i="1"/>
  <c r="I647" i="1"/>
  <c r="I649" i="1"/>
  <c r="I650" i="1"/>
  <c r="I652" i="1"/>
  <c r="I653" i="1"/>
  <c r="I655" i="1"/>
  <c r="I656" i="1"/>
  <c r="I658" i="1"/>
  <c r="I659" i="1"/>
  <c r="I661" i="1"/>
  <c r="I662" i="1"/>
  <c r="I664" i="1"/>
  <c r="I665" i="1"/>
  <c r="I667" i="1"/>
  <c r="I668" i="1"/>
  <c r="I670" i="1"/>
  <c r="I671" i="1"/>
  <c r="I673" i="1"/>
  <c r="I674" i="1"/>
  <c r="I676" i="1"/>
  <c r="I677" i="1"/>
  <c r="I680" i="1"/>
  <c r="I682" i="1"/>
  <c r="I684" i="1"/>
  <c r="I686" i="1"/>
  <c r="I688" i="1"/>
  <c r="I690" i="1"/>
  <c r="I692" i="1"/>
  <c r="I694" i="1"/>
  <c r="I696" i="1"/>
  <c r="I698" i="1"/>
  <c r="I700" i="1"/>
  <c r="I702" i="1"/>
  <c r="I704" i="1"/>
  <c r="I706" i="1"/>
  <c r="I708" i="1"/>
  <c r="I710" i="1"/>
  <c r="I714" i="1"/>
  <c r="I716" i="1"/>
  <c r="I718" i="1"/>
  <c r="I720" i="1"/>
  <c r="I722" i="1"/>
  <c r="I724" i="1"/>
  <c r="I726" i="1"/>
  <c r="I728" i="1"/>
  <c r="I730" i="1"/>
  <c r="I732" i="1"/>
  <c r="I734" i="1"/>
  <c r="I736" i="1"/>
  <c r="I738" i="1"/>
  <c r="I740" i="1"/>
  <c r="I742" i="1"/>
  <c r="I744" i="1"/>
  <c r="I746" i="1"/>
  <c r="I749" i="1"/>
  <c r="I750" i="1"/>
  <c r="I752" i="1"/>
  <c r="I753" i="1"/>
  <c r="I755" i="1"/>
  <c r="I756" i="1"/>
  <c r="I758" i="1"/>
  <c r="I759" i="1"/>
  <c r="I761" i="1"/>
  <c r="I762" i="1"/>
  <c r="I764" i="1"/>
  <c r="I765" i="1"/>
  <c r="I767" i="1"/>
  <c r="I768" i="1"/>
  <c r="I770" i="1"/>
  <c r="I771" i="1"/>
  <c r="I773" i="1"/>
  <c r="I774" i="1"/>
  <c r="I776" i="1"/>
  <c r="I777" i="1"/>
  <c r="I779" i="1"/>
  <c r="I780" i="1"/>
  <c r="I782" i="1"/>
  <c r="I783" i="1"/>
  <c r="I785" i="1"/>
  <c r="I786" i="1"/>
  <c r="I788" i="1"/>
  <c r="I789" i="1"/>
  <c r="I791" i="1"/>
  <c r="I792" i="1"/>
  <c r="I794" i="1"/>
  <c r="I795" i="1"/>
  <c r="I797" i="1"/>
  <c r="I798" i="1"/>
  <c r="I801" i="1"/>
  <c r="I803" i="1"/>
  <c r="I805" i="1"/>
  <c r="I807" i="1"/>
  <c r="I809" i="1"/>
  <c r="I811" i="1"/>
  <c r="I813" i="1"/>
  <c r="I815" i="1"/>
  <c r="I817" i="1"/>
  <c r="I819" i="1"/>
  <c r="I821" i="1"/>
  <c r="I823" i="1"/>
  <c r="I825" i="1"/>
  <c r="I827" i="1"/>
  <c r="I829" i="1"/>
  <c r="I831" i="1"/>
  <c r="I833" i="1"/>
  <c r="I835" i="1"/>
  <c r="I839" i="1"/>
  <c r="I841" i="1"/>
  <c r="I843" i="1"/>
  <c r="I845" i="1"/>
  <c r="I847" i="1"/>
  <c r="I849" i="1"/>
  <c r="I851" i="1"/>
  <c r="I853" i="1"/>
  <c r="I855" i="1"/>
  <c r="I857" i="1"/>
  <c r="I859" i="1"/>
  <c r="I861" i="1"/>
  <c r="I863" i="1"/>
  <c r="I865" i="1"/>
  <c r="I867" i="1"/>
  <c r="I869" i="1"/>
  <c r="I871" i="1"/>
  <c r="I874" i="1"/>
  <c r="I875" i="1"/>
  <c r="I877" i="1"/>
  <c r="I878" i="1"/>
  <c r="I880" i="1"/>
  <c r="I881" i="1"/>
  <c r="I883" i="1"/>
  <c r="I884" i="1"/>
  <c r="I886" i="1"/>
  <c r="I887" i="1"/>
  <c r="I889" i="1"/>
  <c r="I890" i="1"/>
  <c r="I892" i="1"/>
  <c r="I893" i="1"/>
  <c r="I895" i="1"/>
  <c r="I896" i="1"/>
  <c r="I898" i="1"/>
  <c r="I899" i="1"/>
  <c r="I901" i="1"/>
  <c r="I902" i="1"/>
  <c r="I904" i="1"/>
  <c r="I905" i="1"/>
  <c r="I907" i="1"/>
  <c r="I908" i="1"/>
  <c r="I910" i="1"/>
  <c r="I911" i="1"/>
  <c r="I913" i="1"/>
  <c r="I914" i="1"/>
  <c r="I916" i="1"/>
  <c r="I917" i="1"/>
  <c r="I919" i="1"/>
  <c r="I920" i="1"/>
  <c r="I922" i="1"/>
  <c r="I923" i="1"/>
  <c r="I926" i="1"/>
  <c r="I928" i="1"/>
  <c r="I930" i="1"/>
  <c r="I932" i="1"/>
  <c r="I934" i="1"/>
  <c r="I936" i="1"/>
  <c r="I938" i="1"/>
  <c r="I940" i="1"/>
  <c r="I942" i="1"/>
  <c r="I944" i="1"/>
  <c r="I946" i="1"/>
  <c r="I948" i="1"/>
  <c r="I950" i="1"/>
  <c r="I952" i="1"/>
  <c r="I954" i="1"/>
  <c r="I956" i="1"/>
  <c r="I958" i="1"/>
  <c r="I960" i="1"/>
  <c r="I964" i="1"/>
  <c r="I966" i="1"/>
  <c r="I968" i="1"/>
  <c r="I970" i="1"/>
  <c r="I972" i="1"/>
  <c r="I974" i="1"/>
  <c r="I976" i="1"/>
  <c r="I978" i="1"/>
  <c r="I980" i="1"/>
  <c r="I982" i="1"/>
  <c r="I984" i="1"/>
  <c r="I986" i="1"/>
  <c r="I989" i="1"/>
  <c r="I990" i="1"/>
  <c r="I992" i="1"/>
  <c r="I993" i="1"/>
  <c r="I995" i="1"/>
  <c r="I996" i="1"/>
  <c r="I998" i="1"/>
  <c r="I999" i="1"/>
  <c r="I1001" i="1"/>
  <c r="I1002" i="1"/>
  <c r="I1004" i="1"/>
  <c r="I1005" i="1"/>
  <c r="I1007" i="1"/>
  <c r="I1008" i="1"/>
  <c r="I1010" i="1"/>
  <c r="I1011" i="1"/>
  <c r="I1013" i="1"/>
  <c r="I1014" i="1"/>
  <c r="I1016" i="1"/>
  <c r="I1017" i="1"/>
  <c r="I1019" i="1"/>
  <c r="I1020" i="1"/>
  <c r="I1022" i="1"/>
  <c r="I1023" i="1"/>
  <c r="I1026" i="1"/>
  <c r="I1028" i="1"/>
  <c r="I1030" i="1"/>
  <c r="I1032" i="1"/>
  <c r="I1034" i="1"/>
  <c r="I1036" i="1"/>
  <c r="I1038" i="1"/>
  <c r="I1040" i="1"/>
  <c r="I1042" i="1"/>
  <c r="I1044" i="1"/>
  <c r="I1046" i="1"/>
  <c r="I1048" i="1"/>
  <c r="I1050" i="1"/>
  <c r="I1054" i="1"/>
  <c r="I1056" i="1"/>
  <c r="I1058" i="1"/>
  <c r="I1060" i="1"/>
  <c r="I1062" i="1"/>
  <c r="I1064" i="1"/>
  <c r="I1066" i="1"/>
  <c r="I1068" i="1"/>
  <c r="I1070" i="1"/>
  <c r="I1072" i="1"/>
  <c r="I1074" i="1"/>
  <c r="I1076" i="1"/>
  <c r="I1078" i="1"/>
  <c r="I1080" i="1"/>
  <c r="I1082" i="1"/>
  <c r="I1084" i="1"/>
  <c r="I1087" i="1"/>
  <c r="I1088" i="1"/>
  <c r="I1090" i="1"/>
  <c r="I1091" i="1"/>
  <c r="I1093" i="1"/>
  <c r="I1094" i="1"/>
  <c r="I1096" i="1"/>
  <c r="I1097" i="1"/>
  <c r="I1099" i="1"/>
  <c r="I1100" i="1"/>
  <c r="I1102" i="1"/>
  <c r="I1103" i="1"/>
  <c r="I1105" i="1"/>
  <c r="I1106" i="1"/>
  <c r="I1108" i="1"/>
  <c r="I1109" i="1"/>
  <c r="I1111" i="1"/>
  <c r="I1112" i="1"/>
  <c r="I1114" i="1"/>
  <c r="I1115" i="1"/>
  <c r="I1117" i="1"/>
  <c r="I1118" i="1"/>
  <c r="I1120" i="1"/>
  <c r="I1121" i="1"/>
  <c r="I1123" i="1"/>
  <c r="I1124" i="1"/>
  <c r="I1126" i="1"/>
  <c r="I1127" i="1"/>
  <c r="I1129" i="1"/>
  <c r="I1130" i="1"/>
  <c r="I1132" i="1"/>
  <c r="I1133" i="1"/>
  <c r="I1136" i="1"/>
  <c r="I1138" i="1"/>
  <c r="I1140" i="1"/>
  <c r="I1142" i="1"/>
  <c r="I1144" i="1"/>
  <c r="I1146" i="1"/>
  <c r="I1148" i="1"/>
  <c r="I1150" i="1"/>
  <c r="I1152" i="1"/>
  <c r="I1154" i="1"/>
  <c r="I1156" i="1"/>
  <c r="I1158" i="1"/>
  <c r="I1160" i="1"/>
  <c r="I1162" i="1"/>
  <c r="I1164" i="1"/>
  <c r="I1166" i="1"/>
  <c r="I1168" i="1"/>
  <c r="I1172" i="1"/>
  <c r="I1174" i="1"/>
  <c r="I1176" i="1"/>
  <c r="I1178" i="1"/>
  <c r="I1180" i="1"/>
  <c r="I1182" i="1"/>
  <c r="I1184" i="1"/>
  <c r="I1186" i="1"/>
  <c r="I1188" i="1"/>
  <c r="I1190" i="1"/>
  <c r="I1192" i="1"/>
  <c r="I1194" i="1"/>
  <c r="I1196" i="1"/>
  <c r="I1199" i="1"/>
  <c r="I1200" i="1"/>
  <c r="I1202" i="1"/>
  <c r="I1203" i="1"/>
  <c r="I1205" i="1"/>
  <c r="I1206" i="1"/>
  <c r="I1208" i="1"/>
  <c r="I1209" i="1"/>
  <c r="I1211" i="1"/>
  <c r="I1212" i="1"/>
  <c r="I1214" i="1"/>
  <c r="I1215" i="1"/>
  <c r="I1217" i="1"/>
  <c r="I1218" i="1"/>
  <c r="I1220" i="1"/>
  <c r="I1221" i="1"/>
  <c r="I1223" i="1"/>
  <c r="I1224" i="1"/>
  <c r="I1226" i="1"/>
  <c r="I1227" i="1"/>
  <c r="I1229" i="1"/>
  <c r="I1230" i="1"/>
  <c r="I1232" i="1"/>
  <c r="I1233" i="1"/>
  <c r="I1235" i="1"/>
  <c r="I1236" i="1"/>
  <c r="I1239" i="1"/>
  <c r="I1241" i="1"/>
  <c r="I1243" i="1"/>
  <c r="I1245" i="1"/>
  <c r="I1247" i="1"/>
  <c r="I1249" i="1"/>
  <c r="I1251" i="1"/>
  <c r="I1253" i="1"/>
  <c r="I1255" i="1"/>
  <c r="I1257" i="1"/>
  <c r="I1259" i="1"/>
  <c r="I1261" i="1"/>
  <c r="I1263" i="1"/>
  <c r="I1265" i="1"/>
  <c r="I1269" i="1"/>
  <c r="I1271" i="1"/>
  <c r="I1273" i="1"/>
  <c r="I1275" i="1"/>
  <c r="I1277" i="1"/>
  <c r="I1279" i="1"/>
  <c r="I1281" i="1"/>
  <c r="I1283" i="1"/>
  <c r="I1285" i="1"/>
  <c r="I1287" i="1"/>
  <c r="I1289" i="1"/>
  <c r="I1291" i="1"/>
  <c r="I1293" i="1"/>
  <c r="I1295" i="1"/>
  <c r="I1298" i="1"/>
  <c r="I1299" i="1"/>
  <c r="I1301" i="1"/>
  <c r="I1302" i="1"/>
  <c r="I1304" i="1"/>
  <c r="I1305" i="1"/>
  <c r="I1307" i="1"/>
  <c r="I1308" i="1"/>
  <c r="I1310" i="1"/>
  <c r="I1311" i="1"/>
  <c r="I1313" i="1"/>
  <c r="I1314" i="1"/>
  <c r="I1316" i="1"/>
  <c r="I1317" i="1"/>
  <c r="I1319" i="1"/>
  <c r="I1320" i="1"/>
  <c r="I1322" i="1"/>
  <c r="I1323" i="1"/>
  <c r="I1325" i="1"/>
  <c r="I1326" i="1"/>
  <c r="I1328" i="1"/>
  <c r="I1329" i="1"/>
  <c r="I1331" i="1"/>
  <c r="I1332" i="1"/>
  <c r="I1334" i="1"/>
  <c r="I1335" i="1"/>
  <c r="I1337" i="1"/>
  <c r="I1338" i="1"/>
  <c r="I1341" i="1"/>
  <c r="I1343" i="1"/>
  <c r="I1345" i="1"/>
  <c r="I1347" i="1"/>
  <c r="I1349" i="1"/>
  <c r="I1351" i="1"/>
  <c r="I1353" i="1"/>
  <c r="I1355" i="1"/>
  <c r="I1357" i="1"/>
  <c r="I1359" i="1"/>
  <c r="I1361" i="1"/>
  <c r="I1363" i="1"/>
  <c r="I1365" i="1"/>
  <c r="I1367" i="1"/>
  <c r="I1369" i="1"/>
  <c r="I1373" i="1"/>
  <c r="I1375" i="1"/>
  <c r="I1377" i="1"/>
  <c r="I1379" i="1"/>
  <c r="I1381" i="1"/>
  <c r="I1383" i="1"/>
  <c r="I1385" i="1"/>
  <c r="I1387" i="1"/>
  <c r="I1389" i="1"/>
  <c r="I1391" i="1"/>
  <c r="I1393" i="1"/>
  <c r="I1396" i="1"/>
  <c r="I1397" i="1"/>
  <c r="I1399" i="1"/>
  <c r="I1400" i="1"/>
  <c r="I1402" i="1"/>
  <c r="I1403" i="1"/>
  <c r="I1405" i="1"/>
  <c r="I1406" i="1"/>
  <c r="I1408" i="1"/>
  <c r="I1409" i="1"/>
  <c r="I1411" i="1"/>
  <c r="I1412" i="1"/>
  <c r="I1414" i="1"/>
  <c r="I1415" i="1"/>
  <c r="I1417" i="1"/>
  <c r="I1418" i="1"/>
  <c r="I1420" i="1"/>
  <c r="I1421" i="1"/>
  <c r="I1423" i="1"/>
  <c r="I1424" i="1"/>
  <c r="I1426" i="1"/>
  <c r="I1427" i="1"/>
  <c r="I1430" i="1"/>
  <c r="I1432" i="1"/>
  <c r="I1434" i="1"/>
  <c r="I1436" i="1"/>
  <c r="I1438" i="1"/>
  <c r="I1440" i="1"/>
  <c r="I1442" i="1"/>
  <c r="I1444" i="1"/>
  <c r="I1446" i="1"/>
  <c r="I1448" i="1"/>
  <c r="I1450" i="1"/>
  <c r="I1452" i="1"/>
  <c r="I1456" i="1"/>
  <c r="I1458" i="1"/>
  <c r="I1460" i="1"/>
  <c r="I1462" i="1"/>
  <c r="I1464" i="1"/>
  <c r="I1466" i="1"/>
  <c r="I1468" i="1"/>
  <c r="I1470" i="1"/>
  <c r="I1472" i="1"/>
  <c r="I1474" i="1"/>
  <c r="I1477" i="1"/>
  <c r="I1478" i="1"/>
  <c r="I1480" i="1"/>
  <c r="I1481" i="1"/>
  <c r="I1483" i="1"/>
  <c r="I1484" i="1"/>
  <c r="I1486" i="1"/>
  <c r="I1487" i="1"/>
  <c r="I1489" i="1"/>
  <c r="I1490" i="1"/>
  <c r="I1492" i="1"/>
  <c r="I1493" i="1"/>
  <c r="I1495" i="1"/>
  <c r="I1496" i="1"/>
  <c r="I1498" i="1"/>
  <c r="I1499" i="1"/>
  <c r="I1501" i="1"/>
  <c r="I1502" i="1"/>
  <c r="I1504" i="1"/>
  <c r="I1505" i="1"/>
  <c r="I1508" i="1"/>
  <c r="I1510" i="1"/>
  <c r="I1512" i="1"/>
  <c r="I1514" i="1"/>
  <c r="I1516" i="1"/>
  <c r="I1518" i="1"/>
  <c r="I1520" i="1"/>
  <c r="I1522" i="1"/>
  <c r="I1524" i="1"/>
  <c r="I1526" i="1"/>
  <c r="I1528" i="1"/>
  <c r="I1532" i="1"/>
  <c r="I1534" i="1"/>
  <c r="I1536" i="1"/>
  <c r="I1538" i="1"/>
  <c r="I1540" i="1"/>
  <c r="I1542" i="1"/>
  <c r="I1544" i="1"/>
  <c r="I1546" i="1"/>
  <c r="I1548" i="1"/>
  <c r="I1550" i="1"/>
  <c r="I1552" i="1"/>
  <c r="I1555" i="1"/>
  <c r="I1556" i="1"/>
  <c r="I1558" i="1"/>
  <c r="I1559" i="1"/>
  <c r="I1561" i="1"/>
  <c r="I1562" i="1"/>
  <c r="I1564" i="1"/>
  <c r="I1565" i="1"/>
  <c r="I1567" i="1"/>
  <c r="I1568" i="1"/>
  <c r="I1570" i="1"/>
  <c r="I1571" i="1"/>
  <c r="I1573" i="1"/>
  <c r="I1574" i="1"/>
  <c r="I1576" i="1"/>
  <c r="I1577" i="1"/>
  <c r="I1579" i="1"/>
  <c r="I1580" i="1"/>
  <c r="I1582" i="1"/>
  <c r="I1583" i="1"/>
  <c r="I1585" i="1"/>
  <c r="I1586" i="1"/>
  <c r="I1589" i="1"/>
  <c r="I1591" i="1"/>
  <c r="I1593" i="1"/>
  <c r="I1595" i="1"/>
  <c r="I1597" i="1"/>
  <c r="I1599" i="1"/>
  <c r="I1601" i="1"/>
  <c r="I1603" i="1"/>
  <c r="I1605" i="1"/>
  <c r="I1607" i="1"/>
  <c r="I1609" i="1"/>
  <c r="I1611" i="1"/>
  <c r="I1615" i="1"/>
  <c r="I1617" i="1"/>
  <c r="I1619" i="1"/>
  <c r="I1621" i="1"/>
  <c r="I1623" i="1"/>
  <c r="I1625" i="1"/>
  <c r="I1627" i="1"/>
  <c r="I1629" i="1"/>
  <c r="I1631" i="1"/>
  <c r="I1633" i="1"/>
  <c r="I1635" i="1"/>
  <c r="I1638" i="1"/>
  <c r="I1639" i="1"/>
  <c r="I1641" i="1"/>
  <c r="I1642" i="1"/>
  <c r="I1644" i="1"/>
  <c r="I1645" i="1"/>
  <c r="I1647" i="1"/>
  <c r="I1648" i="1"/>
  <c r="I1650" i="1"/>
  <c r="I1651" i="1"/>
  <c r="I1653" i="1"/>
  <c r="I1654" i="1"/>
  <c r="I1656" i="1"/>
  <c r="I1657" i="1"/>
  <c r="I1659" i="1"/>
  <c r="I1660" i="1"/>
  <c r="I1662" i="1"/>
  <c r="I1663" i="1"/>
  <c r="I1665" i="1"/>
  <c r="I1666" i="1"/>
  <c r="I1668" i="1"/>
  <c r="I1669" i="1"/>
  <c r="I1672" i="1"/>
  <c r="I1674" i="1"/>
  <c r="I1676" i="1"/>
  <c r="I1678" i="1"/>
  <c r="I1680" i="1"/>
  <c r="I1682" i="1"/>
  <c r="I1684" i="1"/>
  <c r="I1686" i="1"/>
  <c r="I1688" i="1"/>
  <c r="I1690" i="1"/>
  <c r="I1692" i="1"/>
  <c r="I1694" i="1"/>
  <c r="I1698" i="1"/>
  <c r="I1700" i="1"/>
  <c r="I1702" i="1"/>
  <c r="I1704" i="1"/>
  <c r="I1706" i="1"/>
  <c r="I1708" i="1"/>
  <c r="I1710" i="1"/>
  <c r="I1712" i="1"/>
  <c r="I1714" i="1"/>
  <c r="I1716" i="1"/>
  <c r="I1718" i="1"/>
  <c r="I1720" i="1"/>
  <c r="I1722" i="1"/>
  <c r="I1724" i="1"/>
  <c r="I1727" i="1"/>
  <c r="I1728" i="1"/>
  <c r="I1730" i="1"/>
  <c r="I1731" i="1"/>
  <c r="I1733" i="1"/>
  <c r="I1734" i="1"/>
  <c r="I1736" i="1"/>
  <c r="I1737" i="1"/>
  <c r="I1739" i="1"/>
  <c r="I1740" i="1"/>
  <c r="I1742" i="1"/>
  <c r="I1743" i="1"/>
  <c r="I1745" i="1"/>
  <c r="I1746" i="1"/>
  <c r="I1748" i="1"/>
  <c r="I1749" i="1"/>
  <c r="I1751" i="1"/>
  <c r="I1752" i="1"/>
  <c r="I1754" i="1"/>
  <c r="I1755" i="1"/>
  <c r="I1757" i="1"/>
  <c r="I1758" i="1"/>
  <c r="I1760" i="1"/>
  <c r="I1761" i="1"/>
  <c r="I1763" i="1"/>
  <c r="I1764" i="1"/>
  <c r="I1766" i="1"/>
  <c r="I1767" i="1"/>
  <c r="I1770" i="1"/>
  <c r="I1772" i="1"/>
  <c r="I1774" i="1"/>
  <c r="I1776" i="1"/>
  <c r="I1778" i="1"/>
  <c r="I1780" i="1"/>
  <c r="I1782" i="1"/>
  <c r="I1784" i="1"/>
  <c r="I1786" i="1"/>
  <c r="I1788" i="1"/>
  <c r="I1790" i="1"/>
  <c r="I1792" i="1"/>
  <c r="I1794" i="1"/>
  <c r="I1796" i="1"/>
  <c r="I1798" i="1"/>
  <c r="I1802" i="1"/>
  <c r="I1804" i="1"/>
  <c r="I1806" i="1"/>
  <c r="I1808" i="1"/>
  <c r="I1810" i="1"/>
  <c r="I1812" i="1"/>
  <c r="I1814" i="1"/>
  <c r="I1816" i="1"/>
  <c r="I1818" i="1"/>
  <c r="I1820" i="1"/>
  <c r="I1822" i="1"/>
  <c r="I1824" i="1"/>
  <c r="I1826" i="1"/>
  <c r="I1828" i="1"/>
  <c r="I1831" i="1"/>
  <c r="I1832" i="1"/>
  <c r="I1834" i="1"/>
  <c r="I1835" i="1"/>
  <c r="I1837" i="1"/>
  <c r="I1838" i="1"/>
  <c r="I1840" i="1"/>
  <c r="I1841" i="1"/>
  <c r="I1843" i="1"/>
  <c r="I1844" i="1"/>
  <c r="I1846" i="1"/>
  <c r="I1847" i="1"/>
  <c r="I1849" i="1"/>
  <c r="I1850" i="1"/>
  <c r="I1852" i="1"/>
  <c r="I1853" i="1"/>
  <c r="I1855" i="1"/>
  <c r="I1856" i="1"/>
  <c r="I1858" i="1"/>
  <c r="I1859" i="1"/>
  <c r="I1861" i="1"/>
  <c r="I1862" i="1"/>
  <c r="I1864" i="1"/>
  <c r="I1865" i="1"/>
  <c r="I1867" i="1"/>
  <c r="I1868" i="1"/>
  <c r="I1870" i="1"/>
  <c r="I1871" i="1"/>
  <c r="I1874" i="1"/>
  <c r="I1876" i="1"/>
  <c r="I1878" i="1"/>
  <c r="I1880" i="1"/>
  <c r="I1882" i="1"/>
  <c r="I1884" i="1"/>
  <c r="I1886" i="1"/>
  <c r="I1888" i="1"/>
  <c r="I1890" i="1"/>
  <c r="I1892" i="1"/>
  <c r="I1894" i="1"/>
  <c r="I1896" i="1"/>
  <c r="I1898" i="1"/>
  <c r="I1900" i="1"/>
  <c r="I1902" i="1"/>
  <c r="I1906" i="1"/>
  <c r="I1908" i="1"/>
  <c r="I1910" i="1"/>
  <c r="I1912" i="1"/>
  <c r="I1914" i="1"/>
  <c r="I1916" i="1"/>
  <c r="I1918" i="1"/>
  <c r="I1920" i="1"/>
  <c r="I1922" i="1"/>
  <c r="I1924" i="1"/>
  <c r="I1926" i="1"/>
  <c r="I1929" i="1"/>
  <c r="I1930" i="1"/>
  <c r="I1932" i="1"/>
  <c r="I1933" i="1"/>
  <c r="I1935" i="1"/>
  <c r="I1936" i="1"/>
  <c r="I1938" i="1"/>
  <c r="I1939" i="1"/>
  <c r="I1941" i="1"/>
  <c r="I1942" i="1"/>
  <c r="I1944" i="1"/>
  <c r="I1945" i="1"/>
  <c r="I1947" i="1"/>
  <c r="I1948" i="1"/>
  <c r="I1950" i="1"/>
  <c r="I1951" i="1"/>
  <c r="I1953" i="1"/>
  <c r="I1954" i="1"/>
  <c r="I1956" i="1"/>
  <c r="I1957" i="1"/>
  <c r="I1959" i="1"/>
  <c r="I1960" i="1"/>
  <c r="I1963" i="1"/>
  <c r="I1965" i="1"/>
  <c r="I1967" i="1"/>
  <c r="I1969" i="1"/>
  <c r="I1971" i="1"/>
  <c r="I1973" i="1"/>
  <c r="I1975" i="1"/>
  <c r="I1977" i="1"/>
  <c r="I1979" i="1"/>
  <c r="I1981" i="1"/>
  <c r="I1983" i="1"/>
  <c r="I1985" i="1"/>
  <c r="I1989" i="1"/>
  <c r="I1991" i="1"/>
  <c r="I1993" i="1"/>
  <c r="I1995" i="1"/>
  <c r="I1997" i="1"/>
  <c r="I1999" i="1"/>
  <c r="I2001" i="1"/>
  <c r="I2003" i="1"/>
  <c r="I2005" i="1"/>
  <c r="I2007" i="1"/>
  <c r="I2009" i="1"/>
  <c r="I2011" i="1"/>
  <c r="I2013" i="1"/>
  <c r="I2015" i="1"/>
  <c r="I2017" i="1"/>
  <c r="I2019" i="1"/>
  <c r="I2021" i="1"/>
  <c r="I2024" i="1"/>
  <c r="I2025" i="1"/>
  <c r="I2027" i="1"/>
  <c r="I2028" i="1"/>
  <c r="I2030" i="1"/>
  <c r="I2031" i="1"/>
  <c r="I2033" i="1"/>
  <c r="I2034" i="1"/>
  <c r="I2036" i="1"/>
  <c r="I2037" i="1"/>
  <c r="I2039" i="1"/>
  <c r="I2040" i="1"/>
  <c r="I2042" i="1"/>
  <c r="I2043" i="1"/>
  <c r="I2045" i="1"/>
  <c r="I2046" i="1"/>
  <c r="I2048" i="1"/>
  <c r="I2049" i="1"/>
  <c r="I2051" i="1"/>
  <c r="I2052" i="1"/>
  <c r="I2054" i="1"/>
  <c r="I2055" i="1"/>
  <c r="I2057" i="1"/>
  <c r="I2058" i="1"/>
  <c r="I2060" i="1"/>
  <c r="I2061" i="1"/>
  <c r="I2063" i="1"/>
  <c r="I2064" i="1"/>
  <c r="I2066" i="1"/>
  <c r="I2067" i="1"/>
  <c r="I2069" i="1"/>
  <c r="I2070" i="1"/>
  <c r="I2072" i="1"/>
  <c r="I2073" i="1"/>
  <c r="I2076" i="1"/>
  <c r="I2078" i="1"/>
  <c r="I2080" i="1"/>
  <c r="I2082" i="1"/>
  <c r="I2084" i="1"/>
  <c r="I2086" i="1"/>
  <c r="I2088" i="1"/>
  <c r="I2090" i="1"/>
  <c r="I2092" i="1"/>
  <c r="I2094" i="1"/>
  <c r="I2096" i="1"/>
  <c r="I2098" i="1"/>
  <c r="I2100" i="1"/>
  <c r="I2102" i="1"/>
  <c r="I2104" i="1"/>
  <c r="I2106" i="1"/>
  <c r="I2108" i="1"/>
  <c r="A2017" i="1"/>
  <c r="B2017" i="1"/>
  <c r="C2017" i="1"/>
  <c r="C2018" i="1" s="1"/>
  <c r="C2019" i="1" s="1"/>
  <c r="C2020" i="1" s="1"/>
  <c r="C2021" i="1" s="1"/>
  <c r="C2022" i="1" s="1"/>
  <c r="C2023" i="1" s="1"/>
  <c r="C2024" i="1" s="1"/>
  <c r="C2025" i="1" s="1"/>
  <c r="C2026" i="1" s="1"/>
  <c r="C2027" i="1" s="1"/>
  <c r="C2028" i="1" s="1"/>
  <c r="C2029" i="1" s="1"/>
  <c r="C2030" i="1" s="1"/>
  <c r="C2031" i="1" s="1"/>
  <c r="C2032" i="1" s="1"/>
  <c r="C2033" i="1" s="1"/>
  <c r="C2034" i="1" s="1"/>
  <c r="C2035" i="1" s="1"/>
  <c r="C2036" i="1" s="1"/>
  <c r="C2037" i="1" s="1"/>
  <c r="C2038" i="1" s="1"/>
  <c r="C2039" i="1" s="1"/>
  <c r="C2040" i="1" s="1"/>
  <c r="C2041" i="1" s="1"/>
  <c r="C2042" i="1" s="1"/>
  <c r="C2043" i="1" s="1"/>
  <c r="C2044" i="1" s="1"/>
  <c r="C2045" i="1" s="1"/>
  <c r="C2046" i="1" s="1"/>
  <c r="C2047" i="1" s="1"/>
  <c r="C2048" i="1" s="1"/>
  <c r="C2049" i="1" s="1"/>
  <c r="C2050" i="1" s="1"/>
  <c r="C2051" i="1" s="1"/>
  <c r="A2018" i="1"/>
  <c r="A2019" i="1" s="1"/>
  <c r="A2020" i="1" s="1"/>
  <c r="A2021" i="1" s="1"/>
  <c r="A2022" i="1" s="1"/>
  <c r="A2023" i="1" s="1"/>
  <c r="A2024" i="1" s="1"/>
  <c r="A2025" i="1" s="1"/>
  <c r="A2026" i="1" s="1"/>
  <c r="A2027" i="1" s="1"/>
  <c r="A2028" i="1" s="1"/>
  <c r="A2029" i="1" s="1"/>
  <c r="A2030" i="1" s="1"/>
  <c r="A2031" i="1" s="1"/>
  <c r="A2032" i="1" s="1"/>
  <c r="A2033" i="1" s="1"/>
  <c r="A2034" i="1" s="1"/>
  <c r="A2035" i="1" s="1"/>
  <c r="A2036" i="1" s="1"/>
  <c r="A2037" i="1" s="1"/>
  <c r="A2038" i="1" s="1"/>
  <c r="A2039" i="1" s="1"/>
  <c r="A2040" i="1" s="1"/>
  <c r="A2041" i="1" s="1"/>
  <c r="A2042" i="1" s="1"/>
  <c r="A2043" i="1" s="1"/>
  <c r="A2044" i="1" s="1"/>
  <c r="A2045" i="1" s="1"/>
  <c r="A2046" i="1" s="1"/>
  <c r="A2047" i="1" s="1"/>
  <c r="A2048" i="1" s="1"/>
  <c r="A2049" i="1" s="1"/>
  <c r="A2050" i="1" s="1"/>
  <c r="A2051" i="1" s="1"/>
  <c r="A2052" i="1" s="1"/>
  <c r="A2053" i="1" s="1"/>
  <c r="A2054" i="1" s="1"/>
  <c r="A2055" i="1" s="1"/>
  <c r="A2056" i="1" s="1"/>
  <c r="A2057" i="1" s="1"/>
  <c r="A2058" i="1" s="1"/>
  <c r="A2059" i="1" s="1"/>
  <c r="A2060" i="1" s="1"/>
  <c r="A2061" i="1" s="1"/>
  <c r="A2062" i="1" s="1"/>
  <c r="A2063" i="1" s="1"/>
  <c r="A2064" i="1" s="1"/>
  <c r="A2065" i="1" s="1"/>
  <c r="A2066" i="1" s="1"/>
  <c r="A2067" i="1" s="1"/>
  <c r="A2068" i="1" s="1"/>
  <c r="A2069" i="1" s="1"/>
  <c r="A2070" i="1" s="1"/>
  <c r="A2071" i="1" s="1"/>
  <c r="A2072" i="1" s="1"/>
  <c r="A2073" i="1" s="1"/>
  <c r="A2074" i="1" s="1"/>
  <c r="A2075" i="1" s="1"/>
  <c r="A2076" i="1" s="1"/>
  <c r="A2077" i="1" s="1"/>
  <c r="A2078" i="1" s="1"/>
  <c r="A2079" i="1" s="1"/>
  <c r="A2080" i="1" s="1"/>
  <c r="A2081" i="1" s="1"/>
  <c r="A2082" i="1" s="1"/>
  <c r="A2083" i="1" s="1"/>
  <c r="A2084" i="1" s="1"/>
  <c r="A2085" i="1" s="1"/>
  <c r="A2086" i="1" s="1"/>
  <c r="A2087" i="1" s="1"/>
  <c r="A2088" i="1" s="1"/>
  <c r="A2089" i="1" s="1"/>
  <c r="A2090" i="1" s="1"/>
  <c r="A2091" i="1" s="1"/>
  <c r="A2092" i="1" s="1"/>
  <c r="A2093" i="1" s="1"/>
  <c r="A2094" i="1" s="1"/>
  <c r="A2095" i="1" s="1"/>
  <c r="A2096" i="1" s="1"/>
  <c r="A2097" i="1" s="1"/>
  <c r="A2098" i="1" s="1"/>
  <c r="A2099" i="1" s="1"/>
  <c r="A2100" i="1" s="1"/>
  <c r="A2101" i="1" s="1"/>
  <c r="A2102" i="1" s="1"/>
  <c r="A2103" i="1" s="1"/>
  <c r="A2104" i="1" s="1"/>
  <c r="A2105" i="1" s="1"/>
  <c r="A2106" i="1" s="1"/>
  <c r="A2107" i="1" s="1"/>
  <c r="A2108" i="1" s="1"/>
  <c r="A2109" i="1" s="1"/>
  <c r="B2018" i="1"/>
  <c r="B2019" i="1"/>
  <c r="B2020" i="1" s="1"/>
  <c r="B2021" i="1" s="1"/>
  <c r="B2022"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2" i="1" s="1"/>
  <c r="B2053" i="1" s="1"/>
  <c r="B2054" i="1" s="1"/>
  <c r="B2055" i="1" s="1"/>
  <c r="B2056" i="1" s="1"/>
  <c r="B2057" i="1" s="1"/>
  <c r="B2058" i="1" s="1"/>
  <c r="B2059" i="1" s="1"/>
  <c r="B2060" i="1" s="1"/>
  <c r="B2061" i="1" s="1"/>
  <c r="B2062" i="1" s="1"/>
  <c r="B2063" i="1" s="1"/>
  <c r="B2064" i="1" s="1"/>
  <c r="B2065" i="1" s="1"/>
  <c r="B2066" i="1" s="1"/>
  <c r="B2067" i="1" s="1"/>
  <c r="B2068" i="1" s="1"/>
  <c r="B2069" i="1" s="1"/>
  <c r="B2070" i="1" s="1"/>
  <c r="B2071" i="1" s="1"/>
  <c r="B2072" i="1" s="1"/>
  <c r="B2073" i="1" s="1"/>
  <c r="B2074" i="1" s="1"/>
  <c r="B2075" i="1" s="1"/>
  <c r="B2076" i="1" s="1"/>
  <c r="B2077" i="1" s="1"/>
  <c r="B2078" i="1" s="1"/>
  <c r="B2079" i="1" s="1"/>
  <c r="B2080" i="1" s="1"/>
  <c r="B2081" i="1" s="1"/>
  <c r="B2082" i="1" s="1"/>
  <c r="B2083" i="1" s="1"/>
  <c r="B2084" i="1" s="1"/>
  <c r="B2085" i="1" s="1"/>
  <c r="B2086" i="1" s="1"/>
  <c r="B2087" i="1" s="1"/>
  <c r="B2088" i="1" s="1"/>
  <c r="B2089" i="1" s="1"/>
  <c r="B2090" i="1" s="1"/>
  <c r="B2091" i="1" s="1"/>
  <c r="B2092" i="1" s="1"/>
  <c r="B2093" i="1" s="1"/>
  <c r="B2094" i="1" s="1"/>
  <c r="B2095" i="1" s="1"/>
  <c r="B2096" i="1" s="1"/>
  <c r="B2097" i="1" s="1"/>
  <c r="B2098" i="1" s="1"/>
  <c r="B2099" i="1" s="1"/>
  <c r="B2100" i="1" s="1"/>
  <c r="B2101" i="1" s="1"/>
  <c r="B2102" i="1" s="1"/>
  <c r="B2103" i="1" s="1"/>
  <c r="B2104" i="1" s="1"/>
  <c r="B2105" i="1" s="1"/>
  <c r="B2106" i="1" s="1"/>
  <c r="B2107" i="1" s="1"/>
  <c r="B2108" i="1" s="1"/>
  <c r="B2109" i="1" s="1"/>
  <c r="C2052" i="1"/>
  <c r="C2053" i="1" s="1"/>
  <c r="C2054" i="1" s="1"/>
  <c r="C2055" i="1" s="1"/>
  <c r="C2056" i="1"/>
  <c r="C2057" i="1" s="1"/>
  <c r="C2058" i="1" s="1"/>
  <c r="C2059" i="1" s="1"/>
  <c r="C2060" i="1" s="1"/>
  <c r="C2061" i="1" s="1"/>
  <c r="C2062" i="1" s="1"/>
  <c r="C2063" i="1" s="1"/>
  <c r="C2064" i="1" s="1"/>
  <c r="C2065" i="1" s="1"/>
  <c r="C2066" i="1" s="1"/>
  <c r="C2067" i="1" s="1"/>
  <c r="C2068" i="1" s="1"/>
  <c r="C2069" i="1" s="1"/>
  <c r="C2070" i="1" s="1"/>
  <c r="C2071" i="1" s="1"/>
  <c r="C2072" i="1" s="1"/>
  <c r="C2073" i="1" s="1"/>
  <c r="C2074" i="1" s="1"/>
  <c r="C2075" i="1" s="1"/>
  <c r="C2076" i="1" s="1"/>
  <c r="C2077" i="1" s="1"/>
  <c r="C2078" i="1" s="1"/>
  <c r="C2079" i="1" s="1"/>
  <c r="C2080" i="1" s="1"/>
  <c r="C2081" i="1" s="1"/>
  <c r="C2082" i="1" s="1"/>
  <c r="C2083" i="1" s="1"/>
  <c r="C2084" i="1" s="1"/>
  <c r="C2085" i="1" s="1"/>
  <c r="C2086" i="1" s="1"/>
  <c r="C2087" i="1" s="1"/>
  <c r="C2088" i="1" s="1"/>
  <c r="C2089" i="1" s="1"/>
  <c r="C2090" i="1" s="1"/>
  <c r="C2091" i="1" s="1"/>
  <c r="C2092" i="1" s="1"/>
  <c r="C2093" i="1" s="1"/>
  <c r="C2094" i="1" s="1"/>
  <c r="C2095" i="1" s="1"/>
  <c r="C2096" i="1" s="1"/>
  <c r="C2097" i="1" s="1"/>
  <c r="C2098" i="1" s="1"/>
  <c r="C2099" i="1" s="1"/>
  <c r="C2100" i="1" s="1"/>
  <c r="C2101" i="1" s="1"/>
  <c r="C2102" i="1" s="1"/>
  <c r="C2103" i="1" s="1"/>
  <c r="C2104" i="1" s="1"/>
  <c r="C2105" i="1" s="1"/>
  <c r="C2106" i="1" s="1"/>
  <c r="C2107" i="1" s="1"/>
  <c r="C2108" i="1" s="1"/>
  <c r="C2109" i="1" s="1"/>
  <c r="E2109" i="1"/>
  <c r="E2108" i="1"/>
  <c r="E2106" i="1"/>
  <c r="E2104" i="1"/>
  <c r="E2102" i="1"/>
  <c r="E2100" i="1"/>
  <c r="E2098" i="1"/>
  <c r="E2096" i="1"/>
  <c r="E2094" i="1"/>
  <c r="E2092" i="1"/>
  <c r="E2090" i="1"/>
  <c r="E2088" i="1"/>
  <c r="E2086" i="1"/>
  <c r="E2084" i="1"/>
  <c r="E2082" i="1"/>
  <c r="E2080" i="1"/>
  <c r="E2078" i="1"/>
  <c r="E2076" i="1"/>
  <c r="E2074" i="1"/>
  <c r="E2073" i="1"/>
  <c r="E2070" i="1"/>
  <c r="E2067" i="1"/>
  <c r="E2064" i="1"/>
  <c r="E2061" i="1"/>
  <c r="E2058" i="1"/>
  <c r="E2055" i="1"/>
  <c r="E2052" i="1"/>
  <c r="E2049" i="1"/>
  <c r="E2046" i="1"/>
  <c r="E2043" i="1"/>
  <c r="E2040" i="1"/>
  <c r="E2037" i="1"/>
  <c r="E2034" i="1"/>
  <c r="E2031" i="1"/>
  <c r="E2028" i="1"/>
  <c r="E2025" i="1"/>
  <c r="E2022" i="1"/>
  <c r="E1987" i="1"/>
  <c r="E1986" i="1"/>
  <c r="C1986" i="1"/>
  <c r="C1987" i="1" s="1"/>
  <c r="C1988" i="1" s="1"/>
  <c r="C1989" i="1" s="1"/>
  <c r="C1990" i="1" s="1"/>
  <c r="C1991" i="1" s="1"/>
  <c r="C1992" i="1" s="1"/>
  <c r="C1993" i="1" s="1"/>
  <c r="C1994" i="1" s="1"/>
  <c r="C1995" i="1" s="1"/>
  <c r="C1996" i="1" s="1"/>
  <c r="C1997" i="1" s="1"/>
  <c r="C1998" i="1" s="1"/>
  <c r="C1999" i="1" s="1"/>
  <c r="C2000" i="1" s="1"/>
  <c r="C2001" i="1" s="1"/>
  <c r="C2002" i="1" s="1"/>
  <c r="C2003" i="1" s="1"/>
  <c r="C2004" i="1" s="1"/>
  <c r="C2005" i="1" s="1"/>
  <c r="C2006" i="1" s="1"/>
  <c r="C2007" i="1" s="1"/>
  <c r="C2008" i="1" s="1"/>
  <c r="C2009" i="1" s="1"/>
  <c r="C2010" i="1" s="1"/>
  <c r="C2011" i="1" s="1"/>
  <c r="C2012" i="1" s="1"/>
  <c r="C2013" i="1" s="1"/>
  <c r="C2014" i="1" s="1"/>
  <c r="C2015" i="1" s="1"/>
  <c r="C2016" i="1" s="1"/>
  <c r="E1985" i="1"/>
  <c r="E1984" i="1"/>
  <c r="E1983" i="1"/>
  <c r="E1981" i="1"/>
  <c r="E1979" i="1"/>
  <c r="E1977" i="1"/>
  <c r="E1975" i="1"/>
  <c r="E1973" i="1"/>
  <c r="E1971" i="1"/>
  <c r="E1969" i="1"/>
  <c r="E1967" i="1"/>
  <c r="E1965" i="1"/>
  <c r="E1963" i="1"/>
  <c r="E1961" i="1"/>
  <c r="E1960" i="1"/>
  <c r="E1957" i="1"/>
  <c r="E1954" i="1"/>
  <c r="E1951" i="1"/>
  <c r="E1948" i="1"/>
  <c r="E1945" i="1"/>
  <c r="E1942" i="1"/>
  <c r="E1939" i="1"/>
  <c r="E1936" i="1"/>
  <c r="E1933" i="1"/>
  <c r="E1930" i="1"/>
  <c r="E1927" i="1"/>
  <c r="E1904" i="1"/>
  <c r="E1903" i="1"/>
  <c r="C1903" i="1"/>
  <c r="C1904" i="1" s="1"/>
  <c r="C1905" i="1" s="1"/>
  <c r="C1906" i="1" s="1"/>
  <c r="C1907" i="1" s="1"/>
  <c r="C1908" i="1" s="1"/>
  <c r="C1909" i="1" s="1"/>
  <c r="C1910" i="1" s="1"/>
  <c r="C1911" i="1" s="1"/>
  <c r="C1912" i="1" s="1"/>
  <c r="C1913" i="1" s="1"/>
  <c r="C1914" i="1" s="1"/>
  <c r="C1915" i="1" s="1"/>
  <c r="C1916" i="1" s="1"/>
  <c r="C1917" i="1" s="1"/>
  <c r="C1918" i="1" s="1"/>
  <c r="C1919" i="1" s="1"/>
  <c r="C1920" i="1" s="1"/>
  <c r="C1921" i="1" s="1"/>
  <c r="C1922" i="1" s="1"/>
  <c r="C1923" i="1" s="1"/>
  <c r="C1924" i="1" s="1"/>
  <c r="C1925" i="1" s="1"/>
  <c r="C1926" i="1" s="1"/>
  <c r="C1927" i="1" s="1"/>
  <c r="C1928" i="1" s="1"/>
  <c r="C1929" i="1" s="1"/>
  <c r="C1930" i="1" s="1"/>
  <c r="C1931" i="1" s="1"/>
  <c r="C1932" i="1" s="1"/>
  <c r="C1933" i="1" s="1"/>
  <c r="C1934" i="1" s="1"/>
  <c r="C1935" i="1" s="1"/>
  <c r="C1936" i="1" s="1"/>
  <c r="C1937" i="1" s="1"/>
  <c r="C1938" i="1" s="1"/>
  <c r="C1939" i="1" s="1"/>
  <c r="C1940" i="1" s="1"/>
  <c r="C1941" i="1" s="1"/>
  <c r="C1942" i="1" s="1"/>
  <c r="C1943" i="1" s="1"/>
  <c r="C1944" i="1" s="1"/>
  <c r="C1945" i="1" s="1"/>
  <c r="C1946" i="1" s="1"/>
  <c r="C1947" i="1" s="1"/>
  <c r="C1948" i="1" s="1"/>
  <c r="C1949" i="1" s="1"/>
  <c r="C1950" i="1" s="1"/>
  <c r="C1951" i="1" s="1"/>
  <c r="C1952" i="1" s="1"/>
  <c r="C1953" i="1" s="1"/>
  <c r="C1954" i="1" s="1"/>
  <c r="C1955" i="1" s="1"/>
  <c r="C1956" i="1" s="1"/>
  <c r="C1957" i="1" s="1"/>
  <c r="C1958" i="1" s="1"/>
  <c r="C1959" i="1" s="1"/>
  <c r="C1960" i="1" s="1"/>
  <c r="C1961" i="1" s="1"/>
  <c r="C1962" i="1" s="1"/>
  <c r="C1963" i="1" s="1"/>
  <c r="C1964" i="1" s="1"/>
  <c r="C1965" i="1" s="1"/>
  <c r="C1966" i="1" s="1"/>
  <c r="C1967" i="1" s="1"/>
  <c r="C1968" i="1" s="1"/>
  <c r="C1969" i="1" s="1"/>
  <c r="C1970" i="1" s="1"/>
  <c r="C1971" i="1" s="1"/>
  <c r="C1972" i="1" s="1"/>
  <c r="C1973" i="1" s="1"/>
  <c r="C1974" i="1" s="1"/>
  <c r="C1975" i="1" s="1"/>
  <c r="C1976" i="1" s="1"/>
  <c r="C1977" i="1" s="1"/>
  <c r="C1978" i="1" s="1"/>
  <c r="C1979" i="1" s="1"/>
  <c r="C1980" i="1" s="1"/>
  <c r="C1981" i="1" s="1"/>
  <c r="C1982" i="1" s="1"/>
  <c r="C1983" i="1" s="1"/>
  <c r="C1984" i="1" s="1"/>
  <c r="E1902" i="1"/>
  <c r="E1901" i="1"/>
  <c r="E1900" i="1"/>
  <c r="E1898" i="1"/>
  <c r="E1896" i="1"/>
  <c r="E1894" i="1"/>
  <c r="E1892" i="1"/>
  <c r="E1890" i="1"/>
  <c r="E1888" i="1"/>
  <c r="E1886" i="1"/>
  <c r="E1884" i="1"/>
  <c r="E1882" i="1"/>
  <c r="E1880" i="1"/>
  <c r="E1878" i="1"/>
  <c r="E1876" i="1"/>
  <c r="E1874" i="1"/>
  <c r="E1872" i="1"/>
  <c r="E1871" i="1"/>
  <c r="E1868" i="1"/>
  <c r="E1865" i="1"/>
  <c r="E1862" i="1"/>
  <c r="E1859" i="1"/>
  <c r="E1856" i="1"/>
  <c r="E1853" i="1"/>
  <c r="E1850" i="1"/>
  <c r="E1847" i="1"/>
  <c r="E1844" i="1"/>
  <c r="E1841" i="1"/>
  <c r="E1838" i="1"/>
  <c r="E1835" i="1"/>
  <c r="E1832" i="1"/>
  <c r="E1829" i="1"/>
  <c r="E1800" i="1"/>
  <c r="E1799" i="1"/>
  <c r="C1799" i="1"/>
  <c r="C1800" i="1" s="1"/>
  <c r="C1801" i="1" s="1"/>
  <c r="C1802" i="1" s="1"/>
  <c r="C1803" i="1" s="1"/>
  <c r="C1804" i="1" s="1"/>
  <c r="C1805" i="1" s="1"/>
  <c r="C1806" i="1" s="1"/>
  <c r="C1807" i="1" s="1"/>
  <c r="C1808" i="1" s="1"/>
  <c r="C1809" i="1" s="1"/>
  <c r="C1810" i="1" s="1"/>
  <c r="C1811" i="1" s="1"/>
  <c r="C1812" i="1" s="1"/>
  <c r="C1813" i="1" s="1"/>
  <c r="C1814" i="1" s="1"/>
  <c r="C1815" i="1" s="1"/>
  <c r="C1816" i="1" s="1"/>
  <c r="C1817" i="1" s="1"/>
  <c r="C1818" i="1" s="1"/>
  <c r="C1819" i="1" s="1"/>
  <c r="C1820" i="1" s="1"/>
  <c r="C1821" i="1" s="1"/>
  <c r="C1822" i="1" s="1"/>
  <c r="C1823" i="1" s="1"/>
  <c r="C1824" i="1" s="1"/>
  <c r="C1825" i="1" s="1"/>
  <c r="C1826" i="1" s="1"/>
  <c r="C1827" i="1" s="1"/>
  <c r="C1828" i="1" s="1"/>
  <c r="C1829" i="1" s="1"/>
  <c r="C1830" i="1" s="1"/>
  <c r="C1831" i="1" s="1"/>
  <c r="C1832" i="1" s="1"/>
  <c r="C1833" i="1" s="1"/>
  <c r="C1834" i="1" s="1"/>
  <c r="C1835" i="1" s="1"/>
  <c r="C1836" i="1" s="1"/>
  <c r="C1837" i="1" s="1"/>
  <c r="C1838" i="1" s="1"/>
  <c r="C1839" i="1" s="1"/>
  <c r="C1840" i="1" s="1"/>
  <c r="C1841" i="1" s="1"/>
  <c r="C1842" i="1" s="1"/>
  <c r="C1843" i="1" s="1"/>
  <c r="C1844" i="1" s="1"/>
  <c r="C1845" i="1" s="1"/>
  <c r="C1846" i="1" s="1"/>
  <c r="C1847" i="1" s="1"/>
  <c r="C1848" i="1" s="1"/>
  <c r="C1849" i="1" s="1"/>
  <c r="C1850" i="1" s="1"/>
  <c r="C1851" i="1" s="1"/>
  <c r="C1852" i="1" s="1"/>
  <c r="C1853" i="1" s="1"/>
  <c r="C1854" i="1" s="1"/>
  <c r="C1855" i="1" s="1"/>
  <c r="C1856" i="1" s="1"/>
  <c r="C1857" i="1" s="1"/>
  <c r="C1858" i="1" s="1"/>
  <c r="C1859" i="1" s="1"/>
  <c r="C1860" i="1" s="1"/>
  <c r="C1861" i="1" s="1"/>
  <c r="C1862" i="1" s="1"/>
  <c r="C1863" i="1" s="1"/>
  <c r="C1864" i="1" s="1"/>
  <c r="C1865" i="1" s="1"/>
  <c r="C1866" i="1" s="1"/>
  <c r="C1867" i="1" s="1"/>
  <c r="C1868" i="1" s="1"/>
  <c r="C1869" i="1" s="1"/>
  <c r="C1870" i="1" s="1"/>
  <c r="C1871" i="1" s="1"/>
  <c r="C1872" i="1" s="1"/>
  <c r="C1873" i="1" s="1"/>
  <c r="C1874" i="1" s="1"/>
  <c r="C1875" i="1" s="1"/>
  <c r="C1876" i="1" s="1"/>
  <c r="C1877" i="1" s="1"/>
  <c r="C1878" i="1" s="1"/>
  <c r="C1879" i="1" s="1"/>
  <c r="C1880" i="1" s="1"/>
  <c r="C1881" i="1" s="1"/>
  <c r="C1882" i="1" s="1"/>
  <c r="C1883" i="1" s="1"/>
  <c r="C1884" i="1" s="1"/>
  <c r="C1885" i="1" s="1"/>
  <c r="C1886" i="1" s="1"/>
  <c r="C1887" i="1" s="1"/>
  <c r="C1888" i="1" s="1"/>
  <c r="C1889" i="1" s="1"/>
  <c r="C1890" i="1" s="1"/>
  <c r="C1891" i="1" s="1"/>
  <c r="C1892" i="1" s="1"/>
  <c r="C1893" i="1" s="1"/>
  <c r="C1894" i="1" s="1"/>
  <c r="C1895" i="1" s="1"/>
  <c r="C1896" i="1" s="1"/>
  <c r="C1897" i="1" s="1"/>
  <c r="C1898" i="1" s="1"/>
  <c r="C1899" i="1" s="1"/>
  <c r="C1900" i="1" s="1"/>
  <c r="C1901" i="1" s="1"/>
  <c r="E1798" i="1"/>
  <c r="E1797" i="1" l="1"/>
  <c r="E1796" i="1"/>
  <c r="E1794" i="1"/>
  <c r="E1792" i="1"/>
  <c r="E1790" i="1"/>
  <c r="E1788" i="1"/>
  <c r="E1786" i="1"/>
  <c r="E1784" i="1"/>
  <c r="E1782" i="1"/>
  <c r="E1780" i="1"/>
  <c r="E1778" i="1"/>
  <c r="E1776" i="1"/>
  <c r="E1774" i="1"/>
  <c r="E1772" i="1"/>
  <c r="E1770" i="1"/>
  <c r="E1768" i="1"/>
  <c r="E1767" i="1"/>
  <c r="E1764" i="1"/>
  <c r="E1761" i="1"/>
  <c r="E1758" i="1"/>
  <c r="E1755" i="1"/>
  <c r="E1752" i="1"/>
  <c r="E1749" i="1"/>
  <c r="E1746" i="1"/>
  <c r="E1743" i="1"/>
  <c r="E1740" i="1"/>
  <c r="E1737" i="1"/>
  <c r="E1734" i="1"/>
  <c r="E1731" i="1"/>
  <c r="E1728" i="1"/>
  <c r="E1725" i="1"/>
  <c r="E1696" i="1"/>
  <c r="E1695" i="1"/>
  <c r="C1695" i="1"/>
  <c r="C1696" i="1" s="1"/>
  <c r="C1697" i="1" s="1"/>
  <c r="C1698" i="1" s="1"/>
  <c r="C1699" i="1" s="1"/>
  <c r="C1700" i="1" s="1"/>
  <c r="C1701" i="1" s="1"/>
  <c r="C1702" i="1" s="1"/>
  <c r="C1703" i="1" s="1"/>
  <c r="C1704" i="1" s="1"/>
  <c r="C1705" i="1" s="1"/>
  <c r="C1706" i="1" s="1"/>
  <c r="C1707" i="1" s="1"/>
  <c r="C1708" i="1" s="1"/>
  <c r="C1709" i="1" s="1"/>
  <c r="C1710" i="1" s="1"/>
  <c r="C1711" i="1" s="1"/>
  <c r="C1712" i="1" s="1"/>
  <c r="C1713" i="1" s="1"/>
  <c r="C1714" i="1" s="1"/>
  <c r="C1715" i="1" s="1"/>
  <c r="C1716" i="1" s="1"/>
  <c r="C1717" i="1" s="1"/>
  <c r="C1718" i="1" s="1"/>
  <c r="C1719" i="1" s="1"/>
  <c r="C1720" i="1" s="1"/>
  <c r="C1721" i="1" s="1"/>
  <c r="C1722" i="1" s="1"/>
  <c r="C1723" i="1" s="1"/>
  <c r="C1724" i="1" s="1"/>
  <c r="C1725" i="1" s="1"/>
  <c r="C1726" i="1" s="1"/>
  <c r="C1727" i="1" s="1"/>
  <c r="C1728" i="1" s="1"/>
  <c r="C1729" i="1" s="1"/>
  <c r="C1730" i="1" s="1"/>
  <c r="C1731" i="1" s="1"/>
  <c r="C1732" i="1" s="1"/>
  <c r="C1733" i="1" s="1"/>
  <c r="C1734" i="1" s="1"/>
  <c r="C1735" i="1" s="1"/>
  <c r="C1736" i="1" s="1"/>
  <c r="C1737" i="1" s="1"/>
  <c r="C1738" i="1" s="1"/>
  <c r="C1739" i="1" s="1"/>
  <c r="C1740" i="1" s="1"/>
  <c r="C1741" i="1" s="1"/>
  <c r="C1742" i="1" s="1"/>
  <c r="C1743" i="1" s="1"/>
  <c r="C1744" i="1" s="1"/>
  <c r="C1745" i="1" s="1"/>
  <c r="C1746" i="1" s="1"/>
  <c r="C1747" i="1" s="1"/>
  <c r="C1748" i="1" s="1"/>
  <c r="C1749" i="1" s="1"/>
  <c r="C1750" i="1" s="1"/>
  <c r="C1751" i="1" s="1"/>
  <c r="C1752" i="1" s="1"/>
  <c r="C1753" i="1" s="1"/>
  <c r="C1754" i="1" s="1"/>
  <c r="C1755" i="1" s="1"/>
  <c r="C1756" i="1" s="1"/>
  <c r="C1757" i="1" s="1"/>
  <c r="C1758" i="1" s="1"/>
  <c r="C1759" i="1" s="1"/>
  <c r="C1760" i="1" s="1"/>
  <c r="C1761" i="1" s="1"/>
  <c r="C1762" i="1" s="1"/>
  <c r="C1763" i="1" s="1"/>
  <c r="C1764" i="1" s="1"/>
  <c r="C1765" i="1" s="1"/>
  <c r="C1766" i="1" s="1"/>
  <c r="C1767" i="1" s="1"/>
  <c r="C1768" i="1" s="1"/>
  <c r="C1769" i="1" s="1"/>
  <c r="C1770" i="1" s="1"/>
  <c r="C1771" i="1" s="1"/>
  <c r="C1772" i="1" s="1"/>
  <c r="C1773" i="1" s="1"/>
  <c r="C1774" i="1" s="1"/>
  <c r="C1775" i="1" s="1"/>
  <c r="C1776" i="1" s="1"/>
  <c r="C1777" i="1" s="1"/>
  <c r="C1778" i="1" s="1"/>
  <c r="C1779" i="1" s="1"/>
  <c r="C1780" i="1" s="1"/>
  <c r="C1781" i="1" s="1"/>
  <c r="C1782" i="1" s="1"/>
  <c r="C1783" i="1" s="1"/>
  <c r="C1784" i="1" s="1"/>
  <c r="C1785" i="1" s="1"/>
  <c r="C1786" i="1" s="1"/>
  <c r="C1787" i="1" s="1"/>
  <c r="C1788" i="1" s="1"/>
  <c r="C1789" i="1" s="1"/>
  <c r="C1790" i="1" s="1"/>
  <c r="C1791" i="1" s="1"/>
  <c r="C1792" i="1" s="1"/>
  <c r="C1793" i="1" s="1"/>
  <c r="C1794" i="1" s="1"/>
  <c r="C1795" i="1" s="1"/>
  <c r="C1796" i="1" s="1"/>
  <c r="C1797" i="1" s="1"/>
  <c r="E1694" i="1"/>
  <c r="E1693" i="1"/>
  <c r="E1692" i="1"/>
  <c r="E1690" i="1"/>
  <c r="E1688" i="1"/>
  <c r="E1686" i="1"/>
  <c r="E1684" i="1"/>
  <c r="E1682" i="1"/>
  <c r="E1680" i="1"/>
  <c r="E1678" i="1"/>
  <c r="E1676" i="1"/>
  <c r="E1674" i="1"/>
  <c r="E1672" i="1"/>
  <c r="E1670" i="1"/>
  <c r="E1669" i="1"/>
  <c r="E1666" i="1"/>
  <c r="E1663" i="1"/>
  <c r="E1660" i="1"/>
  <c r="E1657" i="1"/>
  <c r="E1654" i="1"/>
  <c r="E1651" i="1"/>
  <c r="E1648" i="1"/>
  <c r="E1645" i="1"/>
  <c r="E1642" i="1"/>
  <c r="E1639" i="1"/>
  <c r="E1636" i="1"/>
  <c r="E1613" i="1"/>
  <c r="E1612" i="1"/>
  <c r="C1612" i="1"/>
  <c r="C1613" i="1" s="1"/>
  <c r="C1614" i="1" s="1"/>
  <c r="C1615" i="1" s="1"/>
  <c r="C1616" i="1" s="1"/>
  <c r="C1617" i="1" s="1"/>
  <c r="C1618" i="1" s="1"/>
  <c r="C1619" i="1" s="1"/>
  <c r="C1620" i="1" s="1"/>
  <c r="C1621" i="1" s="1"/>
  <c r="C1622" i="1" s="1"/>
  <c r="C1623" i="1" s="1"/>
  <c r="C1624" i="1" s="1"/>
  <c r="C1625" i="1" s="1"/>
  <c r="C1626" i="1" s="1"/>
  <c r="C1627" i="1" s="1"/>
  <c r="C1628" i="1" s="1"/>
  <c r="C1629" i="1" s="1"/>
  <c r="C1630" i="1" s="1"/>
  <c r="C1631" i="1" s="1"/>
  <c r="C1632" i="1" s="1"/>
  <c r="C1633" i="1" s="1"/>
  <c r="C1634" i="1" s="1"/>
  <c r="C1635" i="1" s="1"/>
  <c r="C1636" i="1" s="1"/>
  <c r="C1637" i="1" s="1"/>
  <c r="C1638" i="1" s="1"/>
  <c r="C1639" i="1" s="1"/>
  <c r="C1640" i="1" s="1"/>
  <c r="C1641" i="1" s="1"/>
  <c r="C1642" i="1" s="1"/>
  <c r="C1643" i="1" s="1"/>
  <c r="C1644" i="1" s="1"/>
  <c r="C1645" i="1" s="1"/>
  <c r="C1646" i="1" s="1"/>
  <c r="C1647" i="1" s="1"/>
  <c r="C1648" i="1" s="1"/>
  <c r="C1649" i="1" s="1"/>
  <c r="C1650" i="1" s="1"/>
  <c r="C1651" i="1" s="1"/>
  <c r="C1652" i="1" s="1"/>
  <c r="C1653" i="1" s="1"/>
  <c r="C1654" i="1" s="1"/>
  <c r="C1655" i="1" s="1"/>
  <c r="C1656" i="1" s="1"/>
  <c r="C1657" i="1" s="1"/>
  <c r="C1658" i="1" s="1"/>
  <c r="C1659" i="1" s="1"/>
  <c r="C1660" i="1" s="1"/>
  <c r="C1661" i="1" s="1"/>
  <c r="C1662" i="1" s="1"/>
  <c r="C1663" i="1" s="1"/>
  <c r="C1664" i="1" s="1"/>
  <c r="C1665" i="1" s="1"/>
  <c r="C1666" i="1" s="1"/>
  <c r="C1667" i="1" s="1"/>
  <c r="C1668" i="1" s="1"/>
  <c r="C1669" i="1" s="1"/>
  <c r="C1670" i="1" s="1"/>
  <c r="C1671" i="1" s="1"/>
  <c r="C1672" i="1" s="1"/>
  <c r="C1673" i="1" s="1"/>
  <c r="C1674" i="1" s="1"/>
  <c r="C1675" i="1" s="1"/>
  <c r="C1676" i="1" s="1"/>
  <c r="C1677" i="1" s="1"/>
  <c r="C1678" i="1" s="1"/>
  <c r="C1679" i="1" s="1"/>
  <c r="C1680" i="1" s="1"/>
  <c r="C1681" i="1" s="1"/>
  <c r="C1682" i="1" s="1"/>
  <c r="C1683" i="1" s="1"/>
  <c r="C1684" i="1" s="1"/>
  <c r="C1685" i="1" s="1"/>
  <c r="C1686" i="1" s="1"/>
  <c r="C1687" i="1" s="1"/>
  <c r="C1688" i="1" s="1"/>
  <c r="C1689" i="1" s="1"/>
  <c r="C1690" i="1" s="1"/>
  <c r="C1691" i="1" s="1"/>
  <c r="C1692" i="1" s="1"/>
  <c r="C1693" i="1" s="1"/>
  <c r="E1611" i="1"/>
  <c r="E1610" i="1"/>
  <c r="E1609" i="1"/>
  <c r="E1607" i="1"/>
  <c r="E1605" i="1"/>
  <c r="E1603" i="1"/>
  <c r="E1601" i="1"/>
  <c r="E1599" i="1"/>
  <c r="E1597" i="1"/>
  <c r="E1595" i="1"/>
  <c r="E1593" i="1"/>
  <c r="E1591" i="1"/>
  <c r="E1589" i="1"/>
  <c r="E1587" i="1"/>
  <c r="E1586" i="1"/>
  <c r="E1583" i="1"/>
  <c r="E1580" i="1"/>
  <c r="E1577" i="1"/>
  <c r="E1574" i="1"/>
  <c r="E1571" i="1"/>
  <c r="E1568" i="1"/>
  <c r="E1565" i="1"/>
  <c r="E1562" i="1"/>
  <c r="E1559" i="1"/>
  <c r="E1556" i="1"/>
  <c r="E1553" i="1"/>
  <c r="E1530" i="1"/>
  <c r="E1529" i="1"/>
  <c r="C1529" i="1"/>
  <c r="C1530" i="1" s="1"/>
  <c r="C1531" i="1" s="1"/>
  <c r="C1532" i="1" s="1"/>
  <c r="C1533" i="1" s="1"/>
  <c r="C1534" i="1" s="1"/>
  <c r="C1535" i="1" s="1"/>
  <c r="C1536" i="1" s="1"/>
  <c r="C1537" i="1" s="1"/>
  <c r="C1538" i="1" s="1"/>
  <c r="C1539" i="1" s="1"/>
  <c r="C1540" i="1" s="1"/>
  <c r="C1541" i="1" s="1"/>
  <c r="C1542" i="1" s="1"/>
  <c r="C1543" i="1" s="1"/>
  <c r="C1544" i="1" s="1"/>
  <c r="C1545" i="1" s="1"/>
  <c r="C1546" i="1" s="1"/>
  <c r="C1547" i="1" s="1"/>
  <c r="C1548" i="1" s="1"/>
  <c r="C1549" i="1" s="1"/>
  <c r="C1550" i="1" s="1"/>
  <c r="C1551" i="1" s="1"/>
  <c r="C1552" i="1" s="1"/>
  <c r="C1553" i="1" s="1"/>
  <c r="C1554" i="1" s="1"/>
  <c r="C1555" i="1" s="1"/>
  <c r="C1556" i="1" s="1"/>
  <c r="C1557" i="1" s="1"/>
  <c r="C1558" i="1" s="1"/>
  <c r="C1559" i="1" s="1"/>
  <c r="C1560" i="1" s="1"/>
  <c r="C1561" i="1" s="1"/>
  <c r="C1562" i="1" s="1"/>
  <c r="C1563" i="1" s="1"/>
  <c r="C1564" i="1" s="1"/>
  <c r="C1565" i="1" s="1"/>
  <c r="C1566" i="1" s="1"/>
  <c r="C1567" i="1" s="1"/>
  <c r="C1568" i="1" s="1"/>
  <c r="C1569" i="1" s="1"/>
  <c r="C1570" i="1" s="1"/>
  <c r="C1571" i="1" s="1"/>
  <c r="C1572" i="1" s="1"/>
  <c r="C1573" i="1" s="1"/>
  <c r="C1574" i="1" s="1"/>
  <c r="C1575" i="1" s="1"/>
  <c r="C1576" i="1" s="1"/>
  <c r="C1577" i="1" s="1"/>
  <c r="C1578" i="1" s="1"/>
  <c r="C1579" i="1" s="1"/>
  <c r="C1580" i="1" s="1"/>
  <c r="C1581" i="1" s="1"/>
  <c r="C1582" i="1" s="1"/>
  <c r="C1583" i="1" s="1"/>
  <c r="C1584" i="1" s="1"/>
  <c r="C1585" i="1" s="1"/>
  <c r="C1586" i="1" s="1"/>
  <c r="C1587" i="1" s="1"/>
  <c r="C1588" i="1" s="1"/>
  <c r="C1589" i="1" s="1"/>
  <c r="C1590" i="1" s="1"/>
  <c r="C1591" i="1" s="1"/>
  <c r="C1592" i="1" s="1"/>
  <c r="C1593" i="1" s="1"/>
  <c r="C1594" i="1" s="1"/>
  <c r="C1595" i="1" s="1"/>
  <c r="C1596" i="1" s="1"/>
  <c r="C1597" i="1" s="1"/>
  <c r="C1598" i="1" s="1"/>
  <c r="C1599" i="1" s="1"/>
  <c r="C1600" i="1" s="1"/>
  <c r="C1601" i="1" s="1"/>
  <c r="C1602" i="1" s="1"/>
  <c r="C1603" i="1" s="1"/>
  <c r="C1604" i="1" s="1"/>
  <c r="C1605" i="1" s="1"/>
  <c r="C1606" i="1" s="1"/>
  <c r="C1607" i="1" s="1"/>
  <c r="C1608" i="1" s="1"/>
  <c r="C1609" i="1" s="1"/>
  <c r="C1610" i="1" s="1"/>
  <c r="E1528" i="1"/>
  <c r="E1527" i="1" l="1"/>
  <c r="E1526" i="1"/>
  <c r="E1524" i="1"/>
  <c r="E1522" i="1"/>
  <c r="E1520" i="1"/>
  <c r="E1518" i="1"/>
  <c r="E1516" i="1"/>
  <c r="E1514" i="1"/>
  <c r="E1512" i="1"/>
  <c r="E1510" i="1"/>
  <c r="E1508" i="1"/>
  <c r="E1506" i="1"/>
  <c r="E1505" i="1"/>
  <c r="E1502" i="1"/>
  <c r="E1499" i="1"/>
  <c r="E1496" i="1"/>
  <c r="E1493" i="1"/>
  <c r="E1490" i="1"/>
  <c r="E1487" i="1"/>
  <c r="E1484" i="1"/>
  <c r="E1481" i="1"/>
  <c r="E1478" i="1"/>
  <c r="E1475" i="1"/>
  <c r="E1454" i="1"/>
  <c r="E1453" i="1"/>
  <c r="C1453" i="1"/>
  <c r="C1454" i="1" s="1"/>
  <c r="C1455" i="1" s="1"/>
  <c r="C1456" i="1" s="1"/>
  <c r="C1457" i="1" s="1"/>
  <c r="C1458" i="1" s="1"/>
  <c r="C1459" i="1" s="1"/>
  <c r="C1460" i="1" s="1"/>
  <c r="C1461" i="1" s="1"/>
  <c r="C1462" i="1" s="1"/>
  <c r="C1463" i="1" s="1"/>
  <c r="C1464" i="1" s="1"/>
  <c r="C1465" i="1" s="1"/>
  <c r="C1466" i="1" s="1"/>
  <c r="C1467" i="1" s="1"/>
  <c r="C1468" i="1" s="1"/>
  <c r="C1469" i="1" s="1"/>
  <c r="C1470" i="1" s="1"/>
  <c r="C1471" i="1" s="1"/>
  <c r="C1472" i="1" s="1"/>
  <c r="C1473" i="1" s="1"/>
  <c r="C1474" i="1" s="1"/>
  <c r="C1475" i="1" s="1"/>
  <c r="C1476" i="1" s="1"/>
  <c r="C1477" i="1" s="1"/>
  <c r="C1478" i="1" s="1"/>
  <c r="C1479" i="1" s="1"/>
  <c r="C1480" i="1" s="1"/>
  <c r="C1481" i="1" s="1"/>
  <c r="C1482" i="1" s="1"/>
  <c r="C1483" i="1" s="1"/>
  <c r="C1484" i="1" s="1"/>
  <c r="C1485" i="1" s="1"/>
  <c r="C1486" i="1" s="1"/>
  <c r="C1487" i="1" s="1"/>
  <c r="C1488" i="1" s="1"/>
  <c r="C1489" i="1" s="1"/>
  <c r="C1490" i="1" s="1"/>
  <c r="C1491" i="1" s="1"/>
  <c r="C1492" i="1" s="1"/>
  <c r="C1493" i="1" s="1"/>
  <c r="C1494" i="1" s="1"/>
  <c r="C1495" i="1" s="1"/>
  <c r="C1496" i="1" s="1"/>
  <c r="C1497" i="1" s="1"/>
  <c r="C1498" i="1" s="1"/>
  <c r="C1499" i="1" s="1"/>
  <c r="C1500" i="1" s="1"/>
  <c r="C1501" i="1" s="1"/>
  <c r="C1502" i="1" s="1"/>
  <c r="C1503" i="1" s="1"/>
  <c r="C1504" i="1" s="1"/>
  <c r="C1505" i="1" s="1"/>
  <c r="C1506" i="1" s="1"/>
  <c r="C1507" i="1" s="1"/>
  <c r="C1508" i="1" s="1"/>
  <c r="C1509" i="1" s="1"/>
  <c r="C1510" i="1" s="1"/>
  <c r="C1511" i="1" s="1"/>
  <c r="C1512" i="1" s="1"/>
  <c r="C1513" i="1" s="1"/>
  <c r="C1514" i="1" s="1"/>
  <c r="C1515" i="1" s="1"/>
  <c r="C1516" i="1" s="1"/>
  <c r="C1517" i="1" s="1"/>
  <c r="C1518" i="1" s="1"/>
  <c r="C1519" i="1" s="1"/>
  <c r="C1520" i="1" s="1"/>
  <c r="C1521" i="1" s="1"/>
  <c r="C1522" i="1" s="1"/>
  <c r="C1523" i="1" s="1"/>
  <c r="C1524" i="1" s="1"/>
  <c r="C1525" i="1" s="1"/>
  <c r="C1526" i="1" s="1"/>
  <c r="C1527" i="1" s="1"/>
  <c r="E1452" i="1"/>
  <c r="E1451" i="1"/>
  <c r="E1450" i="1"/>
  <c r="E1448" i="1"/>
  <c r="E1446" i="1"/>
  <c r="E1444" i="1"/>
  <c r="E1442" i="1"/>
  <c r="E1440" i="1"/>
  <c r="E1438" i="1"/>
  <c r="E1436" i="1"/>
  <c r="E1434" i="1"/>
  <c r="E1432" i="1"/>
  <c r="E1430" i="1"/>
  <c r="E1428" i="1"/>
  <c r="E1427" i="1"/>
  <c r="E1424" i="1"/>
  <c r="E1421" i="1"/>
  <c r="E1418" i="1"/>
  <c r="E1415" i="1"/>
  <c r="E1412" i="1"/>
  <c r="E1409" i="1"/>
  <c r="E1406" i="1"/>
  <c r="E1403" i="1"/>
  <c r="E1400" i="1"/>
  <c r="E1397" i="1"/>
  <c r="E1394" i="1"/>
  <c r="E1371" i="1"/>
  <c r="E1370" i="1"/>
  <c r="C1370" i="1"/>
  <c r="C1371" i="1" s="1"/>
  <c r="C1372" i="1" s="1"/>
  <c r="C1373" i="1" s="1"/>
  <c r="C1374" i="1" s="1"/>
  <c r="C1375" i="1" s="1"/>
  <c r="C1376" i="1" s="1"/>
  <c r="C1377" i="1" s="1"/>
  <c r="C1378" i="1" s="1"/>
  <c r="C1379" i="1" s="1"/>
  <c r="C1380" i="1" s="1"/>
  <c r="C1381" i="1" s="1"/>
  <c r="C1382" i="1" s="1"/>
  <c r="C1383" i="1" s="1"/>
  <c r="C1384" i="1" s="1"/>
  <c r="C1385" i="1" s="1"/>
  <c r="C1386" i="1" s="1"/>
  <c r="C1387" i="1" s="1"/>
  <c r="C1388" i="1" s="1"/>
  <c r="C1389" i="1" s="1"/>
  <c r="C1390" i="1" s="1"/>
  <c r="C1391" i="1" s="1"/>
  <c r="C1392" i="1" s="1"/>
  <c r="C1393" i="1" s="1"/>
  <c r="C1394" i="1" s="1"/>
  <c r="C1395" i="1" s="1"/>
  <c r="C1396" i="1" s="1"/>
  <c r="C1397" i="1" s="1"/>
  <c r="C1398" i="1" s="1"/>
  <c r="C1399" i="1" s="1"/>
  <c r="C1400" i="1" s="1"/>
  <c r="C1401" i="1" s="1"/>
  <c r="C1402" i="1" s="1"/>
  <c r="C1403" i="1" s="1"/>
  <c r="C1404" i="1" s="1"/>
  <c r="C1405" i="1" s="1"/>
  <c r="C1406" i="1" s="1"/>
  <c r="C1407" i="1" s="1"/>
  <c r="C1408" i="1" s="1"/>
  <c r="C1409" i="1" s="1"/>
  <c r="C1410" i="1" s="1"/>
  <c r="C1411" i="1" s="1"/>
  <c r="C1412" i="1" s="1"/>
  <c r="C1413" i="1" s="1"/>
  <c r="C1414" i="1" s="1"/>
  <c r="C1415" i="1" s="1"/>
  <c r="C1416" i="1" s="1"/>
  <c r="C1417" i="1" s="1"/>
  <c r="C1418" i="1" s="1"/>
  <c r="C1419" i="1" s="1"/>
  <c r="C1420" i="1" s="1"/>
  <c r="C1421" i="1" s="1"/>
  <c r="C1422" i="1" s="1"/>
  <c r="C1423" i="1" s="1"/>
  <c r="C1424" i="1" s="1"/>
  <c r="C1425" i="1" s="1"/>
  <c r="C1426" i="1" s="1"/>
  <c r="C1427" i="1" s="1"/>
  <c r="C1428" i="1" s="1"/>
  <c r="C1429" i="1" s="1"/>
  <c r="C1430" i="1" s="1"/>
  <c r="C1431" i="1" s="1"/>
  <c r="C1432" i="1" s="1"/>
  <c r="C1433" i="1" s="1"/>
  <c r="C1434" i="1" s="1"/>
  <c r="C1435" i="1" s="1"/>
  <c r="C1436" i="1" s="1"/>
  <c r="C1437" i="1" s="1"/>
  <c r="C1438" i="1" s="1"/>
  <c r="C1439" i="1" s="1"/>
  <c r="C1440" i="1" s="1"/>
  <c r="C1441" i="1" s="1"/>
  <c r="C1442" i="1" s="1"/>
  <c r="C1443" i="1" s="1"/>
  <c r="C1444" i="1" s="1"/>
  <c r="C1445" i="1" s="1"/>
  <c r="C1446" i="1" s="1"/>
  <c r="C1447" i="1" s="1"/>
  <c r="C1448" i="1" s="1"/>
  <c r="C1449" i="1" s="1"/>
  <c r="C1450" i="1" s="1"/>
  <c r="C1451" i="1" s="1"/>
  <c r="E1369" i="1"/>
  <c r="E1368" i="1"/>
  <c r="E1367" i="1"/>
  <c r="E1365" i="1"/>
  <c r="E1363" i="1"/>
  <c r="E1361" i="1"/>
  <c r="E1359" i="1"/>
  <c r="E1357" i="1"/>
  <c r="E1355" i="1"/>
  <c r="E1353" i="1"/>
  <c r="E1351" i="1"/>
  <c r="E1349" i="1"/>
  <c r="E1347" i="1"/>
  <c r="E1345" i="1"/>
  <c r="E1343" i="1"/>
  <c r="E1341" i="1"/>
  <c r="E1339" i="1"/>
  <c r="E1338" i="1"/>
  <c r="E1335" i="1"/>
  <c r="E1332" i="1"/>
  <c r="E1329" i="1"/>
  <c r="E1326" i="1"/>
  <c r="E1323" i="1"/>
  <c r="E1320" i="1"/>
  <c r="E1317" i="1"/>
  <c r="E1314" i="1"/>
  <c r="E1311" i="1"/>
  <c r="E1308" i="1"/>
  <c r="E1305" i="1"/>
  <c r="E1302" i="1"/>
  <c r="E1299" i="1"/>
  <c r="E1296" i="1"/>
  <c r="E1267" i="1"/>
  <c r="E1266" i="1"/>
  <c r="C1266" i="1"/>
  <c r="C1267" i="1" s="1"/>
  <c r="C1268" i="1" s="1"/>
  <c r="C1269" i="1" s="1"/>
  <c r="C1270" i="1" s="1"/>
  <c r="C1271" i="1" s="1"/>
  <c r="C1272" i="1" s="1"/>
  <c r="C1273" i="1" s="1"/>
  <c r="C1274" i="1" s="1"/>
  <c r="C1275" i="1" s="1"/>
  <c r="C1276" i="1" s="1"/>
  <c r="C1277" i="1" s="1"/>
  <c r="C1278" i="1" s="1"/>
  <c r="C1279" i="1" s="1"/>
  <c r="C1280" i="1" s="1"/>
  <c r="C1281" i="1" s="1"/>
  <c r="C1282" i="1" s="1"/>
  <c r="C1283" i="1" s="1"/>
  <c r="C1284" i="1" s="1"/>
  <c r="C1285" i="1" s="1"/>
  <c r="C1286" i="1" s="1"/>
  <c r="C1287" i="1" s="1"/>
  <c r="C1288" i="1" s="1"/>
  <c r="C1289" i="1" s="1"/>
  <c r="C1290" i="1" s="1"/>
  <c r="C1291" i="1" s="1"/>
  <c r="C1292" i="1" s="1"/>
  <c r="C1293" i="1" s="1"/>
  <c r="C1294" i="1" s="1"/>
  <c r="C1295" i="1" s="1"/>
  <c r="C1296" i="1" s="1"/>
  <c r="C1297" i="1" s="1"/>
  <c r="C1298" i="1" s="1"/>
  <c r="C1299" i="1" s="1"/>
  <c r="C1300" i="1" s="1"/>
  <c r="C1301" i="1" s="1"/>
  <c r="C1302" i="1" s="1"/>
  <c r="C1303" i="1" s="1"/>
  <c r="C1304" i="1" s="1"/>
  <c r="C1305" i="1" s="1"/>
  <c r="C1306" i="1" s="1"/>
  <c r="C1307" i="1" s="1"/>
  <c r="C1308" i="1" s="1"/>
  <c r="C1309" i="1" s="1"/>
  <c r="C1310" i="1" s="1"/>
  <c r="C1311" i="1" s="1"/>
  <c r="C1312" i="1" s="1"/>
  <c r="C1313" i="1" s="1"/>
  <c r="C1314" i="1" s="1"/>
  <c r="C1315" i="1" s="1"/>
  <c r="C1316" i="1" s="1"/>
  <c r="C1317" i="1" s="1"/>
  <c r="C1318" i="1" s="1"/>
  <c r="C1319" i="1" s="1"/>
  <c r="C1320" i="1" s="1"/>
  <c r="C1321" i="1" s="1"/>
  <c r="C1322" i="1" s="1"/>
  <c r="C1323" i="1" s="1"/>
  <c r="C1324" i="1" s="1"/>
  <c r="C1325" i="1" s="1"/>
  <c r="C1326" i="1" s="1"/>
  <c r="C1327" i="1" s="1"/>
  <c r="C1328" i="1" s="1"/>
  <c r="C1329" i="1" s="1"/>
  <c r="C1330" i="1" s="1"/>
  <c r="C1331" i="1" s="1"/>
  <c r="C1332" i="1" s="1"/>
  <c r="C1333" i="1" s="1"/>
  <c r="C1334" i="1" s="1"/>
  <c r="C1335" i="1" s="1"/>
  <c r="C1336" i="1" s="1"/>
  <c r="C1337" i="1" s="1"/>
  <c r="C1338" i="1" s="1"/>
  <c r="C1339" i="1" s="1"/>
  <c r="C1340" i="1" s="1"/>
  <c r="C1341" i="1" s="1"/>
  <c r="C1342" i="1" s="1"/>
  <c r="C1343" i="1" s="1"/>
  <c r="C1344" i="1" s="1"/>
  <c r="C1345" i="1" s="1"/>
  <c r="C1346" i="1" s="1"/>
  <c r="C1347" i="1" s="1"/>
  <c r="C1348" i="1" s="1"/>
  <c r="C1349" i="1" s="1"/>
  <c r="C1350" i="1" s="1"/>
  <c r="C1351" i="1" s="1"/>
  <c r="C1352" i="1" s="1"/>
  <c r="C1353" i="1" s="1"/>
  <c r="C1354" i="1" s="1"/>
  <c r="C1355" i="1" s="1"/>
  <c r="C1356" i="1" s="1"/>
  <c r="C1357" i="1" s="1"/>
  <c r="C1358" i="1" s="1"/>
  <c r="C1359" i="1" s="1"/>
  <c r="C1360" i="1" s="1"/>
  <c r="C1361" i="1" s="1"/>
  <c r="C1362" i="1" s="1"/>
  <c r="C1363" i="1" s="1"/>
  <c r="C1364" i="1" s="1"/>
  <c r="C1365" i="1" s="1"/>
  <c r="C1366" i="1" s="1"/>
  <c r="C1367" i="1" s="1"/>
  <c r="C1368" i="1" s="1"/>
  <c r="E1265" i="1"/>
  <c r="E1264" i="1"/>
  <c r="E1263" i="1"/>
  <c r="E1261" i="1"/>
  <c r="E1259" i="1"/>
  <c r="E1257" i="1"/>
  <c r="E1255" i="1"/>
  <c r="E1253" i="1"/>
  <c r="E1251" i="1"/>
  <c r="E1249" i="1"/>
  <c r="E1247" i="1"/>
  <c r="E1245" i="1"/>
  <c r="E1243" i="1"/>
  <c r="E1241" i="1"/>
  <c r="E1239" i="1"/>
  <c r="E1237" i="1"/>
  <c r="E1236" i="1"/>
  <c r="E1233" i="1"/>
  <c r="E1230" i="1"/>
  <c r="E1227" i="1"/>
  <c r="E1224" i="1"/>
  <c r="E1221" i="1"/>
  <c r="E1218" i="1"/>
  <c r="E1215" i="1"/>
  <c r="E1212" i="1"/>
  <c r="E1209" i="1"/>
  <c r="E1206" i="1"/>
  <c r="E1203" i="1"/>
  <c r="E1200" i="1"/>
  <c r="E1197" i="1"/>
  <c r="E1170" i="1"/>
  <c r="E1169" i="1"/>
  <c r="C1169" i="1"/>
  <c r="C1170" i="1" s="1"/>
  <c r="C1171" i="1" s="1"/>
  <c r="C1172" i="1" s="1"/>
  <c r="C1173" i="1" s="1"/>
  <c r="C1174" i="1" s="1"/>
  <c r="C1175" i="1" s="1"/>
  <c r="C1176" i="1" s="1"/>
  <c r="C1177" i="1" s="1"/>
  <c r="C1178" i="1" s="1"/>
  <c r="C1179" i="1" s="1"/>
  <c r="C1180" i="1" s="1"/>
  <c r="C1181" i="1" s="1"/>
  <c r="C1182" i="1" s="1"/>
  <c r="C1183" i="1" s="1"/>
  <c r="C1184" i="1" s="1"/>
  <c r="C1185" i="1" s="1"/>
  <c r="C1186" i="1" s="1"/>
  <c r="C1187" i="1" s="1"/>
  <c r="C1188" i="1" s="1"/>
  <c r="C1189" i="1" s="1"/>
  <c r="C1190" i="1" s="1"/>
  <c r="C1191" i="1" s="1"/>
  <c r="C1192" i="1" s="1"/>
  <c r="C1193" i="1" s="1"/>
  <c r="C1194" i="1" s="1"/>
  <c r="C1195" i="1" s="1"/>
  <c r="C1196" i="1" s="1"/>
  <c r="C1197" i="1" s="1"/>
  <c r="C1198" i="1" s="1"/>
  <c r="C1199" i="1" s="1"/>
  <c r="C1200" i="1" s="1"/>
  <c r="C1201" i="1" s="1"/>
  <c r="C1202" i="1" s="1"/>
  <c r="C1203" i="1" s="1"/>
  <c r="C1204" i="1" s="1"/>
  <c r="C1205" i="1" s="1"/>
  <c r="C1206" i="1" s="1"/>
  <c r="C1207" i="1" s="1"/>
  <c r="C1208" i="1" s="1"/>
  <c r="C1209" i="1" s="1"/>
  <c r="C1210" i="1" s="1"/>
  <c r="C1211" i="1" s="1"/>
  <c r="C1212" i="1" s="1"/>
  <c r="C1213" i="1" s="1"/>
  <c r="C1214" i="1" s="1"/>
  <c r="C1215" i="1" s="1"/>
  <c r="C1216" i="1" s="1"/>
  <c r="C1217" i="1" s="1"/>
  <c r="C1218" i="1" s="1"/>
  <c r="C1219" i="1" s="1"/>
  <c r="C1220" i="1" s="1"/>
  <c r="C1221" i="1" s="1"/>
  <c r="C1222" i="1" s="1"/>
  <c r="C1223" i="1" s="1"/>
  <c r="C1224" i="1" s="1"/>
  <c r="C1225" i="1" s="1"/>
  <c r="C1226" i="1" s="1"/>
  <c r="C1227" i="1" s="1"/>
  <c r="C1228" i="1" s="1"/>
  <c r="C1229" i="1" s="1"/>
  <c r="C1230" i="1" s="1"/>
  <c r="C1231" i="1" s="1"/>
  <c r="C1232" i="1" s="1"/>
  <c r="C1233" i="1" s="1"/>
  <c r="C1234" i="1" s="1"/>
  <c r="C1235" i="1" s="1"/>
  <c r="C1236" i="1" s="1"/>
  <c r="C1237" i="1" s="1"/>
  <c r="C1238" i="1" s="1"/>
  <c r="C1239" i="1" s="1"/>
  <c r="C1240" i="1" s="1"/>
  <c r="C1241" i="1" s="1"/>
  <c r="C1242" i="1" s="1"/>
  <c r="C1243" i="1" s="1"/>
  <c r="C1244" i="1" s="1"/>
  <c r="C1245" i="1" s="1"/>
  <c r="C1246" i="1" s="1"/>
  <c r="C1247" i="1" s="1"/>
  <c r="C1248" i="1" s="1"/>
  <c r="C1249" i="1" s="1"/>
  <c r="C1250" i="1" s="1"/>
  <c r="C1251" i="1" s="1"/>
  <c r="C1252" i="1" s="1"/>
  <c r="C1253" i="1" s="1"/>
  <c r="C1254" i="1" s="1"/>
  <c r="C1255" i="1" s="1"/>
  <c r="C1256" i="1" s="1"/>
  <c r="C1257" i="1" s="1"/>
  <c r="C1258" i="1" s="1"/>
  <c r="C1259" i="1" s="1"/>
  <c r="C1260" i="1" s="1"/>
  <c r="C1261" i="1" s="1"/>
  <c r="C1262" i="1" s="1"/>
  <c r="C1263" i="1" s="1"/>
  <c r="C1264" i="1" s="1"/>
  <c r="E1168" i="1"/>
  <c r="E1167" i="1" l="1"/>
  <c r="E1166" i="1"/>
  <c r="E1164" i="1"/>
  <c r="E1162" i="1"/>
  <c r="E1160" i="1"/>
  <c r="E1158" i="1"/>
  <c r="E1156" i="1"/>
  <c r="E1154" i="1"/>
  <c r="E1152" i="1"/>
  <c r="E1150" i="1"/>
  <c r="E1148" i="1"/>
  <c r="E1146" i="1"/>
  <c r="E1144" i="1"/>
  <c r="E1142" i="1"/>
  <c r="E1140" i="1"/>
  <c r="E1138" i="1"/>
  <c r="E1136" i="1"/>
  <c r="E1134" i="1"/>
  <c r="E1133" i="1"/>
  <c r="E1130" i="1"/>
  <c r="E1127" i="1"/>
  <c r="E1124" i="1"/>
  <c r="E1121" i="1"/>
  <c r="E1118" i="1"/>
  <c r="E1115" i="1"/>
  <c r="E1112" i="1"/>
  <c r="E1109" i="1"/>
  <c r="E1106" i="1"/>
  <c r="E1103" i="1"/>
  <c r="E1100" i="1"/>
  <c r="E1097" i="1"/>
  <c r="E1094" i="1"/>
  <c r="E1091" i="1"/>
  <c r="E1088" i="1"/>
  <c r="E1085" i="1"/>
  <c r="E1052" i="1"/>
  <c r="E1051" i="1"/>
  <c r="C1051" i="1"/>
  <c r="C1052" i="1" s="1"/>
  <c r="C1053" i="1" s="1"/>
  <c r="C1054" i="1" s="1"/>
  <c r="C1055" i="1" s="1"/>
  <c r="C1056" i="1" s="1"/>
  <c r="C1057" i="1" s="1"/>
  <c r="C1058" i="1" s="1"/>
  <c r="C1059" i="1" s="1"/>
  <c r="C1060" i="1" s="1"/>
  <c r="C1061" i="1" s="1"/>
  <c r="C1062" i="1" s="1"/>
  <c r="C1063" i="1" s="1"/>
  <c r="C1064" i="1" s="1"/>
  <c r="C1065" i="1" s="1"/>
  <c r="C1066" i="1" s="1"/>
  <c r="C1067" i="1" s="1"/>
  <c r="C1068" i="1" s="1"/>
  <c r="C1069" i="1" s="1"/>
  <c r="C1070" i="1" s="1"/>
  <c r="C1071" i="1" s="1"/>
  <c r="C1072" i="1" s="1"/>
  <c r="C1073" i="1" s="1"/>
  <c r="C1074" i="1" s="1"/>
  <c r="C1075" i="1" s="1"/>
  <c r="C1076" i="1" s="1"/>
  <c r="C1077" i="1" s="1"/>
  <c r="C1078" i="1" s="1"/>
  <c r="C1079" i="1" s="1"/>
  <c r="C1080" i="1" s="1"/>
  <c r="C1081" i="1" s="1"/>
  <c r="C1082" i="1" s="1"/>
  <c r="C1083" i="1" s="1"/>
  <c r="C1084" i="1" s="1"/>
  <c r="C1085" i="1" s="1"/>
  <c r="C1086" i="1" s="1"/>
  <c r="C1087" i="1" s="1"/>
  <c r="C1088" i="1" s="1"/>
  <c r="C1089" i="1" s="1"/>
  <c r="C1090" i="1" s="1"/>
  <c r="C1091" i="1" s="1"/>
  <c r="C1092" i="1" s="1"/>
  <c r="C1093" i="1" s="1"/>
  <c r="C1094" i="1" s="1"/>
  <c r="C1095" i="1" s="1"/>
  <c r="C1096" i="1" s="1"/>
  <c r="C1097" i="1" s="1"/>
  <c r="C1098" i="1" s="1"/>
  <c r="C1099" i="1" s="1"/>
  <c r="C1100" i="1" s="1"/>
  <c r="C1101" i="1" s="1"/>
  <c r="C1102" i="1" s="1"/>
  <c r="C1103" i="1" s="1"/>
  <c r="C1104" i="1" s="1"/>
  <c r="C1105" i="1" s="1"/>
  <c r="C1106" i="1" s="1"/>
  <c r="C1107" i="1" s="1"/>
  <c r="C1108" i="1" s="1"/>
  <c r="C1109" i="1" s="1"/>
  <c r="C1110" i="1" s="1"/>
  <c r="C1111" i="1" s="1"/>
  <c r="C1112" i="1" s="1"/>
  <c r="C1113" i="1" s="1"/>
  <c r="C1114" i="1" s="1"/>
  <c r="C1115" i="1" s="1"/>
  <c r="C1116" i="1" s="1"/>
  <c r="C1117" i="1" s="1"/>
  <c r="C1118" i="1" s="1"/>
  <c r="C1119" i="1" s="1"/>
  <c r="C1120" i="1" s="1"/>
  <c r="C1121" i="1" s="1"/>
  <c r="C1122" i="1" s="1"/>
  <c r="C1123" i="1" s="1"/>
  <c r="C1124" i="1" s="1"/>
  <c r="C1125" i="1" s="1"/>
  <c r="C1126" i="1" s="1"/>
  <c r="C1127" i="1" s="1"/>
  <c r="C1128" i="1" s="1"/>
  <c r="C1129" i="1" s="1"/>
  <c r="C1130" i="1" s="1"/>
  <c r="C1131" i="1" s="1"/>
  <c r="C1132" i="1" s="1"/>
  <c r="C1133" i="1" s="1"/>
  <c r="C1134" i="1" s="1"/>
  <c r="C1135" i="1" s="1"/>
  <c r="C1136" i="1" s="1"/>
  <c r="C1137" i="1" s="1"/>
  <c r="C1138" i="1" s="1"/>
  <c r="C1139" i="1" s="1"/>
  <c r="C1140" i="1" s="1"/>
  <c r="C1141" i="1" s="1"/>
  <c r="C1142" i="1" s="1"/>
  <c r="C1143" i="1" s="1"/>
  <c r="C1144" i="1" s="1"/>
  <c r="C1145" i="1" s="1"/>
  <c r="C1146" i="1" s="1"/>
  <c r="C1147" i="1" s="1"/>
  <c r="C1148" i="1" s="1"/>
  <c r="C1149" i="1" s="1"/>
  <c r="C1150" i="1" s="1"/>
  <c r="C1151" i="1" s="1"/>
  <c r="C1152" i="1" s="1"/>
  <c r="C1153" i="1" s="1"/>
  <c r="C1154" i="1" s="1"/>
  <c r="C1155" i="1" s="1"/>
  <c r="C1156" i="1" s="1"/>
  <c r="C1157" i="1" s="1"/>
  <c r="C1158" i="1" s="1"/>
  <c r="C1159" i="1" s="1"/>
  <c r="C1160" i="1" s="1"/>
  <c r="C1161" i="1" s="1"/>
  <c r="C1162" i="1" s="1"/>
  <c r="C1163" i="1" s="1"/>
  <c r="C1164" i="1" s="1"/>
  <c r="C1165" i="1" s="1"/>
  <c r="C1166" i="1" s="1"/>
  <c r="C1167" i="1" s="1"/>
  <c r="E1050" i="1"/>
  <c r="E1049" i="1"/>
  <c r="E1048" i="1"/>
  <c r="E1046" i="1"/>
  <c r="E1044" i="1"/>
  <c r="E1042" i="1"/>
  <c r="E1040" i="1"/>
  <c r="E1038" i="1"/>
  <c r="E1036" i="1"/>
  <c r="E1034" i="1"/>
  <c r="E1032" i="1"/>
  <c r="E1030" i="1"/>
  <c r="E1028" i="1"/>
  <c r="E1026" i="1"/>
  <c r="E1024" i="1"/>
  <c r="E1023" i="1"/>
  <c r="E1020" i="1"/>
  <c r="E1017" i="1"/>
  <c r="E1014" i="1"/>
  <c r="E1011" i="1"/>
  <c r="E1008" i="1"/>
  <c r="E1005" i="1"/>
  <c r="E1002" i="1"/>
  <c r="E999" i="1"/>
  <c r="E996" i="1"/>
  <c r="E993" i="1"/>
  <c r="E990" i="1"/>
  <c r="E987" i="1"/>
  <c r="E962" i="1"/>
  <c r="E961" i="1"/>
  <c r="C961" i="1"/>
  <c r="C962" i="1" s="1"/>
  <c r="C963" i="1" s="1"/>
  <c r="C964" i="1" s="1"/>
  <c r="C965" i="1" s="1"/>
  <c r="C966" i="1" s="1"/>
  <c r="C967" i="1" s="1"/>
  <c r="C968" i="1" s="1"/>
  <c r="C969" i="1" s="1"/>
  <c r="C970" i="1" s="1"/>
  <c r="C971" i="1" s="1"/>
  <c r="C972" i="1" s="1"/>
  <c r="C973" i="1" s="1"/>
  <c r="C974" i="1" s="1"/>
  <c r="C975" i="1" s="1"/>
  <c r="C976" i="1" s="1"/>
  <c r="C977" i="1" s="1"/>
  <c r="C978" i="1" s="1"/>
  <c r="C979" i="1" s="1"/>
  <c r="C980" i="1" s="1"/>
  <c r="C981" i="1" s="1"/>
  <c r="C982" i="1" s="1"/>
  <c r="C983" i="1" s="1"/>
  <c r="C984" i="1" s="1"/>
  <c r="C985" i="1" s="1"/>
  <c r="C986" i="1" s="1"/>
  <c r="C987" i="1" s="1"/>
  <c r="C988" i="1" s="1"/>
  <c r="C989" i="1" s="1"/>
  <c r="C990" i="1" s="1"/>
  <c r="C991" i="1" s="1"/>
  <c r="C992" i="1" s="1"/>
  <c r="C993" i="1" s="1"/>
  <c r="C994" i="1" s="1"/>
  <c r="C995" i="1" s="1"/>
  <c r="C996" i="1" s="1"/>
  <c r="C997" i="1" s="1"/>
  <c r="C998" i="1" s="1"/>
  <c r="C999" i="1" s="1"/>
  <c r="C1000" i="1" s="1"/>
  <c r="C1001" i="1" s="1"/>
  <c r="C1002" i="1" s="1"/>
  <c r="C1003" i="1" s="1"/>
  <c r="C1004" i="1" s="1"/>
  <c r="C1005" i="1" s="1"/>
  <c r="C1006" i="1" s="1"/>
  <c r="C1007" i="1" s="1"/>
  <c r="C1008" i="1" s="1"/>
  <c r="C1009" i="1" s="1"/>
  <c r="C1010" i="1" s="1"/>
  <c r="C1011" i="1" s="1"/>
  <c r="C1012" i="1" s="1"/>
  <c r="C1013" i="1" s="1"/>
  <c r="C1014" i="1" s="1"/>
  <c r="C1015" i="1" s="1"/>
  <c r="C1016" i="1" s="1"/>
  <c r="C1017" i="1" s="1"/>
  <c r="C1018" i="1" s="1"/>
  <c r="C1019" i="1" s="1"/>
  <c r="C1020" i="1" s="1"/>
  <c r="C1021" i="1" s="1"/>
  <c r="C1022" i="1" s="1"/>
  <c r="C1023" i="1" s="1"/>
  <c r="C1024" i="1" s="1"/>
  <c r="C1025" i="1" s="1"/>
  <c r="C1026" i="1" s="1"/>
  <c r="C1027" i="1" s="1"/>
  <c r="C1028" i="1" s="1"/>
  <c r="C1029" i="1" s="1"/>
  <c r="C1030" i="1" s="1"/>
  <c r="C1031" i="1" s="1"/>
  <c r="C1032" i="1" s="1"/>
  <c r="C1033" i="1" s="1"/>
  <c r="C1034" i="1" s="1"/>
  <c r="C1035" i="1" s="1"/>
  <c r="C1036" i="1" s="1"/>
  <c r="C1037" i="1" s="1"/>
  <c r="C1038" i="1" s="1"/>
  <c r="C1039" i="1" s="1"/>
  <c r="C1040" i="1" s="1"/>
  <c r="C1041" i="1" s="1"/>
  <c r="C1042" i="1" s="1"/>
  <c r="C1043" i="1" s="1"/>
  <c r="C1044" i="1" s="1"/>
  <c r="C1045" i="1" s="1"/>
  <c r="C1046" i="1" s="1"/>
  <c r="C1047" i="1" s="1"/>
  <c r="C1048" i="1" s="1"/>
  <c r="C1049" i="1" s="1"/>
  <c r="E960" i="1"/>
  <c r="E959" i="1"/>
  <c r="E958" i="1"/>
  <c r="E956" i="1"/>
  <c r="E954" i="1"/>
  <c r="E952" i="1"/>
  <c r="E950" i="1"/>
  <c r="E948" i="1"/>
  <c r="E946" i="1"/>
  <c r="E944" i="1"/>
  <c r="E942" i="1"/>
  <c r="E940" i="1"/>
  <c r="E938" i="1"/>
  <c r="E936" i="1"/>
  <c r="E934" i="1"/>
  <c r="E932" i="1"/>
  <c r="E930" i="1"/>
  <c r="E928" i="1"/>
  <c r="E926" i="1"/>
  <c r="E924" i="1"/>
  <c r="E923" i="1"/>
  <c r="E920" i="1"/>
  <c r="E917" i="1"/>
  <c r="E914" i="1"/>
  <c r="E911" i="1"/>
  <c r="E908" i="1"/>
  <c r="E905" i="1"/>
  <c r="E902" i="1"/>
  <c r="E899" i="1"/>
  <c r="E896" i="1"/>
  <c r="E893" i="1"/>
  <c r="E890" i="1"/>
  <c r="E887" i="1"/>
  <c r="E884" i="1"/>
  <c r="E881" i="1"/>
  <c r="E878" i="1"/>
  <c r="E875" i="1"/>
  <c r="E872" i="1"/>
  <c r="E837" i="1"/>
  <c r="E836" i="1"/>
  <c r="C836" i="1"/>
  <c r="C837" i="1" s="1"/>
  <c r="C838" i="1" s="1"/>
  <c r="C839" i="1" s="1"/>
  <c r="C840" i="1" s="1"/>
  <c r="C841" i="1" s="1"/>
  <c r="C842" i="1" s="1"/>
  <c r="C843" i="1" s="1"/>
  <c r="C844" i="1" s="1"/>
  <c r="C845" i="1" s="1"/>
  <c r="C846" i="1" s="1"/>
  <c r="C847" i="1" s="1"/>
  <c r="C848" i="1" s="1"/>
  <c r="C849" i="1" s="1"/>
  <c r="C850" i="1" s="1"/>
  <c r="C851" i="1" s="1"/>
  <c r="C852" i="1" s="1"/>
  <c r="C853" i="1" s="1"/>
  <c r="C854" i="1" s="1"/>
  <c r="C855" i="1" s="1"/>
  <c r="C856" i="1" s="1"/>
  <c r="C857" i="1" s="1"/>
  <c r="C858" i="1" s="1"/>
  <c r="C859" i="1" s="1"/>
  <c r="C860" i="1" s="1"/>
  <c r="C861" i="1" s="1"/>
  <c r="C862" i="1" s="1"/>
  <c r="C863" i="1" s="1"/>
  <c r="C864" i="1" s="1"/>
  <c r="C865" i="1" s="1"/>
  <c r="C866" i="1" s="1"/>
  <c r="C867" i="1" s="1"/>
  <c r="C868" i="1" s="1"/>
  <c r="C869" i="1" s="1"/>
  <c r="C870" i="1" s="1"/>
  <c r="C871" i="1" s="1"/>
  <c r="C872" i="1" s="1"/>
  <c r="C873" i="1" s="1"/>
  <c r="C874" i="1" s="1"/>
  <c r="C875" i="1" s="1"/>
  <c r="C876" i="1" s="1"/>
  <c r="C877" i="1" s="1"/>
  <c r="C878" i="1" s="1"/>
  <c r="C879" i="1" s="1"/>
  <c r="C880" i="1" s="1"/>
  <c r="C881" i="1" s="1"/>
  <c r="C882" i="1" s="1"/>
  <c r="C883" i="1" s="1"/>
  <c r="C884" i="1" s="1"/>
  <c r="C885" i="1" s="1"/>
  <c r="C886" i="1" s="1"/>
  <c r="C887" i="1" s="1"/>
  <c r="C888" i="1" s="1"/>
  <c r="C889" i="1" s="1"/>
  <c r="C890" i="1" s="1"/>
  <c r="C891" i="1" s="1"/>
  <c r="C892" i="1" s="1"/>
  <c r="C893" i="1" s="1"/>
  <c r="C894" i="1" s="1"/>
  <c r="C895" i="1" s="1"/>
  <c r="C896" i="1" s="1"/>
  <c r="C897" i="1" s="1"/>
  <c r="C898" i="1" s="1"/>
  <c r="C899" i="1" s="1"/>
  <c r="C900" i="1" s="1"/>
  <c r="C901" i="1" s="1"/>
  <c r="C902" i="1" s="1"/>
  <c r="C903" i="1" s="1"/>
  <c r="C904" i="1" s="1"/>
  <c r="C905" i="1" s="1"/>
  <c r="C906" i="1" s="1"/>
  <c r="C907" i="1" s="1"/>
  <c r="C908" i="1" s="1"/>
  <c r="C909" i="1" s="1"/>
  <c r="C910" i="1" s="1"/>
  <c r="C911" i="1" s="1"/>
  <c r="C912" i="1" s="1"/>
  <c r="C913" i="1" s="1"/>
  <c r="C914" i="1" s="1"/>
  <c r="C915" i="1" s="1"/>
  <c r="C916" i="1" s="1"/>
  <c r="C917" i="1" s="1"/>
  <c r="C918" i="1" s="1"/>
  <c r="C919" i="1" s="1"/>
  <c r="C920" i="1" s="1"/>
  <c r="C921" i="1" s="1"/>
  <c r="C922" i="1" s="1"/>
  <c r="C923" i="1" s="1"/>
  <c r="C924" i="1" s="1"/>
  <c r="C925" i="1" s="1"/>
  <c r="C926" i="1" s="1"/>
  <c r="C927" i="1" s="1"/>
  <c r="C928" i="1" s="1"/>
  <c r="C929" i="1" s="1"/>
  <c r="C930" i="1" s="1"/>
  <c r="C931" i="1" s="1"/>
  <c r="C932" i="1" s="1"/>
  <c r="C933" i="1" s="1"/>
  <c r="C934" i="1" s="1"/>
  <c r="C935" i="1" s="1"/>
  <c r="C936" i="1" s="1"/>
  <c r="C937" i="1" s="1"/>
  <c r="C938" i="1" s="1"/>
  <c r="C939" i="1" s="1"/>
  <c r="C940" i="1" s="1"/>
  <c r="C941" i="1" s="1"/>
  <c r="C942" i="1" s="1"/>
  <c r="C943" i="1" s="1"/>
  <c r="C944" i="1" s="1"/>
  <c r="C945" i="1" s="1"/>
  <c r="C946" i="1" s="1"/>
  <c r="C947" i="1" s="1"/>
  <c r="C948" i="1" s="1"/>
  <c r="C949" i="1" s="1"/>
  <c r="C950" i="1" s="1"/>
  <c r="C951" i="1" s="1"/>
  <c r="C952" i="1" s="1"/>
  <c r="C953" i="1" s="1"/>
  <c r="C954" i="1" s="1"/>
  <c r="C955" i="1" s="1"/>
  <c r="C956" i="1" s="1"/>
  <c r="C957" i="1" s="1"/>
  <c r="C958" i="1" s="1"/>
  <c r="C959" i="1" s="1"/>
  <c r="E835" i="1"/>
  <c r="E834" i="1"/>
  <c r="E833" i="1"/>
  <c r="E831" i="1"/>
  <c r="E829" i="1"/>
  <c r="E827" i="1"/>
  <c r="E825" i="1"/>
  <c r="E823" i="1"/>
  <c r="E821" i="1"/>
  <c r="E819" i="1"/>
  <c r="E817" i="1"/>
  <c r="E815" i="1"/>
  <c r="E813" i="1"/>
  <c r="E811" i="1"/>
  <c r="E809" i="1"/>
  <c r="E807" i="1"/>
  <c r="E805" i="1"/>
  <c r="E803" i="1"/>
  <c r="E801" i="1"/>
  <c r="E799" i="1"/>
  <c r="E798" i="1"/>
  <c r="E795" i="1"/>
  <c r="E792" i="1"/>
  <c r="E789" i="1"/>
  <c r="E786" i="1"/>
  <c r="E783" i="1"/>
  <c r="E780" i="1"/>
  <c r="E777" i="1"/>
  <c r="E774" i="1"/>
  <c r="E771" i="1"/>
  <c r="E768" i="1"/>
  <c r="E765" i="1"/>
  <c r="E762" i="1"/>
  <c r="E759" i="1"/>
  <c r="E756" i="1"/>
  <c r="E753" i="1"/>
  <c r="E750" i="1"/>
  <c r="E747" i="1"/>
  <c r="E712" i="1"/>
  <c r="E711" i="1"/>
  <c r="C711" i="1"/>
  <c r="C712" i="1" s="1"/>
  <c r="C713" i="1" s="1"/>
  <c r="C714" i="1" s="1"/>
  <c r="C715" i="1" s="1"/>
  <c r="C716" i="1" s="1"/>
  <c r="C717" i="1" s="1"/>
  <c r="C718" i="1" s="1"/>
  <c r="C719" i="1" s="1"/>
  <c r="C720" i="1" s="1"/>
  <c r="C721" i="1" s="1"/>
  <c r="C722" i="1" s="1"/>
  <c r="C723" i="1" s="1"/>
  <c r="C724" i="1" s="1"/>
  <c r="C725" i="1" s="1"/>
  <c r="C726" i="1" s="1"/>
  <c r="C727" i="1" s="1"/>
  <c r="C728" i="1" s="1"/>
  <c r="C729" i="1" s="1"/>
  <c r="C730" i="1" s="1"/>
  <c r="C731" i="1" s="1"/>
  <c r="C732" i="1" s="1"/>
  <c r="C733" i="1" s="1"/>
  <c r="C734" i="1" s="1"/>
  <c r="C735" i="1" s="1"/>
  <c r="C736" i="1" s="1"/>
  <c r="C737" i="1" s="1"/>
  <c r="C738" i="1" s="1"/>
  <c r="C739" i="1" s="1"/>
  <c r="C740" i="1" s="1"/>
  <c r="C741" i="1" s="1"/>
  <c r="C742" i="1" s="1"/>
  <c r="C743" i="1" s="1"/>
  <c r="C744" i="1" s="1"/>
  <c r="C745" i="1" s="1"/>
  <c r="C746" i="1" s="1"/>
  <c r="C747" i="1" s="1"/>
  <c r="C748" i="1" s="1"/>
  <c r="C749" i="1" s="1"/>
  <c r="C750" i="1" s="1"/>
  <c r="C751" i="1" s="1"/>
  <c r="C752" i="1" s="1"/>
  <c r="C753" i="1" s="1"/>
  <c r="C754" i="1" s="1"/>
  <c r="C755" i="1" s="1"/>
  <c r="C756" i="1" s="1"/>
  <c r="C757" i="1" s="1"/>
  <c r="C758" i="1" s="1"/>
  <c r="C759" i="1" s="1"/>
  <c r="C760" i="1" s="1"/>
  <c r="C761" i="1" s="1"/>
  <c r="C762" i="1" s="1"/>
  <c r="C763" i="1" s="1"/>
  <c r="C764" i="1" s="1"/>
  <c r="C765" i="1" s="1"/>
  <c r="C766" i="1" s="1"/>
  <c r="C767" i="1" s="1"/>
  <c r="C768" i="1" s="1"/>
  <c r="C769" i="1" s="1"/>
  <c r="C770" i="1" s="1"/>
  <c r="C771" i="1" s="1"/>
  <c r="C772" i="1" s="1"/>
  <c r="C773" i="1" s="1"/>
  <c r="C774" i="1" s="1"/>
  <c r="C775" i="1" s="1"/>
  <c r="C776" i="1" s="1"/>
  <c r="C777" i="1" s="1"/>
  <c r="C778" i="1" s="1"/>
  <c r="C779" i="1" s="1"/>
  <c r="C780" i="1" s="1"/>
  <c r="C781" i="1" s="1"/>
  <c r="C782" i="1" s="1"/>
  <c r="C783" i="1" s="1"/>
  <c r="C784" i="1" s="1"/>
  <c r="C785" i="1" s="1"/>
  <c r="C786" i="1" s="1"/>
  <c r="C787" i="1" s="1"/>
  <c r="C788" i="1" s="1"/>
  <c r="C789" i="1" s="1"/>
  <c r="C790" i="1" s="1"/>
  <c r="C791" i="1" s="1"/>
  <c r="C792" i="1" s="1"/>
  <c r="C793" i="1" s="1"/>
  <c r="C794" i="1" s="1"/>
  <c r="C795" i="1" s="1"/>
  <c r="C796" i="1" s="1"/>
  <c r="C797" i="1" s="1"/>
  <c r="C798" i="1" s="1"/>
  <c r="C799" i="1" s="1"/>
  <c r="C800" i="1" s="1"/>
  <c r="C801" i="1" s="1"/>
  <c r="C802" i="1" s="1"/>
  <c r="C803" i="1" s="1"/>
  <c r="C804" i="1" s="1"/>
  <c r="C805" i="1" s="1"/>
  <c r="C806" i="1" s="1"/>
  <c r="C807" i="1" s="1"/>
  <c r="C808" i="1" s="1"/>
  <c r="C809" i="1" s="1"/>
  <c r="C810" i="1" s="1"/>
  <c r="C811" i="1" s="1"/>
  <c r="C812" i="1" s="1"/>
  <c r="C813" i="1" s="1"/>
  <c r="C814" i="1" s="1"/>
  <c r="C815" i="1" s="1"/>
  <c r="C816" i="1" s="1"/>
  <c r="C817" i="1" s="1"/>
  <c r="C818" i="1" s="1"/>
  <c r="C819" i="1" s="1"/>
  <c r="C820" i="1" s="1"/>
  <c r="C821" i="1" s="1"/>
  <c r="C822" i="1" s="1"/>
  <c r="C823" i="1" s="1"/>
  <c r="C824" i="1" s="1"/>
  <c r="C825" i="1" s="1"/>
  <c r="C826" i="1" s="1"/>
  <c r="C827" i="1" s="1"/>
  <c r="C828" i="1" s="1"/>
  <c r="C829" i="1" s="1"/>
  <c r="C830" i="1" s="1"/>
  <c r="C831" i="1" s="1"/>
  <c r="C832" i="1" s="1"/>
  <c r="C833" i="1" s="1"/>
  <c r="C834" i="1" s="1"/>
  <c r="E710" i="1"/>
  <c r="E709" i="1"/>
  <c r="E708" i="1"/>
  <c r="E706" i="1"/>
  <c r="E704" i="1"/>
  <c r="E702" i="1"/>
  <c r="E700" i="1"/>
  <c r="E698" i="1"/>
  <c r="E696" i="1"/>
  <c r="E694" i="1"/>
  <c r="E692" i="1"/>
  <c r="E690" i="1"/>
  <c r="E688" i="1"/>
  <c r="E686" i="1"/>
  <c r="E684" i="1"/>
  <c r="E682" i="1"/>
  <c r="E680" i="1"/>
  <c r="E678" i="1"/>
  <c r="E677" i="1"/>
  <c r="E674" i="1"/>
  <c r="E671" i="1"/>
  <c r="E668" i="1"/>
  <c r="E665" i="1"/>
  <c r="E662" i="1"/>
  <c r="E659" i="1"/>
  <c r="E656" i="1"/>
  <c r="E653" i="1"/>
  <c r="E650" i="1"/>
  <c r="E647" i="1"/>
  <c r="E644" i="1"/>
  <c r="E641" i="1"/>
  <c r="E638" i="1"/>
  <c r="E635" i="1"/>
  <c r="E632" i="1"/>
  <c r="E601" i="1"/>
  <c r="E600" i="1"/>
  <c r="C600" i="1"/>
  <c r="C601" i="1" s="1"/>
  <c r="C602" i="1" s="1"/>
  <c r="C603" i="1" s="1"/>
  <c r="C604" i="1" s="1"/>
  <c r="C605" i="1" s="1"/>
  <c r="C606" i="1" s="1"/>
  <c r="C607" i="1" s="1"/>
  <c r="C608" i="1" s="1"/>
  <c r="C609" i="1" s="1"/>
  <c r="C610" i="1" s="1"/>
  <c r="C611" i="1" s="1"/>
  <c r="C612" i="1" s="1"/>
  <c r="C613" i="1" s="1"/>
  <c r="C614" i="1" s="1"/>
  <c r="C615" i="1" s="1"/>
  <c r="C616" i="1" s="1"/>
  <c r="C617" i="1" s="1"/>
  <c r="C618" i="1" s="1"/>
  <c r="C619" i="1" s="1"/>
  <c r="C620" i="1" s="1"/>
  <c r="C621" i="1" s="1"/>
  <c r="C622" i="1" s="1"/>
  <c r="C623" i="1" s="1"/>
  <c r="C624" i="1" s="1"/>
  <c r="C625" i="1" s="1"/>
  <c r="C626" i="1" s="1"/>
  <c r="C627" i="1" s="1"/>
  <c r="C628" i="1" s="1"/>
  <c r="C629" i="1" s="1"/>
  <c r="C630" i="1" s="1"/>
  <c r="C631" i="1" s="1"/>
  <c r="C632" i="1" s="1"/>
  <c r="C633" i="1" s="1"/>
  <c r="C634" i="1" s="1"/>
  <c r="C635" i="1" s="1"/>
  <c r="C636" i="1" s="1"/>
  <c r="C637" i="1" s="1"/>
  <c r="C638" i="1" s="1"/>
  <c r="C639" i="1" s="1"/>
  <c r="C640" i="1" s="1"/>
  <c r="C641" i="1" s="1"/>
  <c r="C642" i="1" s="1"/>
  <c r="C643" i="1" s="1"/>
  <c r="C644" i="1" s="1"/>
  <c r="C645" i="1" s="1"/>
  <c r="C646" i="1" s="1"/>
  <c r="C647" i="1" s="1"/>
  <c r="C648" i="1" s="1"/>
  <c r="C649" i="1" s="1"/>
  <c r="C650" i="1" s="1"/>
  <c r="C651" i="1" s="1"/>
  <c r="C652" i="1" s="1"/>
  <c r="C653" i="1" s="1"/>
  <c r="C654" i="1" s="1"/>
  <c r="C655" i="1" s="1"/>
  <c r="C656" i="1" s="1"/>
  <c r="C657" i="1" s="1"/>
  <c r="C658" i="1" s="1"/>
  <c r="C659" i="1" s="1"/>
  <c r="C660" i="1" s="1"/>
  <c r="C661" i="1" s="1"/>
  <c r="C662" i="1" s="1"/>
  <c r="C663" i="1" s="1"/>
  <c r="C664" i="1" s="1"/>
  <c r="C665" i="1" s="1"/>
  <c r="C666" i="1" s="1"/>
  <c r="C667" i="1" s="1"/>
  <c r="C668" i="1" s="1"/>
  <c r="C669" i="1" s="1"/>
  <c r="C670" i="1" s="1"/>
  <c r="C671" i="1" s="1"/>
  <c r="C672" i="1" s="1"/>
  <c r="C673" i="1" s="1"/>
  <c r="C674" i="1" s="1"/>
  <c r="C675" i="1" s="1"/>
  <c r="C676" i="1" s="1"/>
  <c r="C677" i="1" s="1"/>
  <c r="C678" i="1" s="1"/>
  <c r="C679" i="1" s="1"/>
  <c r="C680" i="1" s="1"/>
  <c r="C681" i="1" s="1"/>
  <c r="C682" i="1" s="1"/>
  <c r="C683" i="1" s="1"/>
  <c r="C684" i="1" s="1"/>
  <c r="C685" i="1" s="1"/>
  <c r="C686" i="1" s="1"/>
  <c r="C687" i="1" s="1"/>
  <c r="C688" i="1" s="1"/>
  <c r="C689" i="1" s="1"/>
  <c r="C690" i="1" s="1"/>
  <c r="C691" i="1" s="1"/>
  <c r="C692" i="1" s="1"/>
  <c r="C693" i="1" s="1"/>
  <c r="C694" i="1" s="1"/>
  <c r="C695" i="1" s="1"/>
  <c r="C696" i="1" s="1"/>
  <c r="C697" i="1" s="1"/>
  <c r="C698" i="1" s="1"/>
  <c r="C699" i="1" s="1"/>
  <c r="C700" i="1" s="1"/>
  <c r="C701" i="1" s="1"/>
  <c r="C702" i="1" s="1"/>
  <c r="C703" i="1" s="1"/>
  <c r="C704" i="1" s="1"/>
  <c r="C705" i="1" s="1"/>
  <c r="C706" i="1" s="1"/>
  <c r="C707" i="1" s="1"/>
  <c r="C708" i="1" s="1"/>
  <c r="C709" i="1" s="1"/>
  <c r="E599" i="1"/>
  <c r="E598" i="1" l="1"/>
  <c r="E597" i="1"/>
  <c r="E595" i="1"/>
  <c r="E593" i="1"/>
  <c r="E591" i="1"/>
  <c r="E589" i="1"/>
  <c r="E587" i="1"/>
  <c r="E585" i="1"/>
  <c r="E583" i="1"/>
  <c r="E581" i="1"/>
  <c r="E579" i="1"/>
  <c r="E577" i="1"/>
  <c r="E575" i="1"/>
  <c r="E573" i="1"/>
  <c r="E571" i="1"/>
  <c r="E569" i="1"/>
  <c r="E567" i="1"/>
  <c r="E565" i="1"/>
  <c r="E563" i="1"/>
  <c r="E561" i="1"/>
  <c r="E560" i="1"/>
  <c r="E557" i="1"/>
  <c r="E554" i="1"/>
  <c r="E551" i="1"/>
  <c r="E548" i="1"/>
  <c r="E545" i="1"/>
  <c r="E542" i="1"/>
  <c r="E539" i="1"/>
  <c r="E536" i="1"/>
  <c r="E533" i="1"/>
  <c r="E530" i="1"/>
  <c r="E527" i="1"/>
  <c r="E524" i="1"/>
  <c r="E521" i="1"/>
  <c r="E518" i="1"/>
  <c r="E515" i="1"/>
  <c r="E512" i="1"/>
  <c r="E509" i="1"/>
  <c r="E506" i="1"/>
  <c r="E469" i="1"/>
  <c r="E468" i="1"/>
  <c r="C468" i="1"/>
  <c r="C469" i="1" s="1"/>
  <c r="C470" i="1" s="1"/>
  <c r="C471" i="1" s="1"/>
  <c r="C472" i="1" s="1"/>
  <c r="C473" i="1" s="1"/>
  <c r="C474" i="1" s="1"/>
  <c r="C475" i="1" s="1"/>
  <c r="C476" i="1" s="1"/>
  <c r="C477" i="1" s="1"/>
  <c r="C478" i="1" s="1"/>
  <c r="C479" i="1" s="1"/>
  <c r="C480" i="1" s="1"/>
  <c r="C481" i="1" s="1"/>
  <c r="C482" i="1" s="1"/>
  <c r="C483" i="1" s="1"/>
  <c r="C484" i="1" s="1"/>
  <c r="C485" i="1" s="1"/>
  <c r="C486" i="1" s="1"/>
  <c r="C487" i="1" s="1"/>
  <c r="C488" i="1" s="1"/>
  <c r="C489" i="1" s="1"/>
  <c r="C490" i="1" s="1"/>
  <c r="C491" i="1" s="1"/>
  <c r="C492" i="1" s="1"/>
  <c r="C493" i="1" s="1"/>
  <c r="C494" i="1" s="1"/>
  <c r="C495" i="1" s="1"/>
  <c r="C496" i="1" s="1"/>
  <c r="C497" i="1" s="1"/>
  <c r="C498" i="1" s="1"/>
  <c r="C499" i="1" s="1"/>
  <c r="C500" i="1" s="1"/>
  <c r="C501" i="1" s="1"/>
  <c r="C502" i="1" s="1"/>
  <c r="C503" i="1" s="1"/>
  <c r="C504" i="1" s="1"/>
  <c r="C505" i="1" s="1"/>
  <c r="C506" i="1" s="1"/>
  <c r="C507" i="1" s="1"/>
  <c r="C508" i="1" s="1"/>
  <c r="C509" i="1" s="1"/>
  <c r="C510" i="1" s="1"/>
  <c r="C511" i="1" s="1"/>
  <c r="C512" i="1" s="1"/>
  <c r="C513" i="1" s="1"/>
  <c r="C514" i="1" s="1"/>
  <c r="C515" i="1" s="1"/>
  <c r="C516" i="1" s="1"/>
  <c r="C517" i="1" s="1"/>
  <c r="C518" i="1" s="1"/>
  <c r="C519" i="1" s="1"/>
  <c r="C520" i="1" s="1"/>
  <c r="C521" i="1" s="1"/>
  <c r="C522" i="1" s="1"/>
  <c r="C523" i="1" s="1"/>
  <c r="C524" i="1" s="1"/>
  <c r="C525" i="1" s="1"/>
  <c r="C526" i="1" s="1"/>
  <c r="C527" i="1" s="1"/>
  <c r="C528" i="1" s="1"/>
  <c r="C529" i="1" s="1"/>
  <c r="C530" i="1" s="1"/>
  <c r="C531" i="1" s="1"/>
  <c r="C532" i="1" s="1"/>
  <c r="C533" i="1" s="1"/>
  <c r="C534" i="1" s="1"/>
  <c r="C535" i="1" s="1"/>
  <c r="C536" i="1" s="1"/>
  <c r="C537" i="1" s="1"/>
  <c r="C538" i="1" s="1"/>
  <c r="C539" i="1" s="1"/>
  <c r="C540" i="1" s="1"/>
  <c r="C541" i="1" s="1"/>
  <c r="C542" i="1" s="1"/>
  <c r="C543" i="1" s="1"/>
  <c r="C544" i="1" s="1"/>
  <c r="C545" i="1" s="1"/>
  <c r="C546" i="1" s="1"/>
  <c r="C547" i="1" s="1"/>
  <c r="C548" i="1" s="1"/>
  <c r="C549" i="1" s="1"/>
  <c r="C550" i="1" s="1"/>
  <c r="C551" i="1" s="1"/>
  <c r="C552" i="1" s="1"/>
  <c r="C553" i="1" s="1"/>
  <c r="C554" i="1" s="1"/>
  <c r="C555" i="1" s="1"/>
  <c r="C556" i="1" s="1"/>
  <c r="C557" i="1" s="1"/>
  <c r="C558" i="1" s="1"/>
  <c r="C559" i="1" s="1"/>
  <c r="C560" i="1" s="1"/>
  <c r="C561" i="1" s="1"/>
  <c r="C562" i="1" s="1"/>
  <c r="C563" i="1" s="1"/>
  <c r="C564" i="1" s="1"/>
  <c r="C565" i="1" s="1"/>
  <c r="C566" i="1" s="1"/>
  <c r="C567" i="1" s="1"/>
  <c r="C568" i="1" s="1"/>
  <c r="C569" i="1" s="1"/>
  <c r="C570" i="1" s="1"/>
  <c r="C571" i="1" s="1"/>
  <c r="C572" i="1" s="1"/>
  <c r="C573" i="1" s="1"/>
  <c r="C574" i="1" s="1"/>
  <c r="C575" i="1" s="1"/>
  <c r="C576" i="1" s="1"/>
  <c r="C577" i="1" s="1"/>
  <c r="C578" i="1" s="1"/>
  <c r="C579" i="1" s="1"/>
  <c r="C580" i="1" s="1"/>
  <c r="C581" i="1" s="1"/>
  <c r="C582" i="1" s="1"/>
  <c r="C583" i="1" s="1"/>
  <c r="C584" i="1" s="1"/>
  <c r="C585" i="1" s="1"/>
  <c r="C586" i="1" s="1"/>
  <c r="C587" i="1" s="1"/>
  <c r="C588" i="1" s="1"/>
  <c r="C589" i="1" s="1"/>
  <c r="C590" i="1" s="1"/>
  <c r="C591" i="1" s="1"/>
  <c r="C592" i="1" s="1"/>
  <c r="C593" i="1" s="1"/>
  <c r="C594" i="1" s="1"/>
  <c r="C595" i="1" s="1"/>
  <c r="C596" i="1" s="1"/>
  <c r="C597" i="1" s="1"/>
  <c r="C598" i="1" s="1"/>
  <c r="E467" i="1"/>
  <c r="E466" i="1"/>
  <c r="E465" i="1"/>
  <c r="E463" i="1"/>
  <c r="E461" i="1"/>
  <c r="E459" i="1"/>
  <c r="E457" i="1"/>
  <c r="E455" i="1"/>
  <c r="E453" i="1"/>
  <c r="E451" i="1"/>
  <c r="E449" i="1"/>
  <c r="E447" i="1"/>
  <c r="E445" i="1"/>
  <c r="E443" i="1"/>
  <c r="E441" i="1"/>
  <c r="E439" i="1"/>
  <c r="E437" i="1"/>
  <c r="E435" i="1"/>
  <c r="E433" i="1"/>
  <c r="E431" i="1"/>
  <c r="E429" i="1"/>
  <c r="E428" i="1"/>
  <c r="E425" i="1"/>
  <c r="E422" i="1"/>
  <c r="E419" i="1"/>
  <c r="E416" i="1"/>
  <c r="E413" i="1"/>
  <c r="E410" i="1"/>
  <c r="E407" i="1"/>
  <c r="E404" i="1"/>
  <c r="E401" i="1"/>
  <c r="E398" i="1"/>
  <c r="E395" i="1"/>
  <c r="E392" i="1"/>
  <c r="E389" i="1"/>
  <c r="E386" i="1"/>
  <c r="E383" i="1"/>
  <c r="E380" i="1"/>
  <c r="E377" i="1"/>
  <c r="E374" i="1"/>
  <c r="E337" i="1"/>
  <c r="E336" i="1"/>
  <c r="C336" i="1"/>
  <c r="C337" i="1" s="1"/>
  <c r="C338" i="1" s="1"/>
  <c r="C339" i="1" s="1"/>
  <c r="C340" i="1" s="1"/>
  <c r="C341" i="1" s="1"/>
  <c r="C342" i="1" s="1"/>
  <c r="C343" i="1" s="1"/>
  <c r="C344" i="1" s="1"/>
  <c r="C345" i="1" s="1"/>
  <c r="C346" i="1" s="1"/>
  <c r="C347" i="1" s="1"/>
  <c r="C348" i="1" s="1"/>
  <c r="C349" i="1" s="1"/>
  <c r="C350" i="1" s="1"/>
  <c r="C351" i="1" s="1"/>
  <c r="C352" i="1" s="1"/>
  <c r="C353" i="1" s="1"/>
  <c r="C354" i="1" s="1"/>
  <c r="C355" i="1" s="1"/>
  <c r="C356" i="1" s="1"/>
  <c r="C357" i="1" s="1"/>
  <c r="C358" i="1" s="1"/>
  <c r="C359" i="1" s="1"/>
  <c r="C360" i="1" s="1"/>
  <c r="C361" i="1" s="1"/>
  <c r="C362" i="1" s="1"/>
  <c r="C363" i="1" s="1"/>
  <c r="C364" i="1" s="1"/>
  <c r="C365" i="1" s="1"/>
  <c r="C366" i="1" s="1"/>
  <c r="C367" i="1" s="1"/>
  <c r="C368" i="1" s="1"/>
  <c r="C369" i="1" s="1"/>
  <c r="C370" i="1" s="1"/>
  <c r="C371" i="1" s="1"/>
  <c r="C372" i="1" s="1"/>
  <c r="C373" i="1" s="1"/>
  <c r="C374" i="1" s="1"/>
  <c r="C375" i="1" s="1"/>
  <c r="C376" i="1" s="1"/>
  <c r="C377" i="1" s="1"/>
  <c r="C378" i="1" s="1"/>
  <c r="C379" i="1" s="1"/>
  <c r="C380" i="1" s="1"/>
  <c r="C381" i="1" s="1"/>
  <c r="C382" i="1" s="1"/>
  <c r="C383" i="1" s="1"/>
  <c r="C384" i="1" s="1"/>
  <c r="C385" i="1" s="1"/>
  <c r="C386" i="1" s="1"/>
  <c r="C387" i="1" s="1"/>
  <c r="C388" i="1" s="1"/>
  <c r="C389" i="1" s="1"/>
  <c r="C390" i="1" s="1"/>
  <c r="C391" i="1" s="1"/>
  <c r="C392" i="1" s="1"/>
  <c r="C393" i="1" s="1"/>
  <c r="C394" i="1" s="1"/>
  <c r="C395" i="1" s="1"/>
  <c r="C396" i="1" s="1"/>
  <c r="C397" i="1" s="1"/>
  <c r="C398" i="1" s="1"/>
  <c r="C399" i="1" s="1"/>
  <c r="C400" i="1" s="1"/>
  <c r="C401" i="1" s="1"/>
  <c r="C402" i="1" s="1"/>
  <c r="C403" i="1" s="1"/>
  <c r="C404" i="1" s="1"/>
  <c r="C405" i="1" s="1"/>
  <c r="C406" i="1" s="1"/>
  <c r="C407" i="1" s="1"/>
  <c r="C408" i="1" s="1"/>
  <c r="C409" i="1" s="1"/>
  <c r="C410" i="1" s="1"/>
  <c r="C411" i="1" s="1"/>
  <c r="C412" i="1" s="1"/>
  <c r="C413" i="1" s="1"/>
  <c r="C414" i="1" s="1"/>
  <c r="C415" i="1" s="1"/>
  <c r="C416" i="1" s="1"/>
  <c r="C417" i="1" s="1"/>
  <c r="C418" i="1" s="1"/>
  <c r="C419" i="1" s="1"/>
  <c r="C420" i="1" s="1"/>
  <c r="C421" i="1" s="1"/>
  <c r="C422" i="1" s="1"/>
  <c r="C423" i="1" s="1"/>
  <c r="C424" i="1" s="1"/>
  <c r="C425" i="1" s="1"/>
  <c r="C426" i="1" s="1"/>
  <c r="C427" i="1" s="1"/>
  <c r="C428" i="1" s="1"/>
  <c r="C429" i="1" s="1"/>
  <c r="C430" i="1" s="1"/>
  <c r="C431" i="1" s="1"/>
  <c r="C432" i="1" s="1"/>
  <c r="C433" i="1" s="1"/>
  <c r="C434" i="1" s="1"/>
  <c r="C435" i="1" s="1"/>
  <c r="C436" i="1" s="1"/>
  <c r="C437" i="1" s="1"/>
  <c r="C438" i="1" s="1"/>
  <c r="C439" i="1" s="1"/>
  <c r="C440" i="1" s="1"/>
  <c r="C441" i="1" s="1"/>
  <c r="C442" i="1" s="1"/>
  <c r="C443" i="1" s="1"/>
  <c r="C444" i="1" s="1"/>
  <c r="C445" i="1" s="1"/>
  <c r="C446" i="1" s="1"/>
  <c r="C447" i="1" s="1"/>
  <c r="C448" i="1" s="1"/>
  <c r="C449" i="1" s="1"/>
  <c r="C450" i="1" s="1"/>
  <c r="C451" i="1" s="1"/>
  <c r="C452" i="1" s="1"/>
  <c r="C453" i="1" s="1"/>
  <c r="C454" i="1" s="1"/>
  <c r="C455" i="1" s="1"/>
  <c r="C456" i="1" s="1"/>
  <c r="C457" i="1" s="1"/>
  <c r="C458" i="1" s="1"/>
  <c r="C459" i="1" s="1"/>
  <c r="C460" i="1" s="1"/>
  <c r="C461" i="1" s="1"/>
  <c r="C462" i="1" s="1"/>
  <c r="C463" i="1" s="1"/>
  <c r="C464" i="1" s="1"/>
  <c r="C465" i="1" s="1"/>
  <c r="C466" i="1" s="1"/>
  <c r="E335" i="1"/>
  <c r="E334" i="1"/>
  <c r="E333" i="1"/>
  <c r="E331" i="1"/>
  <c r="E329" i="1"/>
  <c r="E327" i="1"/>
  <c r="E325" i="1"/>
  <c r="E323" i="1"/>
  <c r="E321" i="1"/>
  <c r="E319" i="1"/>
  <c r="E317" i="1"/>
  <c r="E315" i="1"/>
  <c r="E313" i="1"/>
  <c r="E311" i="1"/>
  <c r="E309" i="1"/>
  <c r="E307" i="1"/>
  <c r="E305" i="1"/>
  <c r="E303" i="1"/>
  <c r="E302" i="1"/>
  <c r="E299" i="1"/>
  <c r="E296" i="1"/>
  <c r="E293" i="1"/>
  <c r="E290" i="1"/>
  <c r="E287" i="1"/>
  <c r="E284" i="1"/>
  <c r="E281" i="1"/>
  <c r="E278" i="1"/>
  <c r="E275" i="1"/>
  <c r="E272" i="1"/>
  <c r="E269" i="1"/>
  <c r="E266" i="1"/>
  <c r="E263" i="1"/>
  <c r="E260" i="1"/>
  <c r="E257" i="1"/>
  <c r="E226" i="1"/>
  <c r="E225" i="1"/>
  <c r="C225" i="1"/>
  <c r="C226" i="1" s="1"/>
  <c r="C227" i="1" s="1"/>
  <c r="C228" i="1" s="1"/>
  <c r="C229" i="1" s="1"/>
  <c r="C230" i="1" s="1"/>
  <c r="C231" i="1" s="1"/>
  <c r="C232" i="1" s="1"/>
  <c r="C233" i="1" s="1"/>
  <c r="C234" i="1" s="1"/>
  <c r="C235" i="1" s="1"/>
  <c r="C236" i="1" s="1"/>
  <c r="C237" i="1" s="1"/>
  <c r="C238" i="1" s="1"/>
  <c r="C239" i="1" s="1"/>
  <c r="C240" i="1" s="1"/>
  <c r="C241" i="1" s="1"/>
  <c r="C242" i="1" s="1"/>
  <c r="C243" i="1" s="1"/>
  <c r="C244" i="1" s="1"/>
  <c r="C245" i="1" s="1"/>
  <c r="C246" i="1" s="1"/>
  <c r="C247" i="1" s="1"/>
  <c r="C248" i="1" s="1"/>
  <c r="C249" i="1" s="1"/>
  <c r="C250" i="1" s="1"/>
  <c r="C251" i="1" s="1"/>
  <c r="C252" i="1" s="1"/>
  <c r="C253" i="1" s="1"/>
  <c r="C254" i="1" s="1"/>
  <c r="C255" i="1" s="1"/>
  <c r="C256" i="1" s="1"/>
  <c r="C257" i="1" s="1"/>
  <c r="C258" i="1" s="1"/>
  <c r="C259" i="1" s="1"/>
  <c r="C260" i="1" s="1"/>
  <c r="C261" i="1" s="1"/>
  <c r="C262" i="1" s="1"/>
  <c r="C263" i="1" s="1"/>
  <c r="C264" i="1" s="1"/>
  <c r="C265" i="1" s="1"/>
  <c r="C266" i="1" s="1"/>
  <c r="C267" i="1" s="1"/>
  <c r="C268" i="1" s="1"/>
  <c r="C269" i="1" s="1"/>
  <c r="C270" i="1" s="1"/>
  <c r="C271" i="1" s="1"/>
  <c r="C272" i="1" s="1"/>
  <c r="C273" i="1" s="1"/>
  <c r="C274" i="1" s="1"/>
  <c r="C275" i="1" s="1"/>
  <c r="C276" i="1" s="1"/>
  <c r="C277" i="1" s="1"/>
  <c r="C278" i="1" s="1"/>
  <c r="C279" i="1" s="1"/>
  <c r="C280" i="1" s="1"/>
  <c r="C281" i="1" s="1"/>
  <c r="C282" i="1" s="1"/>
  <c r="C283" i="1" s="1"/>
  <c r="C284" i="1" s="1"/>
  <c r="C285" i="1" s="1"/>
  <c r="C286" i="1" s="1"/>
  <c r="C287" i="1" s="1"/>
  <c r="C288" i="1" s="1"/>
  <c r="C289" i="1" s="1"/>
  <c r="C290" i="1" s="1"/>
  <c r="C291" i="1" s="1"/>
  <c r="C292" i="1" s="1"/>
  <c r="C293" i="1" s="1"/>
  <c r="C294" i="1" s="1"/>
  <c r="C295" i="1" s="1"/>
  <c r="C296" i="1" s="1"/>
  <c r="C297" i="1" s="1"/>
  <c r="C298" i="1" s="1"/>
  <c r="C299" i="1" s="1"/>
  <c r="C300" i="1" s="1"/>
  <c r="C301" i="1" s="1"/>
  <c r="C302" i="1" s="1"/>
  <c r="C303" i="1" s="1"/>
  <c r="C304" i="1" s="1"/>
  <c r="C305" i="1" s="1"/>
  <c r="C306" i="1" s="1"/>
  <c r="C307" i="1" s="1"/>
  <c r="C308" i="1" s="1"/>
  <c r="C309" i="1" s="1"/>
  <c r="C310" i="1" s="1"/>
  <c r="C311" i="1" s="1"/>
  <c r="C312" i="1" s="1"/>
  <c r="C313" i="1" s="1"/>
  <c r="C314" i="1" s="1"/>
  <c r="C315" i="1" s="1"/>
  <c r="C316" i="1" s="1"/>
  <c r="C317" i="1" s="1"/>
  <c r="C318" i="1" s="1"/>
  <c r="C319" i="1" s="1"/>
  <c r="C320" i="1" s="1"/>
  <c r="C321" i="1" s="1"/>
  <c r="C322" i="1" s="1"/>
  <c r="C323" i="1" s="1"/>
  <c r="C324" i="1" s="1"/>
  <c r="C325" i="1" s="1"/>
  <c r="C326" i="1" s="1"/>
  <c r="C327" i="1" s="1"/>
  <c r="C328" i="1" s="1"/>
  <c r="C329" i="1" s="1"/>
  <c r="C330" i="1" s="1"/>
  <c r="C331" i="1" s="1"/>
  <c r="C332" i="1" s="1"/>
  <c r="C333" i="1" s="1"/>
  <c r="C334" i="1" s="1"/>
  <c r="E224" i="1"/>
  <c r="E223" i="1"/>
  <c r="E222" i="1"/>
  <c r="E220" i="1"/>
  <c r="E218" i="1"/>
  <c r="E216" i="1"/>
  <c r="E214" i="1"/>
  <c r="E212" i="1"/>
  <c r="E210" i="1"/>
  <c r="E208" i="1"/>
  <c r="E206" i="1"/>
  <c r="E204" i="1"/>
  <c r="E202" i="1"/>
  <c r="E200" i="1"/>
  <c r="E198" i="1"/>
  <c r="E196" i="1"/>
  <c r="E194" i="1"/>
  <c r="E192" i="1"/>
  <c r="E190" i="1"/>
  <c r="E189" i="1"/>
  <c r="E186" i="1"/>
  <c r="E183" i="1"/>
  <c r="E180" i="1"/>
  <c r="E177" i="1"/>
  <c r="E174" i="1"/>
  <c r="E171" i="1"/>
  <c r="E168" i="1"/>
  <c r="E165" i="1"/>
  <c r="E162" i="1"/>
  <c r="E159" i="1"/>
  <c r="E156" i="1"/>
  <c r="E153" i="1"/>
  <c r="E150" i="1"/>
  <c r="E147" i="1"/>
  <c r="E144" i="1"/>
  <c r="E141" i="1"/>
  <c r="E108" i="1"/>
  <c r="E107" i="1"/>
  <c r="C107" i="1"/>
  <c r="C108" i="1" s="1"/>
  <c r="C109" i="1" s="1"/>
  <c r="C110" i="1" s="1"/>
  <c r="C111" i="1" s="1"/>
  <c r="C112" i="1" s="1"/>
  <c r="C113" i="1" s="1"/>
  <c r="C114" i="1" s="1"/>
  <c r="C115" i="1" s="1"/>
  <c r="C116" i="1" s="1"/>
  <c r="C117" i="1" s="1"/>
  <c r="C118" i="1" s="1"/>
  <c r="C119" i="1" s="1"/>
  <c r="C120" i="1" s="1"/>
  <c r="C121" i="1" s="1"/>
  <c r="C122" i="1" s="1"/>
  <c r="C123" i="1" s="1"/>
  <c r="C124" i="1" s="1"/>
  <c r="C125" i="1" s="1"/>
  <c r="C126" i="1" s="1"/>
  <c r="C127" i="1" s="1"/>
  <c r="C128" i="1" s="1"/>
  <c r="C129" i="1" s="1"/>
  <c r="C130" i="1" s="1"/>
  <c r="C131" i="1" s="1"/>
  <c r="C132" i="1" s="1"/>
  <c r="C133" i="1" s="1"/>
  <c r="C134" i="1" s="1"/>
  <c r="C135" i="1" s="1"/>
  <c r="C136" i="1" s="1"/>
  <c r="C137" i="1" s="1"/>
  <c r="C138" i="1" s="1"/>
  <c r="C139" i="1" s="1"/>
  <c r="C140" i="1" s="1"/>
  <c r="C141" i="1" s="1"/>
  <c r="C142" i="1" s="1"/>
  <c r="C143" i="1" s="1"/>
  <c r="C144" i="1" s="1"/>
  <c r="C145" i="1" s="1"/>
  <c r="C146" i="1" s="1"/>
  <c r="C147" i="1" s="1"/>
  <c r="C148" i="1" s="1"/>
  <c r="C149" i="1" s="1"/>
  <c r="C150" i="1" s="1"/>
  <c r="C151" i="1" s="1"/>
  <c r="C152" i="1" s="1"/>
  <c r="C153" i="1" s="1"/>
  <c r="C154" i="1" s="1"/>
  <c r="C155" i="1" s="1"/>
  <c r="C156" i="1" s="1"/>
  <c r="C157" i="1" s="1"/>
  <c r="C158" i="1" s="1"/>
  <c r="C159" i="1" s="1"/>
  <c r="C160" i="1" s="1"/>
  <c r="C161" i="1" s="1"/>
  <c r="C162" i="1" s="1"/>
  <c r="C163" i="1" s="1"/>
  <c r="C164" i="1" s="1"/>
  <c r="C165" i="1" s="1"/>
  <c r="C166" i="1" s="1"/>
  <c r="C167" i="1" s="1"/>
  <c r="C168" i="1" s="1"/>
  <c r="C169" i="1" s="1"/>
  <c r="C170" i="1" s="1"/>
  <c r="C171" i="1" s="1"/>
  <c r="C172" i="1" s="1"/>
  <c r="C173" i="1" s="1"/>
  <c r="C174" i="1" s="1"/>
  <c r="C175" i="1" s="1"/>
  <c r="C176" i="1" s="1"/>
  <c r="C177" i="1" s="1"/>
  <c r="C178" i="1" s="1"/>
  <c r="C179" i="1" s="1"/>
  <c r="C180" i="1" s="1"/>
  <c r="C181" i="1" s="1"/>
  <c r="C182" i="1" s="1"/>
  <c r="C183" i="1" s="1"/>
  <c r="C184" i="1" s="1"/>
  <c r="C185" i="1" s="1"/>
  <c r="C186" i="1" s="1"/>
  <c r="C187" i="1" s="1"/>
  <c r="C188" i="1" s="1"/>
  <c r="C189" i="1" s="1"/>
  <c r="C190" i="1" s="1"/>
  <c r="C191" i="1" s="1"/>
  <c r="C192" i="1" s="1"/>
  <c r="C193" i="1" s="1"/>
  <c r="C194" i="1" s="1"/>
  <c r="C195" i="1" s="1"/>
  <c r="C196" i="1" s="1"/>
  <c r="C197" i="1" s="1"/>
  <c r="C198" i="1" s="1"/>
  <c r="C199" i="1" s="1"/>
  <c r="C200" i="1" s="1"/>
  <c r="C201" i="1" s="1"/>
  <c r="C202" i="1" s="1"/>
  <c r="C203" i="1" s="1"/>
  <c r="C204" i="1" s="1"/>
  <c r="C205" i="1" s="1"/>
  <c r="C206" i="1" s="1"/>
  <c r="C207" i="1" s="1"/>
  <c r="C208" i="1" s="1"/>
  <c r="C209" i="1" s="1"/>
  <c r="C210" i="1" s="1"/>
  <c r="C211" i="1" s="1"/>
  <c r="C212" i="1" s="1"/>
  <c r="C213" i="1" s="1"/>
  <c r="C214" i="1" s="1"/>
  <c r="C215" i="1" s="1"/>
  <c r="C216" i="1" s="1"/>
  <c r="C217" i="1" s="1"/>
  <c r="C218" i="1" s="1"/>
  <c r="C219" i="1" s="1"/>
  <c r="C220" i="1" s="1"/>
  <c r="C221" i="1" s="1"/>
  <c r="C222" i="1" s="1"/>
  <c r="C223" i="1" s="1"/>
  <c r="E106" i="1"/>
  <c r="E105" i="1" l="1"/>
  <c r="E104" i="1"/>
  <c r="E102" i="1"/>
  <c r="E100" i="1"/>
  <c r="E98" i="1"/>
  <c r="E96" i="1"/>
  <c r="E94" i="1"/>
  <c r="E92" i="1"/>
  <c r="E90" i="1"/>
  <c r="E88" i="1"/>
  <c r="E86" i="1"/>
  <c r="E84" i="1"/>
  <c r="E82" i="1"/>
  <c r="E80" i="1"/>
  <c r="E78" i="1"/>
  <c r="E76" i="1"/>
  <c r="E75" i="1"/>
  <c r="E72" i="1"/>
  <c r="E69" i="1"/>
  <c r="E66" i="1"/>
  <c r="E63" i="1"/>
  <c r="E60" i="1"/>
  <c r="E57" i="1"/>
  <c r="E54" i="1"/>
  <c r="E51" i="1"/>
  <c r="E48" i="1"/>
  <c r="E45" i="1"/>
  <c r="E42" i="1"/>
  <c r="E39" i="1"/>
  <c r="E36" i="1"/>
  <c r="E33" i="1"/>
  <c r="H4" i="1"/>
  <c r="E4" i="1"/>
  <c r="H3" i="1"/>
  <c r="E3" i="1"/>
  <c r="C3" i="1"/>
  <c r="C4" i="1" s="1"/>
  <c r="C5" i="1" s="1"/>
  <c r="C6" i="1" s="1"/>
  <c r="C7" i="1" s="1"/>
  <c r="C8" i="1" s="1"/>
  <c r="C9" i="1" s="1"/>
  <c r="C10" i="1" s="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C70" i="1" s="1"/>
  <c r="C71" i="1" s="1"/>
  <c r="C72" i="1" s="1"/>
  <c r="C73" i="1" s="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C102" i="1" s="1"/>
  <c r="C103" i="1" s="1"/>
  <c r="C104" i="1" s="1"/>
  <c r="C105" i="1" s="1"/>
  <c r="I2" i="1"/>
  <c r="H2" i="1"/>
  <c r="E2" i="1"/>
  <c r="B3" i="1"/>
  <c r="A3" i="1"/>
  <c r="A4" i="1" s="1"/>
  <c r="F4" i="1" l="1"/>
  <c r="A5" i="1"/>
  <c r="A6" i="1" s="1"/>
  <c r="B4" i="1"/>
  <c r="G3" i="1" s="1"/>
  <c r="F3" i="1"/>
  <c r="G2" i="1"/>
  <c r="G4" i="4"/>
  <c r="B5" i="1" l="1"/>
  <c r="G4" i="1" s="1"/>
  <c r="A7" i="1"/>
  <c r="A8" i="1" s="1"/>
  <c r="I6" i="1"/>
  <c r="I286" i="4"/>
  <c r="I284" i="4"/>
  <c r="I282" i="4"/>
  <c r="I280" i="4"/>
  <c r="I278" i="4"/>
  <c r="I276" i="4"/>
  <c r="I274" i="4"/>
  <c r="I272" i="4"/>
  <c r="I270" i="4"/>
  <c r="I268" i="4"/>
  <c r="I266" i="4"/>
  <c r="I264" i="4"/>
  <c r="I262" i="4"/>
  <c r="I260" i="4"/>
  <c r="I258" i="4"/>
  <c r="I256" i="4"/>
  <c r="I254" i="4"/>
  <c r="I252" i="4"/>
  <c r="I250" i="4"/>
  <c r="I248" i="4"/>
  <c r="I246" i="4"/>
  <c r="I244" i="4"/>
  <c r="I242" i="4"/>
  <c r="I240" i="4"/>
  <c r="I238" i="4"/>
  <c r="I236" i="4"/>
  <c r="I234" i="4"/>
  <c r="I232" i="4"/>
  <c r="I230" i="4"/>
  <c r="I228" i="4"/>
  <c r="I226" i="4"/>
  <c r="I224" i="4"/>
  <c r="I222" i="4"/>
  <c r="I220" i="4"/>
  <c r="I218" i="4"/>
  <c r="I216" i="4"/>
  <c r="I214" i="4"/>
  <c r="I212" i="4"/>
  <c r="I210" i="4"/>
  <c r="I208" i="4"/>
  <c r="I205" i="4"/>
  <c r="I204" i="4"/>
  <c r="I202" i="4"/>
  <c r="I201" i="4"/>
  <c r="I199" i="4"/>
  <c r="I198" i="4"/>
  <c r="I196" i="4"/>
  <c r="I195" i="4"/>
  <c r="I193" i="4"/>
  <c r="I192" i="4"/>
  <c r="I190" i="4"/>
  <c r="I189" i="4"/>
  <c r="I187" i="4"/>
  <c r="I186" i="4"/>
  <c r="I184" i="4"/>
  <c r="I183" i="4"/>
  <c r="I181" i="4"/>
  <c r="I180" i="4"/>
  <c r="I178" i="4"/>
  <c r="I177" i="4"/>
  <c r="I175" i="4"/>
  <c r="I174" i="4"/>
  <c r="I172" i="4"/>
  <c r="I171" i="4"/>
  <c r="I169" i="4"/>
  <c r="I168" i="4"/>
  <c r="I166" i="4"/>
  <c r="I165" i="4"/>
  <c r="I163" i="4"/>
  <c r="I162" i="4"/>
  <c r="I160" i="4"/>
  <c r="I159" i="4"/>
  <c r="I157" i="4"/>
  <c r="I156" i="4"/>
  <c r="I154" i="4"/>
  <c r="I153" i="4"/>
  <c r="I151" i="4"/>
  <c r="I150" i="4"/>
  <c r="I148" i="4"/>
  <c r="I147" i="4"/>
  <c r="I145" i="4"/>
  <c r="I144" i="4"/>
  <c r="I142" i="4"/>
  <c r="I141" i="4"/>
  <c r="I139" i="4"/>
  <c r="I138" i="4"/>
  <c r="I136" i="4"/>
  <c r="I135" i="4"/>
  <c r="I133" i="4"/>
  <c r="I132" i="4"/>
  <c r="I130" i="4"/>
  <c r="I129" i="4"/>
  <c r="I127" i="4"/>
  <c r="I126" i="4"/>
  <c r="I124" i="4"/>
  <c r="I123" i="4"/>
  <c r="I121" i="4"/>
  <c r="I120" i="4"/>
  <c r="I118" i="4"/>
  <c r="I117" i="4"/>
  <c r="I115" i="4"/>
  <c r="I114" i="4"/>
  <c r="I112" i="4"/>
  <c r="I111" i="4"/>
  <c r="I109" i="4"/>
  <c r="I108" i="4"/>
  <c r="I106" i="4"/>
  <c r="I105" i="4"/>
  <c r="I103" i="4"/>
  <c r="I102" i="4"/>
  <c r="I100" i="4"/>
  <c r="I99" i="4"/>
  <c r="I97" i="4"/>
  <c r="I96" i="4"/>
  <c r="I94" i="4"/>
  <c r="I93" i="4"/>
  <c r="I91" i="4"/>
  <c r="I90" i="4"/>
  <c r="I88" i="4"/>
  <c r="I87" i="4"/>
  <c r="I84" i="4"/>
  <c r="I82" i="4"/>
  <c r="I80" i="4"/>
  <c r="I78" i="4"/>
  <c r="I76" i="4"/>
  <c r="I74" i="4"/>
  <c r="I72" i="4"/>
  <c r="I70" i="4"/>
  <c r="I68" i="4"/>
  <c r="I66" i="4"/>
  <c r="I64" i="4"/>
  <c r="I62" i="4"/>
  <c r="I60" i="4"/>
  <c r="I58" i="4"/>
  <c r="I56" i="4"/>
  <c r="I54" i="4"/>
  <c r="I52" i="4"/>
  <c r="I50" i="4"/>
  <c r="I48" i="4"/>
  <c r="I46" i="4"/>
  <c r="I44" i="4"/>
  <c r="I42" i="4"/>
  <c r="I40" i="4"/>
  <c r="I38" i="4"/>
  <c r="I36" i="4"/>
  <c r="I34" i="4"/>
  <c r="I32" i="4"/>
  <c r="I30" i="4"/>
  <c r="I28" i="4"/>
  <c r="I26" i="4"/>
  <c r="I24" i="4"/>
  <c r="I22" i="4"/>
  <c r="I20" i="4"/>
  <c r="I18" i="4"/>
  <c r="I16" i="4"/>
  <c r="I14" i="4"/>
  <c r="I12" i="4"/>
  <c r="I10" i="4"/>
  <c r="I8" i="4"/>
  <c r="I6" i="4"/>
  <c r="I2" i="4"/>
  <c r="A9" i="1" l="1"/>
  <c r="A10" i="1" s="1"/>
  <c r="I8" i="1"/>
  <c r="B6" i="1"/>
  <c r="D204" i="4"/>
  <c r="H175" i="4"/>
  <c r="H163" i="4"/>
  <c r="H151" i="4"/>
  <c r="H139" i="4"/>
  <c r="H127" i="4"/>
  <c r="H115" i="4"/>
  <c r="H103" i="4"/>
  <c r="H91" i="4"/>
  <c r="D83" i="4"/>
  <c r="D82" i="4" s="1"/>
  <c r="D201" i="4" s="1"/>
  <c r="H201" i="4" s="1"/>
  <c r="F205" i="4"/>
  <c r="H205" i="4"/>
  <c r="H206" i="4"/>
  <c r="H83" i="4"/>
  <c r="H84" i="4"/>
  <c r="H85" i="4"/>
  <c r="H88" i="4"/>
  <c r="H97" i="4"/>
  <c r="H100" i="4"/>
  <c r="H109" i="4"/>
  <c r="H112" i="4"/>
  <c r="H121" i="4"/>
  <c r="H124" i="4"/>
  <c r="H133" i="4"/>
  <c r="H136" i="4"/>
  <c r="H145" i="4"/>
  <c r="H148" i="4"/>
  <c r="H157" i="4"/>
  <c r="H160" i="4"/>
  <c r="H169" i="4"/>
  <c r="H172" i="4"/>
  <c r="H181" i="4"/>
  <c r="H184" i="4"/>
  <c r="H187" i="4"/>
  <c r="H193" i="4"/>
  <c r="H196" i="4"/>
  <c r="H199" i="4"/>
  <c r="H204" i="4"/>
  <c r="H208" i="4"/>
  <c r="H210" i="4"/>
  <c r="H212" i="4"/>
  <c r="H214" i="4"/>
  <c r="H216" i="4"/>
  <c r="H218" i="4"/>
  <c r="H220" i="4"/>
  <c r="H222" i="4"/>
  <c r="H224" i="4"/>
  <c r="H226" i="4"/>
  <c r="H228" i="4"/>
  <c r="H230" i="4"/>
  <c r="H232" i="4"/>
  <c r="H234" i="4"/>
  <c r="H236" i="4"/>
  <c r="H238" i="4"/>
  <c r="H240" i="4"/>
  <c r="H242" i="4"/>
  <c r="H244" i="4"/>
  <c r="H246" i="4"/>
  <c r="H248" i="4"/>
  <c r="H250" i="4"/>
  <c r="H252" i="4"/>
  <c r="H254" i="4"/>
  <c r="H256" i="4"/>
  <c r="H258" i="4"/>
  <c r="H260" i="4"/>
  <c r="H262" i="4"/>
  <c r="H264" i="4"/>
  <c r="H266" i="4"/>
  <c r="H268" i="4"/>
  <c r="H270" i="4"/>
  <c r="H272" i="4"/>
  <c r="H274" i="4"/>
  <c r="H276" i="4"/>
  <c r="H278" i="4"/>
  <c r="H280" i="4"/>
  <c r="H282" i="4"/>
  <c r="H284" i="4"/>
  <c r="H286" i="4"/>
  <c r="E133" i="4"/>
  <c r="E127" i="4"/>
  <c r="E124" i="4"/>
  <c r="E121" i="4"/>
  <c r="E115" i="4"/>
  <c r="E112" i="4"/>
  <c r="E109" i="4"/>
  <c r="E103" i="4"/>
  <c r="E100" i="4"/>
  <c r="E97" i="4"/>
  <c r="E91" i="4"/>
  <c r="E88" i="4"/>
  <c r="E286" i="4"/>
  <c r="E284" i="4"/>
  <c r="E282" i="4"/>
  <c r="E280" i="4"/>
  <c r="E278" i="4"/>
  <c r="E276" i="4"/>
  <c r="E274" i="4"/>
  <c r="E272" i="4"/>
  <c r="E270" i="4"/>
  <c r="E268" i="4"/>
  <c r="E266" i="4"/>
  <c r="E264" i="4"/>
  <c r="E262" i="4"/>
  <c r="E260" i="4"/>
  <c r="E258" i="4"/>
  <c r="E256" i="4"/>
  <c r="E254" i="4"/>
  <c r="E252" i="4"/>
  <c r="E250" i="4"/>
  <c r="E248" i="4"/>
  <c r="E246" i="4"/>
  <c r="E244" i="4"/>
  <c r="E242" i="4"/>
  <c r="E240" i="4"/>
  <c r="E238" i="4"/>
  <c r="E236" i="4"/>
  <c r="E234" i="4"/>
  <c r="E232" i="4"/>
  <c r="E230" i="4"/>
  <c r="E228" i="4"/>
  <c r="E226" i="4"/>
  <c r="E224" i="4"/>
  <c r="E222" i="4"/>
  <c r="E220" i="4"/>
  <c r="E218" i="4"/>
  <c r="E216" i="4"/>
  <c r="E214" i="4"/>
  <c r="E212" i="4"/>
  <c r="E210" i="4"/>
  <c r="E208" i="4"/>
  <c r="E205" i="4"/>
  <c r="E204" i="4"/>
  <c r="E201" i="4"/>
  <c r="E199" i="4"/>
  <c r="E196" i="4"/>
  <c r="E193" i="4"/>
  <c r="E187" i="4"/>
  <c r="E184" i="4"/>
  <c r="E181" i="4"/>
  <c r="E175" i="4"/>
  <c r="E172" i="4"/>
  <c r="E169" i="4"/>
  <c r="E163" i="4"/>
  <c r="E160" i="4"/>
  <c r="E157" i="4"/>
  <c r="E151" i="4"/>
  <c r="E148" i="4"/>
  <c r="E145" i="4"/>
  <c r="E139" i="4"/>
  <c r="E136" i="4"/>
  <c r="E83" i="4"/>
  <c r="H3" i="4"/>
  <c r="H4" i="4"/>
  <c r="H287" i="4"/>
  <c r="H2" i="4"/>
  <c r="B7" i="1" l="1"/>
  <c r="A11" i="1"/>
  <c r="A12" i="1" s="1"/>
  <c r="I10" i="1"/>
  <c r="D285" i="4"/>
  <c r="D203" i="4"/>
  <c r="H94" i="4"/>
  <c r="E94" i="4"/>
  <c r="H118" i="4"/>
  <c r="E118" i="4"/>
  <c r="H130" i="4"/>
  <c r="E130" i="4"/>
  <c r="H142" i="4"/>
  <c r="E142" i="4"/>
  <c r="H154" i="4"/>
  <c r="E154" i="4"/>
  <c r="H178" i="4"/>
  <c r="E178" i="4"/>
  <c r="H190" i="4"/>
  <c r="E190" i="4"/>
  <c r="H202" i="4"/>
  <c r="E202" i="4"/>
  <c r="H106" i="4"/>
  <c r="E106" i="4"/>
  <c r="H166" i="4"/>
  <c r="E166" i="4"/>
  <c r="H82" i="4"/>
  <c r="E82" i="4"/>
  <c r="D81" i="4"/>
  <c r="F204" i="4"/>
  <c r="F83" i="4"/>
  <c r="F286" i="4"/>
  <c r="A2" i="4"/>
  <c r="B2" i="4"/>
  <c r="B3" i="4" s="1"/>
  <c r="B4" i="4" s="1"/>
  <c r="B5" i="4" s="1"/>
  <c r="A13" i="1" l="1"/>
  <c r="A14" i="1" s="1"/>
  <c r="I12" i="1"/>
  <c r="B8" i="1"/>
  <c r="D283" i="4"/>
  <c r="D200" i="4"/>
  <c r="H203" i="4"/>
  <c r="E203" i="4"/>
  <c r="A3" i="4"/>
  <c r="A4" i="4" s="1"/>
  <c r="H285" i="4"/>
  <c r="E285" i="4"/>
  <c r="E81" i="4"/>
  <c r="H81" i="4"/>
  <c r="D80" i="4"/>
  <c r="D198" i="4" s="1"/>
  <c r="F285" i="4"/>
  <c r="F82" i="4"/>
  <c r="F203" i="4"/>
  <c r="B6" i="4"/>
  <c r="G2" i="4"/>
  <c r="G3" i="4"/>
  <c r="C3" i="4"/>
  <c r="C4" i="4" s="1"/>
  <c r="C5" i="4" s="1"/>
  <c r="C6" i="4" s="1"/>
  <c r="C7" i="4" s="1"/>
  <c r="C8" i="4" s="1"/>
  <c r="C9" i="4" s="1"/>
  <c r="C10" i="4" s="1"/>
  <c r="C11" i="4" s="1"/>
  <c r="C12" i="4" s="1"/>
  <c r="C13" i="4" s="1"/>
  <c r="C14" i="4" s="1"/>
  <c r="C15" i="4" s="1"/>
  <c r="C16" i="4" s="1"/>
  <c r="C17" i="4" s="1"/>
  <c r="C18" i="4" s="1"/>
  <c r="C19" i="4" s="1"/>
  <c r="C20" i="4" s="1"/>
  <c r="C21" i="4" s="1"/>
  <c r="C22" i="4" s="1"/>
  <c r="C23" i="4" s="1"/>
  <c r="C24" i="4" s="1"/>
  <c r="C25" i="4" s="1"/>
  <c r="C26" i="4" s="1"/>
  <c r="C27" i="4" s="1"/>
  <c r="C28" i="4" s="1"/>
  <c r="C29" i="4" s="1"/>
  <c r="C30" i="4" s="1"/>
  <c r="C31" i="4" s="1"/>
  <c r="C32" i="4" s="1"/>
  <c r="C33" i="4" s="1"/>
  <c r="C34" i="4" s="1"/>
  <c r="C35" i="4" s="1"/>
  <c r="C36" i="4" s="1"/>
  <c r="C37" i="4" s="1"/>
  <c r="C38" i="4" s="1"/>
  <c r="C39" i="4" s="1"/>
  <c r="C40" i="4" s="1"/>
  <c r="C41" i="4" s="1"/>
  <c r="C42" i="4" s="1"/>
  <c r="C43" i="4" s="1"/>
  <c r="C44" i="4" s="1"/>
  <c r="C45" i="4" s="1"/>
  <c r="C46" i="4" s="1"/>
  <c r="C47" i="4" s="1"/>
  <c r="C48" i="4" s="1"/>
  <c r="C49" i="4" s="1"/>
  <c r="C50" i="4" s="1"/>
  <c r="C51" i="4" s="1"/>
  <c r="C52" i="4" s="1"/>
  <c r="C53" i="4" s="1"/>
  <c r="C54" i="4" s="1"/>
  <c r="C55" i="4" s="1"/>
  <c r="C56" i="4" s="1"/>
  <c r="C57" i="4" s="1"/>
  <c r="C58" i="4" s="1"/>
  <c r="C59" i="4" s="1"/>
  <c r="C60" i="4" s="1"/>
  <c r="C61" i="4" s="1"/>
  <c r="C62" i="4" s="1"/>
  <c r="C63" i="4" s="1"/>
  <c r="C64" i="4" s="1"/>
  <c r="C65" i="4" s="1"/>
  <c r="C66" i="4" s="1"/>
  <c r="C67" i="4" s="1"/>
  <c r="C68" i="4" s="1"/>
  <c r="C69" i="4" s="1"/>
  <c r="C70" i="4" s="1"/>
  <c r="C71" i="4" s="1"/>
  <c r="C72" i="4" s="1"/>
  <c r="C73" i="4" s="1"/>
  <c r="C74" i="4" s="1"/>
  <c r="C75" i="4" s="1"/>
  <c r="C76" i="4" s="1"/>
  <c r="C77" i="4" s="1"/>
  <c r="C78" i="4" s="1"/>
  <c r="C79" i="4" s="1"/>
  <c r="C80" i="4" s="1"/>
  <c r="C81" i="4" s="1"/>
  <c r="C82" i="4" s="1"/>
  <c r="C83" i="4" s="1"/>
  <c r="C84" i="4" s="1"/>
  <c r="C85" i="4" s="1"/>
  <c r="C86" i="4" s="1"/>
  <c r="C87" i="4" s="1"/>
  <c r="C88" i="4" s="1"/>
  <c r="C89" i="4" s="1"/>
  <c r="C90" i="4" s="1"/>
  <c r="C91" i="4" s="1"/>
  <c r="C92" i="4" s="1"/>
  <c r="C93" i="4" s="1"/>
  <c r="C94" i="4" s="1"/>
  <c r="C95" i="4" s="1"/>
  <c r="C96" i="4" s="1"/>
  <c r="C97" i="4" s="1"/>
  <c r="C98" i="4" s="1"/>
  <c r="C99" i="4" s="1"/>
  <c r="C100" i="4" s="1"/>
  <c r="C101" i="4" s="1"/>
  <c r="C102" i="4" s="1"/>
  <c r="C103" i="4" s="1"/>
  <c r="C104" i="4" s="1"/>
  <c r="C105" i="4" s="1"/>
  <c r="C106" i="4" s="1"/>
  <c r="C107" i="4" s="1"/>
  <c r="C108" i="4" s="1"/>
  <c r="C109" i="4" s="1"/>
  <c r="C110" i="4" s="1"/>
  <c r="C111" i="4" s="1"/>
  <c r="C112" i="4" s="1"/>
  <c r="C113" i="4" s="1"/>
  <c r="C114" i="4" s="1"/>
  <c r="C115" i="4" s="1"/>
  <c r="C116" i="4" s="1"/>
  <c r="C117" i="4" s="1"/>
  <c r="C118" i="4" s="1"/>
  <c r="C119" i="4" s="1"/>
  <c r="C120" i="4" s="1"/>
  <c r="C121" i="4" s="1"/>
  <c r="C122" i="4" s="1"/>
  <c r="C123" i="4" s="1"/>
  <c r="C124" i="4" s="1"/>
  <c r="C125" i="4" s="1"/>
  <c r="C126" i="4" s="1"/>
  <c r="C127" i="4" s="1"/>
  <c r="C128" i="4" s="1"/>
  <c r="C129" i="4" s="1"/>
  <c r="C130" i="4" s="1"/>
  <c r="C131" i="4" s="1"/>
  <c r="C132" i="4" s="1"/>
  <c r="C133" i="4" s="1"/>
  <c r="C134" i="4" s="1"/>
  <c r="C135" i="4" s="1"/>
  <c r="C136" i="4" s="1"/>
  <c r="C137" i="4" s="1"/>
  <c r="C138" i="4" s="1"/>
  <c r="C139" i="4" s="1"/>
  <c r="C140" i="4" s="1"/>
  <c r="C141" i="4" s="1"/>
  <c r="C142" i="4" s="1"/>
  <c r="C143" i="4" s="1"/>
  <c r="C144" i="4" s="1"/>
  <c r="C145" i="4" s="1"/>
  <c r="C146" i="4" s="1"/>
  <c r="C147" i="4" s="1"/>
  <c r="C148" i="4" s="1"/>
  <c r="C149" i="4" s="1"/>
  <c r="C150" i="4" s="1"/>
  <c r="C151" i="4" s="1"/>
  <c r="C152" i="4" s="1"/>
  <c r="C153" i="4" s="1"/>
  <c r="C154" i="4" s="1"/>
  <c r="C155" i="4" s="1"/>
  <c r="C156" i="4" s="1"/>
  <c r="C157" i="4" s="1"/>
  <c r="C158" i="4" s="1"/>
  <c r="C159" i="4" s="1"/>
  <c r="C160" i="4" s="1"/>
  <c r="C161" i="4" s="1"/>
  <c r="C162" i="4" s="1"/>
  <c r="C163" i="4" s="1"/>
  <c r="C164" i="4" s="1"/>
  <c r="C165" i="4" s="1"/>
  <c r="C166" i="4" s="1"/>
  <c r="C167" i="4" s="1"/>
  <c r="C168" i="4" s="1"/>
  <c r="C169" i="4" s="1"/>
  <c r="C170" i="4" s="1"/>
  <c r="C171" i="4" s="1"/>
  <c r="C172" i="4" s="1"/>
  <c r="C173" i="4" s="1"/>
  <c r="C174" i="4" s="1"/>
  <c r="C175" i="4" s="1"/>
  <c r="C176" i="4" s="1"/>
  <c r="C177" i="4" s="1"/>
  <c r="C178" i="4" s="1"/>
  <c r="C179" i="4" s="1"/>
  <c r="C180" i="4" s="1"/>
  <c r="C181" i="4" s="1"/>
  <c r="C182" i="4" s="1"/>
  <c r="C183" i="4" s="1"/>
  <c r="C184" i="4" s="1"/>
  <c r="C185" i="4" s="1"/>
  <c r="C186" i="4" s="1"/>
  <c r="C187" i="4" s="1"/>
  <c r="C188" i="4" s="1"/>
  <c r="C189" i="4" s="1"/>
  <c r="C190" i="4" s="1"/>
  <c r="C191" i="4" s="1"/>
  <c r="C192" i="4" s="1"/>
  <c r="C193" i="4" s="1"/>
  <c r="C194" i="4" s="1"/>
  <c r="C195" i="4" s="1"/>
  <c r="C196" i="4" s="1"/>
  <c r="C197" i="4" s="1"/>
  <c r="C198" i="4" s="1"/>
  <c r="C199" i="4" s="1"/>
  <c r="C200" i="4" s="1"/>
  <c r="C201" i="4" s="1"/>
  <c r="C202" i="4" s="1"/>
  <c r="C203" i="4" s="1"/>
  <c r="C204" i="4" s="1"/>
  <c r="C205" i="4" s="1"/>
  <c r="C206" i="4" s="1"/>
  <c r="C207" i="4" s="1"/>
  <c r="C208" i="4" s="1"/>
  <c r="C209" i="4" s="1"/>
  <c r="C210" i="4" s="1"/>
  <c r="C211" i="4" s="1"/>
  <c r="C212" i="4" s="1"/>
  <c r="C213" i="4" s="1"/>
  <c r="C214" i="4" s="1"/>
  <c r="C215" i="4" s="1"/>
  <c r="C216" i="4" s="1"/>
  <c r="C217" i="4" s="1"/>
  <c r="C218" i="4" s="1"/>
  <c r="C219" i="4" s="1"/>
  <c r="C220" i="4" s="1"/>
  <c r="C221" i="4" s="1"/>
  <c r="C222" i="4" s="1"/>
  <c r="C223" i="4" s="1"/>
  <c r="C224" i="4" s="1"/>
  <c r="C225" i="4" s="1"/>
  <c r="C226" i="4" s="1"/>
  <c r="C227" i="4" s="1"/>
  <c r="C228" i="4" s="1"/>
  <c r="C229" i="4" s="1"/>
  <c r="C230" i="4" s="1"/>
  <c r="C231" i="4" s="1"/>
  <c r="C232" i="4" s="1"/>
  <c r="C233" i="4" s="1"/>
  <c r="C234" i="4" s="1"/>
  <c r="C235" i="4" s="1"/>
  <c r="C236" i="4" s="1"/>
  <c r="C237" i="4" s="1"/>
  <c r="C238" i="4" s="1"/>
  <c r="C239" i="4" s="1"/>
  <c r="C240" i="4" s="1"/>
  <c r="C241" i="4" s="1"/>
  <c r="C242" i="4" s="1"/>
  <c r="C243" i="4" s="1"/>
  <c r="C244" i="4" s="1"/>
  <c r="C245" i="4" s="1"/>
  <c r="C246" i="4" s="1"/>
  <c r="C247" i="4" s="1"/>
  <c r="C248" i="4" s="1"/>
  <c r="C249" i="4" s="1"/>
  <c r="C250" i="4" s="1"/>
  <c r="C251" i="4" s="1"/>
  <c r="C252" i="4" s="1"/>
  <c r="C253" i="4" s="1"/>
  <c r="C254" i="4" s="1"/>
  <c r="C255" i="4" s="1"/>
  <c r="C256" i="4" s="1"/>
  <c r="C257" i="4" s="1"/>
  <c r="C258" i="4" s="1"/>
  <c r="C259" i="4" s="1"/>
  <c r="C260" i="4" s="1"/>
  <c r="C261" i="4" s="1"/>
  <c r="C262" i="4" s="1"/>
  <c r="C263" i="4" s="1"/>
  <c r="C264" i="4" s="1"/>
  <c r="C265" i="4" s="1"/>
  <c r="C266" i="4" s="1"/>
  <c r="C267" i="4" s="1"/>
  <c r="C268" i="4" s="1"/>
  <c r="C269" i="4" s="1"/>
  <c r="C270" i="4" s="1"/>
  <c r="C271" i="4" s="1"/>
  <c r="C272" i="4" s="1"/>
  <c r="C273" i="4" s="1"/>
  <c r="C274" i="4" s="1"/>
  <c r="C275" i="4" s="1"/>
  <c r="C276" i="4" s="1"/>
  <c r="C277" i="4" s="1"/>
  <c r="C278" i="4" s="1"/>
  <c r="C279" i="4" s="1"/>
  <c r="C280" i="4" s="1"/>
  <c r="C281" i="4" s="1"/>
  <c r="C282" i="4" s="1"/>
  <c r="C283" i="4" s="1"/>
  <c r="C284" i="4" s="1"/>
  <c r="C285" i="4" s="1"/>
  <c r="C286" i="4" s="1"/>
  <c r="C287" i="4" s="1"/>
  <c r="A15" i="1" l="1"/>
  <c r="A16" i="1" s="1"/>
  <c r="I14" i="1"/>
  <c r="B9" i="1"/>
  <c r="G8" i="1" s="1"/>
  <c r="H198" i="4"/>
  <c r="E198" i="4"/>
  <c r="E200" i="4"/>
  <c r="H200" i="4"/>
  <c r="A5" i="4"/>
  <c r="A6" i="4" s="1"/>
  <c r="F4" i="4"/>
  <c r="H283" i="4"/>
  <c r="E283" i="4"/>
  <c r="D79" i="4"/>
  <c r="H80" i="4"/>
  <c r="E80" i="4"/>
  <c r="F81" i="4"/>
  <c r="F202" i="4"/>
  <c r="F201" i="4"/>
  <c r="F284" i="4"/>
  <c r="B7" i="4"/>
  <c r="F3" i="4"/>
  <c r="E3" i="4"/>
  <c r="E4" i="4"/>
  <c r="E84" i="4"/>
  <c r="E85" i="4"/>
  <c r="E206" i="4"/>
  <c r="E287" i="4"/>
  <c r="E2" i="4"/>
  <c r="A17" i="1" l="1"/>
  <c r="A18" i="1" s="1"/>
  <c r="I16" i="1"/>
  <c r="B10" i="1"/>
  <c r="D281" i="4"/>
  <c r="D197" i="4"/>
  <c r="A7" i="4"/>
  <c r="A8" i="4" s="1"/>
  <c r="D78" i="4"/>
  <c r="D195" i="4" s="1"/>
  <c r="H79" i="4"/>
  <c r="E79" i="4"/>
  <c r="F200" i="4"/>
  <c r="F283" i="4"/>
  <c r="F80" i="4"/>
  <c r="B8" i="4"/>
  <c r="A19" i="1" l="1"/>
  <c r="A20" i="1" s="1"/>
  <c r="B11" i="1"/>
  <c r="E197" i="4"/>
  <c r="H197" i="4"/>
  <c r="A9" i="4"/>
  <c r="A10" i="4" s="1"/>
  <c r="E195" i="4"/>
  <c r="H195" i="4"/>
  <c r="H281" i="4"/>
  <c r="E281" i="4"/>
  <c r="H78" i="4"/>
  <c r="D77" i="4"/>
  <c r="E78" i="4"/>
  <c r="F198" i="4"/>
  <c r="F282" i="4"/>
  <c r="F199" i="4"/>
  <c r="F79" i="4"/>
  <c r="B9" i="4"/>
  <c r="A21" i="1" l="1"/>
  <c r="A22" i="1" s="1"/>
  <c r="B12" i="1"/>
  <c r="D279" i="4"/>
  <c r="D194" i="4"/>
  <c r="A11" i="4"/>
  <c r="A12" i="4" s="1"/>
  <c r="D76" i="4"/>
  <c r="D192" i="4" s="1"/>
  <c r="H77" i="4"/>
  <c r="E77" i="4"/>
  <c r="F281" i="4"/>
  <c r="F78" i="4"/>
  <c r="F197" i="4"/>
  <c r="B10" i="4"/>
  <c r="A23" i="1" l="1"/>
  <c r="A24" i="1" s="1"/>
  <c r="B13" i="1"/>
  <c r="G12" i="1" s="1"/>
  <c r="E192" i="4"/>
  <c r="H192" i="4"/>
  <c r="H279" i="4"/>
  <c r="E279" i="4"/>
  <c r="A13" i="4"/>
  <c r="A14" i="4" s="1"/>
  <c r="E194" i="4"/>
  <c r="H194" i="4"/>
  <c r="D75" i="4"/>
  <c r="E76" i="4"/>
  <c r="H76" i="4"/>
  <c r="F77" i="4"/>
  <c r="F196" i="4"/>
  <c r="F195" i="4"/>
  <c r="F280" i="4"/>
  <c r="B11" i="4"/>
  <c r="B14" i="1" l="1"/>
  <c r="A25" i="1"/>
  <c r="A26" i="1" s="1"/>
  <c r="D191" i="4"/>
  <c r="D277" i="4"/>
  <c r="A15" i="4"/>
  <c r="A16" i="4" s="1"/>
  <c r="D74" i="4"/>
  <c r="D189" i="4" s="1"/>
  <c r="H75" i="4"/>
  <c r="E75" i="4"/>
  <c r="F194" i="4"/>
  <c r="F279" i="4"/>
  <c r="F76" i="4"/>
  <c r="B12" i="4"/>
  <c r="A27" i="1" l="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B15" i="1"/>
  <c r="H277" i="4"/>
  <c r="E277" i="4"/>
  <c r="A17" i="4"/>
  <c r="A18" i="4" s="1"/>
  <c r="E189" i="4"/>
  <c r="H189" i="4"/>
  <c r="H191" i="4"/>
  <c r="E191" i="4"/>
  <c r="H74" i="4"/>
  <c r="D73" i="4"/>
  <c r="E74" i="4"/>
  <c r="F193" i="4"/>
  <c r="F278" i="4"/>
  <c r="F75" i="4"/>
  <c r="F192" i="4"/>
  <c r="B13" i="4"/>
  <c r="A107" i="1" l="1"/>
  <c r="A108" i="1" s="1"/>
  <c r="B16" i="1"/>
  <c r="A19" i="4"/>
  <c r="A20" i="4" s="1"/>
  <c r="D188" i="4"/>
  <c r="D275" i="4"/>
  <c r="E73" i="4"/>
  <c r="H73" i="4"/>
  <c r="D72" i="4"/>
  <c r="D186" i="4" s="1"/>
  <c r="F277" i="4"/>
  <c r="F74" i="4"/>
  <c r="F191" i="4"/>
  <c r="B14" i="4"/>
  <c r="A109" i="1" l="1"/>
  <c r="A110" i="1" s="1"/>
  <c r="F108" i="1"/>
  <c r="B17" i="1"/>
  <c r="H275" i="4"/>
  <c r="E275" i="4"/>
  <c r="H186" i="4"/>
  <c r="E186" i="4"/>
  <c r="H188" i="4"/>
  <c r="E188" i="4"/>
  <c r="A21" i="4"/>
  <c r="A22" i="4" s="1"/>
  <c r="D71" i="4"/>
  <c r="H72" i="4"/>
  <c r="E72" i="4"/>
  <c r="F73" i="4"/>
  <c r="F190" i="4"/>
  <c r="F189" i="4"/>
  <c r="F276" i="4"/>
  <c r="B15" i="4"/>
  <c r="A111" i="1" l="1"/>
  <c r="A112" i="1" s="1"/>
  <c r="B18" i="1"/>
  <c r="A23" i="4"/>
  <c r="A24" i="4" s="1"/>
  <c r="D273" i="4"/>
  <c r="D185" i="4"/>
  <c r="D70" i="4"/>
  <c r="D183" i="4" s="1"/>
  <c r="H71" i="4"/>
  <c r="E71" i="4"/>
  <c r="F188" i="4"/>
  <c r="F275" i="4"/>
  <c r="F72" i="4"/>
  <c r="B16" i="4"/>
  <c r="A113" i="1" l="1"/>
  <c r="A114" i="1" s="1"/>
  <c r="B19" i="1"/>
  <c r="H185" i="4"/>
  <c r="E185" i="4"/>
  <c r="E273" i="4"/>
  <c r="H273" i="4"/>
  <c r="H183" i="4"/>
  <c r="E183" i="4"/>
  <c r="A25" i="4"/>
  <c r="A26" i="4" s="1"/>
  <c r="H70" i="4"/>
  <c r="D69" i="4"/>
  <c r="E70" i="4"/>
  <c r="F186" i="4"/>
  <c r="F274" i="4"/>
  <c r="F71" i="4"/>
  <c r="F187" i="4"/>
  <c r="B17" i="4"/>
  <c r="A115" i="1" l="1"/>
  <c r="A116" i="1" s="1"/>
  <c r="B20" i="1"/>
  <c r="D271" i="4"/>
  <c r="D182" i="4"/>
  <c r="A27" i="4"/>
  <c r="A28" i="4" s="1"/>
  <c r="E69" i="4"/>
  <c r="D68" i="4"/>
  <c r="D180" i="4" s="1"/>
  <c r="H69" i="4"/>
  <c r="F273" i="4"/>
  <c r="F70" i="4"/>
  <c r="F185" i="4"/>
  <c r="B18" i="4"/>
  <c r="A117" i="1" l="1"/>
  <c r="A118" i="1" s="1"/>
  <c r="B21" i="1"/>
  <c r="A29" i="4"/>
  <c r="A30" i="4" s="1"/>
  <c r="H180" i="4"/>
  <c r="E180" i="4"/>
  <c r="E182" i="4"/>
  <c r="H182" i="4"/>
  <c r="H271" i="4"/>
  <c r="E271" i="4"/>
  <c r="D67" i="4"/>
  <c r="H68" i="4"/>
  <c r="E68" i="4"/>
  <c r="F69" i="4"/>
  <c r="F272" i="4"/>
  <c r="F184" i="4"/>
  <c r="F183" i="4"/>
  <c r="B19" i="4"/>
  <c r="A119" i="1" l="1"/>
  <c r="A120" i="1" s="1"/>
  <c r="B22" i="1"/>
  <c r="D179" i="4"/>
  <c r="D269" i="4"/>
  <c r="A31" i="4"/>
  <c r="A32" i="4" s="1"/>
  <c r="A33" i="4" s="1"/>
  <c r="D66" i="4"/>
  <c r="D177" i="4" s="1"/>
  <c r="H67" i="4"/>
  <c r="E67" i="4"/>
  <c r="F182" i="4"/>
  <c r="F271" i="4"/>
  <c r="F68" i="4"/>
  <c r="B20" i="4"/>
  <c r="A121" i="1" l="1"/>
  <c r="A122" i="1" s="1"/>
  <c r="B23" i="1"/>
  <c r="H269" i="4"/>
  <c r="E269" i="4"/>
  <c r="A34" i="4"/>
  <c r="A35" i="4" s="1"/>
  <c r="E177" i="4"/>
  <c r="H177" i="4"/>
  <c r="H179" i="4"/>
  <c r="E179" i="4"/>
  <c r="H66" i="4"/>
  <c r="D65" i="4"/>
  <c r="E66" i="4"/>
  <c r="F181" i="4"/>
  <c r="F270" i="4"/>
  <c r="F67" i="4"/>
  <c r="F180" i="4"/>
  <c r="B21" i="4"/>
  <c r="A123" i="1" l="1"/>
  <c r="A124" i="1" s="1"/>
  <c r="B24" i="1"/>
  <c r="A36" i="4"/>
  <c r="A37" i="4" s="1"/>
  <c r="D267" i="4"/>
  <c r="D176" i="4"/>
  <c r="E65" i="4"/>
  <c r="D64" i="4"/>
  <c r="D174" i="4" s="1"/>
  <c r="H65" i="4"/>
  <c r="F269" i="4"/>
  <c r="F66" i="4"/>
  <c r="F179" i="4"/>
  <c r="B22" i="4"/>
  <c r="A125" i="1" l="1"/>
  <c r="A126" i="1" s="1"/>
  <c r="B25" i="1"/>
  <c r="H176" i="4"/>
  <c r="E176" i="4"/>
  <c r="H267" i="4"/>
  <c r="E267" i="4"/>
  <c r="H174" i="4"/>
  <c r="E174" i="4"/>
  <c r="A38" i="4"/>
  <c r="A39" i="4" s="1"/>
  <c r="D63" i="4"/>
  <c r="H64" i="4"/>
  <c r="E64" i="4"/>
  <c r="F65" i="4"/>
  <c r="F178" i="4"/>
  <c r="F177" i="4"/>
  <c r="F268" i="4"/>
  <c r="B23" i="4"/>
  <c r="A127" i="1" l="1"/>
  <c r="A128" i="1" s="1"/>
  <c r="B26" i="1"/>
  <c r="A40" i="4"/>
  <c r="A41" i="4" s="1"/>
  <c r="D265" i="4"/>
  <c r="D173" i="4"/>
  <c r="E63" i="4"/>
  <c r="D62" i="4"/>
  <c r="D171" i="4" s="1"/>
  <c r="H63" i="4"/>
  <c r="F176" i="4"/>
  <c r="F267" i="4"/>
  <c r="F64" i="4"/>
  <c r="B24" i="4"/>
  <c r="A129" i="1" l="1"/>
  <c r="A130" i="1" s="1"/>
  <c r="B27" i="1"/>
  <c r="H173" i="4"/>
  <c r="E173" i="4"/>
  <c r="H265" i="4"/>
  <c r="E265" i="4"/>
  <c r="H171" i="4"/>
  <c r="E171" i="4"/>
  <c r="A42" i="4"/>
  <c r="A43" i="4" s="1"/>
  <c r="H62" i="4"/>
  <c r="E62" i="4"/>
  <c r="D61" i="4"/>
  <c r="F174" i="4"/>
  <c r="F266" i="4"/>
  <c r="F63" i="4"/>
  <c r="F175" i="4"/>
  <c r="B25" i="4"/>
  <c r="B28" i="1" l="1"/>
  <c r="A131" i="1"/>
  <c r="A132" i="1" s="1"/>
  <c r="D170" i="4"/>
  <c r="D263" i="4"/>
  <c r="A44" i="4"/>
  <c r="A45" i="4" s="1"/>
  <c r="E61" i="4"/>
  <c r="D60" i="4"/>
  <c r="D168" i="4" s="1"/>
  <c r="H61" i="4"/>
  <c r="F265" i="4"/>
  <c r="F62" i="4"/>
  <c r="F173" i="4"/>
  <c r="B26" i="4"/>
  <c r="A133" i="1" l="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B29" i="1"/>
  <c r="A46" i="4"/>
  <c r="A47" i="4" s="1"/>
  <c r="E168" i="4"/>
  <c r="H168" i="4"/>
  <c r="H263" i="4"/>
  <c r="E263" i="4"/>
  <c r="E170" i="4"/>
  <c r="H170" i="4"/>
  <c r="D59" i="4"/>
  <c r="H60" i="4"/>
  <c r="E60" i="4"/>
  <c r="F61" i="4"/>
  <c r="F172" i="4"/>
  <c r="F171" i="4"/>
  <c r="F264" i="4"/>
  <c r="B27" i="4"/>
  <c r="A225" i="1" l="1"/>
  <c r="A226" i="1" s="1"/>
  <c r="B30" i="1"/>
  <c r="D261" i="4"/>
  <c r="D167" i="4"/>
  <c r="A48" i="4"/>
  <c r="A49" i="4" s="1"/>
  <c r="E59" i="4"/>
  <c r="D58" i="4"/>
  <c r="D165" i="4" s="1"/>
  <c r="H59" i="4"/>
  <c r="F170" i="4"/>
  <c r="F263" i="4"/>
  <c r="F60" i="4"/>
  <c r="B28" i="4"/>
  <c r="A227" i="1" l="1"/>
  <c r="A228" i="1" s="1"/>
  <c r="F226" i="1"/>
  <c r="B31" i="1"/>
  <c r="A50" i="4"/>
  <c r="A51" i="4" s="1"/>
  <c r="H165" i="4"/>
  <c r="E165" i="4"/>
  <c r="H167" i="4"/>
  <c r="E167" i="4"/>
  <c r="H261" i="4"/>
  <c r="E261" i="4"/>
  <c r="H58" i="4"/>
  <c r="E58" i="4"/>
  <c r="D57" i="4"/>
  <c r="F169" i="4"/>
  <c r="F262" i="4"/>
  <c r="F59" i="4"/>
  <c r="F168" i="4"/>
  <c r="B29" i="4"/>
  <c r="A229" i="1" l="1"/>
  <c r="A230" i="1" s="1"/>
  <c r="B32" i="1"/>
  <c r="D164" i="4"/>
  <c r="D259" i="4"/>
  <c r="A52" i="4"/>
  <c r="A53" i="4" s="1"/>
  <c r="E57" i="4"/>
  <c r="D56" i="4"/>
  <c r="D162" i="4" s="1"/>
  <c r="H57" i="4"/>
  <c r="F261" i="4"/>
  <c r="F58" i="4"/>
  <c r="F167" i="4"/>
  <c r="B30" i="4"/>
  <c r="A231" i="1" l="1"/>
  <c r="A232" i="1" s="1"/>
  <c r="B33" i="1"/>
  <c r="H162" i="4"/>
  <c r="E162" i="4"/>
  <c r="H259" i="4"/>
  <c r="E259" i="4"/>
  <c r="A54" i="4"/>
  <c r="A55" i="4" s="1"/>
  <c r="H164" i="4"/>
  <c r="E164" i="4"/>
  <c r="D55" i="4"/>
  <c r="H56" i="4"/>
  <c r="E56" i="4"/>
  <c r="F57" i="4"/>
  <c r="F166" i="4"/>
  <c r="F165" i="4"/>
  <c r="F260" i="4"/>
  <c r="B31" i="4"/>
  <c r="A233" i="1" l="1"/>
  <c r="A234" i="1" s="1"/>
  <c r="B34" i="1"/>
  <c r="D257" i="4"/>
  <c r="D161" i="4"/>
  <c r="A56" i="4"/>
  <c r="A57" i="4" s="1"/>
  <c r="E55" i="4"/>
  <c r="D54" i="4"/>
  <c r="D159" i="4" s="1"/>
  <c r="H55" i="4"/>
  <c r="F164" i="4"/>
  <c r="F259" i="4"/>
  <c r="F56" i="4"/>
  <c r="B32" i="4"/>
  <c r="A235" i="1" l="1"/>
  <c r="A236" i="1" s="1"/>
  <c r="B35" i="1"/>
  <c r="H257" i="4"/>
  <c r="E257" i="4"/>
  <c r="A58" i="4"/>
  <c r="A59" i="4" s="1"/>
  <c r="A60" i="4" s="1"/>
  <c r="H159" i="4"/>
  <c r="E159" i="4"/>
  <c r="E161" i="4"/>
  <c r="H161" i="4"/>
  <c r="H54" i="4"/>
  <c r="E54" i="4"/>
  <c r="D53" i="4"/>
  <c r="F162" i="4"/>
  <c r="F258" i="4"/>
  <c r="F55" i="4"/>
  <c r="F163" i="4"/>
  <c r="B33" i="4"/>
  <c r="A237" i="1" l="1"/>
  <c r="A238" i="1" s="1"/>
  <c r="B36" i="1"/>
  <c r="A61" i="4"/>
  <c r="A62" i="4" s="1"/>
  <c r="D255" i="4"/>
  <c r="D158" i="4"/>
  <c r="E53" i="4"/>
  <c r="D52" i="4"/>
  <c r="D156" i="4" s="1"/>
  <c r="H53" i="4"/>
  <c r="F257" i="4"/>
  <c r="F54" i="4"/>
  <c r="F161" i="4"/>
  <c r="B34" i="4"/>
  <c r="A239" i="1" l="1"/>
  <c r="A240" i="1" s="1"/>
  <c r="B37" i="1"/>
  <c r="A63" i="4"/>
  <c r="A64" i="4" s="1"/>
  <c r="H158" i="4"/>
  <c r="E158" i="4"/>
  <c r="H255" i="4"/>
  <c r="E255" i="4"/>
  <c r="H156" i="4"/>
  <c r="E156" i="4"/>
  <c r="D51" i="4"/>
  <c r="H52" i="4"/>
  <c r="E52" i="4"/>
  <c r="F53" i="4"/>
  <c r="F160" i="4"/>
  <c r="F159" i="4"/>
  <c r="F256" i="4"/>
  <c r="B35" i="4"/>
  <c r="A241" i="1" l="1"/>
  <c r="A242" i="1" s="1"/>
  <c r="B38" i="1"/>
  <c r="D253" i="4"/>
  <c r="D155" i="4"/>
  <c r="A65" i="4"/>
  <c r="A66" i="4" s="1"/>
  <c r="E51" i="4"/>
  <c r="D50" i="4"/>
  <c r="D153" i="4" s="1"/>
  <c r="H51" i="4"/>
  <c r="F158" i="4"/>
  <c r="F52" i="4"/>
  <c r="F255" i="4"/>
  <c r="B36" i="4"/>
  <c r="A243" i="1" l="1"/>
  <c r="A244" i="1" s="1"/>
  <c r="B39" i="1"/>
  <c r="H253" i="4"/>
  <c r="E253" i="4"/>
  <c r="A67" i="4"/>
  <c r="A68" i="4" s="1"/>
  <c r="H153" i="4"/>
  <c r="E153" i="4"/>
  <c r="H155" i="4"/>
  <c r="E155" i="4"/>
  <c r="H50" i="4"/>
  <c r="E50" i="4"/>
  <c r="D49" i="4"/>
  <c r="F157" i="4"/>
  <c r="F254" i="4"/>
  <c r="F51" i="4"/>
  <c r="F156" i="4"/>
  <c r="B37" i="4"/>
  <c r="A245" i="1" l="1"/>
  <c r="A246" i="1" s="1"/>
  <c r="B40" i="1"/>
  <c r="A69" i="4"/>
  <c r="A70" i="4" s="1"/>
  <c r="D251" i="4"/>
  <c r="D152" i="4"/>
  <c r="E49" i="4"/>
  <c r="H49" i="4"/>
  <c r="D48" i="4"/>
  <c r="D150" i="4" s="1"/>
  <c r="F253" i="4"/>
  <c r="F50" i="4"/>
  <c r="F155" i="4"/>
  <c r="B38" i="4"/>
  <c r="F2022" i="1" l="1"/>
  <c r="D797" i="1"/>
  <c r="D745" i="1"/>
  <c r="E746" i="1"/>
  <c r="A247" i="1"/>
  <c r="A248" i="1" s="1"/>
  <c r="B41" i="1"/>
  <c r="A71" i="4"/>
  <c r="A72" i="4" s="1"/>
  <c r="E152" i="4"/>
  <c r="H152" i="4"/>
  <c r="H150" i="4"/>
  <c r="E150" i="4"/>
  <c r="H251" i="4"/>
  <c r="E251" i="4"/>
  <c r="D47" i="4"/>
  <c r="H48" i="4"/>
  <c r="E48" i="4"/>
  <c r="F49" i="4"/>
  <c r="F154" i="4"/>
  <c r="F153" i="4"/>
  <c r="F252" i="4"/>
  <c r="B39" i="4"/>
  <c r="F2108" i="1" l="1"/>
  <c r="F2073" i="1"/>
  <c r="F2072" i="1"/>
  <c r="D744" i="1"/>
  <c r="D796" i="1"/>
  <c r="D832" i="1"/>
  <c r="E745" i="1"/>
  <c r="E797" i="1"/>
  <c r="A249" i="1"/>
  <c r="A250" i="1" s="1"/>
  <c r="B42" i="1"/>
  <c r="D249" i="4"/>
  <c r="D149" i="4"/>
  <c r="A73" i="4"/>
  <c r="A74" i="4" s="1"/>
  <c r="E47" i="4"/>
  <c r="D46" i="4"/>
  <c r="D147" i="4" s="1"/>
  <c r="H47" i="4"/>
  <c r="F152" i="4"/>
  <c r="F251" i="4"/>
  <c r="F48" i="4"/>
  <c r="B40" i="4"/>
  <c r="F2107" i="1" l="1"/>
  <c r="F2071" i="1"/>
  <c r="E796" i="1"/>
  <c r="D743" i="1"/>
  <c r="D794" i="1"/>
  <c r="E744" i="1"/>
  <c r="E832" i="1"/>
  <c r="A251" i="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B43" i="1"/>
  <c r="H249" i="4"/>
  <c r="E249" i="4"/>
  <c r="A75" i="4"/>
  <c r="A76" i="4" s="1"/>
  <c r="H147" i="4"/>
  <c r="E147" i="4"/>
  <c r="H149" i="4"/>
  <c r="E149" i="4"/>
  <c r="H46" i="4"/>
  <c r="E46" i="4"/>
  <c r="D45" i="4"/>
  <c r="F150" i="4"/>
  <c r="F250" i="4"/>
  <c r="F151" i="4"/>
  <c r="F47" i="4"/>
  <c r="B41" i="4"/>
  <c r="D2072" i="1" l="1"/>
  <c r="E2021" i="1"/>
  <c r="D2020" i="1"/>
  <c r="F2106" i="1"/>
  <c r="F2070" i="1"/>
  <c r="F2069" i="1"/>
  <c r="D830" i="1"/>
  <c r="D742" i="1"/>
  <c r="E743" i="1"/>
  <c r="D793" i="1"/>
  <c r="E794" i="1"/>
  <c r="F257" i="1"/>
  <c r="A336" i="1"/>
  <c r="A337" i="1" s="1"/>
  <c r="B44" i="1"/>
  <c r="F222" i="1"/>
  <c r="F189" i="1"/>
  <c r="F188" i="1"/>
  <c r="F141" i="1"/>
  <c r="D247" i="4"/>
  <c r="D146" i="4"/>
  <c r="A77" i="4"/>
  <c r="A78" i="4" s="1"/>
  <c r="E45" i="4"/>
  <c r="D44" i="4"/>
  <c r="D144" i="4" s="1"/>
  <c r="H45" i="4"/>
  <c r="F249" i="4"/>
  <c r="F46" i="4"/>
  <c r="F149" i="4"/>
  <c r="B42" i="4"/>
  <c r="F2105" i="1" l="1"/>
  <c r="F2068" i="1"/>
  <c r="D2107" i="1"/>
  <c r="E2020" i="1"/>
  <c r="D2071" i="1"/>
  <c r="D2019" i="1"/>
  <c r="E2072" i="1"/>
  <c r="D791" i="1"/>
  <c r="E742" i="1"/>
  <c r="D741" i="1"/>
  <c r="F833" i="1"/>
  <c r="F798" i="1"/>
  <c r="F797" i="1"/>
  <c r="E793" i="1"/>
  <c r="E830" i="1"/>
  <c r="A338" i="1"/>
  <c r="A339" i="1" s="1"/>
  <c r="F337" i="1"/>
  <c r="B45" i="1"/>
  <c r="F221" i="1"/>
  <c r="F187" i="1"/>
  <c r="F33" i="1"/>
  <c r="A79" i="4"/>
  <c r="A80" i="4" s="1"/>
  <c r="H144" i="4"/>
  <c r="E144" i="4"/>
  <c r="E146" i="4"/>
  <c r="H146" i="4"/>
  <c r="H247" i="4"/>
  <c r="E247" i="4"/>
  <c r="D43" i="4"/>
  <c r="H44" i="4"/>
  <c r="E44" i="4"/>
  <c r="F45" i="4"/>
  <c r="F248" i="4"/>
  <c r="F148" i="4"/>
  <c r="F147" i="4"/>
  <c r="B43" i="4"/>
  <c r="E2107" i="1" l="1"/>
  <c r="D2069" i="1"/>
  <c r="E2019" i="1"/>
  <c r="D2018" i="1"/>
  <c r="F2104" i="1"/>
  <c r="F2067" i="1"/>
  <c r="F2066" i="1"/>
  <c r="E2071" i="1"/>
  <c r="F958" i="1"/>
  <c r="F922" i="1"/>
  <c r="F923" i="1"/>
  <c r="E791" i="1"/>
  <c r="D790" i="1"/>
  <c r="E741" i="1"/>
  <c r="D828" i="1"/>
  <c r="F832" i="1"/>
  <c r="F796" i="1"/>
  <c r="F597" i="1"/>
  <c r="F559" i="1"/>
  <c r="F560" i="1"/>
  <c r="D559" i="1"/>
  <c r="E505" i="1"/>
  <c r="D504" i="1"/>
  <c r="A340" i="1"/>
  <c r="A341" i="1" s="1"/>
  <c r="F465" i="1"/>
  <c r="F428" i="1"/>
  <c r="F427" i="1"/>
  <c r="D427" i="1"/>
  <c r="D372" i="1"/>
  <c r="E373" i="1"/>
  <c r="B46" i="1"/>
  <c r="F220" i="1"/>
  <c r="F186" i="1"/>
  <c r="F185" i="1"/>
  <c r="D143" i="4"/>
  <c r="D245" i="4"/>
  <c r="A81" i="4"/>
  <c r="A82" i="4" s="1"/>
  <c r="E43" i="4"/>
  <c r="D42" i="4"/>
  <c r="D141" i="4" s="1"/>
  <c r="H43" i="4"/>
  <c r="F146" i="4"/>
  <c r="F44" i="4"/>
  <c r="F247" i="4"/>
  <c r="B44" i="4"/>
  <c r="G43" i="4" s="1"/>
  <c r="F2103" i="1" l="1"/>
  <c r="F2065" i="1"/>
  <c r="E2069" i="1"/>
  <c r="D2068" i="1"/>
  <c r="D2105" i="1"/>
  <c r="D2017" i="1"/>
  <c r="E2018" i="1"/>
  <c r="E1724" i="1"/>
  <c r="D1723" i="1"/>
  <c r="D1766" i="1"/>
  <c r="D1132" i="1"/>
  <c r="D1083" i="1"/>
  <c r="E1084" i="1"/>
  <c r="F957" i="1"/>
  <c r="F921" i="1"/>
  <c r="D922" i="1"/>
  <c r="E871" i="1"/>
  <c r="D870" i="1"/>
  <c r="F831" i="1"/>
  <c r="F795" i="1"/>
  <c r="F794" i="1"/>
  <c r="D788" i="1"/>
  <c r="E740" i="1"/>
  <c r="D739" i="1"/>
  <c r="E790" i="1"/>
  <c r="E828" i="1"/>
  <c r="F596" i="1"/>
  <c r="F558" i="1"/>
  <c r="D558" i="1"/>
  <c r="E504" i="1"/>
  <c r="D503" i="1"/>
  <c r="D596" i="1"/>
  <c r="E559" i="1"/>
  <c r="A342" i="1"/>
  <c r="A343" i="1" s="1"/>
  <c r="E427" i="1"/>
  <c r="F464" i="1"/>
  <c r="F426" i="1"/>
  <c r="D464" i="1"/>
  <c r="D426" i="1"/>
  <c r="D371" i="1"/>
  <c r="E372" i="1"/>
  <c r="B47" i="1"/>
  <c r="F219" i="1"/>
  <c r="F184" i="1"/>
  <c r="H143" i="4"/>
  <c r="E143" i="4"/>
  <c r="A83" i="4"/>
  <c r="A84" i="4" s="1"/>
  <c r="H141" i="4"/>
  <c r="E141" i="4"/>
  <c r="H245" i="4"/>
  <c r="E245" i="4"/>
  <c r="H42" i="4"/>
  <c r="E42" i="4"/>
  <c r="D41" i="4"/>
  <c r="G42" i="4"/>
  <c r="F43" i="4"/>
  <c r="F145" i="4"/>
  <c r="F246" i="4"/>
  <c r="F144" i="4"/>
  <c r="B45" i="4"/>
  <c r="G44" i="4" s="1"/>
  <c r="D2016" i="1" l="1"/>
  <c r="D2066" i="1"/>
  <c r="E2017" i="1"/>
  <c r="E2105" i="1"/>
  <c r="F2102" i="1"/>
  <c r="F2064" i="1"/>
  <c r="F2063" i="1"/>
  <c r="E2068" i="1"/>
  <c r="E1766" i="1"/>
  <c r="D1795" i="1"/>
  <c r="D1722" i="1"/>
  <c r="E1723" i="1"/>
  <c r="D1765" i="1"/>
  <c r="E1132" i="1"/>
  <c r="D1165" i="1"/>
  <c r="D1131" i="1"/>
  <c r="D1082" i="1"/>
  <c r="E1083" i="1"/>
  <c r="E922" i="1"/>
  <c r="D957" i="1"/>
  <c r="D921" i="1"/>
  <c r="E870" i="1"/>
  <c r="D869" i="1"/>
  <c r="F956" i="1"/>
  <c r="F920" i="1"/>
  <c r="F919" i="1"/>
  <c r="E788" i="1"/>
  <c r="F830" i="1"/>
  <c r="F793" i="1"/>
  <c r="D826" i="1"/>
  <c r="D787" i="1"/>
  <c r="E739" i="1"/>
  <c r="D738" i="1"/>
  <c r="E596" i="1"/>
  <c r="E558" i="1"/>
  <c r="F556" i="1"/>
  <c r="F557" i="1"/>
  <c r="F595" i="1"/>
  <c r="D556" i="1"/>
  <c r="E503" i="1"/>
  <c r="D502" i="1"/>
  <c r="A344" i="1"/>
  <c r="A345" i="1" s="1"/>
  <c r="E464" i="1"/>
  <c r="E426" i="1"/>
  <c r="D424" i="1"/>
  <c r="E371" i="1"/>
  <c r="D370" i="1"/>
  <c r="F463" i="1"/>
  <c r="F425" i="1"/>
  <c r="F424" i="1"/>
  <c r="D301" i="1"/>
  <c r="E256" i="1"/>
  <c r="D255" i="1"/>
  <c r="B48" i="1"/>
  <c r="F218" i="1"/>
  <c r="F183" i="1"/>
  <c r="F182" i="1"/>
  <c r="D188" i="1"/>
  <c r="E140" i="1"/>
  <c r="D139" i="1"/>
  <c r="D243" i="4"/>
  <c r="D140" i="4"/>
  <c r="A85" i="4"/>
  <c r="E41" i="4"/>
  <c r="H41" i="4"/>
  <c r="D40" i="4"/>
  <c r="D138" i="4" s="1"/>
  <c r="G41" i="4"/>
  <c r="F42" i="4"/>
  <c r="F245" i="4"/>
  <c r="F143" i="4"/>
  <c r="B46" i="4"/>
  <c r="G45" i="4" s="1"/>
  <c r="E2066" i="1" l="1"/>
  <c r="D2103" i="1"/>
  <c r="D2065" i="1"/>
  <c r="E2016" i="1"/>
  <c r="F2062" i="1"/>
  <c r="F2101" i="1"/>
  <c r="D1870" i="1"/>
  <c r="D1827" i="1"/>
  <c r="E1828" i="1"/>
  <c r="D1721" i="1"/>
  <c r="D1763" i="1"/>
  <c r="E1722" i="1"/>
  <c r="E1765" i="1"/>
  <c r="E1795" i="1"/>
  <c r="E1165" i="1"/>
  <c r="D1129" i="1"/>
  <c r="E1082" i="1"/>
  <c r="D1081" i="1"/>
  <c r="F1166" i="1"/>
  <c r="F1133" i="1"/>
  <c r="F1132" i="1"/>
  <c r="E1131" i="1"/>
  <c r="D919" i="1"/>
  <c r="E869" i="1"/>
  <c r="D868" i="1"/>
  <c r="E957" i="1"/>
  <c r="F955" i="1"/>
  <c r="F918" i="1"/>
  <c r="E921" i="1"/>
  <c r="E787" i="1"/>
  <c r="F829" i="1"/>
  <c r="F792" i="1"/>
  <c r="F791" i="1"/>
  <c r="D785" i="1"/>
  <c r="D737" i="1"/>
  <c r="E738" i="1"/>
  <c r="E826" i="1"/>
  <c r="E556" i="1"/>
  <c r="D594" i="1"/>
  <c r="D555" i="1"/>
  <c r="E502" i="1"/>
  <c r="D501" i="1"/>
  <c r="F594" i="1"/>
  <c r="F555" i="1"/>
  <c r="A346" i="1"/>
  <c r="A347" i="1" s="1"/>
  <c r="D462" i="1"/>
  <c r="D423" i="1"/>
  <c r="E370" i="1"/>
  <c r="D369" i="1"/>
  <c r="F462" i="1"/>
  <c r="F423" i="1"/>
  <c r="E424" i="1"/>
  <c r="E301" i="1"/>
  <c r="D332" i="1"/>
  <c r="D254" i="1"/>
  <c r="E255" i="1"/>
  <c r="D300" i="1"/>
  <c r="B49" i="1"/>
  <c r="D221" i="1"/>
  <c r="D187" i="1"/>
  <c r="E139" i="1"/>
  <c r="D138" i="1"/>
  <c r="F217" i="1"/>
  <c r="F181" i="1"/>
  <c r="E188" i="1"/>
  <c r="H138" i="4"/>
  <c r="E138" i="4"/>
  <c r="A86" i="4"/>
  <c r="A87" i="4" s="1"/>
  <c r="F85" i="4"/>
  <c r="H140" i="4"/>
  <c r="E140" i="4"/>
  <c r="H243" i="4"/>
  <c r="E243" i="4"/>
  <c r="D39" i="4"/>
  <c r="H40" i="4"/>
  <c r="E40" i="4"/>
  <c r="G40" i="4"/>
  <c r="F41" i="4"/>
  <c r="F142" i="4"/>
  <c r="F244" i="4"/>
  <c r="F141" i="4"/>
  <c r="B47" i="4"/>
  <c r="G46" i="4" s="1"/>
  <c r="E2065" i="1" l="1"/>
  <c r="F2100" i="1"/>
  <c r="F2061" i="1"/>
  <c r="F2060" i="1"/>
  <c r="E2103" i="1"/>
  <c r="E2015" i="1"/>
  <c r="D2014" i="1"/>
  <c r="D2063" i="1"/>
  <c r="F1900" i="1"/>
  <c r="F1871" i="1"/>
  <c r="F1870" i="1"/>
  <c r="D1899" i="1"/>
  <c r="D1826" i="1"/>
  <c r="D1869" i="1"/>
  <c r="E1827" i="1"/>
  <c r="E1870" i="1"/>
  <c r="D1793" i="1"/>
  <c r="D1762" i="1"/>
  <c r="E1721" i="1"/>
  <c r="E1763" i="1"/>
  <c r="F1367" i="1"/>
  <c r="F1337" i="1"/>
  <c r="F1338" i="1"/>
  <c r="F1165" i="1"/>
  <c r="F1131" i="1"/>
  <c r="D1163" i="1"/>
  <c r="E1081" i="1"/>
  <c r="D1128" i="1"/>
  <c r="E1129" i="1"/>
  <c r="D918" i="1"/>
  <c r="E868" i="1"/>
  <c r="D867" i="1"/>
  <c r="D955" i="1"/>
  <c r="F954" i="1"/>
  <c r="F917" i="1"/>
  <c r="F916" i="1"/>
  <c r="E919" i="1"/>
  <c r="E785" i="1"/>
  <c r="D736" i="1"/>
  <c r="D784" i="1"/>
  <c r="E737" i="1"/>
  <c r="D824" i="1"/>
  <c r="F828" i="1"/>
  <c r="F790" i="1"/>
  <c r="D676" i="1"/>
  <c r="E631" i="1"/>
  <c r="D630" i="1"/>
  <c r="E594" i="1"/>
  <c r="D553" i="1"/>
  <c r="E501" i="1"/>
  <c r="D500" i="1"/>
  <c r="E555" i="1"/>
  <c r="F593" i="1"/>
  <c r="F554" i="1"/>
  <c r="F553" i="1"/>
  <c r="A348" i="1"/>
  <c r="A349" i="1" s="1"/>
  <c r="E423" i="1"/>
  <c r="F461" i="1"/>
  <c r="F421" i="1"/>
  <c r="F422" i="1"/>
  <c r="D421" i="1"/>
  <c r="E369" i="1"/>
  <c r="D368" i="1"/>
  <c r="E462" i="1"/>
  <c r="E332" i="1"/>
  <c r="E300" i="1"/>
  <c r="D298" i="1"/>
  <c r="D253" i="1"/>
  <c r="E254" i="1"/>
  <c r="B50" i="1"/>
  <c r="E187" i="1"/>
  <c r="F216" i="1"/>
  <c r="F180" i="1"/>
  <c r="F179" i="1"/>
  <c r="D185" i="1"/>
  <c r="E138" i="1"/>
  <c r="D137" i="1"/>
  <c r="E221" i="1"/>
  <c r="A88" i="4"/>
  <c r="D241" i="4"/>
  <c r="D137" i="4"/>
  <c r="E39" i="4"/>
  <c r="D38" i="4"/>
  <c r="D135" i="4" s="1"/>
  <c r="H39" i="4"/>
  <c r="G39" i="4"/>
  <c r="F243" i="4"/>
  <c r="F40" i="4"/>
  <c r="F140" i="4"/>
  <c r="B48" i="4"/>
  <c r="G47" i="4" s="1"/>
  <c r="E2063" i="1" l="1"/>
  <c r="F2099" i="1"/>
  <c r="F2059" i="1"/>
  <c r="D2101" i="1"/>
  <c r="D2062" i="1"/>
  <c r="E2014" i="1"/>
  <c r="D2013" i="1"/>
  <c r="F1899" i="1"/>
  <c r="F1869" i="1"/>
  <c r="D1867" i="1"/>
  <c r="D1825" i="1"/>
  <c r="E1826" i="1"/>
  <c r="E1869" i="1"/>
  <c r="E1899" i="1"/>
  <c r="F1796" i="1"/>
  <c r="F1767" i="1"/>
  <c r="F1766" i="1"/>
  <c r="E1762" i="1"/>
  <c r="D1760" i="1"/>
  <c r="E1720" i="1"/>
  <c r="D1719" i="1"/>
  <c r="E1793" i="1"/>
  <c r="D1337" i="1"/>
  <c r="E1295" i="1"/>
  <c r="D1294" i="1"/>
  <c r="F1366" i="1"/>
  <c r="F1336" i="1"/>
  <c r="F1164" i="1"/>
  <c r="F1130" i="1"/>
  <c r="F1129" i="1"/>
  <c r="E1128" i="1"/>
  <c r="D1126" i="1"/>
  <c r="E1080" i="1"/>
  <c r="D1079" i="1"/>
  <c r="E1163" i="1"/>
  <c r="D1022" i="1"/>
  <c r="D985" i="1"/>
  <c r="E986" i="1"/>
  <c r="E918" i="1"/>
  <c r="F953" i="1"/>
  <c r="F915" i="1"/>
  <c r="E955" i="1"/>
  <c r="D916" i="1"/>
  <c r="D866" i="1"/>
  <c r="E867" i="1"/>
  <c r="E784" i="1"/>
  <c r="E824" i="1"/>
  <c r="D735" i="1"/>
  <c r="D782" i="1"/>
  <c r="E736" i="1"/>
  <c r="F827" i="1"/>
  <c r="F789" i="1"/>
  <c r="F788" i="1"/>
  <c r="E676" i="1"/>
  <c r="D707" i="1"/>
  <c r="D675" i="1"/>
  <c r="D629" i="1"/>
  <c r="E630" i="1"/>
  <c r="F708" i="1"/>
  <c r="F677" i="1"/>
  <c r="F676" i="1"/>
  <c r="F592" i="1"/>
  <c r="F552" i="1"/>
  <c r="E553" i="1"/>
  <c r="D592" i="1"/>
  <c r="D552" i="1"/>
  <c r="E500" i="1"/>
  <c r="D499" i="1"/>
  <c r="A350" i="1"/>
  <c r="A351" i="1" s="1"/>
  <c r="F460" i="1"/>
  <c r="F420" i="1"/>
  <c r="D460" i="1"/>
  <c r="D420" i="1"/>
  <c r="E368" i="1"/>
  <c r="E421" i="1"/>
  <c r="D330" i="1"/>
  <c r="D297" i="1"/>
  <c r="D252" i="1"/>
  <c r="E253" i="1"/>
  <c r="E298" i="1"/>
  <c r="B51" i="1"/>
  <c r="E185" i="1"/>
  <c r="F215" i="1"/>
  <c r="F178" i="1"/>
  <c r="D219" i="1"/>
  <c r="D184" i="1"/>
  <c r="E137" i="1"/>
  <c r="H137" i="4"/>
  <c r="E137" i="4"/>
  <c r="E241" i="4"/>
  <c r="H241" i="4"/>
  <c r="H135" i="4"/>
  <c r="E135" i="4"/>
  <c r="A89" i="4"/>
  <c r="A90" i="4" s="1"/>
  <c r="H38" i="4"/>
  <c r="E38" i="4"/>
  <c r="D37" i="4"/>
  <c r="G38" i="4"/>
  <c r="F242" i="4"/>
  <c r="F39" i="4"/>
  <c r="F138" i="4"/>
  <c r="F139" i="4"/>
  <c r="B49" i="4"/>
  <c r="G48" i="4" s="1"/>
  <c r="D2060" i="1" l="1"/>
  <c r="E2013" i="1"/>
  <c r="D2012" i="1"/>
  <c r="E2101" i="1"/>
  <c r="E2062" i="1"/>
  <c r="F2058" i="1"/>
  <c r="F2098" i="1"/>
  <c r="F2057" i="1"/>
  <c r="F1898" i="1"/>
  <c r="F1868" i="1"/>
  <c r="F1867" i="1"/>
  <c r="E1867" i="1"/>
  <c r="D1897" i="1"/>
  <c r="D1866" i="1"/>
  <c r="E1825" i="1"/>
  <c r="D1791" i="1"/>
  <c r="D1759" i="1"/>
  <c r="E1719" i="1"/>
  <c r="D1718" i="1"/>
  <c r="F1765" i="1"/>
  <c r="F1795" i="1"/>
  <c r="E1760" i="1"/>
  <c r="F1335" i="1"/>
  <c r="F1334" i="1"/>
  <c r="F1365" i="1"/>
  <c r="D1366" i="1"/>
  <c r="D1293" i="1"/>
  <c r="D1336" i="1"/>
  <c r="E1294" i="1"/>
  <c r="E1337" i="1"/>
  <c r="D1161" i="1"/>
  <c r="D1125" i="1"/>
  <c r="E1079" i="1"/>
  <c r="D1078" i="1"/>
  <c r="F1163" i="1"/>
  <c r="F1128" i="1"/>
  <c r="E1126" i="1"/>
  <c r="E1022" i="1"/>
  <c r="D1021" i="1"/>
  <c r="D1047" i="1"/>
  <c r="D984" i="1"/>
  <c r="E985" i="1"/>
  <c r="E916" i="1"/>
  <c r="D865" i="1"/>
  <c r="D953" i="1"/>
  <c r="E866" i="1"/>
  <c r="D915" i="1"/>
  <c r="F952" i="1"/>
  <c r="F913" i="1"/>
  <c r="F914" i="1"/>
  <c r="D822" i="1"/>
  <c r="D781" i="1"/>
  <c r="D734" i="1"/>
  <c r="E735" i="1"/>
  <c r="F826" i="1"/>
  <c r="F787" i="1"/>
  <c r="E782" i="1"/>
  <c r="E675" i="1"/>
  <c r="F707" i="1"/>
  <c r="F675" i="1"/>
  <c r="E707" i="1"/>
  <c r="D673" i="1"/>
  <c r="D628" i="1"/>
  <c r="E629" i="1"/>
  <c r="F591" i="1"/>
  <c r="F551" i="1"/>
  <c r="F550" i="1"/>
  <c r="E552" i="1"/>
  <c r="D550" i="1"/>
  <c r="E499" i="1"/>
  <c r="D498" i="1"/>
  <c r="E592" i="1"/>
  <c r="A352" i="1"/>
  <c r="A353" i="1" s="1"/>
  <c r="E420" i="1"/>
  <c r="F459" i="1"/>
  <c r="F419" i="1"/>
  <c r="F418" i="1"/>
  <c r="D418" i="1"/>
  <c r="E367" i="1"/>
  <c r="D366" i="1"/>
  <c r="E460" i="1"/>
  <c r="E297" i="1"/>
  <c r="E252" i="1"/>
  <c r="D251" i="1"/>
  <c r="D295" i="1"/>
  <c r="F333" i="1"/>
  <c r="F302" i="1"/>
  <c r="F301" i="1"/>
  <c r="E330" i="1"/>
  <c r="B52" i="1"/>
  <c r="D135" i="1"/>
  <c r="D182" i="1"/>
  <c r="E136" i="1"/>
  <c r="F214" i="1"/>
  <c r="F176" i="1"/>
  <c r="F177" i="1"/>
  <c r="E184" i="1"/>
  <c r="E219" i="1"/>
  <c r="D239" i="4"/>
  <c r="D134" i="4"/>
  <c r="A91" i="4"/>
  <c r="E37" i="4"/>
  <c r="D36" i="4"/>
  <c r="D132" i="4" s="1"/>
  <c r="H37" i="4"/>
  <c r="G37" i="4"/>
  <c r="F241" i="4"/>
  <c r="F137" i="4"/>
  <c r="F38" i="4"/>
  <c r="B50" i="4"/>
  <c r="G49" i="4" s="1"/>
  <c r="D2099" i="1" l="1"/>
  <c r="E2012" i="1"/>
  <c r="D2059" i="1"/>
  <c r="F2056" i="1"/>
  <c r="F2097" i="1"/>
  <c r="E2060" i="1"/>
  <c r="E1866" i="1"/>
  <c r="F1897" i="1"/>
  <c r="F1866" i="1"/>
  <c r="E1824" i="1"/>
  <c r="D1823" i="1"/>
  <c r="D1864" i="1"/>
  <c r="E1897" i="1"/>
  <c r="E1759" i="1"/>
  <c r="F1794" i="1"/>
  <c r="F1764" i="1"/>
  <c r="F1763" i="1"/>
  <c r="D1757" i="1"/>
  <c r="E1718" i="1"/>
  <c r="D1717" i="1"/>
  <c r="E1791" i="1"/>
  <c r="D1334" i="1"/>
  <c r="D1292" i="1"/>
  <c r="E1293" i="1"/>
  <c r="F1333" i="1"/>
  <c r="F1364" i="1"/>
  <c r="E1336" i="1"/>
  <c r="E1366" i="1"/>
  <c r="F1263" i="1"/>
  <c r="F1235" i="1"/>
  <c r="F1236" i="1"/>
  <c r="E1125" i="1"/>
  <c r="F1162" i="1"/>
  <c r="F1127" i="1"/>
  <c r="F1126" i="1"/>
  <c r="D1123" i="1"/>
  <c r="E1078" i="1"/>
  <c r="D1077" i="1"/>
  <c r="E1161" i="1"/>
  <c r="E1021" i="1"/>
  <c r="D1019" i="1"/>
  <c r="E984" i="1"/>
  <c r="D983" i="1"/>
  <c r="E1047" i="1"/>
  <c r="E915" i="1"/>
  <c r="D864" i="1"/>
  <c r="D913" i="1"/>
  <c r="E865" i="1"/>
  <c r="F951" i="1"/>
  <c r="F912" i="1"/>
  <c r="E953" i="1"/>
  <c r="E781" i="1"/>
  <c r="F825" i="1"/>
  <c r="F786" i="1"/>
  <c r="F785" i="1"/>
  <c r="D779" i="1"/>
  <c r="E734" i="1"/>
  <c r="D733" i="1"/>
  <c r="E822" i="1"/>
  <c r="D705" i="1"/>
  <c r="D672" i="1"/>
  <c r="D627" i="1"/>
  <c r="E628" i="1"/>
  <c r="F706" i="1"/>
  <c r="F674" i="1"/>
  <c r="F673" i="1"/>
  <c r="E673" i="1"/>
  <c r="F590" i="1"/>
  <c r="F549" i="1"/>
  <c r="D590" i="1"/>
  <c r="E498" i="1"/>
  <c r="D549" i="1"/>
  <c r="E550" i="1"/>
  <c r="A354" i="1"/>
  <c r="A355" i="1" s="1"/>
  <c r="E418" i="1"/>
  <c r="F458" i="1"/>
  <c r="F417" i="1"/>
  <c r="D458" i="1"/>
  <c r="D417" i="1"/>
  <c r="E366" i="1"/>
  <c r="D328" i="1"/>
  <c r="E251" i="1"/>
  <c r="D294" i="1"/>
  <c r="E295" i="1"/>
  <c r="F332" i="1"/>
  <c r="F300" i="1"/>
  <c r="B53" i="1"/>
  <c r="D217" i="1"/>
  <c r="D181" i="1"/>
  <c r="D134" i="1"/>
  <c r="E135" i="1"/>
  <c r="F213" i="1"/>
  <c r="F175" i="1"/>
  <c r="E182" i="1"/>
  <c r="D74" i="1"/>
  <c r="E32" i="1"/>
  <c r="D31" i="1"/>
  <c r="H239" i="4"/>
  <c r="E239" i="4"/>
  <c r="A92" i="4"/>
  <c r="A93" i="4" s="1"/>
  <c r="E132" i="4"/>
  <c r="H132" i="4"/>
  <c r="E134" i="4"/>
  <c r="H134" i="4"/>
  <c r="D35" i="4"/>
  <c r="H36" i="4"/>
  <c r="E36" i="4"/>
  <c r="G36" i="4"/>
  <c r="F136" i="4"/>
  <c r="F240" i="4"/>
  <c r="F37" i="4"/>
  <c r="F135" i="4"/>
  <c r="B51" i="4"/>
  <c r="E2099" i="1" l="1"/>
  <c r="F2096" i="1"/>
  <c r="F2055" i="1"/>
  <c r="F2054" i="1"/>
  <c r="D2057" i="1"/>
  <c r="E2011" i="1"/>
  <c r="D2010" i="1"/>
  <c r="E2059" i="1"/>
  <c r="E1864" i="1"/>
  <c r="F1896" i="1"/>
  <c r="F1865" i="1"/>
  <c r="F1864" i="1"/>
  <c r="D1895" i="1"/>
  <c r="D1863" i="1"/>
  <c r="E1823" i="1"/>
  <c r="E1757" i="1"/>
  <c r="F1793" i="1"/>
  <c r="F1762" i="1"/>
  <c r="D1789" i="1"/>
  <c r="D1756" i="1"/>
  <c r="E1717" i="1"/>
  <c r="D1716" i="1"/>
  <c r="E1334" i="1"/>
  <c r="F1363" i="1"/>
  <c r="F1332" i="1"/>
  <c r="F1331" i="1"/>
  <c r="D1364" i="1"/>
  <c r="D1333" i="1"/>
  <c r="E1292" i="1"/>
  <c r="D1291" i="1"/>
  <c r="F1262" i="1"/>
  <c r="F1234" i="1"/>
  <c r="D1235" i="1"/>
  <c r="E1196" i="1"/>
  <c r="D1195" i="1"/>
  <c r="E1123" i="1"/>
  <c r="F1161" i="1"/>
  <c r="F1125" i="1"/>
  <c r="D1159" i="1"/>
  <c r="D1122" i="1"/>
  <c r="D1076" i="1"/>
  <c r="E1077" i="1"/>
  <c r="D1045" i="1"/>
  <c r="D1018" i="1"/>
  <c r="E983" i="1"/>
  <c r="E1019" i="1"/>
  <c r="F950" i="1"/>
  <c r="F911" i="1"/>
  <c r="F910" i="1"/>
  <c r="D951" i="1"/>
  <c r="D912" i="1"/>
  <c r="E864" i="1"/>
  <c r="E913" i="1"/>
  <c r="D820" i="1"/>
  <c r="D778" i="1"/>
  <c r="E733" i="1"/>
  <c r="D732" i="1"/>
  <c r="F824" i="1"/>
  <c r="F784" i="1"/>
  <c r="E779" i="1"/>
  <c r="F705" i="1"/>
  <c r="F672" i="1"/>
  <c r="E672" i="1"/>
  <c r="E705" i="1"/>
  <c r="D670" i="1"/>
  <c r="D626" i="1"/>
  <c r="E627" i="1"/>
  <c r="E549" i="1"/>
  <c r="F589" i="1"/>
  <c r="F548" i="1"/>
  <c r="F547" i="1"/>
  <c r="D547" i="1"/>
  <c r="E497" i="1"/>
  <c r="D496" i="1"/>
  <c r="E590" i="1"/>
  <c r="A356" i="1"/>
  <c r="A357" i="1" s="1"/>
  <c r="D415" i="1"/>
  <c r="D364" i="1"/>
  <c r="E365" i="1"/>
  <c r="E417" i="1"/>
  <c r="E458" i="1"/>
  <c r="F457" i="1"/>
  <c r="F416" i="1"/>
  <c r="F415" i="1"/>
  <c r="D292" i="1"/>
  <c r="E250" i="1"/>
  <c r="D249" i="1"/>
  <c r="E328" i="1"/>
  <c r="F299" i="1"/>
  <c r="F298" i="1"/>
  <c r="F331" i="1"/>
  <c r="E294" i="1"/>
  <c r="B54" i="1"/>
  <c r="E217" i="1"/>
  <c r="F212" i="1"/>
  <c r="F174" i="1"/>
  <c r="F173" i="1"/>
  <c r="D179" i="1"/>
  <c r="E134" i="1"/>
  <c r="D133" i="1"/>
  <c r="E181" i="1"/>
  <c r="E74" i="1"/>
  <c r="D103" i="1"/>
  <c r="D73" i="1"/>
  <c r="D30" i="1"/>
  <c r="E31" i="1"/>
  <c r="F104" i="1"/>
  <c r="F74" i="1"/>
  <c r="F75" i="1"/>
  <c r="A94" i="4"/>
  <c r="D131" i="4"/>
  <c r="D237" i="4"/>
  <c r="E35" i="4"/>
  <c r="D34" i="4"/>
  <c r="D129" i="4" s="1"/>
  <c r="H35" i="4"/>
  <c r="G35" i="4"/>
  <c r="F36" i="4"/>
  <c r="F134" i="4"/>
  <c r="F239" i="4"/>
  <c r="B52" i="4"/>
  <c r="G50" i="4"/>
  <c r="D2097" i="1" l="1"/>
  <c r="D2056" i="1"/>
  <c r="D2009" i="1"/>
  <c r="E2010" i="1"/>
  <c r="F2095" i="1"/>
  <c r="F2053" i="1"/>
  <c r="E2057" i="1"/>
  <c r="E1863" i="1"/>
  <c r="F1895" i="1"/>
  <c r="F1863" i="1"/>
  <c r="E1895" i="1"/>
  <c r="D1821" i="1"/>
  <c r="D1861" i="1"/>
  <c r="E1822" i="1"/>
  <c r="D1754" i="1"/>
  <c r="E1716" i="1"/>
  <c r="D1715" i="1"/>
  <c r="E1789" i="1"/>
  <c r="F1792" i="1"/>
  <c r="F1761" i="1"/>
  <c r="F1760" i="1"/>
  <c r="E1756" i="1"/>
  <c r="F1362" i="1"/>
  <c r="F1330" i="1"/>
  <c r="E1333" i="1"/>
  <c r="E1291" i="1"/>
  <c r="D1290" i="1"/>
  <c r="D1331" i="1"/>
  <c r="E1364" i="1"/>
  <c r="E1235" i="1"/>
  <c r="D1262" i="1"/>
  <c r="D1234" i="1"/>
  <c r="D1194" i="1"/>
  <c r="E1195" i="1"/>
  <c r="F1261" i="1"/>
  <c r="F1232" i="1"/>
  <c r="F1233" i="1"/>
  <c r="F1160" i="1"/>
  <c r="F1123" i="1"/>
  <c r="F1124" i="1"/>
  <c r="D1120" i="1"/>
  <c r="D1075" i="1"/>
  <c r="E1076" i="1"/>
  <c r="E1159" i="1"/>
  <c r="E1122" i="1"/>
  <c r="E1018" i="1"/>
  <c r="D1016" i="1"/>
  <c r="E982" i="1"/>
  <c r="D981" i="1"/>
  <c r="E1045" i="1"/>
  <c r="E951" i="1"/>
  <c r="F949" i="1"/>
  <c r="F909" i="1"/>
  <c r="E912" i="1"/>
  <c r="D910" i="1"/>
  <c r="E863" i="1"/>
  <c r="D862" i="1"/>
  <c r="E778" i="1"/>
  <c r="F823" i="1"/>
  <c r="F782" i="1"/>
  <c r="F783" i="1"/>
  <c r="D776" i="1"/>
  <c r="E732" i="1"/>
  <c r="D731" i="1"/>
  <c r="E820" i="1"/>
  <c r="E670" i="1"/>
  <c r="F704" i="1"/>
  <c r="F671" i="1"/>
  <c r="F670" i="1"/>
  <c r="D703" i="1"/>
  <c r="D669" i="1"/>
  <c r="E626" i="1"/>
  <c r="F588" i="1"/>
  <c r="F546" i="1"/>
  <c r="E547" i="1"/>
  <c r="D546" i="1"/>
  <c r="D495" i="1"/>
  <c r="D588" i="1"/>
  <c r="E496" i="1"/>
  <c r="A358" i="1"/>
  <c r="A359" i="1" s="1"/>
  <c r="D456" i="1"/>
  <c r="D414" i="1"/>
  <c r="E364" i="1"/>
  <c r="F456" i="1"/>
  <c r="F414" i="1"/>
  <c r="E415" i="1"/>
  <c r="D326" i="1"/>
  <c r="D291" i="1"/>
  <c r="E249" i="1"/>
  <c r="D248" i="1"/>
  <c r="F330" i="1"/>
  <c r="F297" i="1"/>
  <c r="E292" i="1"/>
  <c r="B55" i="1"/>
  <c r="E179" i="1"/>
  <c r="D215" i="1"/>
  <c r="D178" i="1"/>
  <c r="E133" i="1"/>
  <c r="D132" i="1"/>
  <c r="F211" i="1"/>
  <c r="F172" i="1"/>
  <c r="D71" i="1"/>
  <c r="D29" i="1"/>
  <c r="E30" i="1"/>
  <c r="E73" i="1"/>
  <c r="F103" i="1"/>
  <c r="F73" i="1"/>
  <c r="E103" i="1"/>
  <c r="H237" i="4"/>
  <c r="E237" i="4"/>
  <c r="H131" i="4"/>
  <c r="E131" i="4"/>
  <c r="H129" i="4"/>
  <c r="E129" i="4"/>
  <c r="A95" i="4"/>
  <c r="A96" i="4" s="1"/>
  <c r="H34" i="4"/>
  <c r="E34" i="4"/>
  <c r="D33" i="4"/>
  <c r="G34" i="4"/>
  <c r="F132" i="4"/>
  <c r="F238" i="4"/>
  <c r="F133" i="4"/>
  <c r="F35" i="4"/>
  <c r="B53" i="4"/>
  <c r="G52" i="4" s="1"/>
  <c r="G51" i="4"/>
  <c r="E2056" i="1" l="1"/>
  <c r="E2097" i="1"/>
  <c r="F2052" i="1"/>
  <c r="F2051" i="1"/>
  <c r="F2094" i="1"/>
  <c r="D2054" i="1"/>
  <c r="D2008" i="1"/>
  <c r="E2009" i="1"/>
  <c r="F1983" i="1"/>
  <c r="F1960" i="1"/>
  <c r="F1959" i="1"/>
  <c r="D1959" i="1"/>
  <c r="E1926" i="1"/>
  <c r="D1925" i="1"/>
  <c r="E1861" i="1"/>
  <c r="D1893" i="1"/>
  <c r="D1860" i="1"/>
  <c r="E1821" i="1"/>
  <c r="D1820" i="1"/>
  <c r="F1894" i="1"/>
  <c r="F1862" i="1"/>
  <c r="F1861" i="1"/>
  <c r="D1787" i="1"/>
  <c r="D1753" i="1"/>
  <c r="E1715" i="1"/>
  <c r="F1791" i="1"/>
  <c r="F1759" i="1"/>
  <c r="E1754" i="1"/>
  <c r="D1426" i="1"/>
  <c r="D1392" i="1"/>
  <c r="E1393" i="1"/>
  <c r="D1362" i="1"/>
  <c r="E1290" i="1"/>
  <c r="D1330" i="1"/>
  <c r="D1289" i="1"/>
  <c r="F1361" i="1"/>
  <c r="F1329" i="1"/>
  <c r="F1328" i="1"/>
  <c r="E1331" i="1"/>
  <c r="E1234" i="1"/>
  <c r="E1262" i="1"/>
  <c r="F1260" i="1"/>
  <c r="F1231" i="1"/>
  <c r="D1232" i="1"/>
  <c r="D1193" i="1"/>
  <c r="E1194" i="1"/>
  <c r="D1157" i="1"/>
  <c r="D1119" i="1"/>
  <c r="D1074" i="1"/>
  <c r="E1075" i="1"/>
  <c r="E1120" i="1"/>
  <c r="F1159" i="1"/>
  <c r="F1122" i="1"/>
  <c r="D1043" i="1"/>
  <c r="D1015" i="1"/>
  <c r="E981" i="1"/>
  <c r="D980" i="1"/>
  <c r="F1048" i="1"/>
  <c r="F1023" i="1"/>
  <c r="F1022" i="1"/>
  <c r="E1016" i="1"/>
  <c r="D909" i="1"/>
  <c r="D949" i="1"/>
  <c r="E862" i="1"/>
  <c r="D861" i="1"/>
  <c r="F908" i="1"/>
  <c r="F948" i="1"/>
  <c r="F907" i="1"/>
  <c r="E910" i="1"/>
  <c r="F822" i="1"/>
  <c r="F781" i="1"/>
  <c r="E776" i="1"/>
  <c r="D775" i="1"/>
  <c r="E731" i="1"/>
  <c r="D818" i="1"/>
  <c r="E669" i="1"/>
  <c r="F703" i="1"/>
  <c r="F669" i="1"/>
  <c r="D667" i="1"/>
  <c r="E625" i="1"/>
  <c r="D624" i="1"/>
  <c r="E703" i="1"/>
  <c r="D544" i="1"/>
  <c r="D494" i="1"/>
  <c r="E495" i="1"/>
  <c r="F587" i="1"/>
  <c r="F545" i="1"/>
  <c r="F544" i="1"/>
  <c r="E546" i="1"/>
  <c r="E588" i="1"/>
  <c r="A360" i="1"/>
  <c r="A361" i="1" s="1"/>
  <c r="F455" i="1"/>
  <c r="F413" i="1"/>
  <c r="F412" i="1"/>
  <c r="D412" i="1"/>
  <c r="E363" i="1"/>
  <c r="D362" i="1"/>
  <c r="E414" i="1"/>
  <c r="E456" i="1"/>
  <c r="F329" i="1"/>
  <c r="F296" i="1"/>
  <c r="F295" i="1"/>
  <c r="E291" i="1"/>
  <c r="D289" i="1"/>
  <c r="E248" i="1"/>
  <c r="D247" i="1"/>
  <c r="E326" i="1"/>
  <c r="B56" i="1"/>
  <c r="E178" i="1"/>
  <c r="F210" i="1"/>
  <c r="F171" i="1"/>
  <c r="F170" i="1"/>
  <c r="D176" i="1"/>
  <c r="E132" i="1"/>
  <c r="D131" i="1"/>
  <c r="E215" i="1"/>
  <c r="D101" i="1"/>
  <c r="D70" i="1"/>
  <c r="D28" i="1"/>
  <c r="E29" i="1"/>
  <c r="F102" i="1"/>
  <c r="F72" i="1"/>
  <c r="F71" i="1"/>
  <c r="E71" i="1"/>
  <c r="D128" i="4"/>
  <c r="D235" i="4"/>
  <c r="A97" i="4"/>
  <c r="E33" i="4"/>
  <c r="H33" i="4"/>
  <c r="D32" i="4"/>
  <c r="D126" i="4" s="1"/>
  <c r="G33" i="4"/>
  <c r="F131" i="4"/>
  <c r="F237" i="4"/>
  <c r="F34" i="4"/>
  <c r="B54" i="4"/>
  <c r="G53" i="4" s="1"/>
  <c r="E2054" i="1" l="1"/>
  <c r="D2095" i="1"/>
  <c r="D2053" i="1"/>
  <c r="E2008" i="1"/>
  <c r="D2007" i="1"/>
  <c r="F2093" i="1"/>
  <c r="F2050" i="1"/>
  <c r="F1982" i="1"/>
  <c r="F1958" i="1"/>
  <c r="E1959" i="1"/>
  <c r="D1982" i="1"/>
  <c r="D1958" i="1"/>
  <c r="E1925" i="1"/>
  <c r="F1893" i="1"/>
  <c r="F1860" i="1"/>
  <c r="E1860" i="1"/>
  <c r="D1858" i="1"/>
  <c r="E1820" i="1"/>
  <c r="D1819" i="1"/>
  <c r="E1893" i="1"/>
  <c r="F1790" i="1"/>
  <c r="F1758" i="1"/>
  <c r="F1757" i="1"/>
  <c r="E1753" i="1"/>
  <c r="D1713" i="1"/>
  <c r="D1751" i="1"/>
  <c r="E1714" i="1"/>
  <c r="E1787" i="1"/>
  <c r="D1634" i="1"/>
  <c r="E1635" i="1"/>
  <c r="D1668" i="1"/>
  <c r="F1692" i="1"/>
  <c r="F1668" i="1"/>
  <c r="F1669" i="1"/>
  <c r="F1609" i="1"/>
  <c r="F1586" i="1"/>
  <c r="F1585" i="1"/>
  <c r="D1585" i="1"/>
  <c r="D1551" i="1"/>
  <c r="E1552" i="1"/>
  <c r="E1426" i="1"/>
  <c r="F1450" i="1"/>
  <c r="F1427" i="1"/>
  <c r="F1426" i="1"/>
  <c r="D1449" i="1"/>
  <c r="D1391" i="1"/>
  <c r="D1425" i="1"/>
  <c r="E1392" i="1"/>
  <c r="F1360" i="1"/>
  <c r="F1327" i="1"/>
  <c r="D1328" i="1"/>
  <c r="E1289" i="1"/>
  <c r="D1288" i="1"/>
  <c r="E1330" i="1"/>
  <c r="E1362" i="1"/>
  <c r="D1260" i="1"/>
  <c r="D1231" i="1"/>
  <c r="E1193" i="1"/>
  <c r="E1232" i="1"/>
  <c r="F1259" i="1"/>
  <c r="F1230" i="1"/>
  <c r="F1229" i="1"/>
  <c r="D1117" i="1"/>
  <c r="E1074" i="1"/>
  <c r="D1073" i="1"/>
  <c r="E1119" i="1"/>
  <c r="F1158" i="1"/>
  <c r="F1121" i="1"/>
  <c r="F1120" i="1"/>
  <c r="E1157" i="1"/>
  <c r="F1047" i="1"/>
  <c r="F1021" i="1"/>
  <c r="E1015" i="1"/>
  <c r="D1013" i="1"/>
  <c r="E980" i="1"/>
  <c r="D979" i="1"/>
  <c r="E1043" i="1"/>
  <c r="F947" i="1"/>
  <c r="F906" i="1"/>
  <c r="E949" i="1"/>
  <c r="D907" i="1"/>
  <c r="E861" i="1"/>
  <c r="D860" i="1"/>
  <c r="E909" i="1"/>
  <c r="E818" i="1"/>
  <c r="F821" i="1"/>
  <c r="F780" i="1"/>
  <c r="F779" i="1"/>
  <c r="E775" i="1"/>
  <c r="D773" i="1"/>
  <c r="D729" i="1"/>
  <c r="E730" i="1"/>
  <c r="F702" i="1"/>
  <c r="F668" i="1"/>
  <c r="F667" i="1"/>
  <c r="E667" i="1"/>
  <c r="D701" i="1"/>
  <c r="D666" i="1"/>
  <c r="E624" i="1"/>
  <c r="D623" i="1"/>
  <c r="D586" i="1"/>
  <c r="D543" i="1"/>
  <c r="D493" i="1"/>
  <c r="E494" i="1"/>
  <c r="F586" i="1"/>
  <c r="F543" i="1"/>
  <c r="E544" i="1"/>
  <c r="A362" i="1"/>
  <c r="A363" i="1" s="1"/>
  <c r="D454" i="1"/>
  <c r="D411" i="1"/>
  <c r="E362" i="1"/>
  <c r="D361" i="1"/>
  <c r="F454" i="1"/>
  <c r="F411" i="1"/>
  <c r="E412" i="1"/>
  <c r="D324" i="1"/>
  <c r="D288" i="1"/>
  <c r="E247" i="1"/>
  <c r="F328" i="1"/>
  <c r="F294" i="1"/>
  <c r="E289" i="1"/>
  <c r="B57" i="1"/>
  <c r="D213" i="1"/>
  <c r="D175" i="1"/>
  <c r="E131" i="1"/>
  <c r="F209" i="1"/>
  <c r="F169" i="1"/>
  <c r="E176" i="1"/>
  <c r="E70" i="1"/>
  <c r="F101" i="1"/>
  <c r="F70" i="1"/>
  <c r="D68" i="1"/>
  <c r="E28" i="1"/>
  <c r="D27" i="1"/>
  <c r="E101" i="1"/>
  <c r="H128" i="4"/>
  <c r="E128" i="4"/>
  <c r="H126" i="4"/>
  <c r="E126" i="4"/>
  <c r="A98" i="4"/>
  <c r="A99" i="4" s="1"/>
  <c r="H235" i="4"/>
  <c r="E235" i="4"/>
  <c r="D31" i="4"/>
  <c r="H32" i="4"/>
  <c r="E32" i="4"/>
  <c r="G32" i="4"/>
  <c r="F129" i="4"/>
  <c r="F33" i="4"/>
  <c r="F130" i="4"/>
  <c r="F236" i="4"/>
  <c r="B55" i="4"/>
  <c r="F2048" i="1" l="1"/>
  <c r="F2092" i="1"/>
  <c r="F2049" i="1"/>
  <c r="E2007" i="1"/>
  <c r="D2051" i="1"/>
  <c r="D2006" i="1"/>
  <c r="E2095" i="1"/>
  <c r="E2053" i="1"/>
  <c r="E1958" i="1"/>
  <c r="D1956" i="1"/>
  <c r="D1923" i="1"/>
  <c r="E1924" i="1"/>
  <c r="F1981" i="1"/>
  <c r="F1957" i="1"/>
  <c r="F1956" i="1"/>
  <c r="E1982" i="1"/>
  <c r="D1891" i="1"/>
  <c r="D1818" i="1"/>
  <c r="E1819" i="1"/>
  <c r="D1857" i="1"/>
  <c r="F1892" i="1"/>
  <c r="F1859" i="1"/>
  <c r="F1858" i="1"/>
  <c r="E1858" i="1"/>
  <c r="E1751" i="1"/>
  <c r="D1785" i="1"/>
  <c r="D1712" i="1"/>
  <c r="D1750" i="1"/>
  <c r="E1713" i="1"/>
  <c r="F1789" i="1"/>
  <c r="F1756" i="1"/>
  <c r="F1691" i="1"/>
  <c r="F1667" i="1"/>
  <c r="D1691" i="1"/>
  <c r="D1667" i="1"/>
  <c r="D1633" i="1"/>
  <c r="E1634" i="1"/>
  <c r="E1668" i="1"/>
  <c r="D1608" i="1"/>
  <c r="D1584" i="1"/>
  <c r="E1551" i="1"/>
  <c r="E1585" i="1"/>
  <c r="F1608" i="1"/>
  <c r="F1584" i="1"/>
  <c r="E1425" i="1"/>
  <c r="D1390" i="1"/>
  <c r="D1423" i="1"/>
  <c r="E1391" i="1"/>
  <c r="F1449" i="1"/>
  <c r="F1425" i="1"/>
  <c r="E1449" i="1"/>
  <c r="E1328" i="1"/>
  <c r="D1360" i="1"/>
  <c r="D1327" i="1"/>
  <c r="E1288" i="1"/>
  <c r="D1287" i="1"/>
  <c r="F1359" i="1"/>
  <c r="F1326" i="1"/>
  <c r="F1325" i="1"/>
  <c r="E1231" i="1"/>
  <c r="F1258" i="1"/>
  <c r="F1228" i="1"/>
  <c r="D1229" i="1"/>
  <c r="D1191" i="1"/>
  <c r="E1192" i="1"/>
  <c r="E1260" i="1"/>
  <c r="F1157" i="1"/>
  <c r="F1119" i="1"/>
  <c r="E1117" i="1"/>
  <c r="D1155" i="1"/>
  <c r="D1116" i="1"/>
  <c r="E1073" i="1"/>
  <c r="D1072" i="1"/>
  <c r="E1013" i="1"/>
  <c r="F1046" i="1"/>
  <c r="F1019" i="1"/>
  <c r="F1020" i="1"/>
  <c r="D1041" i="1"/>
  <c r="D1012" i="1"/>
  <c r="E979" i="1"/>
  <c r="E860" i="1"/>
  <c r="D906" i="1"/>
  <c r="D947" i="1"/>
  <c r="F905" i="1"/>
  <c r="F904" i="1"/>
  <c r="F946" i="1"/>
  <c r="E907" i="1"/>
  <c r="D816" i="1"/>
  <c r="D728" i="1"/>
  <c r="D772" i="1"/>
  <c r="E729" i="1"/>
  <c r="F820" i="1"/>
  <c r="F778" i="1"/>
  <c r="E773" i="1"/>
  <c r="F701" i="1"/>
  <c r="F666" i="1"/>
  <c r="D664" i="1"/>
  <c r="E623" i="1"/>
  <c r="D622" i="1"/>
  <c r="E666" i="1"/>
  <c r="E701" i="1"/>
  <c r="F542" i="1"/>
  <c r="F541" i="1"/>
  <c r="F585" i="1"/>
  <c r="D492" i="1"/>
  <c r="E493" i="1"/>
  <c r="D541" i="1"/>
  <c r="E543" i="1"/>
  <c r="E586" i="1"/>
  <c r="A364" i="1"/>
  <c r="A365" i="1" s="1"/>
  <c r="A366" i="1" s="1"/>
  <c r="A367" i="1" s="1"/>
  <c r="A368" i="1" s="1"/>
  <c r="A369" i="1" s="1"/>
  <c r="A370" i="1" s="1"/>
  <c r="A371" i="1" s="1"/>
  <c r="A372" i="1" s="1"/>
  <c r="A373" i="1" s="1"/>
  <c r="A374" i="1" s="1"/>
  <c r="E411" i="1"/>
  <c r="F453" i="1"/>
  <c r="F410" i="1"/>
  <c r="F409" i="1"/>
  <c r="D409" i="1"/>
  <c r="E361" i="1"/>
  <c r="D360" i="1"/>
  <c r="E454" i="1"/>
  <c r="F327" i="1"/>
  <c r="F293" i="1"/>
  <c r="F292" i="1"/>
  <c r="E324" i="1"/>
  <c r="E288" i="1"/>
  <c r="D286" i="1"/>
  <c r="D245" i="1"/>
  <c r="E246" i="1"/>
  <c r="B58" i="1"/>
  <c r="D173" i="1"/>
  <c r="E130" i="1"/>
  <c r="D129" i="1"/>
  <c r="F208" i="1"/>
  <c r="F167" i="1"/>
  <c r="F168" i="1"/>
  <c r="E175" i="1"/>
  <c r="E213" i="1"/>
  <c r="E68" i="1"/>
  <c r="D99" i="1"/>
  <c r="D67" i="1"/>
  <c r="E27" i="1"/>
  <c r="D26" i="1"/>
  <c r="F100" i="1"/>
  <c r="F69" i="1"/>
  <c r="F68" i="1"/>
  <c r="D233" i="4"/>
  <c r="D125" i="4"/>
  <c r="A100" i="4"/>
  <c r="E31" i="4"/>
  <c r="D30" i="4"/>
  <c r="D123" i="4" s="1"/>
  <c r="H31" i="4"/>
  <c r="G31" i="4"/>
  <c r="F32" i="4"/>
  <c r="F235" i="4"/>
  <c r="F128" i="4"/>
  <c r="B56" i="4"/>
  <c r="G55" i="4" s="1"/>
  <c r="G54" i="4"/>
  <c r="E2051" i="1" l="1"/>
  <c r="F2091" i="1"/>
  <c r="F2047" i="1"/>
  <c r="D2093" i="1"/>
  <c r="E2006" i="1"/>
  <c r="D2050" i="1"/>
  <c r="F1980" i="1"/>
  <c r="F1955" i="1"/>
  <c r="E1956" i="1"/>
  <c r="D1980" i="1"/>
  <c r="D1955" i="1"/>
  <c r="E1923" i="1"/>
  <c r="D1855" i="1"/>
  <c r="D1817" i="1"/>
  <c r="E1818" i="1"/>
  <c r="E1857" i="1"/>
  <c r="E1891" i="1"/>
  <c r="F1891" i="1"/>
  <c r="F1857" i="1"/>
  <c r="F1788" i="1"/>
  <c r="F1755" i="1"/>
  <c r="F1754" i="1"/>
  <c r="E1750" i="1"/>
  <c r="D1748" i="1"/>
  <c r="E1712" i="1"/>
  <c r="D1711" i="1"/>
  <c r="E1785" i="1"/>
  <c r="E1667" i="1"/>
  <c r="E1691" i="1"/>
  <c r="F1690" i="1"/>
  <c r="F1665" i="1"/>
  <c r="F1666" i="1"/>
  <c r="D1665" i="1"/>
  <c r="E1633" i="1"/>
  <c r="D1632" i="1"/>
  <c r="E1584" i="1"/>
  <c r="F1607" i="1"/>
  <c r="F1583" i="1"/>
  <c r="F1582" i="1"/>
  <c r="D1582" i="1"/>
  <c r="E1550" i="1"/>
  <c r="D1549" i="1"/>
  <c r="E1608" i="1"/>
  <c r="F1526" i="1"/>
  <c r="F1505" i="1"/>
  <c r="F1504" i="1"/>
  <c r="D1447" i="1"/>
  <c r="D1422" i="1"/>
  <c r="D1389" i="1"/>
  <c r="E1390" i="1"/>
  <c r="F1448" i="1"/>
  <c r="F1423" i="1"/>
  <c r="F1424" i="1"/>
  <c r="E1423" i="1"/>
  <c r="F1358" i="1"/>
  <c r="F1324" i="1"/>
  <c r="E1327" i="1"/>
  <c r="E1360" i="1"/>
  <c r="D1325" i="1"/>
  <c r="E1287" i="1"/>
  <c r="D1286" i="1"/>
  <c r="D1258" i="1"/>
  <c r="D1228" i="1"/>
  <c r="D1190" i="1"/>
  <c r="E1191" i="1"/>
  <c r="E1229" i="1"/>
  <c r="F1257" i="1"/>
  <c r="F1227" i="1"/>
  <c r="F1226" i="1"/>
  <c r="D1114" i="1"/>
  <c r="E1072" i="1"/>
  <c r="D1071" i="1"/>
  <c r="E1155" i="1"/>
  <c r="F1156" i="1"/>
  <c r="F1118" i="1"/>
  <c r="F1117" i="1"/>
  <c r="E1116" i="1"/>
  <c r="E1012" i="1"/>
  <c r="E1041" i="1"/>
  <c r="F1045" i="1"/>
  <c r="F1018" i="1"/>
  <c r="D1010" i="1"/>
  <c r="D977" i="1"/>
  <c r="E978" i="1"/>
  <c r="D904" i="1"/>
  <c r="E859" i="1"/>
  <c r="D858" i="1"/>
  <c r="F945" i="1"/>
  <c r="F903" i="1"/>
  <c r="E906" i="1"/>
  <c r="E947" i="1"/>
  <c r="F819" i="1"/>
  <c r="F777" i="1"/>
  <c r="F776" i="1"/>
  <c r="E772" i="1"/>
  <c r="D727" i="1"/>
  <c r="E728" i="1"/>
  <c r="D770" i="1"/>
  <c r="E816" i="1"/>
  <c r="E664" i="1"/>
  <c r="D699" i="1"/>
  <c r="D663" i="1"/>
  <c r="D621" i="1"/>
  <c r="E622" i="1"/>
  <c r="F700" i="1"/>
  <c r="F665" i="1"/>
  <c r="F664" i="1"/>
  <c r="A375" i="1"/>
  <c r="A376" i="1" s="1"/>
  <c r="F374" i="1"/>
  <c r="E541" i="1"/>
  <c r="D584" i="1"/>
  <c r="D540" i="1"/>
  <c r="D491" i="1"/>
  <c r="E492" i="1"/>
  <c r="F584" i="1"/>
  <c r="F540" i="1"/>
  <c r="E409" i="1"/>
  <c r="D452" i="1"/>
  <c r="D408" i="1"/>
  <c r="E360" i="1"/>
  <c r="D359" i="1"/>
  <c r="F452" i="1"/>
  <c r="F408" i="1"/>
  <c r="D322" i="1"/>
  <c r="D285" i="1"/>
  <c r="D244" i="1"/>
  <c r="E245" i="1"/>
  <c r="E286" i="1"/>
  <c r="F326" i="1"/>
  <c r="F291" i="1"/>
  <c r="B59" i="1"/>
  <c r="D211" i="1"/>
  <c r="D172" i="1"/>
  <c r="E129" i="1"/>
  <c r="F207" i="1"/>
  <c r="F166" i="1"/>
  <c r="E173" i="1"/>
  <c r="E67" i="1"/>
  <c r="D65" i="1"/>
  <c r="E26" i="1"/>
  <c r="D25" i="1"/>
  <c r="F99" i="1"/>
  <c r="F67" i="1"/>
  <c r="E99" i="1"/>
  <c r="A101" i="4"/>
  <c r="A102" i="4" s="1"/>
  <c r="H123" i="4"/>
  <c r="E123" i="4"/>
  <c r="H125" i="4"/>
  <c r="E125" i="4"/>
  <c r="H233" i="4"/>
  <c r="E233" i="4"/>
  <c r="H30" i="4"/>
  <c r="D29" i="4"/>
  <c r="E30" i="4"/>
  <c r="G30" i="4"/>
  <c r="F234" i="4"/>
  <c r="F31" i="4"/>
  <c r="F127" i="4"/>
  <c r="F126" i="4"/>
  <c r="B57" i="4"/>
  <c r="D2048" i="1" l="1"/>
  <c r="D2004" i="1"/>
  <c r="E2005" i="1"/>
  <c r="F2090" i="1"/>
  <c r="F2045" i="1"/>
  <c r="F2046" i="1"/>
  <c r="E2050" i="1"/>
  <c r="E2093" i="1"/>
  <c r="D1953" i="1"/>
  <c r="E1922" i="1"/>
  <c r="D1921" i="1"/>
  <c r="F1979" i="1"/>
  <c r="F1954" i="1"/>
  <c r="F1953" i="1"/>
  <c r="E1980" i="1"/>
  <c r="E1955" i="1"/>
  <c r="F1890" i="1"/>
  <c r="F1856" i="1"/>
  <c r="F1855" i="1"/>
  <c r="D1889" i="1"/>
  <c r="D1854" i="1"/>
  <c r="D1816" i="1"/>
  <c r="E1817" i="1"/>
  <c r="E1855" i="1"/>
  <c r="D1783" i="1"/>
  <c r="D1747" i="1"/>
  <c r="E1711" i="1"/>
  <c r="F1787" i="1"/>
  <c r="F1753" i="1"/>
  <c r="E1748" i="1"/>
  <c r="D1689" i="1"/>
  <c r="D1664" i="1"/>
  <c r="E1632" i="1"/>
  <c r="D1631" i="1"/>
  <c r="F1689" i="1"/>
  <c r="F1664" i="1"/>
  <c r="E1665" i="1"/>
  <c r="F1606" i="1"/>
  <c r="F1581" i="1"/>
  <c r="E1582" i="1"/>
  <c r="D1606" i="1"/>
  <c r="D1581" i="1"/>
  <c r="E1549" i="1"/>
  <c r="F1525" i="1"/>
  <c r="F1503" i="1"/>
  <c r="D1473" i="1"/>
  <c r="D1504" i="1"/>
  <c r="E1474" i="1"/>
  <c r="F1447" i="1"/>
  <c r="F1422" i="1"/>
  <c r="D1420" i="1"/>
  <c r="E1389" i="1"/>
  <c r="D1388" i="1"/>
  <c r="E1422" i="1"/>
  <c r="E1447" i="1"/>
  <c r="D1358" i="1"/>
  <c r="D1324" i="1"/>
  <c r="D1285" i="1"/>
  <c r="E1286" i="1"/>
  <c r="F1323" i="1"/>
  <c r="F1322" i="1"/>
  <c r="F1357" i="1"/>
  <c r="E1325" i="1"/>
  <c r="F1256" i="1"/>
  <c r="F1225" i="1"/>
  <c r="E1228" i="1"/>
  <c r="E1258" i="1"/>
  <c r="D1226" i="1"/>
  <c r="E1190" i="1"/>
  <c r="D1189" i="1"/>
  <c r="F1155" i="1"/>
  <c r="F1116" i="1"/>
  <c r="D1153" i="1"/>
  <c r="D1113" i="1"/>
  <c r="E1071" i="1"/>
  <c r="D1070" i="1"/>
  <c r="E1114" i="1"/>
  <c r="E1010" i="1"/>
  <c r="D1039" i="1"/>
  <c r="D1009" i="1"/>
  <c r="D976" i="1"/>
  <c r="E977" i="1"/>
  <c r="F1044" i="1"/>
  <c r="F1017" i="1"/>
  <c r="F1016" i="1"/>
  <c r="F901" i="1"/>
  <c r="F944" i="1"/>
  <c r="F902" i="1"/>
  <c r="D857" i="1"/>
  <c r="D903" i="1"/>
  <c r="E858" i="1"/>
  <c r="D945" i="1"/>
  <c r="E904" i="1"/>
  <c r="D814" i="1"/>
  <c r="E727" i="1"/>
  <c r="D769" i="1"/>
  <c r="E770" i="1"/>
  <c r="F818" i="1"/>
  <c r="F775" i="1"/>
  <c r="D661" i="1"/>
  <c r="E621" i="1"/>
  <c r="D620" i="1"/>
  <c r="E663" i="1"/>
  <c r="F699" i="1"/>
  <c r="F663" i="1"/>
  <c r="E699" i="1"/>
  <c r="A377" i="1"/>
  <c r="D538" i="1"/>
  <c r="E491" i="1"/>
  <c r="D490" i="1"/>
  <c r="E540" i="1"/>
  <c r="F538" i="1"/>
  <c r="F539" i="1"/>
  <c r="F583" i="1"/>
  <c r="E584" i="1"/>
  <c r="E408" i="1"/>
  <c r="F451" i="1"/>
  <c r="F406" i="1"/>
  <c r="F407" i="1"/>
  <c r="D406" i="1"/>
  <c r="E359" i="1"/>
  <c r="D358" i="1"/>
  <c r="E452" i="1"/>
  <c r="D283" i="1"/>
  <c r="E244" i="1"/>
  <c r="D243" i="1"/>
  <c r="F325" i="1"/>
  <c r="F289" i="1"/>
  <c r="F290" i="1"/>
  <c r="E285" i="1"/>
  <c r="E322" i="1"/>
  <c r="B60" i="1"/>
  <c r="F206" i="1"/>
  <c r="F165" i="1"/>
  <c r="F164" i="1"/>
  <c r="E172" i="1"/>
  <c r="D127" i="1"/>
  <c r="D170" i="1"/>
  <c r="E128" i="1"/>
  <c r="E211" i="1"/>
  <c r="D97" i="1"/>
  <c r="D64" i="1"/>
  <c r="E25" i="1"/>
  <c r="F98" i="1"/>
  <c r="F66" i="1"/>
  <c r="F65" i="1"/>
  <c r="E65" i="1"/>
  <c r="D122" i="4"/>
  <c r="D231" i="4"/>
  <c r="A103" i="4"/>
  <c r="E29" i="4"/>
  <c r="D28" i="4"/>
  <c r="D120" i="4" s="1"/>
  <c r="H29" i="4"/>
  <c r="G29" i="4"/>
  <c r="F233" i="4"/>
  <c r="F30" i="4"/>
  <c r="F125" i="4"/>
  <c r="B58" i="4"/>
  <c r="G57" i="4" s="1"/>
  <c r="G56" i="4"/>
  <c r="E2048" i="1" l="1"/>
  <c r="F2044" i="1"/>
  <c r="F2089" i="1"/>
  <c r="D2091" i="1"/>
  <c r="D2047" i="1"/>
  <c r="E2004" i="1"/>
  <c r="D2003" i="1"/>
  <c r="D1978" i="1"/>
  <c r="D1952" i="1"/>
  <c r="E1921" i="1"/>
  <c r="D1920" i="1"/>
  <c r="F1978" i="1"/>
  <c r="F1952" i="1"/>
  <c r="E1953" i="1"/>
  <c r="F1889" i="1"/>
  <c r="F1854" i="1"/>
  <c r="E1889" i="1"/>
  <c r="E1854" i="1"/>
  <c r="D1852" i="1"/>
  <c r="E1816" i="1"/>
  <c r="D1815" i="1"/>
  <c r="E1747" i="1"/>
  <c r="F1786" i="1"/>
  <c r="F1752" i="1"/>
  <c r="F1751" i="1"/>
  <c r="D1745" i="1"/>
  <c r="E1710" i="1"/>
  <c r="D1709" i="1"/>
  <c r="E1783" i="1"/>
  <c r="E1664" i="1"/>
  <c r="D1662" i="1"/>
  <c r="E1631" i="1"/>
  <c r="D1630" i="1"/>
  <c r="E1689" i="1"/>
  <c r="F1688" i="1"/>
  <c r="F1662" i="1"/>
  <c r="F1663" i="1"/>
  <c r="E1581" i="1"/>
  <c r="F1605" i="1"/>
  <c r="F1580" i="1"/>
  <c r="F1579" i="1"/>
  <c r="E1606" i="1"/>
  <c r="D1579" i="1"/>
  <c r="D1547" i="1"/>
  <c r="E1548" i="1"/>
  <c r="E1504" i="1"/>
  <c r="D1503" i="1"/>
  <c r="D1525" i="1"/>
  <c r="E1473" i="1"/>
  <c r="D1472" i="1"/>
  <c r="F1524" i="1"/>
  <c r="F1502" i="1"/>
  <c r="F1501" i="1"/>
  <c r="F1446" i="1"/>
  <c r="F1420" i="1"/>
  <c r="F1421" i="1"/>
  <c r="E1420" i="1"/>
  <c r="D1445" i="1"/>
  <c r="D1419" i="1"/>
  <c r="E1388" i="1"/>
  <c r="D1387" i="1"/>
  <c r="E1324" i="1"/>
  <c r="F1321" i="1"/>
  <c r="F1356" i="1"/>
  <c r="E1358" i="1"/>
  <c r="D1284" i="1"/>
  <c r="D1322" i="1"/>
  <c r="E1285" i="1"/>
  <c r="E1226" i="1"/>
  <c r="F1255" i="1"/>
  <c r="F1224" i="1"/>
  <c r="F1223" i="1"/>
  <c r="D1256" i="1"/>
  <c r="D1225" i="1"/>
  <c r="E1189" i="1"/>
  <c r="E1113" i="1"/>
  <c r="E1153" i="1"/>
  <c r="F1154" i="1"/>
  <c r="F1115" i="1"/>
  <c r="F1114" i="1"/>
  <c r="D1111" i="1"/>
  <c r="E1070" i="1"/>
  <c r="D1069" i="1"/>
  <c r="F1043" i="1"/>
  <c r="F1015" i="1"/>
  <c r="E1039" i="1"/>
  <c r="D1007" i="1"/>
  <c r="E976" i="1"/>
  <c r="D975" i="1"/>
  <c r="E1009" i="1"/>
  <c r="F943" i="1"/>
  <c r="F900" i="1"/>
  <c r="E903" i="1"/>
  <c r="E945" i="1"/>
  <c r="D856" i="1"/>
  <c r="D901" i="1"/>
  <c r="E857" i="1"/>
  <c r="D767" i="1"/>
  <c r="E726" i="1"/>
  <c r="D725" i="1"/>
  <c r="F817" i="1"/>
  <c r="F774" i="1"/>
  <c r="F773" i="1"/>
  <c r="E769" i="1"/>
  <c r="E814" i="1"/>
  <c r="E661" i="1"/>
  <c r="F698" i="1"/>
  <c r="F661" i="1"/>
  <c r="F662" i="1"/>
  <c r="D697" i="1"/>
  <c r="D660" i="1"/>
  <c r="D619" i="1"/>
  <c r="E620" i="1"/>
  <c r="A378" i="1"/>
  <c r="A379" i="1" s="1"/>
  <c r="F582" i="1"/>
  <c r="F537" i="1"/>
  <c r="D537" i="1"/>
  <c r="D582" i="1"/>
  <c r="E490" i="1"/>
  <c r="E538" i="1"/>
  <c r="E406" i="1"/>
  <c r="D450" i="1"/>
  <c r="D405" i="1"/>
  <c r="E358" i="1"/>
  <c r="F450" i="1"/>
  <c r="F405" i="1"/>
  <c r="F324" i="1"/>
  <c r="F288" i="1"/>
  <c r="D320" i="1"/>
  <c r="D282" i="1"/>
  <c r="E243" i="1"/>
  <c r="E283" i="1"/>
  <c r="B61" i="1"/>
  <c r="D209" i="1"/>
  <c r="D126" i="1"/>
  <c r="E127" i="1"/>
  <c r="D169" i="1"/>
  <c r="F163" i="1"/>
  <c r="F205" i="1"/>
  <c r="E170" i="1"/>
  <c r="E64" i="1"/>
  <c r="F97" i="1"/>
  <c r="F64" i="1"/>
  <c r="D62" i="1"/>
  <c r="E24" i="1"/>
  <c r="D23" i="1"/>
  <c r="E97" i="1"/>
  <c r="A104" i="4"/>
  <c r="A105" i="4" s="1"/>
  <c r="H120" i="4"/>
  <c r="E120" i="4"/>
  <c r="H231" i="4"/>
  <c r="E231" i="4"/>
  <c r="E122" i="4"/>
  <c r="H122" i="4"/>
  <c r="D27" i="4"/>
  <c r="H28" i="4"/>
  <c r="E28" i="4"/>
  <c r="G28" i="4"/>
  <c r="F29" i="4"/>
  <c r="F123" i="4"/>
  <c r="F232" i="4"/>
  <c r="F124" i="4"/>
  <c r="B59" i="4"/>
  <c r="G58" i="4"/>
  <c r="D2045" i="1" l="1"/>
  <c r="E2003" i="1"/>
  <c r="D2002" i="1"/>
  <c r="E2091" i="1"/>
  <c r="F2088" i="1"/>
  <c r="F2042" i="1"/>
  <c r="F2043" i="1"/>
  <c r="E2047" i="1"/>
  <c r="E1952" i="1"/>
  <c r="F1977" i="1"/>
  <c r="F1951" i="1"/>
  <c r="F1950" i="1"/>
  <c r="D1950" i="1"/>
  <c r="E1920" i="1"/>
  <c r="E1978" i="1"/>
  <c r="E1852" i="1"/>
  <c r="D1887" i="1"/>
  <c r="E1815" i="1"/>
  <c r="D1851" i="1"/>
  <c r="D1814" i="1"/>
  <c r="F1888" i="1"/>
  <c r="F1853" i="1"/>
  <c r="F1852" i="1"/>
  <c r="D1781" i="1"/>
  <c r="D1744" i="1"/>
  <c r="E1709" i="1"/>
  <c r="D1708" i="1"/>
  <c r="F1785" i="1"/>
  <c r="F1750" i="1"/>
  <c r="E1745" i="1"/>
  <c r="E1662" i="1"/>
  <c r="F1687" i="1"/>
  <c r="F1661" i="1"/>
  <c r="D1687" i="1"/>
  <c r="E1630" i="1"/>
  <c r="D1629" i="1"/>
  <c r="D1661" i="1"/>
  <c r="D1604" i="1"/>
  <c r="D1578" i="1"/>
  <c r="D1546" i="1"/>
  <c r="E1547" i="1"/>
  <c r="F1604" i="1"/>
  <c r="F1578" i="1"/>
  <c r="E1579" i="1"/>
  <c r="D1501" i="1"/>
  <c r="E1472" i="1"/>
  <c r="D1471" i="1"/>
  <c r="E1525" i="1"/>
  <c r="F1523" i="1"/>
  <c r="F1500" i="1"/>
  <c r="E1503" i="1"/>
  <c r="E1419" i="1"/>
  <c r="F1445" i="1"/>
  <c r="F1419" i="1"/>
  <c r="D1417" i="1"/>
  <c r="E1387" i="1"/>
  <c r="D1386" i="1"/>
  <c r="E1445" i="1"/>
  <c r="E1322" i="1"/>
  <c r="D1356" i="1"/>
  <c r="D1321" i="1"/>
  <c r="E1284" i="1"/>
  <c r="D1283" i="1"/>
  <c r="F1355" i="1"/>
  <c r="F1320" i="1"/>
  <c r="F1319" i="1"/>
  <c r="F1254" i="1"/>
  <c r="F1222" i="1"/>
  <c r="E1225" i="1"/>
  <c r="D1223" i="1"/>
  <c r="E1188" i="1"/>
  <c r="D1187" i="1"/>
  <c r="E1256" i="1"/>
  <c r="D1151" i="1"/>
  <c r="D1110" i="1"/>
  <c r="E1069" i="1"/>
  <c r="F1153" i="1"/>
  <c r="F1113" i="1"/>
  <c r="E1111" i="1"/>
  <c r="F1042" i="1"/>
  <c r="F1014" i="1"/>
  <c r="F1013" i="1"/>
  <c r="E1007" i="1"/>
  <c r="D1037" i="1"/>
  <c r="D1006" i="1"/>
  <c r="E975" i="1"/>
  <c r="E901" i="1"/>
  <c r="D900" i="1"/>
  <c r="D943" i="1"/>
  <c r="E856" i="1"/>
  <c r="F942" i="1"/>
  <c r="F898" i="1"/>
  <c r="F899" i="1"/>
  <c r="D812" i="1"/>
  <c r="D766" i="1"/>
  <c r="E725" i="1"/>
  <c r="F772" i="1"/>
  <c r="F816" i="1"/>
  <c r="E767" i="1"/>
  <c r="D658" i="1"/>
  <c r="D618" i="1"/>
  <c r="E619" i="1"/>
  <c r="E660" i="1"/>
  <c r="F697" i="1"/>
  <c r="F660" i="1"/>
  <c r="E697" i="1"/>
  <c r="A380" i="1"/>
  <c r="E582" i="1"/>
  <c r="D535" i="1"/>
  <c r="E489" i="1"/>
  <c r="D488" i="1"/>
  <c r="E537" i="1"/>
  <c r="F581" i="1"/>
  <c r="F535" i="1"/>
  <c r="F536" i="1"/>
  <c r="E405" i="1"/>
  <c r="F449" i="1"/>
  <c r="F404" i="1"/>
  <c r="F403" i="1"/>
  <c r="E450" i="1"/>
  <c r="D403" i="1"/>
  <c r="D356" i="1"/>
  <c r="E357" i="1"/>
  <c r="D280" i="1"/>
  <c r="D241" i="1"/>
  <c r="E242" i="1"/>
  <c r="E320" i="1"/>
  <c r="F323" i="1"/>
  <c r="F287" i="1"/>
  <c r="F286" i="1"/>
  <c r="E282" i="1"/>
  <c r="B62" i="1"/>
  <c r="D167" i="1"/>
  <c r="E126" i="1"/>
  <c r="D125" i="1"/>
  <c r="F204" i="1"/>
  <c r="F162" i="1"/>
  <c r="F161" i="1"/>
  <c r="E169" i="1"/>
  <c r="E209" i="1"/>
  <c r="E62" i="1"/>
  <c r="D95" i="1"/>
  <c r="D61" i="1"/>
  <c r="D22" i="1"/>
  <c r="E23" i="1"/>
  <c r="F96" i="1"/>
  <c r="F62" i="1"/>
  <c r="F63" i="1"/>
  <c r="D229" i="4"/>
  <c r="D119" i="4"/>
  <c r="A106" i="4"/>
  <c r="E27" i="4"/>
  <c r="D26" i="4"/>
  <c r="D117" i="4" s="1"/>
  <c r="H27" i="4"/>
  <c r="G27" i="4"/>
  <c r="F122" i="4"/>
  <c r="F231" i="4"/>
  <c r="F28" i="4"/>
  <c r="B60" i="4"/>
  <c r="D2089" i="1" l="1"/>
  <c r="D2044" i="1"/>
  <c r="E2002" i="1"/>
  <c r="F2087" i="1"/>
  <c r="F2041" i="1"/>
  <c r="E2045" i="1"/>
  <c r="E1950" i="1"/>
  <c r="D1976" i="1"/>
  <c r="D1949" i="1"/>
  <c r="E1919" i="1"/>
  <c r="D1918" i="1"/>
  <c r="F1976" i="1"/>
  <c r="F1949" i="1"/>
  <c r="E1887" i="1"/>
  <c r="F1851" i="1"/>
  <c r="F1887" i="1"/>
  <c r="E1851" i="1"/>
  <c r="E1814" i="1"/>
  <c r="D1813" i="1"/>
  <c r="D1849" i="1"/>
  <c r="E1744" i="1"/>
  <c r="F1784" i="1"/>
  <c r="F1749" i="1"/>
  <c r="F1748" i="1"/>
  <c r="E1708" i="1"/>
  <c r="D1707" i="1"/>
  <c r="D1742" i="1"/>
  <c r="E1781" i="1"/>
  <c r="E1661" i="1"/>
  <c r="E1687" i="1"/>
  <c r="D1659" i="1"/>
  <c r="D1628" i="1"/>
  <c r="E1629" i="1"/>
  <c r="F1686" i="1"/>
  <c r="F1660" i="1"/>
  <c r="F1659" i="1"/>
  <c r="D1576" i="1"/>
  <c r="E1546" i="1"/>
  <c r="D1545" i="1"/>
  <c r="F1603" i="1"/>
  <c r="F1577" i="1"/>
  <c r="F1576" i="1"/>
  <c r="E1578" i="1"/>
  <c r="E1604" i="1"/>
  <c r="D1523" i="1"/>
  <c r="D1500" i="1"/>
  <c r="E1471" i="1"/>
  <c r="D1470" i="1"/>
  <c r="F1522" i="1"/>
  <c r="F1498" i="1"/>
  <c r="F1499" i="1"/>
  <c r="E1501" i="1"/>
  <c r="D1443" i="1"/>
  <c r="D1416" i="1"/>
  <c r="E1386" i="1"/>
  <c r="F1444" i="1"/>
  <c r="F1417" i="1"/>
  <c r="F1418" i="1"/>
  <c r="E1417" i="1"/>
  <c r="F1354" i="1"/>
  <c r="F1318" i="1"/>
  <c r="D1319" i="1"/>
  <c r="E1283" i="1"/>
  <c r="D1282" i="1"/>
  <c r="E1356" i="1"/>
  <c r="E1321" i="1"/>
  <c r="D1254" i="1"/>
  <c r="D1222" i="1"/>
  <c r="D1186" i="1"/>
  <c r="E1187" i="1"/>
  <c r="F1253" i="1"/>
  <c r="F1221" i="1"/>
  <c r="F1220" i="1"/>
  <c r="E1223" i="1"/>
  <c r="F1152" i="1"/>
  <c r="F1112" i="1"/>
  <c r="F1111" i="1"/>
  <c r="E1110" i="1"/>
  <c r="D1108" i="1"/>
  <c r="D1067" i="1"/>
  <c r="E1068" i="1"/>
  <c r="E1151" i="1"/>
  <c r="E1006" i="1"/>
  <c r="F1041" i="1"/>
  <c r="F1012" i="1"/>
  <c r="D1004" i="1"/>
  <c r="E974" i="1"/>
  <c r="D973" i="1"/>
  <c r="E1037" i="1"/>
  <c r="F941" i="1"/>
  <c r="F897" i="1"/>
  <c r="E900" i="1"/>
  <c r="D898" i="1"/>
  <c r="E855" i="1"/>
  <c r="D854" i="1"/>
  <c r="E943" i="1"/>
  <c r="E766" i="1"/>
  <c r="F815" i="1"/>
  <c r="F771" i="1"/>
  <c r="F770" i="1"/>
  <c r="D764" i="1"/>
  <c r="E724" i="1"/>
  <c r="D723" i="1"/>
  <c r="E812" i="1"/>
  <c r="E658" i="1"/>
  <c r="F696" i="1"/>
  <c r="F659" i="1"/>
  <c r="F658" i="1"/>
  <c r="D695" i="1"/>
  <c r="D657" i="1"/>
  <c r="E618" i="1"/>
  <c r="D617" i="1"/>
  <c r="A381" i="1"/>
  <c r="A382" i="1" s="1"/>
  <c r="F580" i="1"/>
  <c r="F534" i="1"/>
  <c r="D534" i="1"/>
  <c r="D580" i="1"/>
  <c r="E488" i="1"/>
  <c r="D487" i="1"/>
  <c r="E535" i="1"/>
  <c r="F448" i="1"/>
  <c r="F402" i="1"/>
  <c r="E403" i="1"/>
  <c r="D448" i="1"/>
  <c r="D402" i="1"/>
  <c r="D355" i="1"/>
  <c r="E356" i="1"/>
  <c r="F322" i="1"/>
  <c r="F285" i="1"/>
  <c r="D318" i="1"/>
  <c r="D279" i="1"/>
  <c r="E241" i="1"/>
  <c r="D240" i="1"/>
  <c r="E280" i="1"/>
  <c r="B63" i="1"/>
  <c r="D207" i="1"/>
  <c r="D166" i="1"/>
  <c r="E125" i="1"/>
  <c r="F160" i="1"/>
  <c r="F203" i="1"/>
  <c r="E167" i="1"/>
  <c r="D59" i="1"/>
  <c r="D21" i="1"/>
  <c r="E22" i="1"/>
  <c r="F95" i="1"/>
  <c r="F61" i="1"/>
  <c r="E61" i="1"/>
  <c r="E95" i="1"/>
  <c r="H229" i="4"/>
  <c r="E229" i="4"/>
  <c r="A107" i="4"/>
  <c r="A108" i="4" s="1"/>
  <c r="H117" i="4"/>
  <c r="E117" i="4"/>
  <c r="H119" i="4"/>
  <c r="E119" i="4"/>
  <c r="H26" i="4"/>
  <c r="E26" i="4"/>
  <c r="D25" i="4"/>
  <c r="G26" i="4"/>
  <c r="F120" i="4"/>
  <c r="F230" i="4"/>
  <c r="F27" i="4"/>
  <c r="F121" i="4"/>
  <c r="B61" i="4"/>
  <c r="G60" i="4" s="1"/>
  <c r="G59" i="4"/>
  <c r="F2040" i="1" l="1"/>
  <c r="F2039" i="1"/>
  <c r="F2086" i="1"/>
  <c r="D2000" i="1"/>
  <c r="D2042" i="1"/>
  <c r="E2001" i="1"/>
  <c r="E2044" i="1"/>
  <c r="E2089" i="1"/>
  <c r="E1949" i="1"/>
  <c r="F1975" i="1"/>
  <c r="F1947" i="1"/>
  <c r="F1948" i="1"/>
  <c r="D1947" i="1"/>
  <c r="E1918" i="1"/>
  <c r="D1917" i="1"/>
  <c r="E1976" i="1"/>
  <c r="F1886" i="1"/>
  <c r="F1850" i="1"/>
  <c r="F1849" i="1"/>
  <c r="D1885" i="1"/>
  <c r="D1848" i="1"/>
  <c r="E1813" i="1"/>
  <c r="E1849" i="1"/>
  <c r="F1783" i="1"/>
  <c r="F1747" i="1"/>
  <c r="E1742" i="1"/>
  <c r="D1779" i="1"/>
  <c r="E1707" i="1"/>
  <c r="D1741" i="1"/>
  <c r="E1659" i="1"/>
  <c r="D1685" i="1"/>
  <c r="D1658" i="1"/>
  <c r="E1628" i="1"/>
  <c r="F1685" i="1"/>
  <c r="F1658" i="1"/>
  <c r="D1602" i="1"/>
  <c r="D1575" i="1"/>
  <c r="E1545" i="1"/>
  <c r="F1575" i="1"/>
  <c r="F1602" i="1"/>
  <c r="E1576" i="1"/>
  <c r="D1498" i="1"/>
  <c r="E1470" i="1"/>
  <c r="D1469" i="1"/>
  <c r="F1521" i="1"/>
  <c r="F1497" i="1"/>
  <c r="E1500" i="1"/>
  <c r="E1523" i="1"/>
  <c r="E1416" i="1"/>
  <c r="D1414" i="1"/>
  <c r="D1384" i="1"/>
  <c r="E1385" i="1"/>
  <c r="E1443" i="1"/>
  <c r="F1443" i="1"/>
  <c r="F1416" i="1"/>
  <c r="D1354" i="1"/>
  <c r="D1318" i="1"/>
  <c r="E1282" i="1"/>
  <c r="D1281" i="1"/>
  <c r="F1353" i="1"/>
  <c r="F1317" i="1"/>
  <c r="F1316" i="1"/>
  <c r="E1319" i="1"/>
  <c r="D1185" i="1"/>
  <c r="D1220" i="1"/>
  <c r="E1186" i="1"/>
  <c r="F1252" i="1"/>
  <c r="F1219" i="1"/>
  <c r="E1222" i="1"/>
  <c r="E1254" i="1"/>
  <c r="F1151" i="1"/>
  <c r="F1110" i="1"/>
  <c r="E1108" i="1"/>
  <c r="D1149" i="1"/>
  <c r="D1107" i="1"/>
  <c r="D1066" i="1"/>
  <c r="E1067" i="1"/>
  <c r="E1004" i="1"/>
  <c r="D1035" i="1"/>
  <c r="D1003" i="1"/>
  <c r="E973" i="1"/>
  <c r="D972" i="1"/>
  <c r="F1040" i="1"/>
  <c r="F1011" i="1"/>
  <c r="F1010" i="1"/>
  <c r="E898" i="1"/>
  <c r="F895" i="1"/>
  <c r="F896" i="1"/>
  <c r="F940" i="1"/>
  <c r="D897" i="1"/>
  <c r="D941" i="1"/>
  <c r="E854" i="1"/>
  <c r="D853" i="1"/>
  <c r="D810" i="1"/>
  <c r="D763" i="1"/>
  <c r="E723" i="1"/>
  <c r="D722" i="1"/>
  <c r="F814" i="1"/>
  <c r="F769" i="1"/>
  <c r="E764" i="1"/>
  <c r="E657" i="1"/>
  <c r="D655" i="1"/>
  <c r="E617" i="1"/>
  <c r="D616" i="1"/>
  <c r="E695" i="1"/>
  <c r="F657" i="1"/>
  <c r="F695" i="1"/>
  <c r="A383" i="1"/>
  <c r="E534" i="1"/>
  <c r="D532" i="1"/>
  <c r="D486" i="1"/>
  <c r="E487" i="1"/>
  <c r="F579" i="1"/>
  <c r="F532" i="1"/>
  <c r="F533" i="1"/>
  <c r="E580" i="1"/>
  <c r="E402" i="1"/>
  <c r="E448" i="1"/>
  <c r="D400" i="1"/>
  <c r="E355" i="1"/>
  <c r="D354" i="1"/>
  <c r="F447" i="1"/>
  <c r="F401" i="1"/>
  <c r="F400" i="1"/>
  <c r="E279" i="1"/>
  <c r="E240" i="1"/>
  <c r="D277" i="1"/>
  <c r="D239" i="1"/>
  <c r="E318" i="1"/>
  <c r="F321" i="1"/>
  <c r="F283" i="1"/>
  <c r="F284" i="1"/>
  <c r="B64" i="1"/>
  <c r="F202" i="1"/>
  <c r="F159" i="1"/>
  <c r="F158" i="1"/>
  <c r="E166" i="1"/>
  <c r="D164" i="1"/>
  <c r="E124" i="1"/>
  <c r="D123" i="1"/>
  <c r="E207" i="1"/>
  <c r="F94" i="1"/>
  <c r="F60" i="1"/>
  <c r="F59" i="1"/>
  <c r="E59" i="1"/>
  <c r="D93" i="1"/>
  <c r="D58" i="1"/>
  <c r="E21" i="1"/>
  <c r="D116" i="4"/>
  <c r="D227" i="4"/>
  <c r="A109" i="4"/>
  <c r="E25" i="4"/>
  <c r="H25" i="4"/>
  <c r="D24" i="4"/>
  <c r="D114" i="4" s="1"/>
  <c r="G25" i="4"/>
  <c r="F229" i="4"/>
  <c r="F119" i="4"/>
  <c r="F26" i="4"/>
  <c r="B62" i="4"/>
  <c r="G61" i="4" s="1"/>
  <c r="D2087" i="1" l="1"/>
  <c r="D2041" i="1"/>
  <c r="D1999" i="1"/>
  <c r="E2000" i="1"/>
  <c r="F2085" i="1"/>
  <c r="F2038" i="1"/>
  <c r="E2042" i="1"/>
  <c r="E1947" i="1"/>
  <c r="D1974" i="1"/>
  <c r="D1946" i="1"/>
  <c r="E1917" i="1"/>
  <c r="D1916" i="1"/>
  <c r="F1974" i="1"/>
  <c r="F1946" i="1"/>
  <c r="E1848" i="1"/>
  <c r="D1846" i="1"/>
  <c r="D1811" i="1"/>
  <c r="E1812" i="1"/>
  <c r="F1848" i="1"/>
  <c r="F1885" i="1"/>
  <c r="E1885" i="1"/>
  <c r="E1779" i="1"/>
  <c r="E1741" i="1"/>
  <c r="F1746" i="1"/>
  <c r="F1745" i="1"/>
  <c r="F1782" i="1"/>
  <c r="D1705" i="1"/>
  <c r="D1739" i="1"/>
  <c r="E1706" i="1"/>
  <c r="E1658" i="1"/>
  <c r="D1626" i="1"/>
  <c r="E1627" i="1"/>
  <c r="D1656" i="1"/>
  <c r="E1685" i="1"/>
  <c r="F1684" i="1"/>
  <c r="F1656" i="1"/>
  <c r="F1657" i="1"/>
  <c r="E1575" i="1"/>
  <c r="F1601" i="1"/>
  <c r="F1574" i="1"/>
  <c r="F1573" i="1"/>
  <c r="D1573" i="1"/>
  <c r="E1544" i="1"/>
  <c r="D1543" i="1"/>
  <c r="E1602" i="1"/>
  <c r="E1498" i="1"/>
  <c r="F1520" i="1"/>
  <c r="F1496" i="1"/>
  <c r="F1495" i="1"/>
  <c r="D1521" i="1"/>
  <c r="D1497" i="1"/>
  <c r="E1469" i="1"/>
  <c r="D1441" i="1"/>
  <c r="D1413" i="1"/>
  <c r="E1384" i="1"/>
  <c r="E1414" i="1"/>
  <c r="F1442" i="1"/>
  <c r="F1415" i="1"/>
  <c r="F1414" i="1"/>
  <c r="F1352" i="1"/>
  <c r="F1315" i="1"/>
  <c r="D1316" i="1"/>
  <c r="D1280" i="1"/>
  <c r="E1281" i="1"/>
  <c r="E1318" i="1"/>
  <c r="E1354" i="1"/>
  <c r="E1220" i="1"/>
  <c r="D1252" i="1"/>
  <c r="D1219" i="1"/>
  <c r="E1185" i="1"/>
  <c r="F1218" i="1"/>
  <c r="F1217" i="1"/>
  <c r="F1251" i="1"/>
  <c r="D1105" i="1"/>
  <c r="E1066" i="1"/>
  <c r="D1065" i="1"/>
  <c r="F1150" i="1"/>
  <c r="F1109" i="1"/>
  <c r="F1108" i="1"/>
  <c r="E1149" i="1"/>
  <c r="E1107" i="1"/>
  <c r="F1039" i="1"/>
  <c r="F1009" i="1"/>
  <c r="E1003" i="1"/>
  <c r="D1001" i="1"/>
  <c r="E972" i="1"/>
  <c r="D971" i="1"/>
  <c r="E1035" i="1"/>
  <c r="E941" i="1"/>
  <c r="F939" i="1"/>
  <c r="F894" i="1"/>
  <c r="D895" i="1"/>
  <c r="E853" i="1"/>
  <c r="D852" i="1"/>
  <c r="E897" i="1"/>
  <c r="D761" i="1"/>
  <c r="D721" i="1"/>
  <c r="E722" i="1"/>
  <c r="E763" i="1"/>
  <c r="F813" i="1"/>
  <c r="F768" i="1"/>
  <c r="F767" i="1"/>
  <c r="E810" i="1"/>
  <c r="E655" i="1"/>
  <c r="F656" i="1"/>
  <c r="F655" i="1"/>
  <c r="F694" i="1"/>
  <c r="D693" i="1"/>
  <c r="E616" i="1"/>
  <c r="D654" i="1"/>
  <c r="D615" i="1"/>
  <c r="A384" i="1"/>
  <c r="A385" i="1" s="1"/>
  <c r="D578" i="1"/>
  <c r="D485" i="1"/>
  <c r="D531" i="1"/>
  <c r="E486" i="1"/>
  <c r="F578" i="1"/>
  <c r="F531" i="1"/>
  <c r="E532" i="1"/>
  <c r="F446" i="1"/>
  <c r="F399" i="1"/>
  <c r="D446" i="1"/>
  <c r="E354" i="1"/>
  <c r="D399" i="1"/>
  <c r="D353" i="1"/>
  <c r="E400" i="1"/>
  <c r="F320" i="1"/>
  <c r="F282" i="1"/>
  <c r="D316" i="1"/>
  <c r="D276" i="1"/>
  <c r="E239" i="1"/>
  <c r="E277" i="1"/>
  <c r="B65" i="1"/>
  <c r="F201" i="1"/>
  <c r="F157" i="1"/>
  <c r="E164" i="1"/>
  <c r="D205" i="1"/>
  <c r="D163" i="1"/>
  <c r="E123" i="1"/>
  <c r="D122" i="1"/>
  <c r="E93" i="1"/>
  <c r="D56" i="1"/>
  <c r="E20" i="1"/>
  <c r="D19" i="1"/>
  <c r="F93" i="1"/>
  <c r="F58" i="1"/>
  <c r="E58" i="1"/>
  <c r="E114" i="4"/>
  <c r="H114" i="4"/>
  <c r="A110" i="4"/>
  <c r="A111" i="4" s="1"/>
  <c r="H227" i="4"/>
  <c r="E227" i="4"/>
  <c r="E116" i="4"/>
  <c r="H116" i="4"/>
  <c r="D23" i="4"/>
  <c r="H24" i="4"/>
  <c r="E24" i="4"/>
  <c r="G24" i="4"/>
  <c r="F117" i="4"/>
  <c r="F118" i="4"/>
  <c r="F228" i="4"/>
  <c r="F25" i="4"/>
  <c r="B63" i="4"/>
  <c r="G62" i="4"/>
  <c r="F2084" i="1" l="1"/>
  <c r="F2036" i="1"/>
  <c r="F2037" i="1"/>
  <c r="D2039" i="1"/>
  <c r="E1999" i="1"/>
  <c r="D1998" i="1"/>
  <c r="E2041" i="1"/>
  <c r="E2087" i="1"/>
  <c r="E1946" i="1"/>
  <c r="F1973" i="1"/>
  <c r="F1945" i="1"/>
  <c r="F1944" i="1"/>
  <c r="D1944" i="1"/>
  <c r="D1915" i="1"/>
  <c r="E1916" i="1"/>
  <c r="E1974" i="1"/>
  <c r="F1884" i="1"/>
  <c r="F1846" i="1"/>
  <c r="F1847" i="1"/>
  <c r="D1883" i="1"/>
  <c r="D1845" i="1"/>
  <c r="D1810" i="1"/>
  <c r="E1811" i="1"/>
  <c r="E1846" i="1"/>
  <c r="E1739" i="1"/>
  <c r="F1781" i="1"/>
  <c r="F1744" i="1"/>
  <c r="D1777" i="1"/>
  <c r="D1704" i="1"/>
  <c r="D1738" i="1"/>
  <c r="E1705" i="1"/>
  <c r="D1683" i="1"/>
  <c r="D1655" i="1"/>
  <c r="E1626" i="1"/>
  <c r="F1683" i="1"/>
  <c r="F1655" i="1"/>
  <c r="E1656" i="1"/>
  <c r="D1600" i="1"/>
  <c r="E1543" i="1"/>
  <c r="D1572" i="1"/>
  <c r="D1542" i="1"/>
  <c r="F1600" i="1"/>
  <c r="F1572" i="1"/>
  <c r="E1573" i="1"/>
  <c r="E1497" i="1"/>
  <c r="E1521" i="1"/>
  <c r="D1495" i="1"/>
  <c r="E1468" i="1"/>
  <c r="D1467" i="1"/>
  <c r="F1494" i="1"/>
  <c r="F1519" i="1"/>
  <c r="F1441" i="1"/>
  <c r="F1413" i="1"/>
  <c r="E1413" i="1"/>
  <c r="D1382" i="1"/>
  <c r="D1411" i="1"/>
  <c r="E1383" i="1"/>
  <c r="E1441" i="1"/>
  <c r="E1316" i="1"/>
  <c r="D1352" i="1"/>
  <c r="D1315" i="1"/>
  <c r="D1279" i="1"/>
  <c r="E1280" i="1"/>
  <c r="F1351" i="1"/>
  <c r="F1313" i="1"/>
  <c r="F1314" i="1"/>
  <c r="E1252" i="1"/>
  <c r="D1217" i="1"/>
  <c r="D1183" i="1"/>
  <c r="E1184" i="1"/>
  <c r="F1216" i="1"/>
  <c r="F1250" i="1"/>
  <c r="E1219" i="1"/>
  <c r="E1105" i="1"/>
  <c r="D1147" i="1"/>
  <c r="E1065" i="1"/>
  <c r="D1104" i="1"/>
  <c r="D1064" i="1"/>
  <c r="F1149" i="1"/>
  <c r="F1107" i="1"/>
  <c r="F1038" i="1"/>
  <c r="F1007" i="1"/>
  <c r="F1008" i="1"/>
  <c r="E1001" i="1"/>
  <c r="D1033" i="1"/>
  <c r="E971" i="1"/>
  <c r="D1000" i="1"/>
  <c r="E895" i="1"/>
  <c r="E852" i="1"/>
  <c r="D939" i="1"/>
  <c r="D894" i="1"/>
  <c r="F893" i="1"/>
  <c r="F892" i="1"/>
  <c r="F938" i="1"/>
  <c r="F812" i="1"/>
  <c r="F766" i="1"/>
  <c r="D808" i="1"/>
  <c r="E721" i="1"/>
  <c r="D760" i="1"/>
  <c r="E761" i="1"/>
  <c r="G19" i="1"/>
  <c r="F693" i="1"/>
  <c r="F654" i="1"/>
  <c r="E654" i="1"/>
  <c r="D652" i="1"/>
  <c r="E615" i="1"/>
  <c r="D614" i="1"/>
  <c r="E693" i="1"/>
  <c r="A386" i="1"/>
  <c r="E531" i="1"/>
  <c r="D529" i="1"/>
  <c r="D484" i="1"/>
  <c r="E485" i="1"/>
  <c r="F577" i="1"/>
  <c r="F530" i="1"/>
  <c r="F529" i="1"/>
  <c r="E578" i="1"/>
  <c r="D397" i="1"/>
  <c r="E353" i="1"/>
  <c r="D352" i="1"/>
  <c r="E446" i="1"/>
  <c r="E399" i="1"/>
  <c r="F445" i="1"/>
  <c r="F398" i="1"/>
  <c r="F397" i="1"/>
  <c r="D274" i="1"/>
  <c r="D237" i="1"/>
  <c r="E238" i="1"/>
  <c r="E276" i="1"/>
  <c r="E316" i="1"/>
  <c r="F319" i="1"/>
  <c r="F281" i="1"/>
  <c r="F280" i="1"/>
  <c r="B66" i="1"/>
  <c r="D161" i="1"/>
  <c r="E122" i="1"/>
  <c r="D121" i="1"/>
  <c r="F200" i="1"/>
  <c r="F155" i="1"/>
  <c r="F156" i="1"/>
  <c r="E205" i="1"/>
  <c r="E163" i="1"/>
  <c r="E56" i="1"/>
  <c r="D91" i="1"/>
  <c r="D55" i="1"/>
  <c r="E19" i="1"/>
  <c r="D18" i="1"/>
  <c r="F92" i="1"/>
  <c r="F57" i="1"/>
  <c r="F56" i="1"/>
  <c r="D225" i="4"/>
  <c r="D113" i="4"/>
  <c r="A112" i="4"/>
  <c r="E23" i="4"/>
  <c r="D22" i="4"/>
  <c r="D111" i="4" s="1"/>
  <c r="H23" i="4"/>
  <c r="G23" i="4"/>
  <c r="F227" i="4"/>
  <c r="F24" i="4"/>
  <c r="F116" i="4"/>
  <c r="B64" i="4"/>
  <c r="G63" i="4" s="1"/>
  <c r="E2039" i="1" l="1"/>
  <c r="D2085" i="1"/>
  <c r="E1998" i="1"/>
  <c r="D2038" i="1"/>
  <c r="F2083" i="1"/>
  <c r="F2035" i="1"/>
  <c r="F1972" i="1"/>
  <c r="F1943" i="1"/>
  <c r="D1972" i="1"/>
  <c r="D1943" i="1"/>
  <c r="E1915" i="1"/>
  <c r="E1944" i="1"/>
  <c r="D1843" i="1"/>
  <c r="D1809" i="1"/>
  <c r="E1810" i="1"/>
  <c r="E1883" i="1"/>
  <c r="F1883" i="1"/>
  <c r="F1845" i="1"/>
  <c r="E1845" i="1"/>
  <c r="F1780" i="1"/>
  <c r="F1743" i="1"/>
  <c r="F1742" i="1"/>
  <c r="E1777" i="1"/>
  <c r="E1738" i="1"/>
  <c r="D1736" i="1"/>
  <c r="D1703" i="1"/>
  <c r="E1704" i="1"/>
  <c r="F1682" i="1"/>
  <c r="F1653" i="1"/>
  <c r="F1654" i="1"/>
  <c r="D1653" i="1"/>
  <c r="E1625" i="1"/>
  <c r="D1624" i="1"/>
  <c r="E1655" i="1"/>
  <c r="E1683" i="1"/>
  <c r="E1572" i="1"/>
  <c r="F1599" i="1"/>
  <c r="F1571" i="1"/>
  <c r="F1570" i="1"/>
  <c r="D1570" i="1"/>
  <c r="E1542" i="1"/>
  <c r="D1541" i="1"/>
  <c r="E1600" i="1"/>
  <c r="D1519" i="1"/>
  <c r="D1466" i="1"/>
  <c r="D1494" i="1"/>
  <c r="E1467" i="1"/>
  <c r="E1495" i="1"/>
  <c r="F1518" i="1"/>
  <c r="F1493" i="1"/>
  <c r="F1492" i="1"/>
  <c r="F1440" i="1"/>
  <c r="F1412" i="1"/>
  <c r="F1411" i="1"/>
  <c r="E1411" i="1"/>
  <c r="D1439" i="1"/>
  <c r="D1410" i="1"/>
  <c r="E1382" i="1"/>
  <c r="F1312" i="1"/>
  <c r="F1350" i="1"/>
  <c r="E1315" i="1"/>
  <c r="E1352" i="1"/>
  <c r="D1313" i="1"/>
  <c r="D1278" i="1"/>
  <c r="E1279" i="1"/>
  <c r="E1217" i="1"/>
  <c r="D1250" i="1"/>
  <c r="D1182" i="1"/>
  <c r="D1216" i="1"/>
  <c r="E1183" i="1"/>
  <c r="F1249" i="1"/>
  <c r="F1215" i="1"/>
  <c r="F1214" i="1"/>
  <c r="F1148" i="1"/>
  <c r="F1106" i="1"/>
  <c r="F1105" i="1"/>
  <c r="E1104" i="1"/>
  <c r="E1064" i="1"/>
  <c r="D1102" i="1"/>
  <c r="D1063" i="1"/>
  <c r="E1147" i="1"/>
  <c r="F1037" i="1"/>
  <c r="F1006" i="1"/>
  <c r="E1000" i="1"/>
  <c r="D998" i="1"/>
  <c r="D969" i="1"/>
  <c r="E970" i="1"/>
  <c r="E1033" i="1"/>
  <c r="D892" i="1"/>
  <c r="D850" i="1"/>
  <c r="E851" i="1"/>
  <c r="E939" i="1"/>
  <c r="F937" i="1"/>
  <c r="F891" i="1"/>
  <c r="E894" i="1"/>
  <c r="E808" i="1"/>
  <c r="E760" i="1"/>
  <c r="D719" i="1"/>
  <c r="D758" i="1"/>
  <c r="E720" i="1"/>
  <c r="F764" i="1"/>
  <c r="F811" i="1"/>
  <c r="F765" i="1"/>
  <c r="G18" i="1"/>
  <c r="F692" i="1"/>
  <c r="F652" i="1"/>
  <c r="F653" i="1"/>
  <c r="E652" i="1"/>
  <c r="D691" i="1"/>
  <c r="D651" i="1"/>
  <c r="E614" i="1"/>
  <c r="A387" i="1"/>
  <c r="A388" i="1" s="1"/>
  <c r="D576" i="1"/>
  <c r="D528" i="1"/>
  <c r="E484" i="1"/>
  <c r="F528" i="1"/>
  <c r="F576" i="1"/>
  <c r="E529" i="1"/>
  <c r="D444" i="1"/>
  <c r="D396" i="1"/>
  <c r="E352" i="1"/>
  <c r="F444" i="1"/>
  <c r="F396" i="1"/>
  <c r="E397" i="1"/>
  <c r="F279" i="1"/>
  <c r="F318" i="1"/>
  <c r="D314" i="1"/>
  <c r="D273" i="1"/>
  <c r="D236" i="1"/>
  <c r="E237" i="1"/>
  <c r="E274" i="1"/>
  <c r="B67" i="1"/>
  <c r="D203" i="1"/>
  <c r="E121" i="1"/>
  <c r="D160" i="1"/>
  <c r="F199" i="1"/>
  <c r="F154" i="1"/>
  <c r="E161" i="1"/>
  <c r="E55" i="1"/>
  <c r="F91" i="1"/>
  <c r="F55" i="1"/>
  <c r="D53" i="1"/>
  <c r="E18" i="1"/>
  <c r="D17" i="1"/>
  <c r="E91" i="1"/>
  <c r="E225" i="4"/>
  <c r="H225" i="4"/>
  <c r="A113" i="4"/>
  <c r="A114" i="4" s="1"/>
  <c r="H111" i="4"/>
  <c r="E111" i="4"/>
  <c r="H113" i="4"/>
  <c r="E113" i="4"/>
  <c r="H22" i="4"/>
  <c r="E22" i="4"/>
  <c r="D21" i="4"/>
  <c r="G22" i="4"/>
  <c r="F23" i="4"/>
  <c r="F115" i="4"/>
  <c r="F114" i="4"/>
  <c r="F226" i="4"/>
  <c r="B65" i="4"/>
  <c r="F2082" i="1" l="1"/>
  <c r="F2034" i="1"/>
  <c r="F2033" i="1"/>
  <c r="D2036" i="1"/>
  <c r="E1997" i="1"/>
  <c r="D1996" i="1"/>
  <c r="E2085" i="1"/>
  <c r="E2038" i="1"/>
  <c r="E1972" i="1"/>
  <c r="F1971" i="1"/>
  <c r="F1942" i="1"/>
  <c r="F1941" i="1"/>
  <c r="D1941" i="1"/>
  <c r="E1914" i="1"/>
  <c r="D1913" i="1"/>
  <c r="E1943" i="1"/>
  <c r="D1881" i="1"/>
  <c r="D1842" i="1"/>
  <c r="E1809" i="1"/>
  <c r="F1882" i="1"/>
  <c r="F1843" i="1"/>
  <c r="F1844" i="1"/>
  <c r="E1843" i="1"/>
  <c r="F1779" i="1"/>
  <c r="F1741" i="1"/>
  <c r="D1775" i="1"/>
  <c r="D1735" i="1"/>
  <c r="E1703" i="1"/>
  <c r="E1736" i="1"/>
  <c r="D1681" i="1"/>
  <c r="D1652" i="1"/>
  <c r="E1624" i="1"/>
  <c r="D1623" i="1"/>
  <c r="F1681" i="1"/>
  <c r="F1652" i="1"/>
  <c r="E1653" i="1"/>
  <c r="E1570" i="1"/>
  <c r="D1598" i="1"/>
  <c r="D1569" i="1"/>
  <c r="E1541" i="1"/>
  <c r="F1598" i="1"/>
  <c r="F1569" i="1"/>
  <c r="E1519" i="1"/>
  <c r="F1491" i="1"/>
  <c r="F1517" i="1"/>
  <c r="D1465" i="1"/>
  <c r="E1466" i="1"/>
  <c r="D1492" i="1"/>
  <c r="E1494" i="1"/>
  <c r="E1439" i="1"/>
  <c r="F1439" i="1"/>
  <c r="F1410" i="1"/>
  <c r="D1408" i="1"/>
  <c r="E1381" i="1"/>
  <c r="D1380" i="1"/>
  <c r="E1410" i="1"/>
  <c r="E1313" i="1"/>
  <c r="F1311" i="1"/>
  <c r="F1310" i="1"/>
  <c r="F1349" i="1"/>
  <c r="D1350" i="1"/>
  <c r="D1312" i="1"/>
  <c r="E1278" i="1"/>
  <c r="D1214" i="1"/>
  <c r="E1182" i="1"/>
  <c r="D1181" i="1"/>
  <c r="F1248" i="1"/>
  <c r="F1213" i="1"/>
  <c r="E1250" i="1"/>
  <c r="E1216" i="1"/>
  <c r="D1145" i="1"/>
  <c r="D1101" i="1"/>
  <c r="E1063" i="1"/>
  <c r="D1062" i="1"/>
  <c r="E1102" i="1"/>
  <c r="F1147" i="1"/>
  <c r="F1104" i="1"/>
  <c r="D1031" i="1"/>
  <c r="D997" i="1"/>
  <c r="D968" i="1"/>
  <c r="E969" i="1"/>
  <c r="F1036" i="1"/>
  <c r="F1005" i="1"/>
  <c r="F1004" i="1"/>
  <c r="E998" i="1"/>
  <c r="F936" i="1"/>
  <c r="F889" i="1"/>
  <c r="F890" i="1"/>
  <c r="D849" i="1"/>
  <c r="D937" i="1"/>
  <c r="D891" i="1"/>
  <c r="E850" i="1"/>
  <c r="E892" i="1"/>
  <c r="E758" i="1"/>
  <c r="F810" i="1"/>
  <c r="F763" i="1"/>
  <c r="D718" i="1"/>
  <c r="D806" i="1"/>
  <c r="E719" i="1"/>
  <c r="D757" i="1"/>
  <c r="H17" i="1"/>
  <c r="G17" i="1"/>
  <c r="E651" i="1"/>
  <c r="F691" i="1"/>
  <c r="F651" i="1"/>
  <c r="D649" i="1"/>
  <c r="E613" i="1"/>
  <c r="D612" i="1"/>
  <c r="E691" i="1"/>
  <c r="A389" i="1"/>
  <c r="E528" i="1"/>
  <c r="F575" i="1"/>
  <c r="F526" i="1"/>
  <c r="F527" i="1"/>
  <c r="E483" i="1"/>
  <c r="D526" i="1"/>
  <c r="D482" i="1"/>
  <c r="E576" i="1"/>
  <c r="E396" i="1"/>
  <c r="F443" i="1"/>
  <c r="F395" i="1"/>
  <c r="F394" i="1"/>
  <c r="D394" i="1"/>
  <c r="E351" i="1"/>
  <c r="D350" i="1"/>
  <c r="E444" i="1"/>
  <c r="E273" i="1"/>
  <c r="E314" i="1"/>
  <c r="F317" i="1"/>
  <c r="F278" i="1"/>
  <c r="F277" i="1"/>
  <c r="E236" i="1"/>
  <c r="D271" i="1"/>
  <c r="D235" i="1"/>
  <c r="B68" i="1"/>
  <c r="D119" i="1"/>
  <c r="D158" i="1"/>
  <c r="E120" i="1"/>
  <c r="E160" i="1"/>
  <c r="E203" i="1"/>
  <c r="F198" i="1"/>
  <c r="F153" i="1"/>
  <c r="F152" i="1"/>
  <c r="E53" i="1"/>
  <c r="D89" i="1"/>
  <c r="D52" i="1"/>
  <c r="E17" i="1"/>
  <c r="D16" i="1"/>
  <c r="F90" i="1"/>
  <c r="F54" i="1"/>
  <c r="F53" i="1"/>
  <c r="A115" i="4"/>
  <c r="D110" i="4"/>
  <c r="D223" i="4"/>
  <c r="E21" i="4"/>
  <c r="D20" i="4"/>
  <c r="D108" i="4" s="1"/>
  <c r="H21" i="4"/>
  <c r="G21" i="4"/>
  <c r="F225" i="4"/>
  <c r="F22" i="4"/>
  <c r="F113" i="4"/>
  <c r="B66" i="4"/>
  <c r="G65" i="4" s="1"/>
  <c r="G64" i="4"/>
  <c r="E2036" i="1" l="1"/>
  <c r="D2083" i="1"/>
  <c r="D2035" i="1"/>
  <c r="E1996" i="1"/>
  <c r="F2081" i="1"/>
  <c r="F2032" i="1"/>
  <c r="E1941" i="1"/>
  <c r="D1970" i="1"/>
  <c r="D1940" i="1"/>
  <c r="E1913" i="1"/>
  <c r="F1970" i="1"/>
  <c r="F1940" i="1"/>
  <c r="F1881" i="1"/>
  <c r="F1842" i="1"/>
  <c r="E1842" i="1"/>
  <c r="D1840" i="1"/>
  <c r="E1808" i="1"/>
  <c r="D1807" i="1"/>
  <c r="E1881" i="1"/>
  <c r="E1775" i="1"/>
  <c r="D1733" i="1"/>
  <c r="E1702" i="1"/>
  <c r="D1701" i="1"/>
  <c r="F1778" i="1"/>
  <c r="F1740" i="1"/>
  <c r="F1739" i="1"/>
  <c r="E1735" i="1"/>
  <c r="F1680" i="1"/>
  <c r="F1650" i="1"/>
  <c r="F1651" i="1"/>
  <c r="E1652" i="1"/>
  <c r="E1623" i="1"/>
  <c r="D1650" i="1"/>
  <c r="D1622" i="1"/>
  <c r="E1681" i="1"/>
  <c r="D1567" i="1"/>
  <c r="D1539" i="1"/>
  <c r="E1540" i="1"/>
  <c r="E1569" i="1"/>
  <c r="F1597" i="1"/>
  <c r="F1568" i="1"/>
  <c r="F1567" i="1"/>
  <c r="E1598" i="1"/>
  <c r="E1492" i="1"/>
  <c r="F1516" i="1"/>
  <c r="F1489" i="1"/>
  <c r="F1490" i="1"/>
  <c r="D1517" i="1"/>
  <c r="D1491" i="1"/>
  <c r="E1465" i="1"/>
  <c r="D1464" i="1"/>
  <c r="E1408" i="1"/>
  <c r="D1437" i="1"/>
  <c r="D1407" i="1"/>
  <c r="E1380" i="1"/>
  <c r="D1379" i="1"/>
  <c r="F1438" i="1"/>
  <c r="F1409" i="1"/>
  <c r="F1408" i="1"/>
  <c r="E1312" i="1"/>
  <c r="E1350" i="1"/>
  <c r="D1310" i="1"/>
  <c r="E1277" i="1"/>
  <c r="D1276" i="1"/>
  <c r="F1309" i="1"/>
  <c r="F1348" i="1"/>
  <c r="F1212" i="1"/>
  <c r="F1247" i="1"/>
  <c r="F1211" i="1"/>
  <c r="D1248" i="1"/>
  <c r="D1213" i="1"/>
  <c r="E1181" i="1"/>
  <c r="D1180" i="1"/>
  <c r="E1214" i="1"/>
  <c r="F1146" i="1"/>
  <c r="F1103" i="1"/>
  <c r="F1102" i="1"/>
  <c r="E1101" i="1"/>
  <c r="D1099" i="1"/>
  <c r="D1061" i="1"/>
  <c r="E1062" i="1"/>
  <c r="E1145" i="1"/>
  <c r="F1035" i="1"/>
  <c r="F1003" i="1"/>
  <c r="E997" i="1"/>
  <c r="E1031" i="1"/>
  <c r="D995" i="1"/>
  <c r="D967" i="1"/>
  <c r="E968" i="1"/>
  <c r="E891" i="1"/>
  <c r="F935" i="1"/>
  <c r="F888" i="1"/>
  <c r="E937" i="1"/>
  <c r="D848" i="1"/>
  <c r="D889" i="1"/>
  <c r="E849" i="1"/>
  <c r="E806" i="1"/>
  <c r="D755" i="1"/>
  <c r="E718" i="1"/>
  <c r="D717" i="1"/>
  <c r="F762" i="1"/>
  <c r="F761" i="1"/>
  <c r="F809" i="1"/>
  <c r="E757" i="1"/>
  <c r="H16" i="1"/>
  <c r="G16" i="1"/>
  <c r="D689" i="1"/>
  <c r="D648" i="1"/>
  <c r="D611" i="1"/>
  <c r="E612" i="1"/>
  <c r="F690" i="1"/>
  <c r="F650" i="1"/>
  <c r="F649" i="1"/>
  <c r="E649" i="1"/>
  <c r="A390" i="1"/>
  <c r="A391" i="1" s="1"/>
  <c r="F574" i="1"/>
  <c r="F525" i="1"/>
  <c r="E526" i="1"/>
  <c r="D574" i="1"/>
  <c r="D525" i="1"/>
  <c r="E482" i="1"/>
  <c r="D481" i="1"/>
  <c r="E394" i="1"/>
  <c r="D442" i="1"/>
  <c r="D393" i="1"/>
  <c r="D349" i="1"/>
  <c r="E350" i="1"/>
  <c r="F442" i="1"/>
  <c r="F393" i="1"/>
  <c r="E271" i="1"/>
  <c r="D312" i="1"/>
  <c r="E235" i="1"/>
  <c r="D234" i="1"/>
  <c r="D270" i="1"/>
  <c r="F316" i="1"/>
  <c r="F276" i="1"/>
  <c r="B69" i="1"/>
  <c r="F197" i="1"/>
  <c r="F151" i="1"/>
  <c r="E158" i="1"/>
  <c r="D201" i="1"/>
  <c r="D118" i="1"/>
  <c r="D157" i="1"/>
  <c r="E119" i="1"/>
  <c r="E52" i="1"/>
  <c r="F89" i="1"/>
  <c r="F52" i="1"/>
  <c r="D50" i="1"/>
  <c r="E16" i="1"/>
  <c r="D15" i="1"/>
  <c r="G15" i="1" s="1"/>
  <c r="E89" i="1"/>
  <c r="A116" i="4"/>
  <c r="A117" i="4" s="1"/>
  <c r="H223" i="4"/>
  <c r="E223" i="4"/>
  <c r="E110" i="4"/>
  <c r="H110" i="4"/>
  <c r="H108" i="4"/>
  <c r="E108" i="4"/>
  <c r="D19" i="4"/>
  <c r="H20" i="4"/>
  <c r="E20" i="4"/>
  <c r="G20" i="4"/>
  <c r="F112" i="4"/>
  <c r="F21" i="4"/>
  <c r="F111" i="4"/>
  <c r="F224" i="4"/>
  <c r="B67" i="4"/>
  <c r="G66" i="4" s="1"/>
  <c r="E2035" i="1" l="1"/>
  <c r="F2080" i="1"/>
  <c r="F2031" i="1"/>
  <c r="F2030" i="1"/>
  <c r="E2083" i="1"/>
  <c r="D2033" i="1"/>
  <c r="D1994" i="1"/>
  <c r="E1995" i="1"/>
  <c r="E1940" i="1"/>
  <c r="F1969" i="1"/>
  <c r="F1939" i="1"/>
  <c r="F1938" i="1"/>
  <c r="D1938" i="1"/>
  <c r="E1912" i="1"/>
  <c r="D1911" i="1"/>
  <c r="E1970" i="1"/>
  <c r="E1840" i="1"/>
  <c r="F1880" i="1"/>
  <c r="F1840" i="1"/>
  <c r="F1841" i="1"/>
  <c r="D1879" i="1"/>
  <c r="E1807" i="1"/>
  <c r="D1806" i="1"/>
  <c r="D1839" i="1"/>
  <c r="D1773" i="1"/>
  <c r="D1732" i="1"/>
  <c r="E1701" i="1"/>
  <c r="D1700" i="1"/>
  <c r="F1738" i="1"/>
  <c r="F1777" i="1"/>
  <c r="E1733" i="1"/>
  <c r="F1679" i="1"/>
  <c r="F1649" i="1"/>
  <c r="D1679" i="1"/>
  <c r="D1649" i="1"/>
  <c r="E1622" i="1"/>
  <c r="D1621" i="1"/>
  <c r="E1650" i="1"/>
  <c r="F1596" i="1"/>
  <c r="F1566" i="1"/>
  <c r="D1596" i="1"/>
  <c r="D1566" i="1"/>
  <c r="E1539" i="1"/>
  <c r="E1567" i="1"/>
  <c r="E1491" i="1"/>
  <c r="F1515" i="1"/>
  <c r="F1488" i="1"/>
  <c r="D1489" i="1"/>
  <c r="E1464" i="1"/>
  <c r="D1463" i="1"/>
  <c r="E1517" i="1"/>
  <c r="F1437" i="1"/>
  <c r="F1407" i="1"/>
  <c r="E1437" i="1"/>
  <c r="E1379" i="1"/>
  <c r="D1378" i="1"/>
  <c r="D1405" i="1"/>
  <c r="E1407" i="1"/>
  <c r="F1347" i="1"/>
  <c r="F1308" i="1"/>
  <c r="F1307" i="1"/>
  <c r="D1348" i="1"/>
  <c r="D1309" i="1"/>
  <c r="E1276" i="1"/>
  <c r="D1275" i="1"/>
  <c r="E1310" i="1"/>
  <c r="F1246" i="1"/>
  <c r="F1210" i="1"/>
  <c r="E1213" i="1"/>
  <c r="D1211" i="1"/>
  <c r="E1180" i="1"/>
  <c r="D1179" i="1"/>
  <c r="E1248" i="1"/>
  <c r="D1143" i="1"/>
  <c r="D1098" i="1"/>
  <c r="D1060" i="1"/>
  <c r="E1061" i="1"/>
  <c r="F1145" i="1"/>
  <c r="F1101" i="1"/>
  <c r="E1099" i="1"/>
  <c r="F1034" i="1"/>
  <c r="F1002" i="1"/>
  <c r="F1001" i="1"/>
  <c r="E995" i="1"/>
  <c r="D1029" i="1"/>
  <c r="D994" i="1"/>
  <c r="E967" i="1"/>
  <c r="F934" i="1"/>
  <c r="F886" i="1"/>
  <c r="F887" i="1"/>
  <c r="E889" i="1"/>
  <c r="D935" i="1"/>
  <c r="D888" i="1"/>
  <c r="E848" i="1"/>
  <c r="F808" i="1"/>
  <c r="F760" i="1"/>
  <c r="D804" i="1"/>
  <c r="D754" i="1"/>
  <c r="E717" i="1"/>
  <c r="D716" i="1"/>
  <c r="E755" i="1"/>
  <c r="E648" i="1"/>
  <c r="E689" i="1"/>
  <c r="F689" i="1"/>
  <c r="F648" i="1"/>
  <c r="D646" i="1"/>
  <c r="D610" i="1"/>
  <c r="E611" i="1"/>
  <c r="A392" i="1"/>
  <c r="D523" i="1"/>
  <c r="E481" i="1"/>
  <c r="D480" i="1"/>
  <c r="E574" i="1"/>
  <c r="F573" i="1"/>
  <c r="F523" i="1"/>
  <c r="F524" i="1"/>
  <c r="E525" i="1"/>
  <c r="E393" i="1"/>
  <c r="F441" i="1"/>
  <c r="F392" i="1"/>
  <c r="F391" i="1"/>
  <c r="E442" i="1"/>
  <c r="D391" i="1"/>
  <c r="D348" i="1"/>
  <c r="E349" i="1"/>
  <c r="E270" i="1"/>
  <c r="F275" i="1"/>
  <c r="F274" i="1"/>
  <c r="F315" i="1"/>
  <c r="D268" i="1"/>
  <c r="E234" i="1"/>
  <c r="D233" i="1"/>
  <c r="E312" i="1"/>
  <c r="B70" i="1"/>
  <c r="D155" i="1"/>
  <c r="E118" i="1"/>
  <c r="D117" i="1"/>
  <c r="F196" i="1"/>
  <c r="F150" i="1"/>
  <c r="F149" i="1"/>
  <c r="E201" i="1"/>
  <c r="E157" i="1"/>
  <c r="E50" i="1"/>
  <c r="D87" i="1"/>
  <c r="D49" i="1"/>
  <c r="E15" i="1"/>
  <c r="H15" i="1"/>
  <c r="D14" i="1"/>
  <c r="G14" i="1" s="1"/>
  <c r="F88" i="1"/>
  <c r="F51" i="1"/>
  <c r="F50" i="1"/>
  <c r="D107" i="4"/>
  <c r="D221" i="4"/>
  <c r="A118" i="4"/>
  <c r="E19" i="4"/>
  <c r="D18" i="4"/>
  <c r="D105" i="4" s="1"/>
  <c r="H19" i="4"/>
  <c r="G19" i="4"/>
  <c r="F110" i="4"/>
  <c r="F223" i="4"/>
  <c r="F20" i="4"/>
  <c r="B68" i="4"/>
  <c r="G67" i="4" s="1"/>
  <c r="E2033" i="1" l="1"/>
  <c r="F2029" i="1"/>
  <c r="F2079" i="1"/>
  <c r="D2081" i="1"/>
  <c r="D1993" i="1"/>
  <c r="D2032" i="1"/>
  <c r="E1994" i="1"/>
  <c r="D1968" i="1"/>
  <c r="D1937" i="1"/>
  <c r="E1911" i="1"/>
  <c r="F1968" i="1"/>
  <c r="F1937" i="1"/>
  <c r="E1938" i="1"/>
  <c r="F1879" i="1"/>
  <c r="F1839" i="1"/>
  <c r="E1839" i="1"/>
  <c r="E1879" i="1"/>
  <c r="D1837" i="1"/>
  <c r="D1805" i="1"/>
  <c r="E1806" i="1"/>
  <c r="F1776" i="1"/>
  <c r="F1737" i="1"/>
  <c r="F1736" i="1"/>
  <c r="E1732" i="1"/>
  <c r="D1699" i="1"/>
  <c r="E1700" i="1"/>
  <c r="D1730" i="1"/>
  <c r="E1773" i="1"/>
  <c r="D1647" i="1"/>
  <c r="D1620" i="1"/>
  <c r="E1621" i="1"/>
  <c r="F1678" i="1"/>
  <c r="F1648" i="1"/>
  <c r="F1647" i="1"/>
  <c r="E1679" i="1"/>
  <c r="E1649" i="1"/>
  <c r="E1596" i="1"/>
  <c r="D1564" i="1"/>
  <c r="E1538" i="1"/>
  <c r="D1537" i="1"/>
  <c r="F1595" i="1"/>
  <c r="F1565" i="1"/>
  <c r="F1564" i="1"/>
  <c r="E1566" i="1"/>
  <c r="F1514" i="1"/>
  <c r="F1487" i="1"/>
  <c r="F1486" i="1"/>
  <c r="D1515" i="1"/>
  <c r="D1488" i="1"/>
  <c r="E1463" i="1"/>
  <c r="D1462" i="1"/>
  <c r="E1489" i="1"/>
  <c r="F1436" i="1"/>
  <c r="F1405" i="1"/>
  <c r="F1406" i="1"/>
  <c r="D1435" i="1"/>
  <c r="D1404" i="1"/>
  <c r="E1378" i="1"/>
  <c r="E1405" i="1"/>
  <c r="F1346" i="1"/>
  <c r="F1306" i="1"/>
  <c r="E1309" i="1"/>
  <c r="D1307" i="1"/>
  <c r="E1275" i="1"/>
  <c r="D1274" i="1"/>
  <c r="E1348" i="1"/>
  <c r="F1245" i="1"/>
  <c r="F1209" i="1"/>
  <c r="F1208" i="1"/>
  <c r="E1211" i="1"/>
  <c r="D1246" i="1"/>
  <c r="D1210" i="1"/>
  <c r="D1178" i="1"/>
  <c r="E1179" i="1"/>
  <c r="E1098" i="1"/>
  <c r="F1144" i="1"/>
  <c r="F1099" i="1"/>
  <c r="F1100" i="1"/>
  <c r="E1143" i="1"/>
  <c r="D1096" i="1"/>
  <c r="D1059" i="1"/>
  <c r="E1060" i="1"/>
  <c r="E1029" i="1"/>
  <c r="F1033" i="1"/>
  <c r="F1000" i="1"/>
  <c r="E994" i="1"/>
  <c r="D992" i="1"/>
  <c r="E966" i="1"/>
  <c r="D965" i="1"/>
  <c r="D886" i="1"/>
  <c r="E847" i="1"/>
  <c r="D846" i="1"/>
  <c r="F933" i="1"/>
  <c r="F885" i="1"/>
  <c r="E888" i="1"/>
  <c r="E935" i="1"/>
  <c r="E804" i="1"/>
  <c r="E754" i="1"/>
  <c r="D752" i="1"/>
  <c r="E716" i="1"/>
  <c r="D715" i="1"/>
  <c r="F807" i="1"/>
  <c r="F759" i="1"/>
  <c r="F758" i="1"/>
  <c r="F688" i="1"/>
  <c r="F647" i="1"/>
  <c r="F646" i="1"/>
  <c r="E646" i="1"/>
  <c r="D687" i="1"/>
  <c r="D645" i="1"/>
  <c r="D609" i="1"/>
  <c r="E610" i="1"/>
  <c r="A393" i="1"/>
  <c r="A394" i="1" s="1"/>
  <c r="D572" i="1"/>
  <c r="D522" i="1"/>
  <c r="E480" i="1"/>
  <c r="D479" i="1"/>
  <c r="F572" i="1"/>
  <c r="F522" i="1"/>
  <c r="E523" i="1"/>
  <c r="D440" i="1"/>
  <c r="D390" i="1"/>
  <c r="E348" i="1"/>
  <c r="F440" i="1"/>
  <c r="F390" i="1"/>
  <c r="E391" i="1"/>
  <c r="D310" i="1"/>
  <c r="D267" i="1"/>
  <c r="E233" i="1"/>
  <c r="D232" i="1"/>
  <c r="F314" i="1"/>
  <c r="F273" i="1"/>
  <c r="E268" i="1"/>
  <c r="B71" i="1"/>
  <c r="D199" i="1"/>
  <c r="D154" i="1"/>
  <c r="E117" i="1"/>
  <c r="F195" i="1"/>
  <c r="F148" i="1"/>
  <c r="E155" i="1"/>
  <c r="E49" i="1"/>
  <c r="F87" i="1"/>
  <c r="F49" i="1"/>
  <c r="D47" i="1"/>
  <c r="H14" i="1"/>
  <c r="D13" i="1"/>
  <c r="G13" i="1" s="1"/>
  <c r="E14" i="1"/>
  <c r="E87" i="1"/>
  <c r="H107" i="4"/>
  <c r="E107" i="4"/>
  <c r="A119" i="4"/>
  <c r="A120" i="4" s="1"/>
  <c r="E105" i="4"/>
  <c r="H105" i="4"/>
  <c r="H221" i="4"/>
  <c r="E221" i="4"/>
  <c r="H18" i="4"/>
  <c r="E18" i="4"/>
  <c r="D17" i="4"/>
  <c r="G18" i="4"/>
  <c r="F108" i="4"/>
  <c r="F222" i="4"/>
  <c r="F19" i="4"/>
  <c r="F109" i="4"/>
  <c r="B69" i="4"/>
  <c r="D1992" i="1" l="1"/>
  <c r="E1993" i="1"/>
  <c r="D2030" i="1"/>
  <c r="E2081" i="1"/>
  <c r="E2032" i="1"/>
  <c r="F2078" i="1"/>
  <c r="F2028" i="1"/>
  <c r="F2027" i="1"/>
  <c r="E1937" i="1"/>
  <c r="F1967" i="1"/>
  <c r="F1935" i="1"/>
  <c r="F1936" i="1"/>
  <c r="D1935" i="1"/>
  <c r="E1910" i="1"/>
  <c r="D1909" i="1"/>
  <c r="E1968" i="1"/>
  <c r="E1837" i="1"/>
  <c r="F1878" i="1"/>
  <c r="F1838" i="1"/>
  <c r="F1837" i="1"/>
  <c r="D1877" i="1"/>
  <c r="D1836" i="1"/>
  <c r="D1804" i="1"/>
  <c r="E1805" i="1"/>
  <c r="D1771" i="1"/>
  <c r="D1729" i="1"/>
  <c r="E1699" i="1"/>
  <c r="D1698" i="1"/>
  <c r="E1730" i="1"/>
  <c r="F1775" i="1"/>
  <c r="F1735" i="1"/>
  <c r="F1677" i="1"/>
  <c r="F1646" i="1"/>
  <c r="D1677" i="1"/>
  <c r="D1619" i="1"/>
  <c r="D1646" i="1"/>
  <c r="E1620" i="1"/>
  <c r="E1647" i="1"/>
  <c r="D1594" i="1"/>
  <c r="D1563" i="1"/>
  <c r="E1537" i="1"/>
  <c r="F1563" i="1"/>
  <c r="F1594" i="1"/>
  <c r="E1564" i="1"/>
  <c r="E1488" i="1"/>
  <c r="D1486" i="1"/>
  <c r="D1461" i="1"/>
  <c r="E1462" i="1"/>
  <c r="E1515" i="1"/>
  <c r="F1513" i="1"/>
  <c r="F1485" i="1"/>
  <c r="E1404" i="1"/>
  <c r="D1402" i="1"/>
  <c r="E1377" i="1"/>
  <c r="D1376" i="1"/>
  <c r="F1435" i="1"/>
  <c r="F1404" i="1"/>
  <c r="E1435" i="1"/>
  <c r="E1307" i="1"/>
  <c r="D1346" i="1"/>
  <c r="D1306" i="1"/>
  <c r="E1274" i="1"/>
  <c r="F1345" i="1"/>
  <c r="F1305" i="1"/>
  <c r="F1304" i="1"/>
  <c r="E1210" i="1"/>
  <c r="E1246" i="1"/>
  <c r="D1208" i="1"/>
  <c r="D1177" i="1"/>
  <c r="E1178" i="1"/>
  <c r="F1244" i="1"/>
  <c r="F1207" i="1"/>
  <c r="E1096" i="1"/>
  <c r="D1141" i="1"/>
  <c r="D1095" i="1"/>
  <c r="D1058" i="1"/>
  <c r="E1059" i="1"/>
  <c r="F1143" i="1"/>
  <c r="F1098" i="1"/>
  <c r="E992" i="1"/>
  <c r="D1027" i="1"/>
  <c r="D991" i="1"/>
  <c r="E965" i="1"/>
  <c r="D964" i="1"/>
  <c r="F1032" i="1"/>
  <c r="F999" i="1"/>
  <c r="F998" i="1"/>
  <c r="F883" i="1"/>
  <c r="F932" i="1"/>
  <c r="F884" i="1"/>
  <c r="E886" i="1"/>
  <c r="D885" i="1"/>
  <c r="D933" i="1"/>
  <c r="E846" i="1"/>
  <c r="D845" i="1"/>
  <c r="F806" i="1"/>
  <c r="F757" i="1"/>
  <c r="E752" i="1"/>
  <c r="D802" i="1"/>
  <c r="D751" i="1"/>
  <c r="E715" i="1"/>
  <c r="D714" i="1"/>
  <c r="E645" i="1"/>
  <c r="E609" i="1"/>
  <c r="D608" i="1"/>
  <c r="D643" i="1"/>
  <c r="F687" i="1"/>
  <c r="F645" i="1"/>
  <c r="E687" i="1"/>
  <c r="A395" i="1"/>
  <c r="E522" i="1"/>
  <c r="F571" i="1"/>
  <c r="F520" i="1"/>
  <c r="F521" i="1"/>
  <c r="D520" i="1"/>
  <c r="D478" i="1"/>
  <c r="E479" i="1"/>
  <c r="E572" i="1"/>
  <c r="E347" i="1"/>
  <c r="D346" i="1"/>
  <c r="D388" i="1"/>
  <c r="E390" i="1"/>
  <c r="F439" i="1"/>
  <c r="F389" i="1"/>
  <c r="F388" i="1"/>
  <c r="E440" i="1"/>
  <c r="E267" i="1"/>
  <c r="F313" i="1"/>
  <c r="F272" i="1"/>
  <c r="F271" i="1"/>
  <c r="D265" i="1"/>
  <c r="E232" i="1"/>
  <c r="D231" i="1"/>
  <c r="E310" i="1"/>
  <c r="B72" i="1"/>
  <c r="E154" i="1"/>
  <c r="F194" i="1"/>
  <c r="F147" i="1"/>
  <c r="F146" i="1"/>
  <c r="D152" i="1"/>
  <c r="E116" i="1"/>
  <c r="D115" i="1"/>
  <c r="E199" i="1"/>
  <c r="D85" i="1"/>
  <c r="D46" i="1"/>
  <c r="E13" i="1"/>
  <c r="H13" i="1"/>
  <c r="E47" i="1"/>
  <c r="F86" i="1"/>
  <c r="F48" i="1"/>
  <c r="F47" i="1"/>
  <c r="A121" i="4"/>
  <c r="D219" i="4"/>
  <c r="D104" i="4"/>
  <c r="E17" i="4"/>
  <c r="H17" i="4"/>
  <c r="D16" i="4"/>
  <c r="D102" i="4" s="1"/>
  <c r="G17" i="4"/>
  <c r="F221" i="4"/>
  <c r="F107" i="4"/>
  <c r="F18" i="4"/>
  <c r="B70" i="4"/>
  <c r="G69" i="4" s="1"/>
  <c r="G68" i="4"/>
  <c r="F2077" i="1" l="1"/>
  <c r="F2026" i="1"/>
  <c r="E2030" i="1"/>
  <c r="D2079" i="1"/>
  <c r="D2029" i="1"/>
  <c r="D1991" i="1"/>
  <c r="E1992" i="1"/>
  <c r="E1935" i="1"/>
  <c r="D1966" i="1"/>
  <c r="D1934" i="1"/>
  <c r="E1909" i="1"/>
  <c r="D1908" i="1"/>
  <c r="F1966" i="1"/>
  <c r="F1934" i="1"/>
  <c r="D1834" i="1"/>
  <c r="E1804" i="1"/>
  <c r="D1803" i="1"/>
  <c r="F1877" i="1"/>
  <c r="F1836" i="1"/>
  <c r="E1877" i="1"/>
  <c r="E1836" i="1"/>
  <c r="E1729" i="1"/>
  <c r="F1774" i="1"/>
  <c r="F1734" i="1"/>
  <c r="F1733" i="1"/>
  <c r="D1727" i="1"/>
  <c r="D1697" i="1"/>
  <c r="E1698" i="1"/>
  <c r="E1771" i="1"/>
  <c r="D1644" i="1"/>
  <c r="D1618" i="1"/>
  <c r="E1619" i="1"/>
  <c r="F1676" i="1"/>
  <c r="F1645" i="1"/>
  <c r="F1644" i="1"/>
  <c r="E1677" i="1"/>
  <c r="E1646" i="1"/>
  <c r="E1563" i="1"/>
  <c r="F1593" i="1"/>
  <c r="F1561" i="1"/>
  <c r="F1562" i="1"/>
  <c r="D1561" i="1"/>
  <c r="E1536" i="1"/>
  <c r="D1535" i="1"/>
  <c r="E1594" i="1"/>
  <c r="F1512" i="1"/>
  <c r="F1484" i="1"/>
  <c r="F1483" i="1"/>
  <c r="E1486" i="1"/>
  <c r="D1513" i="1"/>
  <c r="D1485" i="1"/>
  <c r="E1461" i="1"/>
  <c r="D1433" i="1"/>
  <c r="D1401" i="1"/>
  <c r="E1376" i="1"/>
  <c r="D1375" i="1"/>
  <c r="F1434" i="1"/>
  <c r="F1403" i="1"/>
  <c r="F1402" i="1"/>
  <c r="E1402" i="1"/>
  <c r="D1304" i="1"/>
  <c r="D1272" i="1"/>
  <c r="E1273" i="1"/>
  <c r="F1344" i="1"/>
  <c r="F1303" i="1"/>
  <c r="E1306" i="1"/>
  <c r="E1346" i="1"/>
  <c r="D1244" i="1"/>
  <c r="D1207" i="1"/>
  <c r="E1177" i="1"/>
  <c r="E1208" i="1"/>
  <c r="F1206" i="1"/>
  <c r="F1205" i="1"/>
  <c r="F1243" i="1"/>
  <c r="E1095" i="1"/>
  <c r="F1142" i="1"/>
  <c r="F1096" i="1"/>
  <c r="F1097" i="1"/>
  <c r="E1141" i="1"/>
  <c r="E1058" i="1"/>
  <c r="D1093" i="1"/>
  <c r="D1057" i="1"/>
  <c r="D989" i="1"/>
  <c r="E964" i="1"/>
  <c r="D963" i="1"/>
  <c r="E1027" i="1"/>
  <c r="F1031" i="1"/>
  <c r="F997" i="1"/>
  <c r="E991" i="1"/>
  <c r="E845" i="1"/>
  <c r="D844" i="1"/>
  <c r="D883" i="1"/>
  <c r="E885" i="1"/>
  <c r="E933" i="1"/>
  <c r="F931" i="1"/>
  <c r="F882" i="1"/>
  <c r="E751" i="1"/>
  <c r="E802" i="1"/>
  <c r="D749" i="1"/>
  <c r="D713" i="1"/>
  <c r="E714" i="1"/>
  <c r="F805" i="1"/>
  <c r="F756" i="1"/>
  <c r="F755" i="1"/>
  <c r="F686" i="1"/>
  <c r="F644" i="1"/>
  <c r="F643" i="1"/>
  <c r="E643" i="1"/>
  <c r="D685" i="1"/>
  <c r="D642" i="1"/>
  <c r="E608" i="1"/>
  <c r="D607" i="1"/>
  <c r="A396" i="1"/>
  <c r="A397" i="1" s="1"/>
  <c r="E520" i="1"/>
  <c r="F570" i="1"/>
  <c r="F519" i="1"/>
  <c r="D570" i="1"/>
  <c r="D519" i="1"/>
  <c r="E478" i="1"/>
  <c r="F438" i="1"/>
  <c r="F387" i="1"/>
  <c r="E388" i="1"/>
  <c r="D438" i="1"/>
  <c r="E346" i="1"/>
  <c r="D387" i="1"/>
  <c r="D345" i="1"/>
  <c r="E265" i="1"/>
  <c r="D308" i="1"/>
  <c r="D264" i="1"/>
  <c r="E231" i="1"/>
  <c r="F312" i="1"/>
  <c r="F270" i="1"/>
  <c r="B73" i="1"/>
  <c r="E152" i="1"/>
  <c r="F193" i="1"/>
  <c r="F145" i="1"/>
  <c r="D197" i="1"/>
  <c r="D151" i="1"/>
  <c r="E115" i="1"/>
  <c r="D114" i="1"/>
  <c r="E46" i="1"/>
  <c r="D44" i="1"/>
  <c r="H12" i="1"/>
  <c r="D11" i="1"/>
  <c r="G11" i="1" s="1"/>
  <c r="E12" i="1"/>
  <c r="F85" i="1"/>
  <c r="F46" i="1"/>
  <c r="E85" i="1"/>
  <c r="A122" i="4"/>
  <c r="A123" i="4" s="1"/>
  <c r="H104" i="4"/>
  <c r="E104" i="4"/>
  <c r="H102" i="4"/>
  <c r="E102" i="4"/>
  <c r="H219" i="4"/>
  <c r="E219" i="4"/>
  <c r="D15" i="4"/>
  <c r="H16" i="4"/>
  <c r="E16" i="4"/>
  <c r="G16" i="4"/>
  <c r="F106" i="4"/>
  <c r="F220" i="4"/>
  <c r="F17" i="4"/>
  <c r="F105" i="4"/>
  <c r="B71" i="4"/>
  <c r="E2079" i="1" l="1"/>
  <c r="D2027" i="1"/>
  <c r="E1991" i="1"/>
  <c r="D1990" i="1"/>
  <c r="E2029" i="1"/>
  <c r="F2024" i="1"/>
  <c r="F2076" i="1"/>
  <c r="F2025" i="1"/>
  <c r="E1934" i="1"/>
  <c r="F1965" i="1"/>
  <c r="F1933" i="1"/>
  <c r="F1932" i="1"/>
  <c r="D1932" i="1"/>
  <c r="D1907" i="1"/>
  <c r="E1908" i="1"/>
  <c r="E1966" i="1"/>
  <c r="F1835" i="1"/>
  <c r="F1834" i="1"/>
  <c r="F1876" i="1"/>
  <c r="D1875" i="1"/>
  <c r="D1833" i="1"/>
  <c r="E1803" i="1"/>
  <c r="E1834" i="1"/>
  <c r="E1727" i="1"/>
  <c r="F1773" i="1"/>
  <c r="F1732" i="1"/>
  <c r="D1769" i="1"/>
  <c r="D1726" i="1"/>
  <c r="E1697" i="1"/>
  <c r="F1675" i="1"/>
  <c r="F1643" i="1"/>
  <c r="E1644" i="1"/>
  <c r="D1675" i="1"/>
  <c r="E1618" i="1"/>
  <c r="D1643" i="1"/>
  <c r="E1561" i="1"/>
  <c r="D1592" i="1"/>
  <c r="D1560" i="1"/>
  <c r="E1535" i="1"/>
  <c r="F1592" i="1"/>
  <c r="F1560" i="1"/>
  <c r="E1485" i="1"/>
  <c r="F1482" i="1"/>
  <c r="F1511" i="1"/>
  <c r="E1513" i="1"/>
  <c r="D1483" i="1"/>
  <c r="E1460" i="1"/>
  <c r="D1459" i="1"/>
  <c r="D1399" i="1"/>
  <c r="D1374" i="1"/>
  <c r="E1375" i="1"/>
  <c r="E1401" i="1"/>
  <c r="F1433" i="1"/>
  <c r="F1401" i="1"/>
  <c r="E1433" i="1"/>
  <c r="F1343" i="1"/>
  <c r="F1302" i="1"/>
  <c r="F1301" i="1"/>
  <c r="D1303" i="1"/>
  <c r="D1344" i="1"/>
  <c r="D1271" i="1"/>
  <c r="E1272" i="1"/>
  <c r="E1304" i="1"/>
  <c r="D1175" i="1"/>
  <c r="E1176" i="1"/>
  <c r="D1205" i="1"/>
  <c r="F1204" i="1"/>
  <c r="F1242" i="1"/>
  <c r="E1207" i="1"/>
  <c r="E1244" i="1"/>
  <c r="E1093" i="1"/>
  <c r="F1141" i="1"/>
  <c r="F1095" i="1"/>
  <c r="D1139" i="1"/>
  <c r="E1057" i="1"/>
  <c r="D1092" i="1"/>
  <c r="D1025" i="1"/>
  <c r="D988" i="1"/>
  <c r="E963" i="1"/>
  <c r="F1030" i="1"/>
  <c r="F995" i="1"/>
  <c r="F996" i="1"/>
  <c r="E989" i="1"/>
  <c r="D882" i="1"/>
  <c r="E844" i="1"/>
  <c r="D843" i="1"/>
  <c r="D931" i="1"/>
  <c r="F881" i="1"/>
  <c r="F880" i="1"/>
  <c r="F930" i="1"/>
  <c r="E883" i="1"/>
  <c r="F804" i="1"/>
  <c r="F754" i="1"/>
  <c r="D800" i="1"/>
  <c r="D748" i="1"/>
  <c r="E713" i="1"/>
  <c r="E749" i="1"/>
  <c r="F685" i="1"/>
  <c r="F642" i="1"/>
  <c r="D640" i="1"/>
  <c r="E607" i="1"/>
  <c r="D606" i="1"/>
  <c r="E685" i="1"/>
  <c r="E642" i="1"/>
  <c r="A398" i="1"/>
  <c r="D517" i="1"/>
  <c r="D476" i="1"/>
  <c r="E477" i="1"/>
  <c r="E519" i="1"/>
  <c r="E570" i="1"/>
  <c r="F518" i="1"/>
  <c r="F517" i="1"/>
  <c r="F569" i="1"/>
  <c r="D385" i="1"/>
  <c r="E345" i="1"/>
  <c r="D344" i="1"/>
  <c r="E438" i="1"/>
  <c r="E387" i="1"/>
  <c r="F437" i="1"/>
  <c r="F386" i="1"/>
  <c r="F385" i="1"/>
  <c r="E264" i="1"/>
  <c r="D229" i="1"/>
  <c r="D262" i="1"/>
  <c r="E230" i="1"/>
  <c r="E308" i="1"/>
  <c r="F311" i="1"/>
  <c r="F269" i="1"/>
  <c r="F268" i="1"/>
  <c r="B74" i="1"/>
  <c r="E197" i="1"/>
  <c r="D149" i="1"/>
  <c r="E114" i="1"/>
  <c r="D113" i="1"/>
  <c r="E151" i="1"/>
  <c r="F192" i="1"/>
  <c r="F144" i="1"/>
  <c r="F143" i="1"/>
  <c r="D83" i="1"/>
  <c r="D43" i="1"/>
  <c r="H11" i="1"/>
  <c r="D10" i="1"/>
  <c r="G10" i="1" s="1"/>
  <c r="E11" i="1"/>
  <c r="F84" i="1"/>
  <c r="F45" i="1"/>
  <c r="F44" i="1"/>
  <c r="E44" i="1"/>
  <c r="D217" i="4"/>
  <c r="D101" i="4"/>
  <c r="A124" i="4"/>
  <c r="E15" i="4"/>
  <c r="D14" i="4"/>
  <c r="D99" i="4" s="1"/>
  <c r="H15" i="4"/>
  <c r="G15" i="4"/>
  <c r="F16" i="4"/>
  <c r="F104" i="4"/>
  <c r="F219" i="4"/>
  <c r="B72" i="4"/>
  <c r="G70" i="4"/>
  <c r="E2027" i="1" l="1"/>
  <c r="F2075" i="1"/>
  <c r="F2023" i="1"/>
  <c r="D2077" i="1"/>
  <c r="D2026" i="1"/>
  <c r="E1990" i="1"/>
  <c r="D1989" i="1"/>
  <c r="E1932" i="1"/>
  <c r="F1964" i="1"/>
  <c r="F1931" i="1"/>
  <c r="D1964" i="1"/>
  <c r="D1931" i="1"/>
  <c r="E1907" i="1"/>
  <c r="E1833" i="1"/>
  <c r="D1801" i="1"/>
  <c r="D1831" i="1"/>
  <c r="E1802" i="1"/>
  <c r="F1875" i="1"/>
  <c r="F1833" i="1"/>
  <c r="E1875" i="1"/>
  <c r="E1726" i="1"/>
  <c r="E1769" i="1"/>
  <c r="F1772" i="1"/>
  <c r="F1731" i="1"/>
  <c r="F1730" i="1"/>
  <c r="E1643" i="1"/>
  <c r="E1675" i="1"/>
  <c r="F1674" i="1"/>
  <c r="F1642" i="1"/>
  <c r="F1641" i="1"/>
  <c r="D1641" i="1"/>
  <c r="E1617" i="1"/>
  <c r="D1616" i="1"/>
  <c r="E1560" i="1"/>
  <c r="F1558" i="1"/>
  <c r="F1559" i="1"/>
  <c r="F1591" i="1"/>
  <c r="D1558" i="1"/>
  <c r="E1534" i="1"/>
  <c r="D1533" i="1"/>
  <c r="E1592" i="1"/>
  <c r="D1511" i="1"/>
  <c r="D1482" i="1"/>
  <c r="E1459" i="1"/>
  <c r="F1510" i="1"/>
  <c r="F1481" i="1"/>
  <c r="F1480" i="1"/>
  <c r="E1483" i="1"/>
  <c r="F1432" i="1"/>
  <c r="F1400" i="1"/>
  <c r="F1399" i="1"/>
  <c r="D1431" i="1"/>
  <c r="D1398" i="1"/>
  <c r="E1374" i="1"/>
  <c r="E1399" i="1"/>
  <c r="F1342" i="1"/>
  <c r="F1300" i="1"/>
  <c r="D1301" i="1"/>
  <c r="D1270" i="1"/>
  <c r="E1271" i="1"/>
  <c r="E1344" i="1"/>
  <c r="E1303" i="1"/>
  <c r="D1242" i="1"/>
  <c r="D1204" i="1"/>
  <c r="E1175" i="1"/>
  <c r="F1241" i="1"/>
  <c r="F1202" i="1"/>
  <c r="F1203" i="1"/>
  <c r="E1205" i="1"/>
  <c r="E1092" i="1"/>
  <c r="E1139" i="1"/>
  <c r="D1090" i="1"/>
  <c r="E1056" i="1"/>
  <c r="D1055" i="1"/>
  <c r="F1140" i="1"/>
  <c r="F1093" i="1"/>
  <c r="F1094" i="1"/>
  <c r="E988" i="1"/>
  <c r="E1025" i="1"/>
  <c r="F1029" i="1"/>
  <c r="F994" i="1"/>
  <c r="D880" i="1"/>
  <c r="E843" i="1"/>
  <c r="D842" i="1"/>
  <c r="F929" i="1"/>
  <c r="F879" i="1"/>
  <c r="E931" i="1"/>
  <c r="E882" i="1"/>
  <c r="F803" i="1"/>
  <c r="F753" i="1"/>
  <c r="F752" i="1"/>
  <c r="E748" i="1"/>
  <c r="E800" i="1"/>
  <c r="E640" i="1"/>
  <c r="D683" i="1"/>
  <c r="D639" i="1"/>
  <c r="E606" i="1"/>
  <c r="F684" i="1"/>
  <c r="F640" i="1"/>
  <c r="F641" i="1"/>
  <c r="A399" i="1"/>
  <c r="A400" i="1" s="1"/>
  <c r="E517" i="1"/>
  <c r="F516" i="1"/>
  <c r="F568" i="1"/>
  <c r="D568" i="1"/>
  <c r="D475" i="1"/>
  <c r="D516" i="1"/>
  <c r="E476" i="1"/>
  <c r="D436" i="1"/>
  <c r="D384" i="1"/>
  <c r="E344" i="1"/>
  <c r="D343" i="1"/>
  <c r="F436" i="1"/>
  <c r="F384" i="1"/>
  <c r="E385" i="1"/>
  <c r="F310" i="1"/>
  <c r="F267" i="1"/>
  <c r="E262" i="1"/>
  <c r="D306" i="1"/>
  <c r="D261" i="1"/>
  <c r="D228" i="1"/>
  <c r="E229" i="1"/>
  <c r="B75" i="1"/>
  <c r="D195" i="1"/>
  <c r="D112" i="1"/>
  <c r="D148" i="1"/>
  <c r="E113" i="1"/>
  <c r="F191" i="1"/>
  <c r="F142" i="1"/>
  <c r="E149" i="1"/>
  <c r="E43" i="1"/>
  <c r="F83" i="1"/>
  <c r="F43" i="1"/>
  <c r="E83" i="1"/>
  <c r="D41" i="1"/>
  <c r="E10" i="1"/>
  <c r="D9" i="1"/>
  <c r="G9" i="1" s="1"/>
  <c r="H10" i="1"/>
  <c r="H217" i="4"/>
  <c r="E217" i="4"/>
  <c r="A125" i="4"/>
  <c r="A126" i="4" s="1"/>
  <c r="H99" i="4"/>
  <c r="E99" i="4"/>
  <c r="H101" i="4"/>
  <c r="E101" i="4"/>
  <c r="H14" i="4"/>
  <c r="D13" i="4"/>
  <c r="E14" i="4"/>
  <c r="G14" i="4"/>
  <c r="F15" i="4"/>
  <c r="F103" i="4"/>
  <c r="F102" i="4"/>
  <c r="F218" i="4"/>
  <c r="B73" i="4"/>
  <c r="G71" i="4"/>
  <c r="E2026" i="1" l="1"/>
  <c r="D2024" i="1"/>
  <c r="D1988" i="1"/>
  <c r="E1989" i="1"/>
  <c r="E2077" i="1"/>
  <c r="E1931" i="1"/>
  <c r="F1963" i="1"/>
  <c r="F1930" i="1"/>
  <c r="F1929" i="1"/>
  <c r="E1964" i="1"/>
  <c r="D1929" i="1"/>
  <c r="E1906" i="1"/>
  <c r="D1905" i="1"/>
  <c r="D1873" i="1"/>
  <c r="D1830" i="1"/>
  <c r="E1801" i="1"/>
  <c r="F1874" i="1"/>
  <c r="F1832" i="1"/>
  <c r="F1831" i="1"/>
  <c r="E1831" i="1"/>
  <c r="F1729" i="1"/>
  <c r="F1771" i="1"/>
  <c r="F1673" i="1"/>
  <c r="F1640" i="1"/>
  <c r="E1641" i="1"/>
  <c r="D1673" i="1"/>
  <c r="D1640" i="1"/>
  <c r="E1616" i="1"/>
  <c r="D1615" i="1"/>
  <c r="E1558" i="1"/>
  <c r="D1590" i="1"/>
  <c r="D1557" i="1"/>
  <c r="E1533" i="1"/>
  <c r="F1590" i="1"/>
  <c r="F1557" i="1"/>
  <c r="F1509" i="1"/>
  <c r="F1479" i="1"/>
  <c r="E1482" i="1"/>
  <c r="D1457" i="1"/>
  <c r="D1480" i="1"/>
  <c r="E1458" i="1"/>
  <c r="E1511" i="1"/>
  <c r="D1396" i="1"/>
  <c r="D1372" i="1"/>
  <c r="E1373" i="1"/>
  <c r="E1398" i="1"/>
  <c r="E1431" i="1"/>
  <c r="F1431" i="1"/>
  <c r="F1398" i="1"/>
  <c r="E1301" i="1"/>
  <c r="D1342" i="1"/>
  <c r="D1300" i="1"/>
  <c r="E1270" i="1"/>
  <c r="F1299" i="1"/>
  <c r="F1298" i="1"/>
  <c r="F1341" i="1"/>
  <c r="F1240" i="1"/>
  <c r="F1201" i="1"/>
  <c r="E1204" i="1"/>
  <c r="D1202" i="1"/>
  <c r="E1174" i="1"/>
  <c r="D1173" i="1"/>
  <c r="E1242" i="1"/>
  <c r="D1137" i="1"/>
  <c r="E1055" i="1"/>
  <c r="D1089" i="1"/>
  <c r="D1054" i="1"/>
  <c r="E1090" i="1"/>
  <c r="F1139" i="1"/>
  <c r="F1092" i="1"/>
  <c r="F1028" i="1"/>
  <c r="F993" i="1"/>
  <c r="F992" i="1"/>
  <c r="F928" i="1"/>
  <c r="F878" i="1"/>
  <c r="F877" i="1"/>
  <c r="D879" i="1"/>
  <c r="E842" i="1"/>
  <c r="D929" i="1"/>
  <c r="E880" i="1"/>
  <c r="F802" i="1"/>
  <c r="F751" i="1"/>
  <c r="D637" i="1"/>
  <c r="D604" i="1"/>
  <c r="E605" i="1"/>
  <c r="E683" i="1"/>
  <c r="F639" i="1"/>
  <c r="F683" i="1"/>
  <c r="E639" i="1"/>
  <c r="A401" i="1"/>
  <c r="D514" i="1"/>
  <c r="E475" i="1"/>
  <c r="D474" i="1"/>
  <c r="F567" i="1"/>
  <c r="F515" i="1"/>
  <c r="F514" i="1"/>
  <c r="E568" i="1"/>
  <c r="E516" i="1"/>
  <c r="F435" i="1"/>
  <c r="F382" i="1"/>
  <c r="F383" i="1"/>
  <c r="E384" i="1"/>
  <c r="D382" i="1"/>
  <c r="E343" i="1"/>
  <c r="D342" i="1"/>
  <c r="E436" i="1"/>
  <c r="F309" i="1"/>
  <c r="F266" i="1"/>
  <c r="F265" i="1"/>
  <c r="D259" i="1"/>
  <c r="E228" i="1"/>
  <c r="D227" i="1"/>
  <c r="E261" i="1"/>
  <c r="E306" i="1"/>
  <c r="B76" i="1"/>
  <c r="D111" i="1"/>
  <c r="D146" i="1"/>
  <c r="E112" i="1"/>
  <c r="E195" i="1"/>
  <c r="E148" i="1"/>
  <c r="D81" i="1"/>
  <c r="D40" i="1"/>
  <c r="E9" i="1"/>
  <c r="H9" i="1"/>
  <c r="F82" i="1"/>
  <c r="F42" i="1"/>
  <c r="F41" i="1"/>
  <c r="E41" i="1"/>
  <c r="A127" i="4"/>
  <c r="D215" i="4"/>
  <c r="D98" i="4"/>
  <c r="E13" i="4"/>
  <c r="D12" i="4"/>
  <c r="D96" i="4" s="1"/>
  <c r="H13" i="4"/>
  <c r="G13" i="4"/>
  <c r="F101" i="4"/>
  <c r="F217" i="4"/>
  <c r="F14" i="4"/>
  <c r="B74" i="4"/>
  <c r="G72" i="4"/>
  <c r="D2075" i="1" l="1"/>
  <c r="D2023" i="1"/>
  <c r="E1988" i="1"/>
  <c r="E2024" i="1"/>
  <c r="F1962" i="1"/>
  <c r="F1928" i="1"/>
  <c r="E1929" i="1"/>
  <c r="D1962" i="1"/>
  <c r="D1928" i="1"/>
  <c r="E1905" i="1"/>
  <c r="E1873" i="1"/>
  <c r="F1873" i="1"/>
  <c r="F1830" i="1"/>
  <c r="E1830" i="1"/>
  <c r="F1770" i="1"/>
  <c r="F1728" i="1"/>
  <c r="F1727" i="1"/>
  <c r="E1640" i="1"/>
  <c r="F1672" i="1"/>
  <c r="F1639" i="1"/>
  <c r="F1638" i="1"/>
  <c r="E1615" i="1"/>
  <c r="D1614" i="1"/>
  <c r="D1638" i="1"/>
  <c r="E1673" i="1"/>
  <c r="D1555" i="1"/>
  <c r="D1531" i="1"/>
  <c r="E1532" i="1"/>
  <c r="E1557" i="1"/>
  <c r="F1589" i="1"/>
  <c r="F1555" i="1"/>
  <c r="F1556" i="1"/>
  <c r="E1590" i="1"/>
  <c r="F1508" i="1"/>
  <c r="F1478" i="1"/>
  <c r="F1477" i="1"/>
  <c r="E1480" i="1"/>
  <c r="D1509" i="1"/>
  <c r="D1479" i="1"/>
  <c r="E1457" i="1"/>
  <c r="D1429" i="1"/>
  <c r="D1395" i="1"/>
  <c r="E1372" i="1"/>
  <c r="F1430" i="1"/>
  <c r="F1397" i="1"/>
  <c r="F1396" i="1"/>
  <c r="E1396" i="1"/>
  <c r="D1298" i="1"/>
  <c r="E1269" i="1"/>
  <c r="D1268" i="1"/>
  <c r="F1297" i="1"/>
  <c r="F1340" i="1"/>
  <c r="E1300" i="1"/>
  <c r="E1342" i="1"/>
  <c r="E1202" i="1"/>
  <c r="D1240" i="1"/>
  <c r="D1201" i="1"/>
  <c r="E1173" i="1"/>
  <c r="F1199" i="1"/>
  <c r="F1239" i="1"/>
  <c r="F1200" i="1"/>
  <c r="F1138" i="1"/>
  <c r="F1091" i="1"/>
  <c r="F1090" i="1"/>
  <c r="E1089" i="1"/>
  <c r="E1054" i="1"/>
  <c r="D1053" i="1"/>
  <c r="D1087" i="1"/>
  <c r="E1137" i="1"/>
  <c r="F1027" i="1"/>
  <c r="F991" i="1"/>
  <c r="E929" i="1"/>
  <c r="D840" i="1"/>
  <c r="D877" i="1"/>
  <c r="E841" i="1"/>
  <c r="E879" i="1"/>
  <c r="F927" i="1"/>
  <c r="F876" i="1"/>
  <c r="F750" i="1"/>
  <c r="F749" i="1"/>
  <c r="F801" i="1"/>
  <c r="E637" i="1"/>
  <c r="D681" i="1"/>
  <c r="D636" i="1"/>
  <c r="D603" i="1"/>
  <c r="E604" i="1"/>
  <c r="F682" i="1"/>
  <c r="F637" i="1"/>
  <c r="F638" i="1"/>
  <c r="A402" i="1"/>
  <c r="A403" i="1" s="1"/>
  <c r="F566" i="1"/>
  <c r="F513" i="1"/>
  <c r="D566" i="1"/>
  <c r="D513" i="1"/>
  <c r="E474" i="1"/>
  <c r="D473" i="1"/>
  <c r="E514" i="1"/>
  <c r="F434" i="1"/>
  <c r="F381" i="1"/>
  <c r="E382" i="1"/>
  <c r="D434" i="1"/>
  <c r="D381" i="1"/>
  <c r="E342" i="1"/>
  <c r="D304" i="1"/>
  <c r="D258" i="1"/>
  <c r="E227" i="1"/>
  <c r="F308" i="1"/>
  <c r="F264" i="1"/>
  <c r="E259" i="1"/>
  <c r="B77" i="1"/>
  <c r="E146" i="1"/>
  <c r="D193" i="1"/>
  <c r="E111" i="1"/>
  <c r="D145" i="1"/>
  <c r="F81" i="1"/>
  <c r="F40" i="1"/>
  <c r="E40" i="1"/>
  <c r="D38" i="1"/>
  <c r="E8" i="1"/>
  <c r="H8" i="1"/>
  <c r="D7" i="1"/>
  <c r="G7" i="1" s="1"/>
  <c r="E81" i="1"/>
  <c r="A128" i="4"/>
  <c r="A129" i="4" s="1"/>
  <c r="E98" i="4"/>
  <c r="H98" i="4"/>
  <c r="H215" i="4"/>
  <c r="E215" i="4"/>
  <c r="H96" i="4"/>
  <c r="E96" i="4"/>
  <c r="D11" i="4"/>
  <c r="H12" i="4"/>
  <c r="E12" i="4"/>
  <c r="G12" i="4"/>
  <c r="F13" i="4"/>
  <c r="F99" i="4"/>
  <c r="F216" i="4"/>
  <c r="F100" i="4"/>
  <c r="B75" i="4"/>
  <c r="G74" i="4" s="1"/>
  <c r="G73" i="4"/>
  <c r="E2023" i="1" l="1"/>
  <c r="E2075" i="1"/>
  <c r="E1962" i="1"/>
  <c r="E1928" i="1"/>
  <c r="F1726" i="1"/>
  <c r="F1769" i="1"/>
  <c r="E1638" i="1"/>
  <c r="D1671" i="1"/>
  <c r="D1637" i="1"/>
  <c r="E1614" i="1"/>
  <c r="F1671" i="1"/>
  <c r="F1637" i="1"/>
  <c r="F1588" i="1"/>
  <c r="F1554" i="1"/>
  <c r="D1588" i="1"/>
  <c r="D1554" i="1"/>
  <c r="E1531" i="1"/>
  <c r="E1555" i="1"/>
  <c r="E1509" i="1"/>
  <c r="D1477" i="1"/>
  <c r="E1456" i="1"/>
  <c r="D1455" i="1"/>
  <c r="F1507" i="1"/>
  <c r="F1476" i="1"/>
  <c r="E1479" i="1"/>
  <c r="E1395" i="1"/>
  <c r="F1429" i="1"/>
  <c r="F1395" i="1"/>
  <c r="E1429" i="1"/>
  <c r="D1340" i="1"/>
  <c r="D1297" i="1"/>
  <c r="E1268" i="1"/>
  <c r="E1298" i="1"/>
  <c r="D1199" i="1"/>
  <c r="E1172" i="1"/>
  <c r="D1171" i="1"/>
  <c r="E1240" i="1"/>
  <c r="F1238" i="1"/>
  <c r="F1198" i="1"/>
  <c r="E1201" i="1"/>
  <c r="D1135" i="1"/>
  <c r="D1086" i="1"/>
  <c r="E1053" i="1"/>
  <c r="F1137" i="1"/>
  <c r="F1089" i="1"/>
  <c r="E1087" i="1"/>
  <c r="F1026" i="1"/>
  <c r="F990" i="1"/>
  <c r="F989" i="1"/>
  <c r="F926" i="1"/>
  <c r="F875" i="1"/>
  <c r="F874" i="1"/>
  <c r="D927" i="1"/>
  <c r="D839" i="1"/>
  <c r="D876" i="1"/>
  <c r="E840" i="1"/>
  <c r="E877" i="1"/>
  <c r="F800" i="1"/>
  <c r="F748" i="1"/>
  <c r="E681" i="1"/>
  <c r="F681" i="1"/>
  <c r="F636" i="1"/>
  <c r="E636" i="1"/>
  <c r="D602" i="1"/>
  <c r="D634" i="1"/>
  <c r="E603" i="1"/>
  <c r="A404" i="1"/>
  <c r="E513" i="1"/>
  <c r="F565" i="1"/>
  <c r="F512" i="1"/>
  <c r="F511" i="1"/>
  <c r="D511" i="1"/>
  <c r="E473" i="1"/>
  <c r="D472" i="1"/>
  <c r="E566" i="1"/>
  <c r="F433" i="1"/>
  <c r="F380" i="1"/>
  <c r="F379" i="1"/>
  <c r="E381" i="1"/>
  <c r="E434" i="1"/>
  <c r="D379" i="1"/>
  <c r="D340" i="1"/>
  <c r="E341" i="1"/>
  <c r="F307" i="1"/>
  <c r="F263" i="1"/>
  <c r="F262" i="1"/>
  <c r="E258" i="1"/>
  <c r="E304" i="1"/>
  <c r="B78" i="1"/>
  <c r="E145" i="1"/>
  <c r="E193" i="1"/>
  <c r="D143" i="1"/>
  <c r="E110" i="1"/>
  <c r="D109" i="1"/>
  <c r="F80" i="1"/>
  <c r="F38" i="1"/>
  <c r="F39" i="1"/>
  <c r="E38" i="1"/>
  <c r="D79" i="1"/>
  <c r="D37" i="1"/>
  <c r="E7" i="1"/>
  <c r="H7" i="1"/>
  <c r="D6" i="1"/>
  <c r="G6" i="1" s="1"/>
  <c r="D95" i="4"/>
  <c r="D213" i="4"/>
  <c r="A130" i="4"/>
  <c r="E11" i="4"/>
  <c r="D10" i="4"/>
  <c r="D93" i="4" s="1"/>
  <c r="H11" i="4"/>
  <c r="G11" i="4"/>
  <c r="F98" i="4"/>
  <c r="F215" i="4"/>
  <c r="F12" i="4"/>
  <c r="B76" i="4"/>
  <c r="E1637" i="1" l="1"/>
  <c r="E1671" i="1"/>
  <c r="E1554" i="1"/>
  <c r="E1588" i="1"/>
  <c r="E1477" i="1"/>
  <c r="D1507" i="1"/>
  <c r="D1476" i="1"/>
  <c r="E1455" i="1"/>
  <c r="E1297" i="1"/>
  <c r="E1340" i="1"/>
  <c r="D1238" i="1"/>
  <c r="D1198" i="1"/>
  <c r="E1171" i="1"/>
  <c r="E1199" i="1"/>
  <c r="F1136" i="1"/>
  <c r="F1087" i="1"/>
  <c r="F1088" i="1"/>
  <c r="E1086" i="1"/>
  <c r="E1135" i="1"/>
  <c r="F1025" i="1"/>
  <c r="F988" i="1"/>
  <c r="E927" i="1"/>
  <c r="E876" i="1"/>
  <c r="F925" i="1"/>
  <c r="F873" i="1"/>
  <c r="D874" i="1"/>
  <c r="E839" i="1"/>
  <c r="D838" i="1"/>
  <c r="D679" i="1"/>
  <c r="E602" i="1"/>
  <c r="D633" i="1"/>
  <c r="F680" i="1"/>
  <c r="F635" i="1"/>
  <c r="F634" i="1"/>
  <c r="E634" i="1"/>
  <c r="A405" i="1"/>
  <c r="A406" i="1" s="1"/>
  <c r="D564" i="1"/>
  <c r="D510" i="1"/>
  <c r="D471" i="1"/>
  <c r="E472" i="1"/>
  <c r="F564" i="1"/>
  <c r="F510" i="1"/>
  <c r="E511" i="1"/>
  <c r="F378" i="1"/>
  <c r="F432" i="1"/>
  <c r="D432" i="1"/>
  <c r="D378" i="1"/>
  <c r="D339" i="1"/>
  <c r="E340" i="1"/>
  <c r="E379" i="1"/>
  <c r="F306" i="1"/>
  <c r="F261" i="1"/>
  <c r="B79" i="1"/>
  <c r="D191" i="1"/>
  <c r="D142" i="1"/>
  <c r="E109" i="1"/>
  <c r="E143" i="1"/>
  <c r="E37" i="1"/>
  <c r="D35" i="1"/>
  <c r="H6" i="1"/>
  <c r="E6" i="1"/>
  <c r="D5" i="1"/>
  <c r="G5" i="1" s="1"/>
  <c r="E79" i="1"/>
  <c r="F79" i="1"/>
  <c r="F37" i="1"/>
  <c r="H95" i="4"/>
  <c r="E95" i="4"/>
  <c r="A131" i="4"/>
  <c r="A132" i="4" s="1"/>
  <c r="H93" i="4"/>
  <c r="E93" i="4"/>
  <c r="H213" i="4"/>
  <c r="E213" i="4"/>
  <c r="H10" i="4"/>
  <c r="E10" i="4"/>
  <c r="D9" i="4"/>
  <c r="G10" i="4"/>
  <c r="F214" i="4"/>
  <c r="F97" i="4"/>
  <c r="F11" i="4"/>
  <c r="F96" i="4"/>
  <c r="B77" i="4"/>
  <c r="G76" i="4" s="1"/>
  <c r="G75" i="4"/>
  <c r="E1507" i="1" l="1"/>
  <c r="E1476" i="1"/>
  <c r="E1198" i="1"/>
  <c r="E1238" i="1"/>
  <c r="F1135" i="1"/>
  <c r="F1086" i="1"/>
  <c r="E874" i="1"/>
  <c r="D925" i="1"/>
  <c r="D873" i="1"/>
  <c r="E838" i="1"/>
  <c r="E633" i="1"/>
  <c r="F679" i="1"/>
  <c r="F633" i="1"/>
  <c r="E679" i="1"/>
  <c r="A407" i="1"/>
  <c r="D508" i="1"/>
  <c r="D470" i="1"/>
  <c r="E471" i="1"/>
  <c r="E510" i="1"/>
  <c r="F563" i="1"/>
  <c r="F508" i="1"/>
  <c r="F509" i="1"/>
  <c r="E564" i="1"/>
  <c r="E378" i="1"/>
  <c r="E432" i="1"/>
  <c r="D376" i="1"/>
  <c r="E339" i="1"/>
  <c r="D338" i="1"/>
  <c r="F431" i="1"/>
  <c r="F377" i="1"/>
  <c r="F376" i="1"/>
  <c r="F305" i="1"/>
  <c r="F260" i="1"/>
  <c r="F259" i="1"/>
  <c r="B80" i="1"/>
  <c r="E142" i="1"/>
  <c r="E191" i="1"/>
  <c r="F78" i="1"/>
  <c r="F36" i="1"/>
  <c r="F35" i="1"/>
  <c r="E35" i="1"/>
  <c r="D77" i="1"/>
  <c r="D34" i="1"/>
  <c r="H5" i="1"/>
  <c r="E5" i="1"/>
  <c r="A133" i="4"/>
  <c r="D211" i="4"/>
  <c r="D92" i="4"/>
  <c r="E9" i="4"/>
  <c r="H9" i="4"/>
  <c r="D8" i="4"/>
  <c r="D90" i="4" s="1"/>
  <c r="G9" i="4"/>
  <c r="F95" i="4"/>
  <c r="F213" i="4"/>
  <c r="F10" i="4"/>
  <c r="B78" i="4"/>
  <c r="G77" i="4" s="1"/>
  <c r="E873" i="1" l="1"/>
  <c r="E925" i="1"/>
  <c r="A408" i="1"/>
  <c r="A409" i="1" s="1"/>
  <c r="F562" i="1"/>
  <c r="F507" i="1"/>
  <c r="D562" i="1"/>
  <c r="D507" i="1"/>
  <c r="E470" i="1"/>
  <c r="E508" i="1"/>
  <c r="D430" i="1"/>
  <c r="D375" i="1"/>
  <c r="E338" i="1"/>
  <c r="F430" i="1"/>
  <c r="F375" i="1"/>
  <c r="E376" i="1"/>
  <c r="F304" i="1"/>
  <c r="F258" i="1"/>
  <c r="B81" i="1"/>
  <c r="E34" i="1"/>
  <c r="F77" i="1"/>
  <c r="F34" i="1"/>
  <c r="E77" i="1"/>
  <c r="A134" i="4"/>
  <c r="A135" i="4" s="1"/>
  <c r="H92" i="4"/>
  <c r="E92" i="4"/>
  <c r="H90" i="4"/>
  <c r="E90" i="4"/>
  <c r="H211" i="4"/>
  <c r="E211" i="4"/>
  <c r="D7" i="4"/>
  <c r="H8" i="4"/>
  <c r="E8" i="4"/>
  <c r="G8" i="4"/>
  <c r="F94" i="4"/>
  <c r="F93" i="4"/>
  <c r="F9" i="4"/>
  <c r="F212" i="4"/>
  <c r="B79" i="4"/>
  <c r="G78" i="4" s="1"/>
  <c r="A410" i="1" l="1"/>
  <c r="E562" i="1"/>
  <c r="E507" i="1"/>
  <c r="E375" i="1"/>
  <c r="E430" i="1"/>
  <c r="B82" i="1"/>
  <c r="D209" i="4"/>
  <c r="D89" i="4"/>
  <c r="A136" i="4"/>
  <c r="E7" i="4"/>
  <c r="D6" i="4"/>
  <c r="D87" i="4" s="1"/>
  <c r="H7" i="4"/>
  <c r="G7" i="4"/>
  <c r="F211" i="4"/>
  <c r="F8" i="4"/>
  <c r="F92" i="4"/>
  <c r="B80" i="4"/>
  <c r="G79" i="4" s="1"/>
  <c r="A411" i="1" l="1"/>
  <c r="A412" i="1" s="1"/>
  <c r="B83" i="1"/>
  <c r="A137" i="4"/>
  <c r="A138" i="4" s="1"/>
  <c r="H87" i="4"/>
  <c r="E87" i="4"/>
  <c r="E89" i="4"/>
  <c r="H89" i="4"/>
  <c r="E209" i="4"/>
  <c r="H209" i="4"/>
  <c r="H6" i="4"/>
  <c r="D5" i="4"/>
  <c r="E6" i="4"/>
  <c r="G6" i="4"/>
  <c r="F210" i="4"/>
  <c r="F90" i="4"/>
  <c r="F7" i="4"/>
  <c r="F91" i="4"/>
  <c r="B81" i="4"/>
  <c r="G80" i="4" s="1"/>
  <c r="A413" i="1" l="1"/>
  <c r="B84" i="1"/>
  <c r="D207" i="4"/>
  <c r="D86" i="4"/>
  <c r="A139" i="4"/>
  <c r="E5" i="4"/>
  <c r="H5" i="4"/>
  <c r="G5" i="4"/>
  <c r="F89" i="4"/>
  <c r="F209" i="4"/>
  <c r="F6" i="4"/>
  <c r="B82" i="4"/>
  <c r="G81" i="4" s="1"/>
  <c r="A414" i="1" l="1"/>
  <c r="A415" i="1" s="1"/>
  <c r="B85" i="1"/>
  <c r="H207" i="4"/>
  <c r="E207" i="4"/>
  <c r="A140" i="4"/>
  <c r="A141" i="4" s="1"/>
  <c r="H86" i="4"/>
  <c r="E86" i="4"/>
  <c r="F5" i="4"/>
  <c r="F88" i="4"/>
  <c r="F208" i="4"/>
  <c r="F87" i="4"/>
  <c r="B83" i="4"/>
  <c r="G82" i="4" s="1"/>
  <c r="A416" i="1" l="1"/>
  <c r="B86" i="1"/>
  <c r="A142" i="4"/>
  <c r="F207" i="4"/>
  <c r="F86" i="4"/>
  <c r="B84" i="4"/>
  <c r="G83" i="4" s="1"/>
  <c r="A417" i="1" l="1"/>
  <c r="A418" i="1" s="1"/>
  <c r="B87" i="1"/>
  <c r="A143" i="4"/>
  <c r="A144" i="4" s="1"/>
  <c r="B85" i="4"/>
  <c r="G84" i="4" s="1"/>
  <c r="A419" i="1" l="1"/>
  <c r="B88" i="1"/>
  <c r="A145" i="4"/>
  <c r="B86" i="4"/>
  <c r="G85" i="4" s="1"/>
  <c r="A420" i="1" l="1"/>
  <c r="A421" i="1" s="1"/>
  <c r="B89" i="1"/>
  <c r="A146" i="4"/>
  <c r="A147" i="4" s="1"/>
  <c r="B87" i="4"/>
  <c r="A422" i="1" l="1"/>
  <c r="B90" i="1"/>
  <c r="A148" i="4"/>
  <c r="B88" i="4"/>
  <c r="G87" i="4" s="1"/>
  <c r="G86" i="4"/>
  <c r="A423" i="1" l="1"/>
  <c r="A424" i="1" s="1"/>
  <c r="B91" i="1"/>
  <c r="A149" i="4"/>
  <c r="A150" i="4" s="1"/>
  <c r="B89" i="4"/>
  <c r="G88" i="4" s="1"/>
  <c r="A425" i="1" l="1"/>
  <c r="B92" i="1"/>
  <c r="A151" i="4"/>
  <c r="B90" i="4"/>
  <c r="G89" i="4"/>
  <c r="A426" i="1" l="1"/>
  <c r="A427" i="1" s="1"/>
  <c r="B93" i="1"/>
  <c r="A152" i="4"/>
  <c r="A153" i="4" s="1"/>
  <c r="B91" i="4"/>
  <c r="G90" i="4" s="1"/>
  <c r="A428" i="1" l="1"/>
  <c r="B94" i="1"/>
  <c r="A154" i="4"/>
  <c r="B92" i="4"/>
  <c r="A429" i="1" l="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B95" i="1"/>
  <c r="A155" i="4"/>
  <c r="A156" i="4" s="1"/>
  <c r="B93" i="4"/>
  <c r="G91" i="4"/>
  <c r="A468" i="1" l="1"/>
  <c r="A469" i="1" s="1"/>
  <c r="B96" i="1"/>
  <c r="A157" i="4"/>
  <c r="B94" i="4"/>
  <c r="G92" i="4"/>
  <c r="F469" i="1" l="1"/>
  <c r="A470" i="1"/>
  <c r="A471" i="1" s="1"/>
  <c r="B97" i="1"/>
  <c r="A158" i="4"/>
  <c r="A159" i="4" s="1"/>
  <c r="B95" i="4"/>
  <c r="G93" i="4"/>
  <c r="A472" i="1" l="1"/>
  <c r="A473" i="1" s="1"/>
  <c r="B98" i="1"/>
  <c r="A160" i="4"/>
  <c r="B96" i="4"/>
  <c r="G94" i="4"/>
  <c r="A474" i="1" l="1"/>
  <c r="A475" i="1" s="1"/>
  <c r="B99" i="1"/>
  <c r="A161" i="4"/>
  <c r="A162" i="4" s="1"/>
  <c r="B97" i="4"/>
  <c r="G96" i="4" s="1"/>
  <c r="G95" i="4"/>
  <c r="A476" i="1" l="1"/>
  <c r="A477" i="1" s="1"/>
  <c r="B100" i="1"/>
  <c r="A163" i="4"/>
  <c r="B98" i="4"/>
  <c r="G97" i="4" s="1"/>
  <c r="A478" i="1" l="1"/>
  <c r="A479" i="1" s="1"/>
  <c r="B101" i="1"/>
  <c r="A164" i="4"/>
  <c r="A165" i="4" s="1"/>
  <c r="B99" i="4"/>
  <c r="A480" i="1" l="1"/>
  <c r="A481" i="1" s="1"/>
  <c r="B102" i="1"/>
  <c r="A166" i="4"/>
  <c r="B100" i="4"/>
  <c r="G98" i="4"/>
  <c r="A482" i="1" l="1"/>
  <c r="A483" i="1" s="1"/>
  <c r="B103" i="1"/>
  <c r="A167" i="4"/>
  <c r="A168" i="4" s="1"/>
  <c r="B101" i="4"/>
  <c r="G99" i="4"/>
  <c r="A484" i="1" l="1"/>
  <c r="A485" i="1" s="1"/>
  <c r="B104" i="1"/>
  <c r="A169" i="4"/>
  <c r="B102" i="4"/>
  <c r="G101" i="4" s="1"/>
  <c r="G100" i="4"/>
  <c r="A486" i="1" l="1"/>
  <c r="A487" i="1" s="1"/>
  <c r="B105" i="1"/>
  <c r="A170" i="4"/>
  <c r="A171" i="4" s="1"/>
  <c r="B103" i="4"/>
  <c r="G102" i="4" s="1"/>
  <c r="A488" i="1" l="1"/>
  <c r="A489" i="1" s="1"/>
  <c r="B106" i="1"/>
  <c r="A172" i="4"/>
  <c r="B104" i="4"/>
  <c r="A490" i="1" l="1"/>
  <c r="A491" i="1" s="1"/>
  <c r="B107" i="1"/>
  <c r="A173" i="4"/>
  <c r="A174" i="4" s="1"/>
  <c r="B105" i="4"/>
  <c r="G103" i="4"/>
  <c r="A492" i="1" l="1"/>
  <c r="A493" i="1" s="1"/>
  <c r="F107" i="1"/>
  <c r="B108" i="1"/>
  <c r="A175" i="4"/>
  <c r="B106" i="4"/>
  <c r="G105" i="4" s="1"/>
  <c r="G104" i="4"/>
  <c r="A494" i="1" l="1"/>
  <c r="A495" i="1" s="1"/>
  <c r="B109" i="1"/>
  <c r="A176" i="4"/>
  <c r="A177" i="4" s="1"/>
  <c r="B107" i="4"/>
  <c r="A496" i="1" l="1"/>
  <c r="A497" i="1" s="1"/>
  <c r="B110" i="1"/>
  <c r="A178" i="4"/>
  <c r="B108" i="4"/>
  <c r="G106" i="4"/>
  <c r="A498" i="1" l="1"/>
  <c r="A499" i="1" s="1"/>
  <c r="B111" i="1"/>
  <c r="A179" i="4"/>
  <c r="A180" i="4" s="1"/>
  <c r="B109" i="4"/>
  <c r="G107" i="4"/>
  <c r="A500" i="1" l="1"/>
  <c r="A501" i="1" s="1"/>
  <c r="B112" i="1"/>
  <c r="A181" i="4"/>
  <c r="B110" i="4"/>
  <c r="G108" i="4"/>
  <c r="A502" i="1" l="1"/>
  <c r="A503" i="1" s="1"/>
  <c r="B113" i="1"/>
  <c r="A182" i="4"/>
  <c r="A183" i="4" s="1"/>
  <c r="B111" i="4"/>
  <c r="G109" i="4"/>
  <c r="A504" i="1" l="1"/>
  <c r="B114" i="1"/>
  <c r="A184" i="4"/>
  <c r="B112" i="4"/>
  <c r="G110" i="4"/>
  <c r="A505" i="1" l="1"/>
  <c r="A506" i="1" s="1"/>
  <c r="B115" i="1"/>
  <c r="A185" i="4"/>
  <c r="A186" i="4" s="1"/>
  <c r="B113" i="4"/>
  <c r="G112" i="4" s="1"/>
  <c r="G111" i="4"/>
  <c r="A507" i="1" l="1"/>
  <c r="A508" i="1" s="1"/>
  <c r="F506" i="1"/>
  <c r="B116" i="1"/>
  <c r="A187" i="4"/>
  <c r="B114" i="4"/>
  <c r="G113" i="4" s="1"/>
  <c r="A509" i="1" l="1"/>
  <c r="B117" i="1"/>
  <c r="A188" i="4"/>
  <c r="A189" i="4" s="1"/>
  <c r="B115" i="4"/>
  <c r="A510" i="1" l="1"/>
  <c r="A511" i="1" s="1"/>
  <c r="B118" i="1"/>
  <c r="A190" i="4"/>
  <c r="B116" i="4"/>
  <c r="G114" i="4"/>
  <c r="A512" i="1" l="1"/>
  <c r="B119" i="1"/>
  <c r="A191" i="4"/>
  <c r="A192" i="4" s="1"/>
  <c r="B117" i="4"/>
  <c r="G116" i="4" s="1"/>
  <c r="G115" i="4"/>
  <c r="A513" i="1" l="1"/>
  <c r="A514" i="1" s="1"/>
  <c r="B120" i="1"/>
  <c r="A193" i="4"/>
  <c r="B118" i="4"/>
  <c r="G117" i="4" s="1"/>
  <c r="A515" i="1" l="1"/>
  <c r="B121" i="1"/>
  <c r="A194" i="4"/>
  <c r="A195" i="4" s="1"/>
  <c r="B119" i="4"/>
  <c r="F2074" i="1" l="1"/>
  <c r="A516" i="1"/>
  <c r="A517" i="1" s="1"/>
  <c r="B122" i="1"/>
  <c r="A196" i="4"/>
  <c r="B120" i="4"/>
  <c r="G119" i="4" s="1"/>
  <c r="G118" i="4"/>
  <c r="A518" i="1" l="1"/>
  <c r="B123" i="1"/>
  <c r="A197" i="4"/>
  <c r="A198" i="4" s="1"/>
  <c r="B121" i="4"/>
  <c r="G120" i="4" s="1"/>
  <c r="A519" i="1" l="1"/>
  <c r="A520" i="1" s="1"/>
  <c r="F303" i="1"/>
  <c r="B124" i="1"/>
  <c r="A199" i="4"/>
  <c r="B122" i="4"/>
  <c r="A521" i="1" l="1"/>
  <c r="F429" i="1"/>
  <c r="B125" i="1"/>
  <c r="F190" i="1"/>
  <c r="A200" i="4"/>
  <c r="A201" i="4" s="1"/>
  <c r="B123" i="4"/>
  <c r="G121" i="4"/>
  <c r="A522" i="1" l="1"/>
  <c r="A523" i="1" s="1"/>
  <c r="B126" i="1"/>
  <c r="F76" i="1"/>
  <c r="A202" i="4"/>
  <c r="B124" i="4"/>
  <c r="G122" i="4"/>
  <c r="A524" i="1" l="1"/>
  <c r="B127" i="1"/>
  <c r="A203" i="4"/>
  <c r="A204" i="4" s="1"/>
  <c r="B125" i="4"/>
  <c r="G124" i="4" s="1"/>
  <c r="G123" i="4"/>
  <c r="A525" i="1" l="1"/>
  <c r="A526" i="1" s="1"/>
  <c r="B128" i="1"/>
  <c r="A205" i="4"/>
  <c r="B126" i="4"/>
  <c r="G125" i="4" s="1"/>
  <c r="A527" i="1" l="1"/>
  <c r="B129" i="1"/>
  <c r="A206" i="4"/>
  <c r="B127" i="4"/>
  <c r="G126" i="4" s="1"/>
  <c r="A528" i="1" l="1"/>
  <c r="A529" i="1" s="1"/>
  <c r="B130" i="1"/>
  <c r="A207" i="4"/>
  <c r="A208" i="4" s="1"/>
  <c r="F206" i="4"/>
  <c r="B128" i="4"/>
  <c r="G127" i="4" s="1"/>
  <c r="A530" i="1" l="1"/>
  <c r="B131" i="1"/>
  <c r="A209" i="4"/>
  <c r="A210" i="4" s="1"/>
  <c r="B129" i="4"/>
  <c r="G128" i="4" s="1"/>
  <c r="A531" i="1" l="1"/>
  <c r="A532" i="1" s="1"/>
  <c r="B132" i="1"/>
  <c r="A211" i="4"/>
  <c r="A212" i="4" s="1"/>
  <c r="B130" i="4"/>
  <c r="G129" i="4" s="1"/>
  <c r="A533" i="1" l="1"/>
  <c r="B133" i="1"/>
  <c r="A213" i="4"/>
  <c r="A214" i="4" s="1"/>
  <c r="B131" i="4"/>
  <c r="G130" i="4" s="1"/>
  <c r="A534" i="1" l="1"/>
  <c r="A535" i="1" s="1"/>
  <c r="B134" i="1"/>
  <c r="A215" i="4"/>
  <c r="A216" i="4" s="1"/>
  <c r="B132" i="4"/>
  <c r="G131" i="4" s="1"/>
  <c r="B135" i="1" l="1"/>
  <c r="A536" i="1"/>
  <c r="A217" i="4"/>
  <c r="A218" i="4" s="1"/>
  <c r="B133" i="4"/>
  <c r="G132" i="4" s="1"/>
  <c r="A537" i="1" l="1"/>
  <c r="A538" i="1" s="1"/>
  <c r="B136" i="1"/>
  <c r="A219" i="4"/>
  <c r="A220" i="4" s="1"/>
  <c r="B134" i="4"/>
  <c r="G133" i="4" s="1"/>
  <c r="B137" i="1" l="1"/>
  <c r="A539" i="1"/>
  <c r="A221" i="4"/>
  <c r="A222" i="4" s="1"/>
  <c r="B135" i="4"/>
  <c r="G134" i="4" s="1"/>
  <c r="A540" i="1" l="1"/>
  <c r="A541" i="1" s="1"/>
  <c r="B138" i="1"/>
  <c r="A223" i="4"/>
  <c r="A224" i="4" s="1"/>
  <c r="B136" i="4"/>
  <c r="G135" i="4" s="1"/>
  <c r="B139" i="1" l="1"/>
  <c r="A542" i="1"/>
  <c r="A225" i="4"/>
  <c r="A226" i="4" s="1"/>
  <c r="B137" i="4"/>
  <c r="G136" i="4" s="1"/>
  <c r="A543" i="1" l="1"/>
  <c r="A544" i="1" s="1"/>
  <c r="B140" i="1"/>
  <c r="A227" i="4"/>
  <c r="A228" i="4" s="1"/>
  <c r="B138" i="4"/>
  <c r="G137" i="4" s="1"/>
  <c r="B141" i="1" l="1"/>
  <c r="A545" i="1"/>
  <c r="A229" i="4"/>
  <c r="A230" i="4" s="1"/>
  <c r="B139" i="4"/>
  <c r="G138" i="4" s="1"/>
  <c r="A546" i="1" l="1"/>
  <c r="A547" i="1" s="1"/>
  <c r="B142" i="1"/>
  <c r="A231" i="4"/>
  <c r="A232" i="4" s="1"/>
  <c r="B140" i="4"/>
  <c r="G139" i="4" s="1"/>
  <c r="B143" i="1" l="1"/>
  <c r="A548" i="1"/>
  <c r="A233" i="4"/>
  <c r="A234" i="4" s="1"/>
  <c r="B141" i="4"/>
  <c r="G140" i="4" s="1"/>
  <c r="A549" i="1" l="1"/>
  <c r="A550" i="1" s="1"/>
  <c r="B144" i="1"/>
  <c r="A235" i="4"/>
  <c r="A236" i="4" s="1"/>
  <c r="B142" i="4"/>
  <c r="G141" i="4" s="1"/>
  <c r="B145" i="1" l="1"/>
  <c r="A551" i="1"/>
  <c r="A237" i="4"/>
  <c r="A238" i="4" s="1"/>
  <c r="B143" i="4"/>
  <c r="G142" i="4" s="1"/>
  <c r="A552" i="1" l="1"/>
  <c r="A553" i="1" s="1"/>
  <c r="B146" i="1"/>
  <c r="A239" i="4"/>
  <c r="A240" i="4" s="1"/>
  <c r="B144" i="4"/>
  <c r="B147" i="1" l="1"/>
  <c r="A554" i="1"/>
  <c r="A241" i="4"/>
  <c r="A242" i="4" s="1"/>
  <c r="B145" i="4"/>
  <c r="G143" i="4"/>
  <c r="A555" i="1" l="1"/>
  <c r="A556" i="1" s="1"/>
  <c r="B148" i="1"/>
  <c r="A243" i="4"/>
  <c r="A244" i="4" s="1"/>
  <c r="B146" i="4"/>
  <c r="G144" i="4"/>
  <c r="B149" i="1" l="1"/>
  <c r="A557" i="1"/>
  <c r="A245" i="4"/>
  <c r="A246" i="4" s="1"/>
  <c r="B147" i="4"/>
  <c r="G146" i="4" s="1"/>
  <c r="G145" i="4"/>
  <c r="B150" i="1" l="1"/>
  <c r="A558" i="1"/>
  <c r="A559" i="1" s="1"/>
  <c r="A247" i="4"/>
  <c r="A248" i="4" s="1"/>
  <c r="B148" i="4"/>
  <c r="G147" i="4" s="1"/>
  <c r="A560" i="1" l="1"/>
  <c r="B151" i="1"/>
  <c r="A249" i="4"/>
  <c r="A250" i="4" s="1"/>
  <c r="B149" i="4"/>
  <c r="G148" i="4" s="1"/>
  <c r="A561" i="1" l="1"/>
  <c r="B152" i="1"/>
  <c r="A251" i="4"/>
  <c r="A252" i="4" s="1"/>
  <c r="B150" i="4"/>
  <c r="B153" i="1" l="1"/>
  <c r="A562" i="1"/>
  <c r="A563" i="1" s="1"/>
  <c r="F561" i="1"/>
  <c r="A253" i="4"/>
  <c r="A254" i="4" s="1"/>
  <c r="B151" i="4"/>
  <c r="G150" i="4" s="1"/>
  <c r="G149" i="4"/>
  <c r="A564" i="1" l="1"/>
  <c r="A565" i="1" s="1"/>
  <c r="B154" i="1"/>
  <c r="A255" i="4"/>
  <c r="A256" i="4" s="1"/>
  <c r="B152" i="4"/>
  <c r="G151" i="4" s="1"/>
  <c r="B155" i="1" l="1"/>
  <c r="A566" i="1"/>
  <c r="A567" i="1" s="1"/>
  <c r="A257" i="4"/>
  <c r="A258" i="4" s="1"/>
  <c r="B153" i="4"/>
  <c r="G152" i="4" s="1"/>
  <c r="A568" i="1" l="1"/>
  <c r="A569" i="1" s="1"/>
  <c r="B156" i="1"/>
  <c r="A259" i="4"/>
  <c r="A260" i="4" s="1"/>
  <c r="B154" i="4"/>
  <c r="G153" i="4" s="1"/>
  <c r="B157" i="1" l="1"/>
  <c r="A570" i="1"/>
  <c r="A571" i="1" s="1"/>
  <c r="A261" i="4"/>
  <c r="A262" i="4" s="1"/>
  <c r="B155" i="4"/>
  <c r="G154" i="4" s="1"/>
  <c r="A572" i="1" l="1"/>
  <c r="A573" i="1" s="1"/>
  <c r="B158" i="1"/>
  <c r="A263" i="4"/>
  <c r="A264" i="4" s="1"/>
  <c r="B156" i="4"/>
  <c r="G155" i="4" s="1"/>
  <c r="B159" i="1" l="1"/>
  <c r="A574" i="1"/>
  <c r="A575" i="1" s="1"/>
  <c r="A265" i="4"/>
  <c r="A266" i="4" s="1"/>
  <c r="B157" i="4"/>
  <c r="G156" i="4" s="1"/>
  <c r="A576" i="1" l="1"/>
  <c r="A577" i="1" s="1"/>
  <c r="B160" i="1"/>
  <c r="A267" i="4"/>
  <c r="A268" i="4" s="1"/>
  <c r="B158" i="4"/>
  <c r="G157" i="4" s="1"/>
  <c r="B161" i="1" l="1"/>
  <c r="A578" i="1"/>
  <c r="A579" i="1" s="1"/>
  <c r="A269" i="4"/>
  <c r="A270" i="4" s="1"/>
  <c r="B159" i="4"/>
  <c r="G158" i="4" s="1"/>
  <c r="A580" i="1" l="1"/>
  <c r="A581" i="1" s="1"/>
  <c r="B162" i="1"/>
  <c r="A271" i="4"/>
  <c r="A272" i="4" s="1"/>
  <c r="B160" i="4"/>
  <c r="G159" i="4" s="1"/>
  <c r="B163" i="1" l="1"/>
  <c r="A582" i="1"/>
  <c r="A583" i="1" s="1"/>
  <c r="A273" i="4"/>
  <c r="A274" i="4" s="1"/>
  <c r="B161" i="4"/>
  <c r="G160" i="4" s="1"/>
  <c r="A584" i="1" l="1"/>
  <c r="A585" i="1" s="1"/>
  <c r="B164" i="1"/>
  <c r="A275" i="4"/>
  <c r="A276" i="4" s="1"/>
  <c r="B162" i="4"/>
  <c r="B165" i="1" l="1"/>
  <c r="A586" i="1"/>
  <c r="A587" i="1" s="1"/>
  <c r="A277" i="4"/>
  <c r="A278" i="4" s="1"/>
  <c r="B163" i="4"/>
  <c r="G162" i="4" s="1"/>
  <c r="G161" i="4"/>
  <c r="A588" i="1" l="1"/>
  <c r="A589" i="1" s="1"/>
  <c r="B166" i="1"/>
  <c r="A279" i="4"/>
  <c r="A280" i="4" s="1"/>
  <c r="B164" i="4"/>
  <c r="G163" i="4" s="1"/>
  <c r="B167" i="1" l="1"/>
  <c r="A590" i="1"/>
  <c r="A591" i="1" s="1"/>
  <c r="A281" i="4"/>
  <c r="A282" i="4" s="1"/>
  <c r="B165" i="4"/>
  <c r="A592" i="1" l="1"/>
  <c r="A593" i="1" s="1"/>
  <c r="B168" i="1"/>
  <c r="A283" i="4"/>
  <c r="A284" i="4" s="1"/>
  <c r="B166" i="4"/>
  <c r="G165" i="4" s="1"/>
  <c r="G164" i="4"/>
  <c r="B169" i="1" l="1"/>
  <c r="A594" i="1"/>
  <c r="A595" i="1" s="1"/>
  <c r="A285" i="4"/>
  <c r="A286" i="4" s="1"/>
  <c r="B167" i="4"/>
  <c r="A596" i="1" l="1"/>
  <c r="A597" i="1" s="1"/>
  <c r="B170" i="1"/>
  <c r="A287" i="4"/>
  <c r="B168" i="4"/>
  <c r="G166" i="4"/>
  <c r="B171" i="1" l="1"/>
  <c r="A598" i="1"/>
  <c r="A599" i="1" s="1"/>
  <c r="B169" i="4"/>
  <c r="G168" i="4" s="1"/>
  <c r="G167" i="4"/>
  <c r="A600" i="1" l="1"/>
  <c r="A601" i="1" s="1"/>
  <c r="B172" i="1"/>
  <c r="B170" i="4"/>
  <c r="B173" i="1" l="1"/>
  <c r="A602" i="1"/>
  <c r="A603" i="1" s="1"/>
  <c r="F601" i="1"/>
  <c r="B171" i="4"/>
  <c r="G169" i="4"/>
  <c r="A604" i="1" l="1"/>
  <c r="A605" i="1" s="1"/>
  <c r="B174" i="1"/>
  <c r="B172" i="4"/>
  <c r="G171" i="4" s="1"/>
  <c r="G170" i="4"/>
  <c r="B175" i="1" l="1"/>
  <c r="A606" i="1"/>
  <c r="A607" i="1" s="1"/>
  <c r="B173" i="4"/>
  <c r="B176" i="1" l="1"/>
  <c r="A608" i="1"/>
  <c r="A609" i="1" s="1"/>
  <c r="B174" i="4"/>
  <c r="G172" i="4"/>
  <c r="B177" i="1" l="1"/>
  <c r="A610" i="1"/>
  <c r="A611" i="1" s="1"/>
  <c r="B175" i="4"/>
  <c r="G174" i="4" s="1"/>
  <c r="G173" i="4"/>
  <c r="A612" i="1" l="1"/>
  <c r="A613" i="1" s="1"/>
  <c r="B178" i="1"/>
  <c r="B176" i="4"/>
  <c r="G175" i="4" s="1"/>
  <c r="B179" i="1" l="1"/>
  <c r="A614" i="1"/>
  <c r="A615" i="1" s="1"/>
  <c r="B177" i="4"/>
  <c r="G176" i="4" s="1"/>
  <c r="A616" i="1" l="1"/>
  <c r="A617" i="1" s="1"/>
  <c r="A618" i="1" s="1"/>
  <c r="A619" i="1" s="1"/>
  <c r="A620" i="1" s="1"/>
  <c r="A621" i="1" s="1"/>
  <c r="A622" i="1" s="1"/>
  <c r="A623" i="1" s="1"/>
  <c r="A624" i="1" s="1"/>
  <c r="A625" i="1" s="1"/>
  <c r="A626" i="1" s="1"/>
  <c r="A627" i="1" s="1"/>
  <c r="A628" i="1" s="1"/>
  <c r="A629" i="1" s="1"/>
  <c r="A630" i="1" s="1"/>
  <c r="A631" i="1" s="1"/>
  <c r="A632" i="1" s="1"/>
  <c r="B180" i="1"/>
  <c r="B178" i="4"/>
  <c r="G177" i="4" s="1"/>
  <c r="A633" i="1" l="1"/>
  <c r="A634" i="1" s="1"/>
  <c r="F632" i="1"/>
  <c r="B181" i="1"/>
  <c r="B179" i="4"/>
  <c r="A635" i="1" l="1"/>
  <c r="B182" i="1"/>
  <c r="B180" i="4"/>
  <c r="G178" i="4"/>
  <c r="A636" i="1" l="1"/>
  <c r="A637" i="1" s="1"/>
  <c r="B183" i="1"/>
  <c r="B181" i="4"/>
  <c r="G180" i="4" s="1"/>
  <c r="G179" i="4"/>
  <c r="A638" i="1" l="1"/>
  <c r="B184" i="1"/>
  <c r="B182" i="4"/>
  <c r="G181" i="4" s="1"/>
  <c r="A639" i="1" l="1"/>
  <c r="A640" i="1" s="1"/>
  <c r="B185" i="1"/>
  <c r="B183" i="4"/>
  <c r="G182" i="4" s="1"/>
  <c r="A641" i="1" l="1"/>
  <c r="B186" i="1"/>
  <c r="B184" i="4"/>
  <c r="G183" i="4" s="1"/>
  <c r="A642" i="1" l="1"/>
  <c r="A643" i="1" s="1"/>
  <c r="B187" i="1"/>
  <c r="B185" i="4"/>
  <c r="G184" i="4" s="1"/>
  <c r="A644" i="1" l="1"/>
  <c r="B188" i="1"/>
  <c r="B186" i="4"/>
  <c r="G185" i="4" s="1"/>
  <c r="A645" i="1" l="1"/>
  <c r="A646" i="1" s="1"/>
  <c r="B189" i="1"/>
  <c r="B187" i="4"/>
  <c r="G186" i="4" s="1"/>
  <c r="A647" i="1" l="1"/>
  <c r="B190" i="1"/>
  <c r="B188" i="4"/>
  <c r="G187" i="4" s="1"/>
  <c r="A648" i="1" l="1"/>
  <c r="A649" i="1" s="1"/>
  <c r="B191" i="1"/>
  <c r="B189" i="4"/>
  <c r="G188" i="4" s="1"/>
  <c r="A650" i="1" l="1"/>
  <c r="B192" i="1"/>
  <c r="B190" i="4"/>
  <c r="G189" i="4" s="1"/>
  <c r="A651" i="1" l="1"/>
  <c r="A652" i="1" s="1"/>
  <c r="B193" i="1"/>
  <c r="B191" i="4"/>
  <c r="G190" i="4" s="1"/>
  <c r="A653" i="1" l="1"/>
  <c r="B194" i="1"/>
  <c r="B192" i="4"/>
  <c r="G191" i="4" s="1"/>
  <c r="A654" i="1" l="1"/>
  <c r="A655" i="1" s="1"/>
  <c r="B195" i="1"/>
  <c r="B193" i="4"/>
  <c r="G192" i="4" s="1"/>
  <c r="A656" i="1" l="1"/>
  <c r="B196" i="1"/>
  <c r="B194" i="4"/>
  <c r="G193" i="4" s="1"/>
  <c r="A657" i="1" l="1"/>
  <c r="A658" i="1" s="1"/>
  <c r="B197" i="1"/>
  <c r="B195" i="4"/>
  <c r="G194" i="4" s="1"/>
  <c r="A659" i="1" l="1"/>
  <c r="B198" i="1"/>
  <c r="B196" i="4"/>
  <c r="A660" i="1" l="1"/>
  <c r="A661" i="1" s="1"/>
  <c r="B199" i="1"/>
  <c r="B197" i="4"/>
  <c r="G195" i="4"/>
  <c r="A662" i="1" l="1"/>
  <c r="B200" i="1"/>
  <c r="B198" i="4"/>
  <c r="G197" i="4" s="1"/>
  <c r="G196" i="4"/>
  <c r="A663" i="1" l="1"/>
  <c r="A664" i="1" s="1"/>
  <c r="B201" i="1"/>
  <c r="B199" i="4"/>
  <c r="G198" i="4" s="1"/>
  <c r="A665" i="1" l="1"/>
  <c r="B202" i="1"/>
  <c r="B200" i="4"/>
  <c r="A666" i="1" l="1"/>
  <c r="A667" i="1" s="1"/>
  <c r="B203" i="1"/>
  <c r="B201" i="4"/>
  <c r="G199" i="4"/>
  <c r="A668" i="1" l="1"/>
  <c r="B204" i="1"/>
  <c r="B202" i="4"/>
  <c r="G200" i="4"/>
  <c r="A669" i="1" l="1"/>
  <c r="A670" i="1" s="1"/>
  <c r="B205" i="1"/>
  <c r="B203" i="4"/>
  <c r="G201" i="4"/>
  <c r="A671" i="1" l="1"/>
  <c r="B206" i="1"/>
  <c r="B204" i="4"/>
  <c r="G202" i="4"/>
  <c r="A672" i="1" l="1"/>
  <c r="A673" i="1" s="1"/>
  <c r="B207" i="1"/>
  <c r="B205" i="4"/>
  <c r="G203" i="4"/>
  <c r="A674" i="1" l="1"/>
  <c r="B208" i="1"/>
  <c r="B206" i="4"/>
  <c r="G205" i="4" s="1"/>
  <c r="G204" i="4"/>
  <c r="A675" i="1" l="1"/>
  <c r="A676" i="1" s="1"/>
  <c r="B209" i="1"/>
  <c r="B207" i="4"/>
  <c r="G206" i="4"/>
  <c r="A677" i="1" l="1"/>
  <c r="B210" i="1"/>
  <c r="B208" i="4"/>
  <c r="A678" i="1" l="1"/>
  <c r="B211" i="1"/>
  <c r="B209" i="4"/>
  <c r="G207" i="4"/>
  <c r="A679" i="1" l="1"/>
  <c r="A680" i="1" s="1"/>
  <c r="F678" i="1"/>
  <c r="B212" i="1"/>
  <c r="B210" i="4"/>
  <c r="G209" i="4" s="1"/>
  <c r="G208" i="4"/>
  <c r="A681" i="1" l="1"/>
  <c r="A682" i="1" s="1"/>
  <c r="B213" i="1"/>
  <c r="B211" i="4"/>
  <c r="G210" i="4" s="1"/>
  <c r="A683" i="1" l="1"/>
  <c r="A684" i="1" s="1"/>
  <c r="B214" i="1"/>
  <c r="B212" i="4"/>
  <c r="A685" i="1" l="1"/>
  <c r="A686" i="1" s="1"/>
  <c r="B215" i="1"/>
  <c r="B213" i="4"/>
  <c r="G212" i="4" s="1"/>
  <c r="G211" i="4"/>
  <c r="A687" i="1" l="1"/>
  <c r="A688" i="1" s="1"/>
  <c r="B216" i="1"/>
  <c r="B214" i="4"/>
  <c r="G213" i="4"/>
  <c r="A689" i="1" l="1"/>
  <c r="A690" i="1" s="1"/>
  <c r="B217" i="1"/>
  <c r="B215" i="4"/>
  <c r="G214" i="4"/>
  <c r="A691" i="1" l="1"/>
  <c r="A692" i="1" s="1"/>
  <c r="B218" i="1"/>
  <c r="B216" i="4"/>
  <c r="G215" i="4"/>
  <c r="A693" i="1" l="1"/>
  <c r="A694" i="1" s="1"/>
  <c r="B219" i="1"/>
  <c r="B217" i="4"/>
  <c r="G216" i="4" s="1"/>
  <c r="A695" i="1" l="1"/>
  <c r="A696" i="1" s="1"/>
  <c r="B220" i="1"/>
  <c r="B218" i="4"/>
  <c r="G217" i="4" s="1"/>
  <c r="A697" i="1" l="1"/>
  <c r="A698" i="1" s="1"/>
  <c r="B221" i="1"/>
  <c r="B219" i="4"/>
  <c r="G218" i="4" s="1"/>
  <c r="A699" i="1" l="1"/>
  <c r="A700" i="1" s="1"/>
  <c r="B222" i="1"/>
  <c r="B220" i="4"/>
  <c r="G219" i="4" s="1"/>
  <c r="A701" i="1" l="1"/>
  <c r="A702" i="1" s="1"/>
  <c r="B223" i="1"/>
  <c r="B221" i="4"/>
  <c r="A703" i="1" l="1"/>
  <c r="A704" i="1" s="1"/>
  <c r="B224" i="1"/>
  <c r="B222" i="4"/>
  <c r="G220" i="4"/>
  <c r="A705" i="1" l="1"/>
  <c r="A706" i="1" s="1"/>
  <c r="B225" i="1"/>
  <c r="B223" i="4"/>
  <c r="G221" i="4"/>
  <c r="A707" i="1" l="1"/>
  <c r="A708" i="1" s="1"/>
  <c r="B226" i="1"/>
  <c r="F225" i="1"/>
  <c r="B224" i="4"/>
  <c r="G223" i="4" s="1"/>
  <c r="G222" i="4"/>
  <c r="A709" i="1" l="1"/>
  <c r="A710" i="1" s="1"/>
  <c r="B227" i="1"/>
  <c r="B225" i="4"/>
  <c r="G224" i="4" s="1"/>
  <c r="A711" i="1" l="1"/>
  <c r="A712" i="1" s="1"/>
  <c r="B228" i="1"/>
  <c r="B226" i="4"/>
  <c r="F712" i="1" l="1"/>
  <c r="A713" i="1"/>
  <c r="A714" i="1" s="1"/>
  <c r="B229" i="1"/>
  <c r="B227" i="4"/>
  <c r="G226" i="4"/>
  <c r="G225" i="4"/>
  <c r="A715" i="1" l="1"/>
  <c r="A716" i="1" s="1"/>
  <c r="B230" i="1"/>
  <c r="B228" i="4"/>
  <c r="G227" i="4" s="1"/>
  <c r="A717" i="1" l="1"/>
  <c r="A718" i="1" s="1"/>
  <c r="B231" i="1"/>
  <c r="B229" i="4"/>
  <c r="A719" i="1" l="1"/>
  <c r="A720" i="1" s="1"/>
  <c r="B232" i="1"/>
  <c r="B230" i="4"/>
  <c r="G228" i="4"/>
  <c r="A721" i="1" l="1"/>
  <c r="A722" i="1" s="1"/>
  <c r="B233" i="1"/>
  <c r="B231" i="4"/>
  <c r="G230" i="4" s="1"/>
  <c r="G229" i="4"/>
  <c r="A723" i="1" l="1"/>
  <c r="A724" i="1" s="1"/>
  <c r="B234" i="1"/>
  <c r="B232" i="4"/>
  <c r="A725" i="1" l="1"/>
  <c r="A726" i="1" s="1"/>
  <c r="B235" i="1"/>
  <c r="B233" i="4"/>
  <c r="G231" i="4"/>
  <c r="A727" i="1" l="1"/>
  <c r="A728" i="1" s="1"/>
  <c r="B236" i="1"/>
  <c r="B234" i="4"/>
  <c r="G233" i="4" s="1"/>
  <c r="G232" i="4"/>
  <c r="A729" i="1" l="1"/>
  <c r="A730" i="1" s="1"/>
  <c r="B237" i="1"/>
  <c r="B235" i="4"/>
  <c r="A731" i="1" l="1"/>
  <c r="A732" i="1" s="1"/>
  <c r="B238" i="1"/>
  <c r="B236" i="4"/>
  <c r="G235" i="4" s="1"/>
  <c r="G234" i="4"/>
  <c r="A733" i="1" l="1"/>
  <c r="A734" i="1" s="1"/>
  <c r="B239" i="1"/>
  <c r="B237" i="4"/>
  <c r="G236" i="4"/>
  <c r="A735" i="1" l="1"/>
  <c r="A736" i="1" s="1"/>
  <c r="B240" i="1"/>
  <c r="B238" i="4"/>
  <c r="G237" i="4"/>
  <c r="A737" i="1" l="1"/>
  <c r="A738" i="1" s="1"/>
  <c r="B241" i="1"/>
  <c r="B239" i="4"/>
  <c r="G238" i="4" s="1"/>
  <c r="A739" i="1" l="1"/>
  <c r="A740" i="1" s="1"/>
  <c r="A741" i="1" s="1"/>
  <c r="A742" i="1" s="1"/>
  <c r="A743" i="1" s="1"/>
  <c r="A744" i="1" s="1"/>
  <c r="A745" i="1" s="1"/>
  <c r="A746" i="1" s="1"/>
  <c r="A747" i="1" s="1"/>
  <c r="B242" i="1"/>
  <c r="B240" i="4"/>
  <c r="A748" i="1" l="1"/>
  <c r="A749" i="1" s="1"/>
  <c r="F747" i="1"/>
  <c r="B243" i="1"/>
  <c r="B241" i="4"/>
  <c r="G239" i="4"/>
  <c r="A750" i="1" l="1"/>
  <c r="B244" i="1"/>
  <c r="B242" i="4"/>
  <c r="G241" i="4" s="1"/>
  <c r="G240" i="4"/>
  <c r="A751" i="1" l="1"/>
  <c r="A752" i="1" s="1"/>
  <c r="B245" i="1"/>
  <c r="B243" i="4"/>
  <c r="A753" i="1" l="1"/>
  <c r="B246" i="1"/>
  <c r="B244" i="4"/>
  <c r="G242" i="4"/>
  <c r="A754" i="1" l="1"/>
  <c r="A755" i="1" s="1"/>
  <c r="B247" i="1"/>
  <c r="B245" i="4"/>
  <c r="G243" i="4"/>
  <c r="A756" i="1" l="1"/>
  <c r="B248" i="1"/>
  <c r="B246" i="4"/>
  <c r="G245" i="4" s="1"/>
  <c r="G244" i="4"/>
  <c r="A757" i="1" l="1"/>
  <c r="A758" i="1" s="1"/>
  <c r="B249" i="1"/>
  <c r="B247" i="4"/>
  <c r="A759" i="1" l="1"/>
  <c r="B250" i="1"/>
  <c r="B248" i="4"/>
  <c r="G247" i="4" s="1"/>
  <c r="G246" i="4"/>
  <c r="A760" i="1" l="1"/>
  <c r="A761" i="1" s="1"/>
  <c r="B251" i="1"/>
  <c r="B249" i="4"/>
  <c r="A762" i="1" l="1"/>
  <c r="B252" i="1"/>
  <c r="B250" i="4"/>
  <c r="G248" i="4"/>
  <c r="A763" i="1" l="1"/>
  <c r="A764" i="1" s="1"/>
  <c r="B253" i="1"/>
  <c r="B251" i="4"/>
  <c r="G249" i="4"/>
  <c r="A765" i="1" l="1"/>
  <c r="B254" i="1"/>
  <c r="B252" i="4"/>
  <c r="G250" i="4"/>
  <c r="A766" i="1" l="1"/>
  <c r="A767" i="1" s="1"/>
  <c r="B255" i="1"/>
  <c r="B253" i="4"/>
  <c r="G251" i="4"/>
  <c r="A768" i="1" l="1"/>
  <c r="B256" i="1"/>
  <c r="B254" i="4"/>
  <c r="G252" i="4"/>
  <c r="A769" i="1" l="1"/>
  <c r="A770" i="1" s="1"/>
  <c r="B257" i="1"/>
  <c r="B255" i="4"/>
  <c r="G254" i="4" s="1"/>
  <c r="G253" i="4"/>
  <c r="A771" i="1" l="1"/>
  <c r="B258" i="1"/>
  <c r="B256" i="4"/>
  <c r="A772" i="1" l="1"/>
  <c r="A773" i="1" s="1"/>
  <c r="B259" i="1"/>
  <c r="B257" i="4"/>
  <c r="G255" i="4"/>
  <c r="A774" i="1" l="1"/>
  <c r="B260" i="1"/>
  <c r="B258" i="4"/>
  <c r="G257" i="4" s="1"/>
  <c r="G256" i="4"/>
  <c r="A775" i="1" l="1"/>
  <c r="A776" i="1" s="1"/>
  <c r="B261" i="1"/>
  <c r="B259" i="4"/>
  <c r="A777" i="1" l="1"/>
  <c r="B262" i="1"/>
  <c r="B260" i="4"/>
  <c r="G259" i="4" s="1"/>
  <c r="G258" i="4"/>
  <c r="A778" i="1" l="1"/>
  <c r="A779" i="1" s="1"/>
  <c r="B263" i="1"/>
  <c r="B261" i="4"/>
  <c r="G260" i="4" s="1"/>
  <c r="A780" i="1" l="1"/>
  <c r="B264" i="1"/>
  <c r="B262" i="4"/>
  <c r="G261" i="4" s="1"/>
  <c r="A781" i="1" l="1"/>
  <c r="A782" i="1" s="1"/>
  <c r="B265" i="1"/>
  <c r="B263" i="4"/>
  <c r="G262" i="4" s="1"/>
  <c r="A783" i="1" l="1"/>
  <c r="B266" i="1"/>
  <c r="B264" i="4"/>
  <c r="G263" i="4" s="1"/>
  <c r="A784" i="1" l="1"/>
  <c r="A785" i="1" s="1"/>
  <c r="B267" i="1"/>
  <c r="B265" i="4"/>
  <c r="G264" i="4" s="1"/>
  <c r="A786" i="1" l="1"/>
  <c r="B268" i="1"/>
  <c r="B266" i="4"/>
  <c r="G265" i="4"/>
  <c r="A787" i="1" l="1"/>
  <c r="A788" i="1" s="1"/>
  <c r="B269" i="1"/>
  <c r="B267" i="4"/>
  <c r="G266" i="4" s="1"/>
  <c r="A789" i="1" l="1"/>
  <c r="B270" i="1"/>
  <c r="B268" i="4"/>
  <c r="G267" i="4" s="1"/>
  <c r="A790" i="1" l="1"/>
  <c r="A791" i="1" s="1"/>
  <c r="B271" i="1"/>
  <c r="B269" i="4"/>
  <c r="A792" i="1" l="1"/>
  <c r="B272" i="1"/>
  <c r="B270" i="4"/>
  <c r="G268" i="4"/>
  <c r="A793" i="1" l="1"/>
  <c r="A794" i="1" s="1"/>
  <c r="B273" i="1"/>
  <c r="B271" i="4"/>
  <c r="G270" i="4" s="1"/>
  <c r="G269" i="4"/>
  <c r="A795" i="1" l="1"/>
  <c r="B274" i="1"/>
  <c r="B272" i="4"/>
  <c r="A796" i="1" l="1"/>
  <c r="A797" i="1" s="1"/>
  <c r="B275" i="1"/>
  <c r="B273" i="4"/>
  <c r="G272" i="4" s="1"/>
  <c r="G271" i="4"/>
  <c r="A798" i="1" l="1"/>
  <c r="B276" i="1"/>
  <c r="B274" i="4"/>
  <c r="G273" i="4" s="1"/>
  <c r="A799" i="1" l="1"/>
  <c r="B277" i="1"/>
  <c r="B275" i="4"/>
  <c r="A800" i="1" l="1"/>
  <c r="A801" i="1" s="1"/>
  <c r="F799" i="1"/>
  <c r="B278" i="1"/>
  <c r="B276" i="4"/>
  <c r="G274" i="4"/>
  <c r="A802" i="1" l="1"/>
  <c r="A803" i="1" s="1"/>
  <c r="B279" i="1"/>
  <c r="B277" i="4"/>
  <c r="G275" i="4"/>
  <c r="F2109" i="1" l="1"/>
  <c r="A804" i="1"/>
  <c r="A805" i="1" s="1"/>
  <c r="B280" i="1"/>
  <c r="B278" i="4"/>
  <c r="G277" i="4" s="1"/>
  <c r="G276" i="4"/>
  <c r="A806" i="1" l="1"/>
  <c r="A807" i="1" s="1"/>
  <c r="B281" i="1"/>
  <c r="B279" i="4"/>
  <c r="A808" i="1" l="1"/>
  <c r="A809" i="1" s="1"/>
  <c r="B282" i="1"/>
  <c r="B280" i="4"/>
  <c r="G279" i="4" s="1"/>
  <c r="G278" i="4"/>
  <c r="A810" i="1" l="1"/>
  <c r="A811" i="1" s="1"/>
  <c r="B283" i="1"/>
  <c r="B281" i="4"/>
  <c r="A812" i="1" l="1"/>
  <c r="A813" i="1" s="1"/>
  <c r="B284" i="1"/>
  <c r="B282" i="4"/>
  <c r="G280" i="4"/>
  <c r="A814" i="1" l="1"/>
  <c r="A815" i="1" s="1"/>
  <c r="B285" i="1"/>
  <c r="B283" i="4"/>
  <c r="G282" i="4" s="1"/>
  <c r="G281" i="4"/>
  <c r="A816" i="1" l="1"/>
  <c r="A817" i="1" s="1"/>
  <c r="B286" i="1"/>
  <c r="B284" i="4"/>
  <c r="A818" i="1" l="1"/>
  <c r="A819" i="1" s="1"/>
  <c r="B287" i="1"/>
  <c r="B285" i="4"/>
  <c r="G283" i="4"/>
  <c r="A820" i="1" l="1"/>
  <c r="A821" i="1" s="1"/>
  <c r="B288" i="1"/>
  <c r="F223" i="1"/>
  <c r="F105" i="1"/>
  <c r="B286" i="4"/>
  <c r="G284" i="4"/>
  <c r="A822" i="1" l="1"/>
  <c r="A823" i="1" s="1"/>
  <c r="B289" i="1"/>
  <c r="B287" i="4"/>
  <c r="G286" i="4"/>
  <c r="G285" i="4"/>
  <c r="A824" i="1" l="1"/>
  <c r="A825" i="1" s="1"/>
  <c r="B290" i="1"/>
  <c r="G287" i="4"/>
  <c r="F287" i="4"/>
  <c r="A826" i="1" l="1"/>
  <c r="A827" i="1" s="1"/>
  <c r="B291" i="1"/>
  <c r="A828" i="1" l="1"/>
  <c r="A829" i="1" s="1"/>
  <c r="B292" i="1"/>
  <c r="A830" i="1" l="1"/>
  <c r="A831" i="1" s="1"/>
  <c r="B293" i="1"/>
  <c r="A832" i="1" l="1"/>
  <c r="A833" i="1" s="1"/>
  <c r="B294" i="1"/>
  <c r="A834" i="1" l="1"/>
  <c r="A835" i="1" s="1"/>
  <c r="B295" i="1"/>
  <c r="A836" i="1" l="1"/>
  <c r="A837" i="1" s="1"/>
  <c r="B296" i="1"/>
  <c r="A838" i="1" l="1"/>
  <c r="A839" i="1" s="1"/>
  <c r="F837" i="1"/>
  <c r="B297" i="1"/>
  <c r="A840" i="1" l="1"/>
  <c r="A841" i="1" s="1"/>
  <c r="B298" i="1"/>
  <c r="A842" i="1" l="1"/>
  <c r="A843" i="1" s="1"/>
  <c r="B299" i="1"/>
  <c r="A844" i="1" l="1"/>
  <c r="A845" i="1" s="1"/>
  <c r="B300" i="1"/>
  <c r="A846" i="1" l="1"/>
  <c r="A847" i="1" s="1"/>
  <c r="B301" i="1"/>
  <c r="A848" i="1" l="1"/>
  <c r="A849" i="1" s="1"/>
  <c r="B302" i="1"/>
  <c r="A850" i="1" l="1"/>
  <c r="A851" i="1" s="1"/>
  <c r="B303" i="1"/>
  <c r="A852" i="1" l="1"/>
  <c r="A853" i="1" s="1"/>
  <c r="B304" i="1"/>
  <c r="A854" i="1" l="1"/>
  <c r="A855" i="1" s="1"/>
  <c r="B305" i="1"/>
  <c r="A856" i="1" l="1"/>
  <c r="A857" i="1" s="1"/>
  <c r="B306" i="1"/>
  <c r="A858" i="1" l="1"/>
  <c r="A859" i="1" s="1"/>
  <c r="B307" i="1"/>
  <c r="A860" i="1" l="1"/>
  <c r="A861" i="1" s="1"/>
  <c r="B308" i="1"/>
  <c r="A862" i="1" l="1"/>
  <c r="A863" i="1" s="1"/>
  <c r="B309" i="1"/>
  <c r="A864" i="1" l="1"/>
  <c r="A865" i="1" s="1"/>
  <c r="A866" i="1" s="1"/>
  <c r="A867" i="1" s="1"/>
  <c r="A868" i="1" s="1"/>
  <c r="A869" i="1" s="1"/>
  <c r="A870" i="1" s="1"/>
  <c r="A871" i="1" s="1"/>
  <c r="A872" i="1" s="1"/>
  <c r="B310" i="1"/>
  <c r="A873" i="1" l="1"/>
  <c r="A874" i="1" s="1"/>
  <c r="F872" i="1"/>
  <c r="B311" i="1"/>
  <c r="A875" i="1" l="1"/>
  <c r="B312" i="1"/>
  <c r="A876" i="1" l="1"/>
  <c r="A877" i="1" s="1"/>
  <c r="B313" i="1"/>
  <c r="A878" i="1" l="1"/>
  <c r="B314" i="1"/>
  <c r="A879" i="1" l="1"/>
  <c r="A880" i="1" s="1"/>
  <c r="B315" i="1"/>
  <c r="A881" i="1" l="1"/>
  <c r="B316" i="1"/>
  <c r="A882" i="1" l="1"/>
  <c r="A883" i="1" s="1"/>
  <c r="B317" i="1"/>
  <c r="A884" i="1" l="1"/>
  <c r="B318" i="1"/>
  <c r="A885" i="1" l="1"/>
  <c r="A886" i="1" s="1"/>
  <c r="B319" i="1"/>
  <c r="A887" i="1" l="1"/>
  <c r="B320" i="1"/>
  <c r="A888" i="1" l="1"/>
  <c r="A889" i="1" s="1"/>
  <c r="B321" i="1"/>
  <c r="A890" i="1" l="1"/>
  <c r="B322" i="1"/>
  <c r="A891" i="1" l="1"/>
  <c r="A892" i="1" s="1"/>
  <c r="B323" i="1"/>
  <c r="A893" i="1" l="1"/>
  <c r="B324" i="1"/>
  <c r="A894" i="1" l="1"/>
  <c r="A895" i="1" s="1"/>
  <c r="B325" i="1"/>
  <c r="A896" i="1" l="1"/>
  <c r="B326" i="1"/>
  <c r="A897" i="1" l="1"/>
  <c r="A898" i="1" s="1"/>
  <c r="B327" i="1"/>
  <c r="A899" i="1" l="1"/>
  <c r="B328" i="1"/>
  <c r="A900" i="1" l="1"/>
  <c r="A901" i="1" s="1"/>
  <c r="B329" i="1"/>
  <c r="A902" i="1" l="1"/>
  <c r="B330" i="1"/>
  <c r="A903" i="1" l="1"/>
  <c r="A904" i="1" s="1"/>
  <c r="B331" i="1"/>
  <c r="A905" i="1" l="1"/>
  <c r="B332" i="1"/>
  <c r="A906" i="1" l="1"/>
  <c r="A907" i="1" s="1"/>
  <c r="B333" i="1"/>
  <c r="A908" i="1" l="1"/>
  <c r="B334" i="1"/>
  <c r="A909" i="1" l="1"/>
  <c r="A910" i="1" s="1"/>
  <c r="B335" i="1"/>
  <c r="F334" i="1"/>
  <c r="A911" i="1" l="1"/>
  <c r="B336" i="1"/>
  <c r="A912" i="1" l="1"/>
  <c r="A913" i="1" s="1"/>
  <c r="F336" i="1"/>
  <c r="B337" i="1"/>
  <c r="A914" i="1" l="1"/>
  <c r="B338" i="1"/>
  <c r="A915" i="1" l="1"/>
  <c r="A916" i="1" s="1"/>
  <c r="B339" i="1"/>
  <c r="A917" i="1" l="1"/>
  <c r="B340" i="1"/>
  <c r="A918" i="1" l="1"/>
  <c r="A919" i="1" s="1"/>
  <c r="B341" i="1"/>
  <c r="A920" i="1" l="1"/>
  <c r="B342" i="1"/>
  <c r="A921" i="1" l="1"/>
  <c r="A922" i="1" s="1"/>
  <c r="B343" i="1"/>
  <c r="A923" i="1" l="1"/>
  <c r="B344" i="1"/>
  <c r="A924" i="1" l="1"/>
  <c r="B345" i="1"/>
  <c r="A925" i="1" l="1"/>
  <c r="A926" i="1" s="1"/>
  <c r="F924" i="1"/>
  <c r="B346" i="1"/>
  <c r="A927" i="1" l="1"/>
  <c r="A928" i="1" s="1"/>
  <c r="B347" i="1"/>
  <c r="A929" i="1" l="1"/>
  <c r="A930" i="1" s="1"/>
  <c r="B348" i="1"/>
  <c r="A931" i="1" l="1"/>
  <c r="A932" i="1" s="1"/>
  <c r="B349" i="1"/>
  <c r="A933" i="1" l="1"/>
  <c r="A934" i="1" s="1"/>
  <c r="B350" i="1"/>
  <c r="A935" i="1" l="1"/>
  <c r="A936" i="1" s="1"/>
  <c r="B351" i="1"/>
  <c r="A937" i="1" l="1"/>
  <c r="A938" i="1" s="1"/>
  <c r="B352" i="1"/>
  <c r="A939" i="1" l="1"/>
  <c r="A940" i="1" s="1"/>
  <c r="B353" i="1"/>
  <c r="A941" i="1" l="1"/>
  <c r="A942" i="1" s="1"/>
  <c r="B354" i="1"/>
  <c r="A943" i="1" l="1"/>
  <c r="A944" i="1" s="1"/>
  <c r="B355" i="1"/>
  <c r="A945" i="1" l="1"/>
  <c r="A946" i="1" s="1"/>
  <c r="B356" i="1"/>
  <c r="A947" i="1" l="1"/>
  <c r="A948" i="1" s="1"/>
  <c r="B357" i="1"/>
  <c r="A949" i="1" l="1"/>
  <c r="A950" i="1" s="1"/>
  <c r="B358" i="1"/>
  <c r="A951" i="1" l="1"/>
  <c r="A952" i="1" s="1"/>
  <c r="B359" i="1"/>
  <c r="A953" i="1" l="1"/>
  <c r="A954" i="1" s="1"/>
  <c r="B360" i="1"/>
  <c r="A955" i="1" l="1"/>
  <c r="A956" i="1" s="1"/>
  <c r="B361" i="1"/>
  <c r="A957" i="1" l="1"/>
  <c r="A958" i="1" s="1"/>
  <c r="B362" i="1"/>
  <c r="A959" i="1" l="1"/>
  <c r="A960" i="1" s="1"/>
  <c r="B363" i="1"/>
  <c r="A961" i="1" l="1"/>
  <c r="A962" i="1" s="1"/>
  <c r="B364" i="1"/>
  <c r="A963" i="1" l="1"/>
  <c r="A964" i="1" s="1"/>
  <c r="F962" i="1"/>
  <c r="B365" i="1"/>
  <c r="A965" i="1" l="1"/>
  <c r="A966" i="1" s="1"/>
  <c r="B366" i="1"/>
  <c r="A967" i="1" l="1"/>
  <c r="A968" i="1" s="1"/>
  <c r="B367" i="1"/>
  <c r="A969" i="1" l="1"/>
  <c r="A970" i="1" s="1"/>
  <c r="B368" i="1"/>
  <c r="A971" i="1" l="1"/>
  <c r="A972" i="1" s="1"/>
  <c r="B369" i="1"/>
  <c r="A973" i="1" l="1"/>
  <c r="A974" i="1" s="1"/>
  <c r="B370" i="1"/>
  <c r="A975" i="1" l="1"/>
  <c r="A976" i="1" s="1"/>
  <c r="B371" i="1"/>
  <c r="A977" i="1" l="1"/>
  <c r="A978" i="1" s="1"/>
  <c r="B372" i="1"/>
  <c r="A979" i="1" l="1"/>
  <c r="A980" i="1" s="1"/>
  <c r="B373" i="1"/>
  <c r="A981" i="1" l="1"/>
  <c r="A982" i="1" s="1"/>
  <c r="A983" i="1" s="1"/>
  <c r="A984" i="1" s="1"/>
  <c r="A985" i="1" s="1"/>
  <c r="A986" i="1" s="1"/>
  <c r="A987" i="1" s="1"/>
  <c r="B374" i="1"/>
  <c r="A988" i="1" l="1"/>
  <c r="A989" i="1" s="1"/>
  <c r="F987" i="1"/>
  <c r="B375" i="1"/>
  <c r="A990" i="1" l="1"/>
  <c r="B376" i="1"/>
  <c r="A991" i="1" l="1"/>
  <c r="A992" i="1" s="1"/>
  <c r="B377" i="1"/>
  <c r="A993" i="1" l="1"/>
  <c r="B378" i="1"/>
  <c r="A994" i="1" l="1"/>
  <c r="A995" i="1" s="1"/>
  <c r="B379" i="1"/>
  <c r="A996" i="1" l="1"/>
  <c r="B380" i="1"/>
  <c r="A997" i="1" l="1"/>
  <c r="A998" i="1" s="1"/>
  <c r="B381" i="1"/>
  <c r="A999" i="1" l="1"/>
  <c r="B382" i="1"/>
  <c r="A1000" i="1" l="1"/>
  <c r="A1001" i="1" s="1"/>
  <c r="B383" i="1"/>
  <c r="A1002" i="1" l="1"/>
  <c r="B384" i="1"/>
  <c r="A1003" i="1" l="1"/>
  <c r="A1004" i="1" s="1"/>
  <c r="B385" i="1"/>
  <c r="A1005" i="1" l="1"/>
  <c r="B386" i="1"/>
  <c r="A1006" i="1" l="1"/>
  <c r="A1007" i="1" s="1"/>
  <c r="B387" i="1"/>
  <c r="A1008" i="1" l="1"/>
  <c r="B388" i="1"/>
  <c r="A1009" i="1" l="1"/>
  <c r="A1010" i="1" s="1"/>
  <c r="B389" i="1"/>
  <c r="A1011" i="1" l="1"/>
  <c r="B390" i="1"/>
  <c r="A1012" i="1" l="1"/>
  <c r="A1013" i="1" s="1"/>
  <c r="B391" i="1"/>
  <c r="A1014" i="1" l="1"/>
  <c r="B392" i="1"/>
  <c r="A1015" i="1" l="1"/>
  <c r="A1016" i="1" s="1"/>
  <c r="B393" i="1"/>
  <c r="A1017" i="1" l="1"/>
  <c r="B394" i="1"/>
  <c r="A1018" i="1" l="1"/>
  <c r="A1019" i="1" s="1"/>
  <c r="B395" i="1"/>
  <c r="A1020" i="1" l="1"/>
  <c r="B396" i="1"/>
  <c r="A1021" i="1" l="1"/>
  <c r="A1022" i="1" s="1"/>
  <c r="B397" i="1"/>
  <c r="A1023" i="1" l="1"/>
  <c r="B398" i="1"/>
  <c r="A1024" i="1" l="1"/>
  <c r="B399" i="1"/>
  <c r="A1025" i="1" l="1"/>
  <c r="A1026" i="1" s="1"/>
  <c r="F1024" i="1"/>
  <c r="B400" i="1"/>
  <c r="A1027" i="1" l="1"/>
  <c r="A1028" i="1" s="1"/>
  <c r="B401" i="1"/>
  <c r="A1029" i="1" l="1"/>
  <c r="A1030" i="1" s="1"/>
  <c r="B402" i="1"/>
  <c r="A1031" i="1" l="1"/>
  <c r="A1032" i="1" s="1"/>
  <c r="B403" i="1"/>
  <c r="A1033" i="1" l="1"/>
  <c r="A1034" i="1" s="1"/>
  <c r="B404" i="1"/>
  <c r="A1035" i="1" l="1"/>
  <c r="A1036" i="1" s="1"/>
  <c r="B405" i="1"/>
  <c r="A1037" i="1" l="1"/>
  <c r="A1038" i="1" s="1"/>
  <c r="B406" i="1"/>
  <c r="A1039" i="1" l="1"/>
  <c r="A1040" i="1" s="1"/>
  <c r="B407" i="1"/>
  <c r="A1041" i="1" l="1"/>
  <c r="A1042" i="1" s="1"/>
  <c r="B408" i="1"/>
  <c r="A1043" i="1" l="1"/>
  <c r="A1044" i="1" s="1"/>
  <c r="B409" i="1"/>
  <c r="A1045" i="1" l="1"/>
  <c r="A1046" i="1" s="1"/>
  <c r="B410" i="1"/>
  <c r="A1047" i="1" l="1"/>
  <c r="A1048" i="1" s="1"/>
  <c r="B411" i="1"/>
  <c r="A1049" i="1" l="1"/>
  <c r="A1050" i="1" s="1"/>
  <c r="B412" i="1"/>
  <c r="A1051" i="1" l="1"/>
  <c r="A1052" i="1" s="1"/>
  <c r="B413" i="1"/>
  <c r="A1053" i="1" l="1"/>
  <c r="A1054" i="1" s="1"/>
  <c r="F1052" i="1"/>
  <c r="B414" i="1"/>
  <c r="A1055" i="1" l="1"/>
  <c r="A1056" i="1" s="1"/>
  <c r="B415" i="1"/>
  <c r="A1057" i="1" l="1"/>
  <c r="A1058" i="1" s="1"/>
  <c r="B416" i="1"/>
  <c r="A1059" i="1" l="1"/>
  <c r="A1060" i="1" s="1"/>
  <c r="B417" i="1"/>
  <c r="A1061" i="1" l="1"/>
  <c r="A1062" i="1" s="1"/>
  <c r="B418" i="1"/>
  <c r="A1063" i="1" l="1"/>
  <c r="A1064" i="1" s="1"/>
  <c r="B419" i="1"/>
  <c r="A1065" i="1" l="1"/>
  <c r="A1066" i="1" s="1"/>
  <c r="B420" i="1"/>
  <c r="A1067" i="1" l="1"/>
  <c r="A1068" i="1" s="1"/>
  <c r="B421" i="1"/>
  <c r="A1069" i="1" l="1"/>
  <c r="A1070" i="1" s="1"/>
  <c r="B422" i="1"/>
  <c r="A1071" i="1" l="1"/>
  <c r="A1072" i="1" s="1"/>
  <c r="B423" i="1"/>
  <c r="A1073" i="1" l="1"/>
  <c r="A1074" i="1" s="1"/>
  <c r="B424" i="1"/>
  <c r="A1075" i="1" l="1"/>
  <c r="A1076" i="1" s="1"/>
  <c r="B425" i="1"/>
  <c r="A1077" i="1" l="1"/>
  <c r="A1078" i="1" s="1"/>
  <c r="B426" i="1"/>
  <c r="A1079" i="1" l="1"/>
  <c r="A1080" i="1" s="1"/>
  <c r="A1081" i="1" s="1"/>
  <c r="A1082" i="1" s="1"/>
  <c r="A1083" i="1" s="1"/>
  <c r="A1084" i="1" s="1"/>
  <c r="A1085" i="1" s="1"/>
  <c r="B427" i="1"/>
  <c r="A1086" i="1" l="1"/>
  <c r="A1087" i="1" s="1"/>
  <c r="F1085" i="1"/>
  <c r="B428" i="1"/>
  <c r="A1088" i="1" l="1"/>
  <c r="B429" i="1"/>
  <c r="A1089" i="1" l="1"/>
  <c r="A1090" i="1" s="1"/>
  <c r="B430" i="1"/>
  <c r="A1091" i="1" l="1"/>
  <c r="B431" i="1"/>
  <c r="A1092" i="1" l="1"/>
  <c r="A1093" i="1" s="1"/>
  <c r="B432" i="1"/>
  <c r="A1094" i="1" l="1"/>
  <c r="B433" i="1"/>
  <c r="A1095" i="1" l="1"/>
  <c r="A1096" i="1" s="1"/>
  <c r="B434" i="1"/>
  <c r="A1097" i="1" l="1"/>
  <c r="B435" i="1"/>
  <c r="A1098" i="1" l="1"/>
  <c r="A1099" i="1" s="1"/>
  <c r="B436" i="1"/>
  <c r="A1100" i="1" l="1"/>
  <c r="B437" i="1"/>
  <c r="A1101" i="1" l="1"/>
  <c r="A1102" i="1" s="1"/>
  <c r="B438" i="1"/>
  <c r="A1103" i="1" l="1"/>
  <c r="B439" i="1"/>
  <c r="A1104" i="1" l="1"/>
  <c r="A1105" i="1" s="1"/>
  <c r="B440" i="1"/>
  <c r="A1106" i="1" l="1"/>
  <c r="B441" i="1"/>
  <c r="A1107" i="1" l="1"/>
  <c r="A1108" i="1" s="1"/>
  <c r="B442" i="1"/>
  <c r="A1109" i="1" l="1"/>
  <c r="B443" i="1"/>
  <c r="A1110" i="1" l="1"/>
  <c r="A1111" i="1" s="1"/>
  <c r="B444" i="1"/>
  <c r="A1112" i="1" l="1"/>
  <c r="B445" i="1"/>
  <c r="A1113" i="1" l="1"/>
  <c r="A1114" i="1" s="1"/>
  <c r="B446" i="1"/>
  <c r="A1115" i="1" l="1"/>
  <c r="B447" i="1"/>
  <c r="A1116" i="1" l="1"/>
  <c r="A1117" i="1" s="1"/>
  <c r="B448" i="1"/>
  <c r="A1118" i="1" l="1"/>
  <c r="B449" i="1"/>
  <c r="A1119" i="1" l="1"/>
  <c r="A1120" i="1" s="1"/>
  <c r="B450" i="1"/>
  <c r="A1121" i="1" l="1"/>
  <c r="B451" i="1"/>
  <c r="A1122" i="1" l="1"/>
  <c r="A1123" i="1" s="1"/>
  <c r="B452" i="1"/>
  <c r="A1124" i="1" l="1"/>
  <c r="B453" i="1"/>
  <c r="A1125" i="1" l="1"/>
  <c r="A1126" i="1" s="1"/>
  <c r="B454" i="1"/>
  <c r="A1127" i="1" l="1"/>
  <c r="B455" i="1"/>
  <c r="A1128" i="1" l="1"/>
  <c r="A1129" i="1" s="1"/>
  <c r="B456" i="1"/>
  <c r="A1130" i="1" l="1"/>
  <c r="B457" i="1"/>
  <c r="A1131" i="1" l="1"/>
  <c r="A1132" i="1" s="1"/>
  <c r="B458" i="1"/>
  <c r="A1133" i="1" l="1"/>
  <c r="B459" i="1"/>
  <c r="A1134" i="1" l="1"/>
  <c r="B460" i="1"/>
  <c r="A1135" i="1" l="1"/>
  <c r="A1136" i="1" s="1"/>
  <c r="F1134" i="1"/>
  <c r="B461" i="1"/>
  <c r="A1137" i="1" l="1"/>
  <c r="A1138" i="1" s="1"/>
  <c r="B462" i="1"/>
  <c r="A1139" i="1" l="1"/>
  <c r="A1140" i="1" s="1"/>
  <c r="B463" i="1"/>
  <c r="A1141" i="1" l="1"/>
  <c r="A1142" i="1" s="1"/>
  <c r="B464" i="1"/>
  <c r="A1143" i="1" l="1"/>
  <c r="A1144" i="1" s="1"/>
  <c r="B465" i="1"/>
  <c r="A1145" i="1" l="1"/>
  <c r="A1146" i="1" s="1"/>
  <c r="B466" i="1"/>
  <c r="A1147" i="1" l="1"/>
  <c r="A1148" i="1" s="1"/>
  <c r="F466" i="1"/>
  <c r="B467" i="1"/>
  <c r="A1149" i="1" l="1"/>
  <c r="A1150" i="1" s="1"/>
  <c r="B468" i="1"/>
  <c r="A1151" i="1" l="1"/>
  <c r="A1152" i="1" s="1"/>
  <c r="F468" i="1"/>
  <c r="B469" i="1"/>
  <c r="A1153" i="1" l="1"/>
  <c r="A1154" i="1" s="1"/>
  <c r="B470" i="1"/>
  <c r="A1155" i="1" l="1"/>
  <c r="A1156" i="1" s="1"/>
  <c r="B471" i="1"/>
  <c r="A1157" i="1" l="1"/>
  <c r="A1158" i="1" s="1"/>
  <c r="B472" i="1"/>
  <c r="A1159" i="1" l="1"/>
  <c r="A1160" i="1" s="1"/>
  <c r="B473" i="1"/>
  <c r="A1161" i="1" l="1"/>
  <c r="A1162" i="1" s="1"/>
  <c r="B474" i="1"/>
  <c r="A1163" i="1" l="1"/>
  <c r="A1164" i="1" s="1"/>
  <c r="B475" i="1"/>
  <c r="A1165" i="1" l="1"/>
  <c r="A1166" i="1" s="1"/>
  <c r="B476" i="1"/>
  <c r="A1167" i="1" l="1"/>
  <c r="A1168" i="1" s="1"/>
  <c r="B477" i="1"/>
  <c r="A1169" i="1" l="1"/>
  <c r="A1170" i="1" s="1"/>
  <c r="B478" i="1"/>
  <c r="A1171" i="1" l="1"/>
  <c r="A1172" i="1" s="1"/>
  <c r="F1170" i="1"/>
  <c r="B479" i="1"/>
  <c r="A1173" i="1" l="1"/>
  <c r="A1174" i="1" s="1"/>
  <c r="B480" i="1"/>
  <c r="A1175" i="1" l="1"/>
  <c r="A1176" i="1" s="1"/>
  <c r="B481" i="1"/>
  <c r="A1177" i="1" l="1"/>
  <c r="A1178" i="1" s="1"/>
  <c r="B482" i="1"/>
  <c r="A1179" i="1" l="1"/>
  <c r="A1180" i="1" s="1"/>
  <c r="B483" i="1"/>
  <c r="A1181" i="1" l="1"/>
  <c r="A1182" i="1" s="1"/>
  <c r="B484" i="1"/>
  <c r="A1183" i="1" l="1"/>
  <c r="A1184" i="1" s="1"/>
  <c r="B485" i="1"/>
  <c r="A1185" i="1" l="1"/>
  <c r="A1186" i="1" s="1"/>
  <c r="A1187" i="1" s="1"/>
  <c r="A1188" i="1" s="1"/>
  <c r="A1189" i="1" s="1"/>
  <c r="A1190" i="1" s="1"/>
  <c r="A1191" i="1" s="1"/>
  <c r="A1192" i="1" s="1"/>
  <c r="A1193" i="1" s="1"/>
  <c r="A1194" i="1" s="1"/>
  <c r="A1195" i="1" s="1"/>
  <c r="A1196" i="1" s="1"/>
  <c r="A1197" i="1" s="1"/>
  <c r="B486" i="1"/>
  <c r="A1198" i="1" l="1"/>
  <c r="A1199" i="1" s="1"/>
  <c r="F1197" i="1"/>
  <c r="B487" i="1"/>
  <c r="A1200" i="1" l="1"/>
  <c r="B488" i="1"/>
  <c r="A1201" i="1" l="1"/>
  <c r="A1202" i="1" s="1"/>
  <c r="B489" i="1"/>
  <c r="A1203" i="1" l="1"/>
  <c r="B490" i="1"/>
  <c r="A1204" i="1" l="1"/>
  <c r="A1205" i="1" s="1"/>
  <c r="B491" i="1"/>
  <c r="A1206" i="1" l="1"/>
  <c r="B492" i="1"/>
  <c r="A1207" i="1" l="1"/>
  <c r="A1208" i="1" s="1"/>
  <c r="B493" i="1"/>
  <c r="A1209" i="1" l="1"/>
  <c r="B494" i="1"/>
  <c r="A1210" i="1" l="1"/>
  <c r="A1211" i="1" s="1"/>
  <c r="B495" i="1"/>
  <c r="A1212" i="1" l="1"/>
  <c r="B496" i="1"/>
  <c r="A1213" i="1" l="1"/>
  <c r="A1214" i="1" s="1"/>
  <c r="B497" i="1"/>
  <c r="A1215" i="1" l="1"/>
  <c r="B498" i="1"/>
  <c r="A1216" i="1" l="1"/>
  <c r="A1217" i="1" s="1"/>
  <c r="B499" i="1"/>
  <c r="A1218" i="1" l="1"/>
  <c r="B500" i="1"/>
  <c r="A1219" i="1" l="1"/>
  <c r="A1220" i="1" s="1"/>
  <c r="B501" i="1"/>
  <c r="A1221" i="1" l="1"/>
  <c r="B502" i="1"/>
  <c r="A1222" i="1" l="1"/>
  <c r="A1223" i="1" s="1"/>
  <c r="B503" i="1"/>
  <c r="A1224" i="1" l="1"/>
  <c r="B504" i="1"/>
  <c r="A1225" i="1" l="1"/>
  <c r="A1226" i="1" s="1"/>
  <c r="B505" i="1"/>
  <c r="A1227" i="1" l="1"/>
  <c r="B506" i="1"/>
  <c r="A1228" i="1" l="1"/>
  <c r="A1229" i="1" s="1"/>
  <c r="B507" i="1"/>
  <c r="A1230" i="1" l="1"/>
  <c r="B508" i="1"/>
  <c r="A1231" i="1" l="1"/>
  <c r="A1232" i="1" s="1"/>
  <c r="B509" i="1"/>
  <c r="A1233" i="1" l="1"/>
  <c r="B510" i="1"/>
  <c r="A1234" i="1" l="1"/>
  <c r="A1235" i="1" s="1"/>
  <c r="B511" i="1"/>
  <c r="A1236" i="1" l="1"/>
  <c r="B512" i="1"/>
  <c r="A1237" i="1" l="1"/>
  <c r="B513" i="1"/>
  <c r="A1238" i="1" l="1"/>
  <c r="A1239" i="1" s="1"/>
  <c r="F1237" i="1"/>
  <c r="B514" i="1"/>
  <c r="A1240" i="1" l="1"/>
  <c r="A1241" i="1" s="1"/>
  <c r="B515" i="1"/>
  <c r="A1242" i="1" l="1"/>
  <c r="A1243" i="1" s="1"/>
  <c r="B516" i="1"/>
  <c r="A1244" i="1" l="1"/>
  <c r="A1245" i="1" s="1"/>
  <c r="B517" i="1"/>
  <c r="A1246" i="1" l="1"/>
  <c r="A1247" i="1" s="1"/>
  <c r="B518" i="1"/>
  <c r="A1248" i="1" l="1"/>
  <c r="A1249" i="1" s="1"/>
  <c r="B519" i="1"/>
  <c r="A1250" i="1" l="1"/>
  <c r="A1251" i="1" s="1"/>
  <c r="B520" i="1"/>
  <c r="A1252" i="1" l="1"/>
  <c r="A1253" i="1" s="1"/>
  <c r="B521" i="1"/>
  <c r="A1254" i="1" l="1"/>
  <c r="A1255" i="1" s="1"/>
  <c r="B522" i="1"/>
  <c r="A1256" i="1" l="1"/>
  <c r="A1257" i="1" s="1"/>
  <c r="B523" i="1"/>
  <c r="A1258" i="1" l="1"/>
  <c r="A1259" i="1" s="1"/>
  <c r="B524" i="1"/>
  <c r="A1260" i="1" l="1"/>
  <c r="A1261" i="1" s="1"/>
  <c r="B525" i="1"/>
  <c r="A1262" i="1" l="1"/>
  <c r="A1263" i="1" s="1"/>
  <c r="B526" i="1"/>
  <c r="A1264" i="1" l="1"/>
  <c r="A1265" i="1" s="1"/>
  <c r="B527" i="1"/>
  <c r="A1266" i="1" l="1"/>
  <c r="A1267" i="1" s="1"/>
  <c r="B528" i="1"/>
  <c r="A1268" i="1" l="1"/>
  <c r="A1269" i="1" s="1"/>
  <c r="F1267" i="1"/>
  <c r="B529" i="1"/>
  <c r="A1270" i="1" l="1"/>
  <c r="A1271" i="1" s="1"/>
  <c r="B530" i="1"/>
  <c r="A1272" i="1" l="1"/>
  <c r="A1273" i="1" s="1"/>
  <c r="B531" i="1"/>
  <c r="A1274" i="1" l="1"/>
  <c r="A1275" i="1" s="1"/>
  <c r="B532" i="1"/>
  <c r="A1276" i="1" l="1"/>
  <c r="A1277" i="1" s="1"/>
  <c r="B533" i="1"/>
  <c r="A1278" i="1" l="1"/>
  <c r="A1279" i="1" s="1"/>
  <c r="B534" i="1"/>
  <c r="A1280" i="1" l="1"/>
  <c r="A1281" i="1" s="1"/>
  <c r="B535" i="1"/>
  <c r="A1282" i="1" l="1"/>
  <c r="A1283" i="1" s="1"/>
  <c r="B536" i="1"/>
  <c r="A1284" i="1" l="1"/>
  <c r="A1285" i="1" s="1"/>
  <c r="B537" i="1"/>
  <c r="A1286" i="1" l="1"/>
  <c r="A1287" i="1" s="1"/>
  <c r="B538" i="1"/>
  <c r="A1288" i="1" l="1"/>
  <c r="A1289" i="1" s="1"/>
  <c r="B539" i="1"/>
  <c r="A1290" i="1" l="1"/>
  <c r="A1291" i="1" s="1"/>
  <c r="A1292" i="1" s="1"/>
  <c r="A1293" i="1" s="1"/>
  <c r="A1294" i="1" s="1"/>
  <c r="A1295" i="1" s="1"/>
  <c r="A1296" i="1" s="1"/>
  <c r="B540" i="1"/>
  <c r="A1297" i="1" l="1"/>
  <c r="A1298" i="1" s="1"/>
  <c r="F1296" i="1"/>
  <c r="B541" i="1"/>
  <c r="A1299" i="1" l="1"/>
  <c r="B542" i="1"/>
  <c r="A1300" i="1" l="1"/>
  <c r="A1301" i="1" s="1"/>
  <c r="B543" i="1"/>
  <c r="A1302" i="1" l="1"/>
  <c r="B544" i="1"/>
  <c r="A1303" i="1" l="1"/>
  <c r="A1304" i="1" s="1"/>
  <c r="B545" i="1"/>
  <c r="A1305" i="1" l="1"/>
  <c r="B546" i="1"/>
  <c r="A1306" i="1" l="1"/>
  <c r="A1307" i="1" s="1"/>
  <c r="B547" i="1"/>
  <c r="A1308" i="1" l="1"/>
  <c r="B548" i="1"/>
  <c r="A1309" i="1" l="1"/>
  <c r="A1310" i="1" s="1"/>
  <c r="B549" i="1"/>
  <c r="A1311" i="1" l="1"/>
  <c r="B550" i="1"/>
  <c r="A1312" i="1" l="1"/>
  <c r="A1313" i="1" s="1"/>
  <c r="B551" i="1"/>
  <c r="A1314" i="1" l="1"/>
  <c r="B552" i="1"/>
  <c r="A1315" i="1" l="1"/>
  <c r="A1316" i="1" s="1"/>
  <c r="B553" i="1"/>
  <c r="A1317" i="1" l="1"/>
  <c r="B554" i="1"/>
  <c r="A1318" i="1" l="1"/>
  <c r="A1319" i="1" s="1"/>
  <c r="B555" i="1"/>
  <c r="A1320" i="1" l="1"/>
  <c r="B556" i="1"/>
  <c r="A1321" i="1" l="1"/>
  <c r="A1322" i="1" s="1"/>
  <c r="B557" i="1"/>
  <c r="A1323" i="1" l="1"/>
  <c r="B558" i="1"/>
  <c r="A1324" i="1" l="1"/>
  <c r="A1325" i="1" s="1"/>
  <c r="B559" i="1"/>
  <c r="A1326" i="1" l="1"/>
  <c r="B560" i="1"/>
  <c r="A1327" i="1" l="1"/>
  <c r="A1328" i="1" s="1"/>
  <c r="B561" i="1"/>
  <c r="A1329" i="1" l="1"/>
  <c r="B562" i="1"/>
  <c r="A1330" i="1" l="1"/>
  <c r="A1331" i="1" s="1"/>
  <c r="B563" i="1"/>
  <c r="A1332" i="1" l="1"/>
  <c r="B564" i="1"/>
  <c r="A1333" i="1" l="1"/>
  <c r="A1334" i="1" s="1"/>
  <c r="B565" i="1"/>
  <c r="A1335" i="1" l="1"/>
  <c r="B566" i="1"/>
  <c r="A1336" i="1" l="1"/>
  <c r="A1337" i="1" s="1"/>
  <c r="B567" i="1"/>
  <c r="A1338" i="1" l="1"/>
  <c r="B568" i="1"/>
  <c r="A1339" i="1" l="1"/>
  <c r="B569" i="1"/>
  <c r="A1340" i="1" l="1"/>
  <c r="A1341" i="1" s="1"/>
  <c r="F1339" i="1"/>
  <c r="B570" i="1"/>
  <c r="A1342" i="1" l="1"/>
  <c r="A1343" i="1" s="1"/>
  <c r="B571" i="1"/>
  <c r="A1344" i="1" l="1"/>
  <c r="A1345" i="1" s="1"/>
  <c r="B572" i="1"/>
  <c r="A1346" i="1" l="1"/>
  <c r="A1347" i="1" s="1"/>
  <c r="B573" i="1"/>
  <c r="A1348" i="1" l="1"/>
  <c r="A1349" i="1" s="1"/>
  <c r="B574" i="1"/>
  <c r="A1350" i="1" l="1"/>
  <c r="A1351" i="1" s="1"/>
  <c r="B575" i="1"/>
  <c r="A1352" i="1" l="1"/>
  <c r="A1353" i="1" s="1"/>
  <c r="B576" i="1"/>
  <c r="A1354" i="1" l="1"/>
  <c r="A1355" i="1" s="1"/>
  <c r="B577" i="1"/>
  <c r="A1356" i="1" l="1"/>
  <c r="A1357" i="1" s="1"/>
  <c r="B578" i="1"/>
  <c r="A1358" i="1" l="1"/>
  <c r="A1359" i="1" s="1"/>
  <c r="B579" i="1"/>
  <c r="A1360" i="1" l="1"/>
  <c r="A1361" i="1" s="1"/>
  <c r="B580" i="1"/>
  <c r="A1362" i="1" l="1"/>
  <c r="A1363" i="1" s="1"/>
  <c r="B581" i="1"/>
  <c r="A1364" i="1" l="1"/>
  <c r="A1365" i="1" s="1"/>
  <c r="B582" i="1"/>
  <c r="A1366" i="1" l="1"/>
  <c r="A1367" i="1" s="1"/>
  <c r="B583" i="1"/>
  <c r="A1368" i="1" l="1"/>
  <c r="A1369" i="1" s="1"/>
  <c r="B584" i="1"/>
  <c r="A1370" i="1" l="1"/>
  <c r="A1371" i="1" s="1"/>
  <c r="B585" i="1"/>
  <c r="A1372" i="1" l="1"/>
  <c r="A1373" i="1" s="1"/>
  <c r="F1371" i="1"/>
  <c r="B586" i="1"/>
  <c r="A1374" i="1" l="1"/>
  <c r="A1375" i="1" s="1"/>
  <c r="B587" i="1"/>
  <c r="A1376" i="1" l="1"/>
  <c r="A1377" i="1" s="1"/>
  <c r="B588" i="1"/>
  <c r="A1378" i="1" l="1"/>
  <c r="A1379" i="1" s="1"/>
  <c r="B589" i="1"/>
  <c r="A1380" i="1" l="1"/>
  <c r="A1381" i="1" s="1"/>
  <c r="B590" i="1"/>
  <c r="A1382" i="1" l="1"/>
  <c r="A1383" i="1" s="1"/>
  <c r="B591" i="1"/>
  <c r="A1384" i="1" l="1"/>
  <c r="A1385" i="1" s="1"/>
  <c r="B592" i="1"/>
  <c r="A1386" i="1" l="1"/>
  <c r="A1387" i="1" s="1"/>
  <c r="B593" i="1"/>
  <c r="A1388" i="1" l="1"/>
  <c r="A1389" i="1" s="1"/>
  <c r="A1390" i="1" s="1"/>
  <c r="A1391" i="1" s="1"/>
  <c r="A1392" i="1" s="1"/>
  <c r="A1393" i="1" s="1"/>
  <c r="A1394" i="1" s="1"/>
  <c r="B594" i="1"/>
  <c r="A1395" i="1" l="1"/>
  <c r="A1396" i="1" s="1"/>
  <c r="F1394" i="1"/>
  <c r="B595" i="1"/>
  <c r="A1397" i="1" l="1"/>
  <c r="B596" i="1"/>
  <c r="A1398" i="1" l="1"/>
  <c r="A1399" i="1" s="1"/>
  <c r="B597" i="1"/>
  <c r="A1400" i="1" l="1"/>
  <c r="B598" i="1"/>
  <c r="A1401" i="1" l="1"/>
  <c r="A1402" i="1" s="1"/>
  <c r="B599" i="1"/>
  <c r="F598" i="1"/>
  <c r="A1403" i="1" l="1"/>
  <c r="B600" i="1"/>
  <c r="A1404" i="1" l="1"/>
  <c r="A1405" i="1" s="1"/>
  <c r="F600" i="1"/>
  <c r="B601" i="1"/>
  <c r="A1406" i="1" l="1"/>
  <c r="B602" i="1"/>
  <c r="A1407" i="1" l="1"/>
  <c r="A1408" i="1" s="1"/>
  <c r="B603" i="1"/>
  <c r="A1409" i="1" l="1"/>
  <c r="B604" i="1"/>
  <c r="A1410" i="1" l="1"/>
  <c r="A1411" i="1" s="1"/>
  <c r="B605" i="1"/>
  <c r="A1412" i="1" l="1"/>
  <c r="B606" i="1"/>
  <c r="A1413" i="1" l="1"/>
  <c r="A1414" i="1" s="1"/>
  <c r="B607" i="1"/>
  <c r="A1415" i="1" l="1"/>
  <c r="B608" i="1"/>
  <c r="A1416" i="1" l="1"/>
  <c r="A1417" i="1" s="1"/>
  <c r="B609" i="1"/>
  <c r="A1418" i="1" l="1"/>
  <c r="B610" i="1"/>
  <c r="A1419" i="1" l="1"/>
  <c r="A1420" i="1" s="1"/>
  <c r="B611" i="1"/>
  <c r="A1421" i="1" l="1"/>
  <c r="B612" i="1"/>
  <c r="A1422" i="1" l="1"/>
  <c r="A1423" i="1" s="1"/>
  <c r="B613" i="1"/>
  <c r="A1424" i="1" l="1"/>
  <c r="B614" i="1"/>
  <c r="A1425" i="1" l="1"/>
  <c r="A1426" i="1" s="1"/>
  <c r="B615" i="1"/>
  <c r="A1427" i="1" l="1"/>
  <c r="B616" i="1"/>
  <c r="A1428" i="1" l="1"/>
  <c r="B617" i="1"/>
  <c r="A1429" i="1" l="1"/>
  <c r="A1430" i="1" s="1"/>
  <c r="F1428" i="1"/>
  <c r="B618" i="1"/>
  <c r="A1431" i="1" l="1"/>
  <c r="A1432" i="1" s="1"/>
  <c r="B619" i="1"/>
  <c r="A1433" i="1" l="1"/>
  <c r="A1434" i="1" s="1"/>
  <c r="B620" i="1"/>
  <c r="A1435" i="1" l="1"/>
  <c r="A1436" i="1" s="1"/>
  <c r="B621" i="1"/>
  <c r="A1437" i="1" l="1"/>
  <c r="A1438" i="1" s="1"/>
  <c r="B622" i="1"/>
  <c r="A1439" i="1" l="1"/>
  <c r="A1440" i="1" s="1"/>
  <c r="B623" i="1"/>
  <c r="A1441" i="1" l="1"/>
  <c r="A1442" i="1" s="1"/>
  <c r="B624" i="1"/>
  <c r="A1443" i="1" l="1"/>
  <c r="A1444" i="1" s="1"/>
  <c r="B625" i="1"/>
  <c r="A1445" i="1" l="1"/>
  <c r="A1446" i="1" s="1"/>
  <c r="B626" i="1"/>
  <c r="A1447" i="1" l="1"/>
  <c r="A1448" i="1" s="1"/>
  <c r="B627" i="1"/>
  <c r="A1449" i="1" l="1"/>
  <c r="A1450" i="1" s="1"/>
  <c r="B628" i="1"/>
  <c r="A1451" i="1" l="1"/>
  <c r="A1452" i="1" s="1"/>
  <c r="B629" i="1"/>
  <c r="A1453" i="1" l="1"/>
  <c r="A1454" i="1" s="1"/>
  <c r="B630" i="1"/>
  <c r="A1455" i="1" l="1"/>
  <c r="A1456" i="1" s="1"/>
  <c r="F1454" i="1"/>
  <c r="B631" i="1"/>
  <c r="A1457" i="1" l="1"/>
  <c r="A1458" i="1" s="1"/>
  <c r="B632" i="1"/>
  <c r="A1459" i="1" l="1"/>
  <c r="A1460" i="1" s="1"/>
  <c r="B633" i="1"/>
  <c r="A1461" i="1" l="1"/>
  <c r="A1462" i="1" s="1"/>
  <c r="B634" i="1"/>
  <c r="A1463" i="1" l="1"/>
  <c r="A1464" i="1" s="1"/>
  <c r="B635" i="1"/>
  <c r="A1465" i="1" l="1"/>
  <c r="A1466" i="1" s="1"/>
  <c r="B636" i="1"/>
  <c r="A1467" i="1" l="1"/>
  <c r="A1468" i="1" s="1"/>
  <c r="A1469" i="1" s="1"/>
  <c r="A1470" i="1" s="1"/>
  <c r="A1471" i="1" s="1"/>
  <c r="A1472" i="1" s="1"/>
  <c r="A1473" i="1" s="1"/>
  <c r="A1474" i="1" s="1"/>
  <c r="A1475" i="1" s="1"/>
  <c r="B637" i="1"/>
  <c r="A1476" i="1" l="1"/>
  <c r="A1477" i="1" s="1"/>
  <c r="F1475" i="1"/>
  <c r="B638" i="1"/>
  <c r="A1478" i="1" l="1"/>
  <c r="B639" i="1"/>
  <c r="A1479" i="1" l="1"/>
  <c r="A1480" i="1" s="1"/>
  <c r="B640" i="1"/>
  <c r="A1481" i="1" l="1"/>
  <c r="B641" i="1"/>
  <c r="A1482" i="1" l="1"/>
  <c r="A1483" i="1" s="1"/>
  <c r="B642" i="1"/>
  <c r="A1484" i="1" l="1"/>
  <c r="B643" i="1"/>
  <c r="A1485" i="1" l="1"/>
  <c r="A1486" i="1" s="1"/>
  <c r="B644" i="1"/>
  <c r="A1487" i="1" l="1"/>
  <c r="B645" i="1"/>
  <c r="A1488" i="1" l="1"/>
  <c r="A1489" i="1" s="1"/>
  <c r="B646" i="1"/>
  <c r="A1490" i="1" l="1"/>
  <c r="B647" i="1"/>
  <c r="A1491" i="1" l="1"/>
  <c r="A1492" i="1" s="1"/>
  <c r="B648" i="1"/>
  <c r="A1493" i="1" l="1"/>
  <c r="B649" i="1"/>
  <c r="A1494" i="1" l="1"/>
  <c r="A1495" i="1" s="1"/>
  <c r="B650" i="1"/>
  <c r="A1496" i="1" l="1"/>
  <c r="B651" i="1"/>
  <c r="A1497" i="1" l="1"/>
  <c r="A1498" i="1" s="1"/>
  <c r="B652" i="1"/>
  <c r="A1499" i="1" l="1"/>
  <c r="B653" i="1"/>
  <c r="A1500" i="1" l="1"/>
  <c r="A1501" i="1" s="1"/>
  <c r="B654" i="1"/>
  <c r="A1502" i="1" l="1"/>
  <c r="B655" i="1"/>
  <c r="A1503" i="1" l="1"/>
  <c r="A1504" i="1" s="1"/>
  <c r="B656" i="1"/>
  <c r="A1505" i="1" l="1"/>
  <c r="B657" i="1"/>
  <c r="A1506" i="1" l="1"/>
  <c r="B658" i="1"/>
  <c r="A1507" i="1" l="1"/>
  <c r="A1508" i="1" s="1"/>
  <c r="F1506" i="1"/>
  <c r="B659" i="1"/>
  <c r="A1509" i="1" l="1"/>
  <c r="A1510" i="1" s="1"/>
  <c r="B660" i="1"/>
  <c r="A1511" i="1" l="1"/>
  <c r="A1512" i="1" s="1"/>
  <c r="B661" i="1"/>
  <c r="A1513" i="1" l="1"/>
  <c r="A1514" i="1" s="1"/>
  <c r="B662" i="1"/>
  <c r="A1515" i="1" l="1"/>
  <c r="A1516" i="1" s="1"/>
  <c r="B663" i="1"/>
  <c r="A1517" i="1" l="1"/>
  <c r="A1518" i="1" s="1"/>
  <c r="B664" i="1"/>
  <c r="A1519" i="1" l="1"/>
  <c r="A1520" i="1" s="1"/>
  <c r="B665" i="1"/>
  <c r="A1521" i="1" l="1"/>
  <c r="A1522" i="1" s="1"/>
  <c r="B666" i="1"/>
  <c r="A1523" i="1" l="1"/>
  <c r="A1524" i="1" s="1"/>
  <c r="B667" i="1"/>
  <c r="A1525" i="1" l="1"/>
  <c r="A1526" i="1" s="1"/>
  <c r="B668" i="1"/>
  <c r="A1527" i="1" l="1"/>
  <c r="A1528" i="1" s="1"/>
  <c r="B669" i="1"/>
  <c r="A1529" i="1" l="1"/>
  <c r="A1530" i="1" s="1"/>
  <c r="B670" i="1"/>
  <c r="A1531" i="1" l="1"/>
  <c r="A1532" i="1" s="1"/>
  <c r="F1530" i="1"/>
  <c r="B671" i="1"/>
  <c r="A1533" i="1" l="1"/>
  <c r="A1534" i="1" s="1"/>
  <c r="B672" i="1"/>
  <c r="A1535" i="1" l="1"/>
  <c r="A1536" i="1" s="1"/>
  <c r="B673" i="1"/>
  <c r="A1537" i="1" l="1"/>
  <c r="A1538" i="1" s="1"/>
  <c r="B674" i="1"/>
  <c r="A1539" i="1" l="1"/>
  <c r="A1540" i="1" s="1"/>
  <c r="B675" i="1"/>
  <c r="A1541" i="1" l="1"/>
  <c r="A1542" i="1" s="1"/>
  <c r="B676" i="1"/>
  <c r="A1543" i="1" l="1"/>
  <c r="A1544" i="1" s="1"/>
  <c r="B677" i="1"/>
  <c r="A1545" i="1" l="1"/>
  <c r="A1546" i="1" s="1"/>
  <c r="B678" i="1"/>
  <c r="A1547" i="1" l="1"/>
  <c r="A1548" i="1" s="1"/>
  <c r="B679" i="1"/>
  <c r="A1549" i="1" l="1"/>
  <c r="A1550" i="1" s="1"/>
  <c r="A1551" i="1" s="1"/>
  <c r="A1552" i="1" s="1"/>
  <c r="A1553" i="1" s="1"/>
  <c r="B680" i="1"/>
  <c r="A1554" i="1" l="1"/>
  <c r="A1555" i="1" s="1"/>
  <c r="F1553" i="1"/>
  <c r="B681" i="1"/>
  <c r="A1556" i="1" l="1"/>
  <c r="B682" i="1"/>
  <c r="A1557" i="1" l="1"/>
  <c r="A1558" i="1" s="1"/>
  <c r="B683" i="1"/>
  <c r="A1559" i="1" l="1"/>
  <c r="B684" i="1"/>
  <c r="A1560" i="1" l="1"/>
  <c r="A1561" i="1" s="1"/>
  <c r="B685" i="1"/>
  <c r="A1562" i="1" l="1"/>
  <c r="B686" i="1"/>
  <c r="A1563" i="1" l="1"/>
  <c r="A1564" i="1" s="1"/>
  <c r="B687" i="1"/>
  <c r="A1565" i="1" l="1"/>
  <c r="B688" i="1"/>
  <c r="A1566" i="1" l="1"/>
  <c r="A1567" i="1" s="1"/>
  <c r="B689" i="1"/>
  <c r="A1568" i="1" l="1"/>
  <c r="B690" i="1"/>
  <c r="A1569" i="1" l="1"/>
  <c r="A1570" i="1" s="1"/>
  <c r="B691" i="1"/>
  <c r="A1571" i="1" l="1"/>
  <c r="B692" i="1"/>
  <c r="A1572" i="1" l="1"/>
  <c r="A1573" i="1" s="1"/>
  <c r="B693" i="1"/>
  <c r="A1574" i="1" l="1"/>
  <c r="B694" i="1"/>
  <c r="A1575" i="1" l="1"/>
  <c r="A1576" i="1" s="1"/>
  <c r="B695" i="1"/>
  <c r="A1577" i="1" l="1"/>
  <c r="B696" i="1"/>
  <c r="A1578" i="1" l="1"/>
  <c r="A1579" i="1" s="1"/>
  <c r="B697" i="1"/>
  <c r="A1580" i="1" l="1"/>
  <c r="B698" i="1"/>
  <c r="A1581" i="1" l="1"/>
  <c r="A1582" i="1" s="1"/>
  <c r="B699" i="1"/>
  <c r="A1583" i="1" l="1"/>
  <c r="B700" i="1"/>
  <c r="A1584" i="1" l="1"/>
  <c r="A1585" i="1" s="1"/>
  <c r="B701" i="1"/>
  <c r="A1586" i="1" l="1"/>
  <c r="B702" i="1"/>
  <c r="A1587" i="1" l="1"/>
  <c r="B703" i="1"/>
  <c r="A1588" i="1" l="1"/>
  <c r="A1589" i="1" s="1"/>
  <c r="F1587" i="1"/>
  <c r="B704" i="1"/>
  <c r="A1590" i="1" l="1"/>
  <c r="A1591" i="1" s="1"/>
  <c r="B705" i="1"/>
  <c r="A1592" i="1" l="1"/>
  <c r="A1593" i="1" s="1"/>
  <c r="B706" i="1"/>
  <c r="A1594" i="1" l="1"/>
  <c r="A1595" i="1" s="1"/>
  <c r="B707" i="1"/>
  <c r="A1596" i="1" l="1"/>
  <c r="A1597" i="1" s="1"/>
  <c r="B708" i="1"/>
  <c r="A1598" i="1" l="1"/>
  <c r="A1599" i="1" s="1"/>
  <c r="B709" i="1"/>
  <c r="A1600" i="1" l="1"/>
  <c r="A1601" i="1" s="1"/>
  <c r="F709" i="1"/>
  <c r="B710" i="1"/>
  <c r="A1602" i="1" l="1"/>
  <c r="A1603" i="1" s="1"/>
  <c r="B711" i="1"/>
  <c r="A1604" i="1" l="1"/>
  <c r="A1605" i="1" s="1"/>
  <c r="B712" i="1"/>
  <c r="F711" i="1"/>
  <c r="A1606" i="1" l="1"/>
  <c r="A1607" i="1" s="1"/>
  <c r="B713" i="1"/>
  <c r="A1608" i="1" l="1"/>
  <c r="A1609" i="1" s="1"/>
  <c r="B714" i="1"/>
  <c r="A1610" i="1" l="1"/>
  <c r="A1611" i="1" s="1"/>
  <c r="B715" i="1"/>
  <c r="A1612" i="1" l="1"/>
  <c r="A1613" i="1" s="1"/>
  <c r="B716" i="1"/>
  <c r="F1613" i="1" l="1"/>
  <c r="A1614" i="1"/>
  <c r="A1615" i="1" s="1"/>
  <c r="B717" i="1"/>
  <c r="A1616" i="1" l="1"/>
  <c r="A1617" i="1" s="1"/>
  <c r="B718" i="1"/>
  <c r="A1618" i="1" l="1"/>
  <c r="A1619" i="1" s="1"/>
  <c r="A1620" i="1" s="1"/>
  <c r="A1621" i="1" s="1"/>
  <c r="A1622" i="1" s="1"/>
  <c r="A1623" i="1" s="1"/>
  <c r="A1624" i="1" s="1"/>
  <c r="A1625" i="1" s="1"/>
  <c r="A1626" i="1" s="1"/>
  <c r="A1627" i="1" s="1"/>
  <c r="A1628" i="1" s="1"/>
  <c r="A1629" i="1" s="1"/>
  <c r="A1630" i="1" s="1"/>
  <c r="A1631" i="1" s="1"/>
  <c r="A1632" i="1" s="1"/>
  <c r="A1633" i="1" s="1"/>
  <c r="A1634" i="1" s="1"/>
  <c r="A1635" i="1" s="1"/>
  <c r="A1636" i="1" s="1"/>
  <c r="B719" i="1"/>
  <c r="A1637" i="1" l="1"/>
  <c r="A1638" i="1" s="1"/>
  <c r="F1636" i="1"/>
  <c r="B720" i="1"/>
  <c r="A1639" i="1" l="1"/>
  <c r="B721" i="1"/>
  <c r="A1640" i="1" l="1"/>
  <c r="A1641" i="1" s="1"/>
  <c r="B722" i="1"/>
  <c r="A1642" i="1" l="1"/>
  <c r="B723" i="1"/>
  <c r="A1643" i="1" l="1"/>
  <c r="A1644" i="1" s="1"/>
  <c r="B724" i="1"/>
  <c r="A1645" i="1" l="1"/>
  <c r="B725" i="1"/>
  <c r="A1646" i="1" l="1"/>
  <c r="A1647" i="1" s="1"/>
  <c r="B726" i="1"/>
  <c r="A1648" i="1" l="1"/>
  <c r="B727" i="1"/>
  <c r="A1649" i="1" l="1"/>
  <c r="A1650" i="1" s="1"/>
  <c r="B728" i="1"/>
  <c r="A1651" i="1" l="1"/>
  <c r="B729" i="1"/>
  <c r="A1652" i="1" l="1"/>
  <c r="A1653" i="1" s="1"/>
  <c r="B730" i="1"/>
  <c r="A1654" i="1" l="1"/>
  <c r="B731" i="1"/>
  <c r="A1655" i="1" l="1"/>
  <c r="A1656" i="1" s="1"/>
  <c r="B732" i="1"/>
  <c r="A1657" i="1" l="1"/>
  <c r="B733" i="1"/>
  <c r="A1658" i="1" l="1"/>
  <c r="A1659" i="1" s="1"/>
  <c r="B734" i="1"/>
  <c r="A1660" i="1" l="1"/>
  <c r="B735" i="1"/>
  <c r="A1661" i="1" l="1"/>
  <c r="A1662" i="1" s="1"/>
  <c r="B736" i="1"/>
  <c r="A1663" i="1" l="1"/>
  <c r="B737" i="1"/>
  <c r="A1664" i="1" l="1"/>
  <c r="A1665" i="1" s="1"/>
  <c r="B738" i="1"/>
  <c r="A1666" i="1" l="1"/>
  <c r="B739" i="1"/>
  <c r="A1667" i="1" l="1"/>
  <c r="A1668" i="1" s="1"/>
  <c r="B740" i="1"/>
  <c r="A1669" i="1" l="1"/>
  <c r="B741" i="1"/>
  <c r="A1670" i="1" l="1"/>
  <c r="B742" i="1"/>
  <c r="A1671" i="1" l="1"/>
  <c r="A1672" i="1" s="1"/>
  <c r="F1670" i="1"/>
  <c r="B743" i="1"/>
  <c r="A1673" i="1" l="1"/>
  <c r="A1674" i="1" s="1"/>
  <c r="B744" i="1"/>
  <c r="A1675" i="1" l="1"/>
  <c r="A1676" i="1" s="1"/>
  <c r="B745" i="1"/>
  <c r="A1677" i="1" l="1"/>
  <c r="A1678" i="1" s="1"/>
  <c r="B746" i="1"/>
  <c r="A1679" i="1" l="1"/>
  <c r="A1680" i="1" s="1"/>
  <c r="B747" i="1"/>
  <c r="A1681" i="1" l="1"/>
  <c r="A1682" i="1" s="1"/>
  <c r="B748" i="1"/>
  <c r="A1683" i="1" l="1"/>
  <c r="A1684" i="1" s="1"/>
  <c r="B749" i="1"/>
  <c r="A1685" i="1" l="1"/>
  <c r="A1686" i="1" s="1"/>
  <c r="B750" i="1"/>
  <c r="A1687" i="1" l="1"/>
  <c r="A1688" i="1" s="1"/>
  <c r="B751" i="1"/>
  <c r="A1689" i="1" l="1"/>
  <c r="A1690" i="1" s="1"/>
  <c r="B752" i="1"/>
  <c r="A1691" i="1" l="1"/>
  <c r="A1692" i="1" s="1"/>
  <c r="B753" i="1"/>
  <c r="A1693" i="1" l="1"/>
  <c r="A1694" i="1" s="1"/>
  <c r="B754" i="1"/>
  <c r="A1695" i="1" l="1"/>
  <c r="A1696" i="1" s="1"/>
  <c r="B755" i="1"/>
  <c r="F1696" i="1" l="1"/>
  <c r="A1697" i="1"/>
  <c r="A1698" i="1" s="1"/>
  <c r="B756" i="1"/>
  <c r="A1699" i="1" l="1"/>
  <c r="A1700" i="1" s="1"/>
  <c r="B757" i="1"/>
  <c r="A1701" i="1" l="1"/>
  <c r="A1702" i="1" s="1"/>
  <c r="B758" i="1"/>
  <c r="A1703" i="1" l="1"/>
  <c r="A1704" i="1" s="1"/>
  <c r="B759" i="1"/>
  <c r="A1705" i="1" l="1"/>
  <c r="A1706" i="1" s="1"/>
  <c r="B760" i="1"/>
  <c r="A1707" i="1" l="1"/>
  <c r="A1708" i="1" s="1"/>
  <c r="B761" i="1"/>
  <c r="A1709" i="1" l="1"/>
  <c r="A1710" i="1" s="1"/>
  <c r="B762" i="1"/>
  <c r="A1711" i="1" l="1"/>
  <c r="A1712" i="1" s="1"/>
  <c r="A1713" i="1" s="1"/>
  <c r="A1714" i="1" s="1"/>
  <c r="A1715" i="1" s="1"/>
  <c r="A1716" i="1" s="1"/>
  <c r="A1717" i="1" s="1"/>
  <c r="A1718" i="1" s="1"/>
  <c r="A1719" i="1" s="1"/>
  <c r="A1720" i="1" s="1"/>
  <c r="A1721" i="1" s="1"/>
  <c r="A1722" i="1" s="1"/>
  <c r="A1723" i="1" s="1"/>
  <c r="A1724" i="1" s="1"/>
  <c r="A1725" i="1" s="1"/>
  <c r="B763" i="1"/>
  <c r="A1726" i="1" l="1"/>
  <c r="A1727" i="1" s="1"/>
  <c r="F1725" i="1"/>
  <c r="B764" i="1"/>
  <c r="A1728" i="1" l="1"/>
  <c r="B765" i="1"/>
  <c r="A1729" i="1" l="1"/>
  <c r="A1730" i="1" s="1"/>
  <c r="B766" i="1"/>
  <c r="A1731" i="1" l="1"/>
  <c r="B767" i="1"/>
  <c r="A1732" i="1" l="1"/>
  <c r="A1733" i="1" s="1"/>
  <c r="B768" i="1"/>
  <c r="A1734" i="1" l="1"/>
  <c r="B769" i="1"/>
  <c r="A1735" i="1" l="1"/>
  <c r="A1736" i="1" s="1"/>
  <c r="B770" i="1"/>
  <c r="A1737" i="1" l="1"/>
  <c r="B771" i="1"/>
  <c r="A1738" i="1" l="1"/>
  <c r="A1739" i="1" s="1"/>
  <c r="B772" i="1"/>
  <c r="A1740" i="1" l="1"/>
  <c r="B773" i="1"/>
  <c r="A1741" i="1" l="1"/>
  <c r="A1742" i="1" s="1"/>
  <c r="B774" i="1"/>
  <c r="A1743" i="1" l="1"/>
  <c r="B775" i="1"/>
  <c r="A1744" i="1" l="1"/>
  <c r="A1745" i="1" s="1"/>
  <c r="B776" i="1"/>
  <c r="A1746" i="1" l="1"/>
  <c r="B777" i="1"/>
  <c r="A1747" i="1" l="1"/>
  <c r="A1748" i="1" s="1"/>
  <c r="B778" i="1"/>
  <c r="A1749" i="1" l="1"/>
  <c r="B779" i="1"/>
  <c r="A1750" i="1" l="1"/>
  <c r="A1751" i="1" s="1"/>
  <c r="B780" i="1"/>
  <c r="A1752" i="1" l="1"/>
  <c r="B781" i="1"/>
  <c r="A1753" i="1" l="1"/>
  <c r="A1754" i="1" s="1"/>
  <c r="B782" i="1"/>
  <c r="A1755" i="1" l="1"/>
  <c r="B783" i="1"/>
  <c r="A1756" i="1" l="1"/>
  <c r="A1757" i="1" s="1"/>
  <c r="B784" i="1"/>
  <c r="A1758" i="1" l="1"/>
  <c r="B785" i="1"/>
  <c r="A1759" i="1" l="1"/>
  <c r="A1760" i="1" s="1"/>
  <c r="B786" i="1"/>
  <c r="A1761" i="1" l="1"/>
  <c r="B787" i="1"/>
  <c r="A1762" i="1" l="1"/>
  <c r="A1763" i="1" s="1"/>
  <c r="B788" i="1"/>
  <c r="A1764" i="1" l="1"/>
  <c r="B789" i="1"/>
  <c r="A1765" i="1" l="1"/>
  <c r="A1766" i="1" s="1"/>
  <c r="B790" i="1"/>
  <c r="A1767" i="1" l="1"/>
  <c r="B791" i="1"/>
  <c r="A1768" i="1" l="1"/>
  <c r="B792" i="1"/>
  <c r="A1769" i="1" l="1"/>
  <c r="A1770" i="1" s="1"/>
  <c r="F1768" i="1"/>
  <c r="B793" i="1"/>
  <c r="A1771" i="1" l="1"/>
  <c r="A1772" i="1" s="1"/>
  <c r="B794" i="1"/>
  <c r="A1773" i="1" l="1"/>
  <c r="A1774" i="1" s="1"/>
  <c r="B795" i="1"/>
  <c r="A1775" i="1" l="1"/>
  <c r="A1776" i="1" s="1"/>
  <c r="B796" i="1"/>
  <c r="A1777" i="1" l="1"/>
  <c r="A1778" i="1" s="1"/>
  <c r="B797" i="1"/>
  <c r="A1779" i="1" l="1"/>
  <c r="A1780" i="1" s="1"/>
  <c r="B798" i="1"/>
  <c r="A1781" i="1" l="1"/>
  <c r="A1782" i="1" s="1"/>
  <c r="B799" i="1"/>
  <c r="A1783" i="1" l="1"/>
  <c r="A1784" i="1" s="1"/>
  <c r="B800" i="1"/>
  <c r="A1785" i="1" l="1"/>
  <c r="A1786" i="1" s="1"/>
  <c r="B801" i="1"/>
  <c r="A1787" i="1" l="1"/>
  <c r="A1788" i="1" s="1"/>
  <c r="B802" i="1"/>
  <c r="A1789" i="1" l="1"/>
  <c r="A1790" i="1" s="1"/>
  <c r="B803" i="1"/>
  <c r="A1791" i="1" l="1"/>
  <c r="A1792" i="1" s="1"/>
  <c r="B804" i="1"/>
  <c r="A1793" i="1" l="1"/>
  <c r="A1794" i="1" s="1"/>
  <c r="B805" i="1"/>
  <c r="A1795" i="1" l="1"/>
  <c r="A1796" i="1" s="1"/>
  <c r="B806" i="1"/>
  <c r="A1797" i="1" l="1"/>
  <c r="A1798" i="1" s="1"/>
  <c r="B807" i="1"/>
  <c r="A1799" i="1" l="1"/>
  <c r="A1800" i="1" s="1"/>
  <c r="B808" i="1"/>
  <c r="A1801" i="1" l="1"/>
  <c r="A1802" i="1" s="1"/>
  <c r="F1800" i="1"/>
  <c r="B809" i="1"/>
  <c r="A1803" i="1" l="1"/>
  <c r="A1804" i="1" s="1"/>
  <c r="B810" i="1"/>
  <c r="A1805" i="1" l="1"/>
  <c r="A1806" i="1" s="1"/>
  <c r="B811" i="1"/>
  <c r="A1807" i="1" l="1"/>
  <c r="A1808" i="1" s="1"/>
  <c r="B812" i="1"/>
  <c r="A1809" i="1" l="1"/>
  <c r="A1810" i="1" s="1"/>
  <c r="B813" i="1"/>
  <c r="A1811" i="1" l="1"/>
  <c r="A1812" i="1" s="1"/>
  <c r="B814" i="1"/>
  <c r="A1813" i="1" l="1"/>
  <c r="A1814" i="1" s="1"/>
  <c r="B815" i="1"/>
  <c r="A1815" i="1" l="1"/>
  <c r="A1816" i="1" s="1"/>
  <c r="B816" i="1"/>
  <c r="A1817" i="1" l="1"/>
  <c r="A1818" i="1" s="1"/>
  <c r="A1819" i="1" s="1"/>
  <c r="A1820" i="1" s="1"/>
  <c r="A1821" i="1" s="1"/>
  <c r="A1822" i="1" s="1"/>
  <c r="A1823" i="1" s="1"/>
  <c r="A1824" i="1" s="1"/>
  <c r="A1825" i="1" s="1"/>
  <c r="A1826" i="1" s="1"/>
  <c r="A1827" i="1" s="1"/>
  <c r="A1828" i="1" s="1"/>
  <c r="A1829" i="1" s="1"/>
  <c r="B817" i="1"/>
  <c r="A1830" i="1" l="1"/>
  <c r="A1831" i="1" s="1"/>
  <c r="F1829" i="1"/>
  <c r="B818" i="1"/>
  <c r="A1832" i="1" l="1"/>
  <c r="B819" i="1"/>
  <c r="A1833" i="1" l="1"/>
  <c r="A1834" i="1" s="1"/>
  <c r="B820" i="1"/>
  <c r="A1835" i="1" l="1"/>
  <c r="B821" i="1"/>
  <c r="A1836" i="1" l="1"/>
  <c r="A1837" i="1" s="1"/>
  <c r="B822" i="1"/>
  <c r="A1838" i="1" l="1"/>
  <c r="B823" i="1"/>
  <c r="A1839" i="1" l="1"/>
  <c r="A1840" i="1" s="1"/>
  <c r="B824" i="1"/>
  <c r="A1841" i="1" l="1"/>
  <c r="B825" i="1"/>
  <c r="A1842" i="1" l="1"/>
  <c r="A1843" i="1" s="1"/>
  <c r="B826" i="1"/>
  <c r="A1844" i="1" l="1"/>
  <c r="B827" i="1"/>
  <c r="A1845" i="1" l="1"/>
  <c r="A1846" i="1" s="1"/>
  <c r="B828" i="1"/>
  <c r="A1847" i="1" l="1"/>
  <c r="B829" i="1"/>
  <c r="A1848" i="1" l="1"/>
  <c r="A1849" i="1" s="1"/>
  <c r="B830" i="1"/>
  <c r="A1850" i="1" l="1"/>
  <c r="B831" i="1"/>
  <c r="A1851" i="1" l="1"/>
  <c r="A1852" i="1" s="1"/>
  <c r="B832" i="1"/>
  <c r="A1853" i="1" l="1"/>
  <c r="B833" i="1"/>
  <c r="A1854" i="1" l="1"/>
  <c r="A1855" i="1" s="1"/>
  <c r="B834" i="1"/>
  <c r="A1856" i="1" l="1"/>
  <c r="B835" i="1"/>
  <c r="F834" i="1"/>
  <c r="A1857" i="1" l="1"/>
  <c r="A1858" i="1" s="1"/>
  <c r="B836" i="1"/>
  <c r="A1859" i="1" l="1"/>
  <c r="F836" i="1"/>
  <c r="B837" i="1"/>
  <c r="A1860" i="1" l="1"/>
  <c r="A1861" i="1" s="1"/>
  <c r="B838" i="1"/>
  <c r="A1862" i="1" l="1"/>
  <c r="B839" i="1"/>
  <c r="A1863" i="1" l="1"/>
  <c r="A1864" i="1" s="1"/>
  <c r="B840" i="1"/>
  <c r="A1865" i="1" l="1"/>
  <c r="B841" i="1"/>
  <c r="A1866" i="1" l="1"/>
  <c r="A1867" i="1" s="1"/>
  <c r="B842" i="1"/>
  <c r="A1868" i="1" l="1"/>
  <c r="B843" i="1"/>
  <c r="A1869" i="1" l="1"/>
  <c r="A1870" i="1" s="1"/>
  <c r="B844" i="1"/>
  <c r="A1871" i="1" l="1"/>
  <c r="B845" i="1"/>
  <c r="A1872" i="1" l="1"/>
  <c r="B846" i="1"/>
  <c r="A1873" i="1" l="1"/>
  <c r="A1874" i="1" s="1"/>
  <c r="F1872" i="1"/>
  <c r="B847" i="1"/>
  <c r="A1875" i="1" l="1"/>
  <c r="A1876" i="1" s="1"/>
  <c r="B848" i="1"/>
  <c r="A1877" i="1" l="1"/>
  <c r="A1878" i="1" s="1"/>
  <c r="B849" i="1"/>
  <c r="A1879" i="1" l="1"/>
  <c r="A1880" i="1" s="1"/>
  <c r="B850" i="1"/>
  <c r="A1881" i="1" l="1"/>
  <c r="A1882" i="1" s="1"/>
  <c r="B851" i="1"/>
  <c r="A1883" i="1" l="1"/>
  <c r="A1884" i="1" s="1"/>
  <c r="B852" i="1"/>
  <c r="A1885" i="1" l="1"/>
  <c r="A1886" i="1" s="1"/>
  <c r="B853" i="1"/>
  <c r="A1887" i="1" l="1"/>
  <c r="A1888" i="1" s="1"/>
  <c r="B854" i="1"/>
  <c r="A1889" i="1" l="1"/>
  <c r="A1890" i="1" s="1"/>
  <c r="B855" i="1"/>
  <c r="A1891" i="1" l="1"/>
  <c r="A1892" i="1" s="1"/>
  <c r="B856" i="1"/>
  <c r="A1893" i="1" l="1"/>
  <c r="A1894" i="1" s="1"/>
  <c r="B857" i="1"/>
  <c r="A1895" i="1" l="1"/>
  <c r="A1896" i="1" s="1"/>
  <c r="B858" i="1"/>
  <c r="A1897" i="1" l="1"/>
  <c r="A1898" i="1" s="1"/>
  <c r="B859" i="1"/>
  <c r="A1899" i="1" l="1"/>
  <c r="A1900" i="1" s="1"/>
  <c r="B860" i="1"/>
  <c r="A1901" i="1" l="1"/>
  <c r="A1902" i="1" s="1"/>
  <c r="B861" i="1"/>
  <c r="A1903" i="1" l="1"/>
  <c r="A1904" i="1" s="1"/>
  <c r="B862" i="1"/>
  <c r="A1905" i="1" l="1"/>
  <c r="A1906" i="1" s="1"/>
  <c r="F1904" i="1"/>
  <c r="B863" i="1"/>
  <c r="A1907" i="1" l="1"/>
  <c r="A1908" i="1" s="1"/>
  <c r="B864" i="1"/>
  <c r="A1909" i="1" l="1"/>
  <c r="A1910" i="1" s="1"/>
  <c r="A1911" i="1" s="1"/>
  <c r="A1912" i="1" s="1"/>
  <c r="A1913" i="1" s="1"/>
  <c r="A1914" i="1" s="1"/>
  <c r="A1915" i="1" s="1"/>
  <c r="A1916" i="1" s="1"/>
  <c r="A1917" i="1" s="1"/>
  <c r="A1918" i="1" s="1"/>
  <c r="A1919" i="1" s="1"/>
  <c r="A1920" i="1" s="1"/>
  <c r="A1921" i="1" s="1"/>
  <c r="A1922" i="1" s="1"/>
  <c r="A1923" i="1" s="1"/>
  <c r="A1924" i="1" s="1"/>
  <c r="A1925" i="1" s="1"/>
  <c r="A1926" i="1" s="1"/>
  <c r="A1927" i="1" s="1"/>
  <c r="B865" i="1"/>
  <c r="A1928" i="1" l="1"/>
  <c r="A1929" i="1" s="1"/>
  <c r="F1927" i="1"/>
  <c r="B866" i="1"/>
  <c r="A1930" i="1" l="1"/>
  <c r="B867" i="1"/>
  <c r="A1931" i="1" l="1"/>
  <c r="A1932" i="1" s="1"/>
  <c r="B868" i="1"/>
  <c r="A1933" i="1" l="1"/>
  <c r="B869" i="1"/>
  <c r="A1934" i="1" l="1"/>
  <c r="A1935" i="1" s="1"/>
  <c r="B870" i="1"/>
  <c r="A1936" i="1" l="1"/>
  <c r="B871" i="1"/>
  <c r="A1937" i="1" l="1"/>
  <c r="A1938" i="1" s="1"/>
  <c r="B872" i="1"/>
  <c r="A1939" i="1" l="1"/>
  <c r="B873" i="1"/>
  <c r="A1940" i="1" l="1"/>
  <c r="A1941" i="1" s="1"/>
  <c r="B874" i="1"/>
  <c r="A1942" i="1" l="1"/>
  <c r="B875" i="1"/>
  <c r="A1943" i="1" l="1"/>
  <c r="A1944" i="1" s="1"/>
  <c r="B876" i="1"/>
  <c r="A1945" i="1" l="1"/>
  <c r="B877" i="1"/>
  <c r="A1946" i="1" l="1"/>
  <c r="A1947" i="1" s="1"/>
  <c r="B878" i="1"/>
  <c r="A1948" i="1" l="1"/>
  <c r="B879" i="1"/>
  <c r="A1949" i="1" l="1"/>
  <c r="A1950" i="1" s="1"/>
  <c r="B880" i="1"/>
  <c r="A1951" i="1" l="1"/>
  <c r="B881" i="1"/>
  <c r="A1952" i="1" l="1"/>
  <c r="A1953" i="1" s="1"/>
  <c r="B882" i="1"/>
  <c r="A1954" i="1" l="1"/>
  <c r="B883" i="1"/>
  <c r="A1955" i="1" l="1"/>
  <c r="A1956" i="1" s="1"/>
  <c r="B884" i="1"/>
  <c r="A1957" i="1" l="1"/>
  <c r="B885" i="1"/>
  <c r="A1958" i="1" l="1"/>
  <c r="A1959" i="1" s="1"/>
  <c r="B886" i="1"/>
  <c r="A1960" i="1" l="1"/>
  <c r="B887" i="1"/>
  <c r="A1961" i="1" l="1"/>
  <c r="B888" i="1"/>
  <c r="A1962" i="1" l="1"/>
  <c r="A1963" i="1" s="1"/>
  <c r="F1961" i="1"/>
  <c r="B889" i="1"/>
  <c r="A1964" i="1" l="1"/>
  <c r="A1965" i="1" s="1"/>
  <c r="B890" i="1"/>
  <c r="A1966" i="1" l="1"/>
  <c r="A1967" i="1" s="1"/>
  <c r="B891" i="1"/>
  <c r="A1968" i="1" l="1"/>
  <c r="A1969" i="1" s="1"/>
  <c r="B892" i="1"/>
  <c r="A1970" i="1" l="1"/>
  <c r="A1971" i="1" s="1"/>
  <c r="B893" i="1"/>
  <c r="A1972" i="1" l="1"/>
  <c r="A1973" i="1" s="1"/>
  <c r="B894" i="1"/>
  <c r="A1974" i="1" l="1"/>
  <c r="A1975" i="1" s="1"/>
  <c r="B895" i="1"/>
  <c r="A1976" i="1" l="1"/>
  <c r="A1977" i="1" s="1"/>
  <c r="B896" i="1"/>
  <c r="A1978" i="1" l="1"/>
  <c r="A1979" i="1" s="1"/>
  <c r="B897" i="1"/>
  <c r="A1980" i="1" l="1"/>
  <c r="A1981" i="1" s="1"/>
  <c r="B898" i="1"/>
  <c r="A1982" i="1" l="1"/>
  <c r="A1983" i="1" s="1"/>
  <c r="B899" i="1"/>
  <c r="A1984" i="1" l="1"/>
  <c r="A1985" i="1" s="1"/>
  <c r="B900" i="1"/>
  <c r="A1986" i="1" l="1"/>
  <c r="A1987" i="1" s="1"/>
  <c r="B901" i="1"/>
  <c r="F1987" i="1" l="1"/>
  <c r="A1988" i="1"/>
  <c r="A1989" i="1" s="1"/>
  <c r="B902" i="1"/>
  <c r="A1990" i="1" l="1"/>
  <c r="A1991" i="1" s="1"/>
  <c r="B903" i="1"/>
  <c r="A1992" i="1" l="1"/>
  <c r="A1993" i="1" s="1"/>
  <c r="B904" i="1"/>
  <c r="A1994" i="1" l="1"/>
  <c r="A1995" i="1" s="1"/>
  <c r="B905" i="1"/>
  <c r="A1996" i="1" l="1"/>
  <c r="A1997" i="1" s="1"/>
  <c r="B906" i="1"/>
  <c r="A1998" i="1" l="1"/>
  <c r="A1999" i="1" s="1"/>
  <c r="B907" i="1"/>
  <c r="A2000" i="1" l="1"/>
  <c r="A2001" i="1" s="1"/>
  <c r="B908" i="1"/>
  <c r="A2002" i="1" l="1"/>
  <c r="A2003" i="1" s="1"/>
  <c r="B909" i="1"/>
  <c r="A2004" i="1" l="1"/>
  <c r="A2005" i="1" s="1"/>
  <c r="B910" i="1"/>
  <c r="A2006" i="1" l="1"/>
  <c r="A2007" i="1" s="1"/>
  <c r="B911" i="1"/>
  <c r="A2008" i="1" l="1"/>
  <c r="A2009" i="1" s="1"/>
  <c r="B912" i="1"/>
  <c r="A2010" i="1" l="1"/>
  <c r="A2011" i="1" s="1"/>
  <c r="B913" i="1"/>
  <c r="A2012" i="1" l="1"/>
  <c r="A2013" i="1" s="1"/>
  <c r="B914" i="1"/>
  <c r="A2014" i="1" l="1"/>
  <c r="A2015" i="1" s="1"/>
  <c r="B915" i="1"/>
  <c r="A2016" i="1" l="1"/>
  <c r="B916" i="1"/>
  <c r="B917" i="1" l="1"/>
  <c r="B918" i="1" l="1"/>
  <c r="B919" i="1" l="1"/>
  <c r="B920" i="1" l="1"/>
  <c r="B921" i="1" l="1"/>
  <c r="B922" i="1" l="1"/>
  <c r="B923" i="1" l="1"/>
  <c r="B924" i="1" l="1"/>
  <c r="B925" i="1" l="1"/>
  <c r="B926" i="1" l="1"/>
  <c r="B927" i="1" l="1"/>
  <c r="B928" i="1" l="1"/>
  <c r="B929" i="1" l="1"/>
  <c r="B930" i="1" l="1"/>
  <c r="B931" i="1" l="1"/>
  <c r="B932" i="1" l="1"/>
  <c r="B933" i="1" l="1"/>
  <c r="B934" i="1" l="1"/>
  <c r="B935" i="1" l="1"/>
  <c r="B936" i="1" l="1"/>
  <c r="B937" i="1" l="1"/>
  <c r="B938" i="1" l="1"/>
  <c r="B939" i="1" l="1"/>
  <c r="B940" i="1" l="1"/>
  <c r="B941" i="1" l="1"/>
  <c r="B942" i="1" l="1"/>
  <c r="B943" i="1" l="1"/>
  <c r="B944" i="1" l="1"/>
  <c r="B945" i="1" l="1"/>
  <c r="B946" i="1" l="1"/>
  <c r="B947" i="1" l="1"/>
  <c r="B948" i="1" l="1"/>
  <c r="B949" i="1" l="1"/>
  <c r="B950" i="1" l="1"/>
  <c r="B951" i="1" l="1"/>
  <c r="B952" i="1" l="1"/>
  <c r="B953" i="1" l="1"/>
  <c r="B954" i="1" l="1"/>
  <c r="B955" i="1" l="1"/>
  <c r="B956" i="1" l="1"/>
  <c r="B957" i="1" l="1"/>
  <c r="B958" i="1" l="1"/>
  <c r="B959" i="1" l="1"/>
  <c r="F959" i="1" l="1"/>
  <c r="B960" i="1"/>
  <c r="B961" i="1" l="1"/>
  <c r="F961" i="1" l="1"/>
  <c r="B962" i="1"/>
  <c r="B963" i="1" l="1"/>
  <c r="B964" i="1" l="1"/>
  <c r="B965" i="1" l="1"/>
  <c r="B966" i="1" l="1"/>
  <c r="B967" i="1" l="1"/>
  <c r="B968" i="1" l="1"/>
  <c r="B969" i="1" l="1"/>
  <c r="B970" i="1" l="1"/>
  <c r="B971" i="1" l="1"/>
  <c r="B972" i="1" l="1"/>
  <c r="B973" i="1" l="1"/>
  <c r="B974" i="1" l="1"/>
  <c r="B975" i="1" l="1"/>
  <c r="B976" i="1" l="1"/>
  <c r="B977" i="1" l="1"/>
  <c r="B978" i="1" l="1"/>
  <c r="B979" i="1" l="1"/>
  <c r="B980" i="1" l="1"/>
  <c r="B981" i="1" l="1"/>
  <c r="B982" i="1" l="1"/>
  <c r="B983" i="1" l="1"/>
  <c r="B984" i="1" l="1"/>
  <c r="B985" i="1" l="1"/>
  <c r="B986" i="1" l="1"/>
  <c r="B987" i="1" l="1"/>
  <c r="B988" i="1" l="1"/>
  <c r="B989" i="1" l="1"/>
  <c r="B990" i="1" l="1"/>
  <c r="B991" i="1" l="1"/>
  <c r="B992" i="1" l="1"/>
  <c r="B993" i="1" l="1"/>
  <c r="B994" i="1" l="1"/>
  <c r="B995" i="1" l="1"/>
  <c r="B996" i="1" l="1"/>
  <c r="B997" i="1" l="1"/>
  <c r="B998" i="1" l="1"/>
  <c r="B999" i="1" l="1"/>
  <c r="B1000" i="1" l="1"/>
  <c r="B1001" i="1" l="1"/>
  <c r="B1002" i="1" l="1"/>
  <c r="B1003" i="1" l="1"/>
  <c r="B1004" i="1" l="1"/>
  <c r="B1005" i="1" l="1"/>
  <c r="B1006" i="1" l="1"/>
  <c r="B1007" i="1" l="1"/>
  <c r="B1008" i="1" l="1"/>
  <c r="B1009" i="1" l="1"/>
  <c r="B1010" i="1" l="1"/>
  <c r="B1011" i="1" l="1"/>
  <c r="B1012" i="1" l="1"/>
  <c r="B1013" i="1" l="1"/>
  <c r="B1014" i="1" l="1"/>
  <c r="B1015" i="1" l="1"/>
  <c r="B1016" i="1" l="1"/>
  <c r="B1017" i="1" l="1"/>
  <c r="B1018" i="1" l="1"/>
  <c r="B1019" i="1" l="1"/>
  <c r="B1020" i="1" l="1"/>
  <c r="B1021" i="1" l="1"/>
  <c r="B1022" i="1" l="1"/>
  <c r="B1023" i="1" l="1"/>
  <c r="B1024" i="1" l="1"/>
  <c r="B1025" i="1" l="1"/>
  <c r="B1026" i="1" l="1"/>
  <c r="B1027" i="1" l="1"/>
  <c r="B1028" i="1" l="1"/>
  <c r="B1029" i="1" l="1"/>
  <c r="B1030" i="1" l="1"/>
  <c r="B1031" i="1" l="1"/>
  <c r="B1032" i="1" l="1"/>
  <c r="B1033" i="1" l="1"/>
  <c r="B1034" i="1" l="1"/>
  <c r="B1035" i="1" l="1"/>
  <c r="B1036" i="1" l="1"/>
  <c r="B1037" i="1" l="1"/>
  <c r="B1038" i="1" l="1"/>
  <c r="B1039" i="1" l="1"/>
  <c r="B1040" i="1" l="1"/>
  <c r="B1041" i="1" l="1"/>
  <c r="B1042" i="1" l="1"/>
  <c r="B1043" i="1" l="1"/>
  <c r="B1044" i="1" l="1"/>
  <c r="B1045" i="1" l="1"/>
  <c r="B1046" i="1" l="1"/>
  <c r="B1047" i="1" l="1"/>
  <c r="B1048" i="1" l="1"/>
  <c r="B1049" i="1" l="1"/>
  <c r="F1049" i="1" l="1"/>
  <c r="B1050" i="1"/>
  <c r="B1051" i="1" l="1"/>
  <c r="F1051" i="1" l="1"/>
  <c r="B1052" i="1"/>
  <c r="B1053" i="1" l="1"/>
  <c r="B1054" i="1" l="1"/>
  <c r="B1055" i="1" l="1"/>
  <c r="B1056" i="1" l="1"/>
  <c r="B1057" i="1" l="1"/>
  <c r="B1058" i="1" l="1"/>
  <c r="B1059" i="1" l="1"/>
  <c r="B1060" i="1" l="1"/>
  <c r="B1061" i="1" l="1"/>
  <c r="B1062" i="1" l="1"/>
  <c r="B1063" i="1" l="1"/>
  <c r="B1064" i="1" l="1"/>
  <c r="B1065" i="1" l="1"/>
  <c r="B1066" i="1" l="1"/>
  <c r="B1067" i="1" l="1"/>
  <c r="B1068" i="1" l="1"/>
  <c r="B1069" i="1" l="1"/>
  <c r="B1070" i="1" l="1"/>
  <c r="B1071" i="1" l="1"/>
  <c r="B1072" i="1" l="1"/>
  <c r="B1073" i="1" l="1"/>
  <c r="B1074" i="1" l="1"/>
  <c r="B1075" i="1" l="1"/>
  <c r="B1076" i="1" l="1"/>
  <c r="B1077" i="1" l="1"/>
  <c r="B1078" i="1" l="1"/>
  <c r="B1079" i="1" l="1"/>
  <c r="B1080" i="1" l="1"/>
  <c r="B1081" i="1" l="1"/>
  <c r="B1082" i="1" l="1"/>
  <c r="B1083" i="1" l="1"/>
  <c r="B1084" i="1" l="1"/>
  <c r="B1085" i="1" l="1"/>
  <c r="B1086" i="1" l="1"/>
  <c r="B1087" i="1" l="1"/>
  <c r="B1088" i="1" l="1"/>
  <c r="B1089" i="1" l="1"/>
  <c r="B1090" i="1" l="1"/>
  <c r="B1091" i="1" l="1"/>
  <c r="B1092" i="1" l="1"/>
  <c r="B1093" i="1" l="1"/>
  <c r="B1094" i="1" l="1"/>
  <c r="B1095" i="1" l="1"/>
  <c r="B1096" i="1" l="1"/>
  <c r="B1097" i="1" l="1"/>
  <c r="B1098" i="1" l="1"/>
  <c r="B1099" i="1" l="1"/>
  <c r="B1100" i="1" l="1"/>
  <c r="B1101" i="1" l="1"/>
  <c r="B1102" i="1" l="1"/>
  <c r="B1103" i="1" l="1"/>
  <c r="B1104" i="1" l="1"/>
  <c r="B1105" i="1" l="1"/>
  <c r="B1106" i="1" l="1"/>
  <c r="B1107" i="1" l="1"/>
  <c r="B1108" i="1" l="1"/>
  <c r="B1109" i="1" l="1"/>
  <c r="B1110" i="1" l="1"/>
  <c r="B1111" i="1" l="1"/>
  <c r="B1112" i="1" l="1"/>
  <c r="B1113" i="1" l="1"/>
  <c r="B1114" i="1" l="1"/>
  <c r="B1115" i="1" l="1"/>
  <c r="B1116" i="1" l="1"/>
  <c r="B1117" i="1" l="1"/>
  <c r="B1118" i="1" l="1"/>
  <c r="B1119" i="1" l="1"/>
  <c r="B1120" i="1" l="1"/>
  <c r="B1121" i="1" l="1"/>
  <c r="B1122" i="1" l="1"/>
  <c r="B1123" i="1" l="1"/>
  <c r="B1124" i="1" l="1"/>
  <c r="B1125" i="1" l="1"/>
  <c r="B1126" i="1" l="1"/>
  <c r="B1127" i="1" l="1"/>
  <c r="B1128" i="1" l="1"/>
  <c r="B1129" i="1" l="1"/>
  <c r="B1130" i="1" l="1"/>
  <c r="B1131" i="1" l="1"/>
  <c r="B1132" i="1" l="1"/>
  <c r="B1133" i="1" l="1"/>
  <c r="B1134" i="1" l="1"/>
  <c r="B1135" i="1" l="1"/>
  <c r="B1136" i="1" l="1"/>
  <c r="B1137" i="1" l="1"/>
  <c r="B1138" i="1" l="1"/>
  <c r="B1139" i="1" l="1"/>
  <c r="B1140" i="1" l="1"/>
  <c r="B1141" i="1" l="1"/>
  <c r="B1142" i="1" l="1"/>
  <c r="B1143" i="1" l="1"/>
  <c r="B1144" i="1" l="1"/>
  <c r="B1145" i="1" l="1"/>
  <c r="B1146" i="1" l="1"/>
  <c r="B1147" i="1" l="1"/>
  <c r="B1148" i="1" l="1"/>
  <c r="B1149" i="1" l="1"/>
  <c r="B1150" i="1" l="1"/>
  <c r="B1151" i="1" l="1"/>
  <c r="B1152" i="1" l="1"/>
  <c r="B1153" i="1" l="1"/>
  <c r="B1154" i="1" l="1"/>
  <c r="B1155" i="1" l="1"/>
  <c r="B1156" i="1" l="1"/>
  <c r="B1157" i="1" l="1"/>
  <c r="B1158" i="1" l="1"/>
  <c r="B1159" i="1" l="1"/>
  <c r="B1160" i="1" l="1"/>
  <c r="B1161" i="1" l="1"/>
  <c r="B1162" i="1" l="1"/>
  <c r="B1163" i="1" l="1"/>
  <c r="B1164" i="1" l="1"/>
  <c r="B1165" i="1" l="1"/>
  <c r="B1166" i="1" l="1"/>
  <c r="B1167" i="1" l="1"/>
  <c r="B1168" i="1" l="1"/>
  <c r="F1167" i="1"/>
  <c r="B1169" i="1" l="1"/>
  <c r="F1169" i="1" l="1"/>
  <c r="B1170" i="1"/>
  <c r="B1171" i="1" l="1"/>
  <c r="B1172" i="1" l="1"/>
  <c r="B1173" i="1" l="1"/>
  <c r="B1174" i="1" l="1"/>
  <c r="B1175" i="1" l="1"/>
  <c r="B1176" i="1" l="1"/>
  <c r="B1177" i="1" l="1"/>
  <c r="B1178" i="1" l="1"/>
  <c r="B1179" i="1" l="1"/>
  <c r="B1180" i="1" l="1"/>
  <c r="B1181" i="1" l="1"/>
  <c r="B1182" i="1" l="1"/>
  <c r="B1183" i="1" l="1"/>
  <c r="B1184" i="1" l="1"/>
  <c r="B1185" i="1" l="1"/>
  <c r="B1186" i="1" l="1"/>
  <c r="B1187" i="1" s="1"/>
  <c r="B1188" i="1" s="1"/>
  <c r="B1189" i="1" s="1"/>
  <c r="B1190" i="1" s="1"/>
  <c r="B1191" i="1" s="1"/>
  <c r="B1192" i="1" s="1"/>
  <c r="B1193" i="1" s="1"/>
  <c r="B1194" i="1" s="1"/>
  <c r="B1195" i="1" s="1"/>
  <c r="B1196" i="1" s="1"/>
  <c r="B1197" i="1" s="1"/>
  <c r="B1198" i="1" l="1"/>
  <c r="B1199" i="1" l="1"/>
  <c r="B1200" i="1" l="1"/>
  <c r="B1201" i="1" l="1"/>
  <c r="B1202" i="1" l="1"/>
  <c r="B1203" i="1" l="1"/>
  <c r="B1204" i="1" l="1"/>
  <c r="B1205" i="1" l="1"/>
  <c r="B1206" i="1" l="1"/>
  <c r="B1207" i="1" l="1"/>
  <c r="B1208" i="1" l="1"/>
  <c r="B1209" i="1" l="1"/>
  <c r="B1210" i="1" l="1"/>
  <c r="B1211" i="1" l="1"/>
  <c r="B1212" i="1" l="1"/>
  <c r="B1213" i="1" l="1"/>
  <c r="B1214" i="1" l="1"/>
  <c r="B1215" i="1" l="1"/>
  <c r="B1216" i="1" l="1"/>
  <c r="B1217" i="1" l="1"/>
  <c r="B1218" i="1" l="1"/>
  <c r="B1219" i="1" l="1"/>
  <c r="B1220" i="1" l="1"/>
  <c r="B1221" i="1" l="1"/>
  <c r="B1222" i="1" l="1"/>
  <c r="B1223" i="1" l="1"/>
  <c r="B1224" i="1" l="1"/>
  <c r="B1225" i="1" l="1"/>
  <c r="B1226" i="1" l="1"/>
  <c r="B1227" i="1" l="1"/>
  <c r="B1228" i="1" l="1"/>
  <c r="B1229" i="1" l="1"/>
  <c r="B1230" i="1" l="1"/>
  <c r="B1231" i="1" l="1"/>
  <c r="B1232" i="1" l="1"/>
  <c r="B1233" i="1" l="1"/>
  <c r="B1234" i="1" l="1"/>
  <c r="B1235" i="1" l="1"/>
  <c r="B1236" i="1" l="1"/>
  <c r="B1237" i="1" l="1"/>
  <c r="B1238" i="1" l="1"/>
  <c r="B1239" i="1" l="1"/>
  <c r="B1240" i="1" l="1"/>
  <c r="B1241" i="1" l="1"/>
  <c r="B1242" i="1" l="1"/>
  <c r="B1243" i="1" l="1"/>
  <c r="B1244" i="1" l="1"/>
  <c r="B1245" i="1" l="1"/>
  <c r="B1246" i="1" l="1"/>
  <c r="B1247" i="1" l="1"/>
  <c r="B1248" i="1" l="1"/>
  <c r="B1249" i="1" l="1"/>
  <c r="B1250" i="1" l="1"/>
  <c r="B1251" i="1" l="1"/>
  <c r="B1252" i="1" l="1"/>
  <c r="B1253" i="1" l="1"/>
  <c r="B1254" i="1" l="1"/>
  <c r="B1255" i="1" l="1"/>
  <c r="B1256" i="1" l="1"/>
  <c r="B1257" i="1" l="1"/>
  <c r="B1258" i="1" l="1"/>
  <c r="B1259" i="1" l="1"/>
  <c r="B1260" i="1" l="1"/>
  <c r="B1261" i="1" l="1"/>
  <c r="B1262" i="1" l="1"/>
  <c r="B1263" i="1" l="1"/>
  <c r="B1264" i="1" l="1"/>
  <c r="B1265" i="1" l="1"/>
  <c r="F1264" i="1"/>
  <c r="B1266" i="1" l="1"/>
  <c r="B1267" i="1" l="1"/>
  <c r="F1266" i="1"/>
  <c r="B1268" i="1" l="1"/>
  <c r="B1269" i="1" l="1"/>
  <c r="B1270" i="1" l="1"/>
  <c r="B1271" i="1" l="1"/>
  <c r="B1272" i="1" l="1"/>
  <c r="B1273" i="1" l="1"/>
  <c r="B1274" i="1" l="1"/>
  <c r="B1275" i="1" l="1"/>
  <c r="B1276" i="1" l="1"/>
  <c r="B1277" i="1" l="1"/>
  <c r="B1278" i="1" l="1"/>
  <c r="B1279" i="1" l="1"/>
  <c r="B1280" i="1" l="1"/>
  <c r="B1281" i="1" l="1"/>
  <c r="B1282" i="1" l="1"/>
  <c r="B1283" i="1" l="1"/>
  <c r="B1284" i="1" l="1"/>
  <c r="B1285" i="1" l="1"/>
  <c r="B1286" i="1" l="1"/>
  <c r="B1287" i="1" l="1"/>
  <c r="B1288" i="1" l="1"/>
  <c r="B1289" i="1" l="1"/>
  <c r="B1290" i="1" l="1"/>
  <c r="B1291" i="1" l="1"/>
  <c r="B1292" i="1" s="1"/>
  <c r="B1293" i="1" s="1"/>
  <c r="B1294" i="1" s="1"/>
  <c r="B1295" i="1" s="1"/>
  <c r="B1296" i="1" s="1"/>
  <c r="B1297" i="1" l="1"/>
  <c r="B1298" i="1" l="1"/>
  <c r="B1299" i="1" l="1"/>
  <c r="B1300" i="1" l="1"/>
  <c r="B1301" i="1" l="1"/>
  <c r="B1302" i="1" l="1"/>
  <c r="B1303" i="1" l="1"/>
  <c r="B1304" i="1" l="1"/>
  <c r="B1305" i="1" l="1"/>
  <c r="B1306" i="1" l="1"/>
  <c r="B1307" i="1" l="1"/>
  <c r="B1308" i="1" l="1"/>
  <c r="B1309" i="1" l="1"/>
  <c r="B1310" i="1" l="1"/>
  <c r="B1311" i="1" l="1"/>
  <c r="B1312" i="1" l="1"/>
  <c r="B1313" i="1" l="1"/>
  <c r="B1314" i="1" l="1"/>
  <c r="B1315" i="1" l="1"/>
  <c r="B1316" i="1" l="1"/>
  <c r="B1317" i="1" l="1"/>
  <c r="B1318" i="1" l="1"/>
  <c r="B1319" i="1" l="1"/>
  <c r="B1320" i="1" l="1"/>
  <c r="B1321" i="1" l="1"/>
  <c r="B1322" i="1" l="1"/>
  <c r="B1323" i="1" l="1"/>
  <c r="B1324" i="1" l="1"/>
  <c r="B1325" i="1" l="1"/>
  <c r="B1326" i="1" l="1"/>
  <c r="B1327" i="1" l="1"/>
  <c r="B1328" i="1" l="1"/>
  <c r="B1329" i="1" l="1"/>
  <c r="B1330" i="1" l="1"/>
  <c r="B1331" i="1" l="1"/>
  <c r="B1332" i="1" l="1"/>
  <c r="B1333" i="1" l="1"/>
  <c r="B1334" i="1" l="1"/>
  <c r="B1335" i="1" l="1"/>
  <c r="B1336" i="1" l="1"/>
  <c r="B1337" i="1" l="1"/>
  <c r="B1338" i="1" l="1"/>
  <c r="B1339" i="1" l="1"/>
  <c r="B1340" i="1" l="1"/>
  <c r="B1341" i="1" l="1"/>
  <c r="B1342" i="1" l="1"/>
  <c r="B1343" i="1" l="1"/>
  <c r="B1344" i="1" l="1"/>
  <c r="B1345" i="1" l="1"/>
  <c r="B1346" i="1" l="1"/>
  <c r="B1347" i="1" l="1"/>
  <c r="B1348" i="1" l="1"/>
  <c r="B1349" i="1" l="1"/>
  <c r="B1350" i="1" l="1"/>
  <c r="B1351" i="1" l="1"/>
  <c r="B1352" i="1" l="1"/>
  <c r="B1353" i="1" l="1"/>
  <c r="B1354" i="1" l="1"/>
  <c r="B1355" i="1" l="1"/>
  <c r="B1356" i="1" l="1"/>
  <c r="B1357" i="1" l="1"/>
  <c r="B1358" i="1" l="1"/>
  <c r="B1359" i="1" l="1"/>
  <c r="B1360" i="1" l="1"/>
  <c r="B1361" i="1" l="1"/>
  <c r="B1362" i="1" l="1"/>
  <c r="B1363" i="1" l="1"/>
  <c r="B1364" i="1" l="1"/>
  <c r="B1365" i="1" l="1"/>
  <c r="B1366" i="1" l="1"/>
  <c r="B1367" i="1" l="1"/>
  <c r="B1368" i="1" l="1"/>
  <c r="B1369" i="1" l="1"/>
  <c r="F1368" i="1"/>
  <c r="B1370" i="1" l="1"/>
  <c r="F1370" i="1" l="1"/>
  <c r="B1371" i="1"/>
  <c r="B1372" i="1" s="1"/>
  <c r="B1373" i="1" l="1"/>
  <c r="B1374" i="1" l="1"/>
  <c r="B1375" i="1" l="1"/>
  <c r="B1376" i="1" l="1"/>
  <c r="B1377" i="1" l="1"/>
  <c r="B1378" i="1" l="1"/>
  <c r="B1379" i="1" l="1"/>
  <c r="B1380" i="1" l="1"/>
  <c r="B1381" i="1" l="1"/>
  <c r="B1382" i="1" l="1"/>
  <c r="B1383" i="1" l="1"/>
  <c r="B1384" i="1" l="1"/>
  <c r="B1385" i="1" l="1"/>
  <c r="B1386" i="1" l="1"/>
  <c r="B1387" i="1" l="1"/>
  <c r="B1388" i="1" l="1"/>
  <c r="B1389" i="1" l="1"/>
  <c r="B1390" i="1" s="1"/>
  <c r="B1391" i="1" s="1"/>
  <c r="B1392" i="1" s="1"/>
  <c r="B1393" i="1" s="1"/>
  <c r="B1394" i="1" s="1"/>
  <c r="B1395" i="1" l="1"/>
  <c r="B1396" i="1" l="1"/>
  <c r="B1397" i="1" l="1"/>
  <c r="B1398" i="1" l="1"/>
  <c r="B1399" i="1" l="1"/>
  <c r="B1400" i="1" l="1"/>
  <c r="B1401" i="1" l="1"/>
  <c r="B1402" i="1" l="1"/>
  <c r="B1403" i="1" l="1"/>
  <c r="B1404" i="1" l="1"/>
  <c r="B1405" i="1" l="1"/>
  <c r="B1406" i="1" l="1"/>
  <c r="B1407" i="1" l="1"/>
  <c r="B1408" i="1" l="1"/>
  <c r="B1409" i="1" l="1"/>
  <c r="B1410" i="1" l="1"/>
  <c r="B1411" i="1" l="1"/>
  <c r="B1412" i="1" l="1"/>
  <c r="B1413" i="1" l="1"/>
  <c r="B1414" i="1" l="1"/>
  <c r="B1415" i="1" l="1"/>
  <c r="B1416" i="1" l="1"/>
  <c r="B1417" i="1" l="1"/>
  <c r="B1418" i="1" l="1"/>
  <c r="B1419" i="1" l="1"/>
  <c r="B1420" i="1" l="1"/>
  <c r="B1421" i="1" l="1"/>
  <c r="B1422" i="1" l="1"/>
  <c r="B1423" i="1" l="1"/>
  <c r="B1424" i="1" l="1"/>
  <c r="B1425" i="1" l="1"/>
  <c r="B1426" i="1" l="1"/>
  <c r="B1427" i="1" l="1"/>
  <c r="B1428" i="1" l="1"/>
  <c r="B1429" i="1" l="1"/>
  <c r="B1430" i="1" l="1"/>
  <c r="B1431" i="1" l="1"/>
  <c r="B1432" i="1" l="1"/>
  <c r="B1433" i="1" l="1"/>
  <c r="B1434" i="1" l="1"/>
  <c r="B1435" i="1" l="1"/>
  <c r="B1436" i="1" l="1"/>
  <c r="B1437" i="1" l="1"/>
  <c r="B1438" i="1" l="1"/>
  <c r="B1439" i="1" l="1"/>
  <c r="B1440" i="1" l="1"/>
  <c r="B1441" i="1" l="1"/>
  <c r="B1442" i="1" l="1"/>
  <c r="B1443" i="1" l="1"/>
  <c r="B1444" i="1" l="1"/>
  <c r="B1445" i="1" l="1"/>
  <c r="B1446" i="1" l="1"/>
  <c r="B1447" i="1" l="1"/>
  <c r="B1448" i="1" l="1"/>
  <c r="B1449" i="1" l="1"/>
  <c r="B1450" i="1" l="1"/>
  <c r="B1451" i="1" l="1"/>
  <c r="B1452" i="1" l="1"/>
  <c r="F1451" i="1"/>
  <c r="B1453" i="1" l="1"/>
  <c r="B1454" i="1" l="1"/>
  <c r="F1453" i="1"/>
  <c r="B1455" i="1" l="1"/>
  <c r="B1456" i="1" l="1"/>
  <c r="B1457" i="1" l="1"/>
  <c r="B1458" i="1" l="1"/>
  <c r="B1459" i="1" l="1"/>
  <c r="B1460" i="1" l="1"/>
  <c r="B1461" i="1" l="1"/>
  <c r="B1462" i="1" l="1"/>
  <c r="B1463" i="1" l="1"/>
  <c r="B1464" i="1" l="1"/>
  <c r="B1465" i="1" l="1"/>
  <c r="B1466" i="1" l="1"/>
  <c r="B1467" i="1" l="1"/>
  <c r="B1468" i="1" s="1"/>
  <c r="B1469" i="1" s="1"/>
  <c r="B1470" i="1" s="1"/>
  <c r="B1471" i="1" s="1"/>
  <c r="B1472" i="1" s="1"/>
  <c r="B1473" i="1" s="1"/>
  <c r="B1474" i="1" s="1"/>
  <c r="B1475" i="1" s="1"/>
  <c r="B1476" i="1" l="1"/>
  <c r="B1477" i="1" l="1"/>
  <c r="B1478" i="1" l="1"/>
  <c r="B1479" i="1" l="1"/>
  <c r="B1480" i="1" l="1"/>
  <c r="B1481" i="1" l="1"/>
  <c r="B1482" i="1" l="1"/>
  <c r="B1483" i="1" l="1"/>
  <c r="B1484" i="1" l="1"/>
  <c r="B1485" i="1" l="1"/>
  <c r="B1486" i="1" l="1"/>
  <c r="B1487" i="1" l="1"/>
  <c r="B1488" i="1" l="1"/>
  <c r="B1489" i="1" l="1"/>
  <c r="B1490" i="1" l="1"/>
  <c r="B1491" i="1" l="1"/>
  <c r="B1492" i="1" l="1"/>
  <c r="B1493" i="1" l="1"/>
  <c r="B1494" i="1" l="1"/>
  <c r="B1495" i="1" l="1"/>
  <c r="B1496" i="1" l="1"/>
  <c r="B1497" i="1" l="1"/>
  <c r="B1498" i="1" l="1"/>
  <c r="B1499" i="1" l="1"/>
  <c r="B1500" i="1" l="1"/>
  <c r="B1501" i="1" l="1"/>
  <c r="B1502" i="1" l="1"/>
  <c r="B1503" i="1" l="1"/>
  <c r="B1504" i="1" l="1"/>
  <c r="B1505" i="1" l="1"/>
  <c r="B1506" i="1" l="1"/>
  <c r="B1507" i="1" l="1"/>
  <c r="B1508" i="1" l="1"/>
  <c r="B1509" i="1" l="1"/>
  <c r="B1510" i="1" l="1"/>
  <c r="B1511" i="1" l="1"/>
  <c r="B1512" i="1" l="1"/>
  <c r="B1513" i="1" l="1"/>
  <c r="B1514" i="1" l="1"/>
  <c r="B1515" i="1" l="1"/>
  <c r="B1516" i="1" l="1"/>
  <c r="B1517" i="1" l="1"/>
  <c r="B1518" i="1" l="1"/>
  <c r="B1519" i="1" l="1"/>
  <c r="B1520" i="1" l="1"/>
  <c r="B1521" i="1" l="1"/>
  <c r="B1522" i="1" l="1"/>
  <c r="B1523" i="1" l="1"/>
  <c r="B1524" i="1" l="1"/>
  <c r="B1525" i="1" l="1"/>
  <c r="B1526" i="1" l="1"/>
  <c r="B1527" i="1" l="1"/>
  <c r="B1528" i="1" l="1"/>
  <c r="F1527" i="1"/>
  <c r="B1529" i="1" l="1"/>
  <c r="F1529" i="1" l="1"/>
  <c r="B1530" i="1"/>
  <c r="B1531" i="1" l="1"/>
  <c r="B1532" i="1" l="1"/>
  <c r="B1533" i="1" l="1"/>
  <c r="B1534" i="1" l="1"/>
  <c r="B1535" i="1" l="1"/>
  <c r="B1536" i="1" l="1"/>
  <c r="B1537" i="1" l="1"/>
  <c r="B1538" i="1" l="1"/>
  <c r="B1539" i="1" l="1"/>
  <c r="B1540" i="1" l="1"/>
  <c r="B1541" i="1" l="1"/>
  <c r="B1542" i="1" l="1"/>
  <c r="B1543" i="1" l="1"/>
  <c r="B1544" i="1" l="1"/>
  <c r="B1545" i="1" l="1"/>
  <c r="B1546" i="1" l="1"/>
  <c r="B1547" i="1" l="1"/>
  <c r="B1548" i="1" l="1"/>
  <c r="B1549" i="1" l="1"/>
  <c r="B1550" i="1" l="1"/>
  <c r="B1551" i="1" l="1"/>
  <c r="B1552" i="1" s="1"/>
  <c r="B1553" i="1" s="1"/>
  <c r="B1554" i="1" l="1"/>
  <c r="B1555" i="1" l="1"/>
  <c r="B1556" i="1" l="1"/>
  <c r="B1557" i="1" l="1"/>
  <c r="B1558" i="1" l="1"/>
  <c r="B1559" i="1" l="1"/>
  <c r="B1560" i="1" l="1"/>
  <c r="B1561" i="1" l="1"/>
  <c r="B1562" i="1" l="1"/>
  <c r="B1563" i="1" l="1"/>
  <c r="B1564" i="1" l="1"/>
  <c r="B1565" i="1" l="1"/>
  <c r="B1566" i="1" l="1"/>
  <c r="B1567" i="1" l="1"/>
  <c r="B1568" i="1" l="1"/>
  <c r="B1569" i="1" l="1"/>
  <c r="B1570" i="1" l="1"/>
  <c r="B1571" i="1" l="1"/>
  <c r="B1572" i="1" l="1"/>
  <c r="B1573" i="1" l="1"/>
  <c r="B1574" i="1" l="1"/>
  <c r="B1575" i="1" l="1"/>
  <c r="B1576" i="1" l="1"/>
  <c r="B1577" i="1" l="1"/>
  <c r="B1578" i="1" l="1"/>
  <c r="B1579" i="1" l="1"/>
  <c r="B1580" i="1" l="1"/>
  <c r="B1581" i="1" l="1"/>
  <c r="B1582" i="1" l="1"/>
  <c r="B1583" i="1" l="1"/>
  <c r="B1584" i="1" l="1"/>
  <c r="B1585" i="1" l="1"/>
  <c r="B1586" i="1" l="1"/>
  <c r="B1587" i="1" l="1"/>
  <c r="B1588" i="1" l="1"/>
  <c r="B1589" i="1" l="1"/>
  <c r="B1590" i="1" l="1"/>
  <c r="B1591" i="1" l="1"/>
  <c r="B1592" i="1" l="1"/>
  <c r="B1593" i="1" l="1"/>
  <c r="B1594" i="1" l="1"/>
  <c r="B1595" i="1" l="1"/>
  <c r="B1596" i="1" l="1"/>
  <c r="B1597" i="1" l="1"/>
  <c r="B1598" i="1" l="1"/>
  <c r="B1599" i="1" l="1"/>
  <c r="B1600" i="1" l="1"/>
  <c r="B1601" i="1" l="1"/>
  <c r="B1602" i="1" l="1"/>
  <c r="B1603" i="1" l="1"/>
  <c r="B1604" i="1" l="1"/>
  <c r="B1605" i="1" l="1"/>
  <c r="B1606" i="1" l="1"/>
  <c r="B1607" i="1" l="1"/>
  <c r="B1608" i="1" l="1"/>
  <c r="B1609" i="1" l="1"/>
  <c r="B1610" i="1" l="1"/>
  <c r="B1611" i="1" l="1"/>
  <c r="F1610" i="1"/>
  <c r="B1612" i="1" l="1"/>
  <c r="F1612" i="1" l="1"/>
  <c r="B1613" i="1"/>
  <c r="B1614" i="1" l="1"/>
  <c r="B1615" i="1" l="1"/>
  <c r="B1616" i="1" l="1"/>
  <c r="B1617" i="1" l="1"/>
  <c r="B1618" i="1" l="1"/>
  <c r="B1619" i="1" l="1"/>
  <c r="B1620" i="1" s="1"/>
  <c r="B1621" i="1" s="1"/>
  <c r="B1622" i="1" s="1"/>
  <c r="B1623" i="1" s="1"/>
  <c r="B1624" i="1" s="1"/>
  <c r="B1625" i="1" s="1"/>
  <c r="B1626" i="1" s="1"/>
  <c r="B1627" i="1" s="1"/>
  <c r="B1628" i="1" s="1"/>
  <c r="B1629" i="1" s="1"/>
  <c r="B1630" i="1" s="1"/>
  <c r="B1631" i="1" s="1"/>
  <c r="B1632" i="1" s="1"/>
  <c r="B1633" i="1" s="1"/>
  <c r="B1634" i="1" s="1"/>
  <c r="B1635" i="1" s="1"/>
  <c r="B1636" i="1" s="1"/>
  <c r="B1637" i="1" l="1"/>
  <c r="B1638" i="1" l="1"/>
  <c r="B1639" i="1" l="1"/>
  <c r="B1640" i="1" l="1"/>
  <c r="B1641" i="1" l="1"/>
  <c r="B1642" i="1" l="1"/>
  <c r="B1643" i="1" l="1"/>
  <c r="B1644" i="1" l="1"/>
  <c r="B1645" i="1" l="1"/>
  <c r="B1646" i="1" l="1"/>
  <c r="B1647" i="1" l="1"/>
  <c r="B1648" i="1" l="1"/>
  <c r="B1649" i="1" l="1"/>
  <c r="B1650" i="1" l="1"/>
  <c r="B1651" i="1" l="1"/>
  <c r="B1652" i="1" l="1"/>
  <c r="B1653" i="1" l="1"/>
  <c r="B1654" i="1" l="1"/>
  <c r="B1655" i="1" l="1"/>
  <c r="B1656" i="1" l="1"/>
  <c r="B1657" i="1" l="1"/>
  <c r="B1658" i="1" l="1"/>
  <c r="B1659" i="1" l="1"/>
  <c r="B1660" i="1" l="1"/>
  <c r="B1661" i="1" l="1"/>
  <c r="B1662" i="1" l="1"/>
  <c r="B1663" i="1" l="1"/>
  <c r="B1664" i="1" l="1"/>
  <c r="B1665" i="1" l="1"/>
  <c r="B1666" i="1" l="1"/>
  <c r="B1667" i="1" l="1"/>
  <c r="B1668" i="1" l="1"/>
  <c r="B1669" i="1" l="1"/>
  <c r="B1670" i="1" l="1"/>
  <c r="B1671" i="1" l="1"/>
  <c r="B1672" i="1" l="1"/>
  <c r="B1673" i="1" l="1"/>
  <c r="B1674" i="1" l="1"/>
  <c r="B1675" i="1" l="1"/>
  <c r="B1676" i="1" l="1"/>
  <c r="B1677" i="1" l="1"/>
  <c r="B1678" i="1" l="1"/>
  <c r="B1679" i="1" l="1"/>
  <c r="B1680" i="1" l="1"/>
  <c r="B1681" i="1" l="1"/>
  <c r="B1682" i="1" l="1"/>
  <c r="B1683" i="1" l="1"/>
  <c r="B1684" i="1" l="1"/>
  <c r="B1685" i="1" l="1"/>
  <c r="B1686" i="1" l="1"/>
  <c r="B1687" i="1" l="1"/>
  <c r="B1688" i="1" l="1"/>
  <c r="B1689" i="1" l="1"/>
  <c r="B1690" i="1" l="1"/>
  <c r="B1691" i="1" l="1"/>
  <c r="B1692" i="1" l="1"/>
  <c r="B1693" i="1" l="1"/>
  <c r="B1694" i="1" l="1"/>
  <c r="F1693" i="1"/>
  <c r="B1695" i="1" l="1"/>
  <c r="B1696" i="1" l="1"/>
  <c r="F1695" i="1"/>
  <c r="B1697" i="1" l="1"/>
  <c r="B1698" i="1" l="1"/>
  <c r="B1699" i="1" l="1"/>
  <c r="B1700" i="1" l="1"/>
  <c r="B1701" i="1" l="1"/>
  <c r="B1702" i="1" l="1"/>
  <c r="B1703" i="1" l="1"/>
  <c r="B1704" i="1" l="1"/>
  <c r="B1705" i="1" l="1"/>
  <c r="B1706" i="1" l="1"/>
  <c r="B1707" i="1" l="1"/>
  <c r="B1708" i="1" l="1"/>
  <c r="B1709" i="1" l="1"/>
  <c r="B1710" i="1" l="1"/>
  <c r="B1711" i="1" l="1"/>
  <c r="B1712" i="1" l="1"/>
  <c r="B1713" i="1" l="1"/>
  <c r="B1714" i="1" s="1"/>
  <c r="B1715" i="1" s="1"/>
  <c r="B1716" i="1" s="1"/>
  <c r="B1717" i="1" s="1"/>
  <c r="B1718" i="1" s="1"/>
  <c r="B1719" i="1" s="1"/>
  <c r="B1720" i="1" s="1"/>
  <c r="B1721" i="1" s="1"/>
  <c r="B1722" i="1" s="1"/>
  <c r="B1723" i="1" s="1"/>
  <c r="B1724" i="1" s="1"/>
  <c r="B1725" i="1" s="1"/>
  <c r="B1726" i="1" l="1"/>
  <c r="B1727" i="1" l="1"/>
  <c r="B1728" i="1" l="1"/>
  <c r="B1729" i="1" l="1"/>
  <c r="B1730" i="1" l="1"/>
  <c r="B1731" i="1" l="1"/>
  <c r="B1732" i="1" l="1"/>
  <c r="B1733" i="1" l="1"/>
  <c r="B1734" i="1" l="1"/>
  <c r="B1735" i="1" l="1"/>
  <c r="B1736" i="1" l="1"/>
  <c r="B1737" i="1" l="1"/>
  <c r="B1738" i="1" l="1"/>
  <c r="B1739" i="1" l="1"/>
  <c r="B1740" i="1" l="1"/>
  <c r="B1741" i="1" l="1"/>
  <c r="B1742" i="1" l="1"/>
  <c r="B1743" i="1" l="1"/>
  <c r="B1744" i="1" l="1"/>
  <c r="B1745" i="1" l="1"/>
  <c r="B1746" i="1" l="1"/>
  <c r="B1747" i="1" l="1"/>
  <c r="B1748" i="1" l="1"/>
  <c r="B1749" i="1" l="1"/>
  <c r="B1750" i="1" l="1"/>
  <c r="B1751" i="1" l="1"/>
  <c r="B1752" i="1" l="1"/>
  <c r="B1753" i="1" l="1"/>
  <c r="B1754" i="1" l="1"/>
  <c r="B1755" i="1" l="1"/>
  <c r="B1756" i="1" l="1"/>
  <c r="B1757" i="1" l="1"/>
  <c r="B1758" i="1" l="1"/>
  <c r="B1759" i="1" l="1"/>
  <c r="B1760" i="1" l="1"/>
  <c r="B1761" i="1" l="1"/>
  <c r="B1762" i="1" l="1"/>
  <c r="B1763" i="1" l="1"/>
  <c r="B1764" i="1" l="1"/>
  <c r="B1765" i="1" l="1"/>
  <c r="B1766" i="1" l="1"/>
  <c r="B1767" i="1" l="1"/>
  <c r="B1768" i="1" l="1"/>
  <c r="B1769" i="1" l="1"/>
  <c r="B1770" i="1" l="1"/>
  <c r="B1771" i="1" l="1"/>
  <c r="B1772" i="1" l="1"/>
  <c r="B1773" i="1" l="1"/>
  <c r="B1774" i="1" l="1"/>
  <c r="B1775" i="1" l="1"/>
  <c r="B1776" i="1" l="1"/>
  <c r="B1777" i="1" l="1"/>
  <c r="B1778" i="1" l="1"/>
  <c r="B1779" i="1" l="1"/>
  <c r="B1780" i="1" l="1"/>
  <c r="B1781" i="1" l="1"/>
  <c r="B1782" i="1" l="1"/>
  <c r="B1783" i="1" l="1"/>
  <c r="B1784" i="1" l="1"/>
  <c r="B1785" i="1" l="1"/>
  <c r="B1786" i="1" l="1"/>
  <c r="B1787" i="1" l="1"/>
  <c r="B1788" i="1" l="1"/>
  <c r="B1789" i="1" l="1"/>
  <c r="B1790" i="1" l="1"/>
  <c r="B1791" i="1" l="1"/>
  <c r="B1792" i="1" l="1"/>
  <c r="B1793" i="1" l="1"/>
  <c r="B1794" i="1" l="1"/>
  <c r="B1795" i="1" l="1"/>
  <c r="B1796" i="1" l="1"/>
  <c r="B1797" i="1" l="1"/>
  <c r="B1798" i="1" l="1"/>
  <c r="F1797" i="1"/>
  <c r="B1799" i="1" l="1"/>
  <c r="F1799" i="1" l="1"/>
  <c r="B1800" i="1"/>
  <c r="B1801" i="1" l="1"/>
  <c r="B1802" i="1" l="1"/>
  <c r="B1803" i="1" l="1"/>
  <c r="B1804" i="1" l="1"/>
  <c r="B1805" i="1" l="1"/>
  <c r="B1806" i="1" l="1"/>
  <c r="B1807" i="1" l="1"/>
  <c r="B1808" i="1" l="1"/>
  <c r="B1809" i="1" l="1"/>
  <c r="B1810" i="1" l="1"/>
  <c r="B1811" i="1" l="1"/>
  <c r="B1812" i="1" l="1"/>
  <c r="B1813" i="1" l="1"/>
  <c r="B1814" i="1" l="1"/>
  <c r="B1815" i="1" l="1"/>
  <c r="B1816" i="1" l="1"/>
  <c r="B1817" i="1" l="1"/>
  <c r="B1818" i="1" l="1"/>
  <c r="B1819" i="1" l="1"/>
  <c r="B1820" i="1" s="1"/>
  <c r="B1821" i="1" s="1"/>
  <c r="B1822" i="1" s="1"/>
  <c r="B1823" i="1" s="1"/>
  <c r="B1824" i="1" s="1"/>
  <c r="B1825" i="1" s="1"/>
  <c r="B1826" i="1" s="1"/>
  <c r="B1827" i="1" s="1"/>
  <c r="B1828" i="1" s="1"/>
  <c r="B1829" i="1" s="1"/>
  <c r="B1830" i="1" l="1"/>
  <c r="B1831" i="1" l="1"/>
  <c r="B1832" i="1" l="1"/>
  <c r="B1833" i="1" l="1"/>
  <c r="B1834" i="1" l="1"/>
  <c r="B1835" i="1" l="1"/>
  <c r="B1836" i="1" l="1"/>
  <c r="B1837" i="1" l="1"/>
  <c r="B1838" i="1" l="1"/>
  <c r="B1839" i="1" l="1"/>
  <c r="B1840" i="1" l="1"/>
  <c r="B1841" i="1" l="1"/>
  <c r="B1842" i="1" l="1"/>
  <c r="B1843" i="1" l="1"/>
  <c r="B1844" i="1" l="1"/>
  <c r="B1845" i="1" l="1"/>
  <c r="B1846" i="1" l="1"/>
  <c r="B1847" i="1" l="1"/>
  <c r="B1848" i="1" l="1"/>
  <c r="B1849" i="1" l="1"/>
  <c r="B1850" i="1" l="1"/>
  <c r="B1851" i="1" l="1"/>
  <c r="B1852" i="1" l="1"/>
  <c r="B1853" i="1" l="1"/>
  <c r="B1854" i="1" l="1"/>
  <c r="B1855" i="1" l="1"/>
  <c r="B1856" i="1" l="1"/>
  <c r="B1857" i="1" l="1"/>
  <c r="B1858" i="1" l="1"/>
  <c r="B1859" i="1" l="1"/>
  <c r="B1860" i="1" l="1"/>
  <c r="B1861" i="1" l="1"/>
  <c r="B1862" i="1" l="1"/>
  <c r="B1863" i="1" l="1"/>
  <c r="B1864" i="1" l="1"/>
  <c r="B1865" i="1" l="1"/>
  <c r="B1866" i="1" l="1"/>
  <c r="B1867" i="1" l="1"/>
  <c r="B1868" i="1" l="1"/>
  <c r="B1869" i="1" l="1"/>
  <c r="B1870" i="1" l="1"/>
  <c r="B1871" i="1" l="1"/>
  <c r="B1872" i="1" l="1"/>
  <c r="B1873" i="1" l="1"/>
  <c r="B1874" i="1" l="1"/>
  <c r="B1875" i="1" l="1"/>
  <c r="B1876" i="1" l="1"/>
  <c r="B1877" i="1" l="1"/>
  <c r="B1878" i="1" l="1"/>
  <c r="B1879" i="1" l="1"/>
  <c r="B1880" i="1" l="1"/>
  <c r="B1881" i="1" l="1"/>
  <c r="B1882" i="1" l="1"/>
  <c r="B1883" i="1" l="1"/>
  <c r="B1884" i="1" l="1"/>
  <c r="B1885" i="1" l="1"/>
  <c r="B1886" i="1" l="1"/>
  <c r="B1887" i="1" l="1"/>
  <c r="B1888" i="1" l="1"/>
  <c r="B1889" i="1" l="1"/>
  <c r="B1890" i="1" l="1"/>
  <c r="B1891" i="1" l="1"/>
  <c r="B1892" i="1" l="1"/>
  <c r="B1893" i="1" l="1"/>
  <c r="B1894" i="1" l="1"/>
  <c r="B1895" i="1" l="1"/>
  <c r="B1896" i="1" l="1"/>
  <c r="B1897" i="1" l="1"/>
  <c r="B1898" i="1" l="1"/>
  <c r="B1899" i="1" l="1"/>
  <c r="B1900" i="1" l="1"/>
  <c r="B1901" i="1" l="1"/>
  <c r="B1902" i="1" l="1"/>
  <c r="F1901" i="1"/>
  <c r="B1903" i="1" l="1"/>
  <c r="B1904" i="1" l="1"/>
  <c r="F1903" i="1"/>
  <c r="B1905" i="1" l="1"/>
  <c r="B1906" i="1" l="1"/>
  <c r="B1907" i="1" l="1"/>
  <c r="B1908" i="1" l="1"/>
  <c r="B1909" i="1" l="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l="1"/>
  <c r="B1929" i="1" l="1"/>
  <c r="B1930" i="1" l="1"/>
  <c r="B1931" i="1" l="1"/>
  <c r="B1932" i="1" l="1"/>
  <c r="B1933" i="1" l="1"/>
  <c r="B1934" i="1" l="1"/>
  <c r="B1935" i="1" l="1"/>
  <c r="B1936" i="1" l="1"/>
  <c r="B1937" i="1" l="1"/>
  <c r="B1938" i="1" l="1"/>
  <c r="B1939" i="1" l="1"/>
  <c r="B1940" i="1" l="1"/>
  <c r="B1941" i="1" l="1"/>
  <c r="B1942" i="1" l="1"/>
  <c r="B1943" i="1" l="1"/>
  <c r="B1944" i="1" l="1"/>
  <c r="B1945" i="1" l="1"/>
  <c r="B1946" i="1" l="1"/>
  <c r="B1947" i="1" l="1"/>
  <c r="B1948" i="1" l="1"/>
  <c r="B1949" i="1" l="1"/>
  <c r="B1950" i="1" l="1"/>
  <c r="B1951" i="1" l="1"/>
  <c r="B1952" i="1" l="1"/>
  <c r="B1953" i="1" l="1"/>
  <c r="B1954" i="1" l="1"/>
  <c r="B1955" i="1" l="1"/>
  <c r="B1956" i="1" l="1"/>
  <c r="B1957" i="1" l="1"/>
  <c r="B1958" i="1" l="1"/>
  <c r="B1959" i="1" l="1"/>
  <c r="B1960" i="1" l="1"/>
  <c r="B1961" i="1" l="1"/>
  <c r="B1962" i="1" l="1"/>
  <c r="B1963" i="1" l="1"/>
  <c r="B1964" i="1" l="1"/>
  <c r="B1965" i="1" l="1"/>
  <c r="B1966" i="1" l="1"/>
  <c r="B1967" i="1" l="1"/>
  <c r="B1968" i="1" l="1"/>
  <c r="B1969" i="1" l="1"/>
  <c r="B1970" i="1" l="1"/>
  <c r="B1971" i="1" l="1"/>
  <c r="B1972" i="1" l="1"/>
  <c r="B1973" i="1" l="1"/>
  <c r="B1974" i="1" l="1"/>
  <c r="B1975" i="1" l="1"/>
  <c r="B1976" i="1" l="1"/>
  <c r="B1977" i="1" l="1"/>
  <c r="B1978" i="1" l="1"/>
  <c r="B1979" i="1" l="1"/>
  <c r="B1980" i="1" l="1"/>
  <c r="B1981" i="1" l="1"/>
  <c r="B1982" i="1" l="1"/>
  <c r="B1983" i="1" l="1"/>
  <c r="B1984" i="1" l="1"/>
  <c r="B1985" i="1" l="1"/>
  <c r="F1984" i="1"/>
  <c r="B1986" i="1" l="1"/>
  <c r="F1986" i="1" l="1"/>
  <c r="B1987" i="1"/>
  <c r="B1988" i="1" l="1"/>
  <c r="B1989" i="1" l="1"/>
  <c r="B1990" i="1" l="1"/>
  <c r="B1991" i="1" l="1"/>
  <c r="B1992" i="1" l="1"/>
  <c r="B1993" i="1" l="1"/>
  <c r="B1994" i="1" l="1"/>
  <c r="B1995" i="1" l="1"/>
  <c r="B1996" i="1" l="1"/>
  <c r="B1997" i="1" l="1"/>
  <c r="B1998" i="1" l="1"/>
  <c r="B1999" i="1" l="1"/>
  <c r="B2000" i="1" l="1"/>
  <c r="B2001" i="1" l="1"/>
  <c r="B2002" i="1" l="1"/>
  <c r="B2003" i="1" l="1"/>
  <c r="B2004" i="1" l="1"/>
  <c r="B2005" i="1" l="1"/>
  <c r="B2006" i="1" l="1"/>
  <c r="B2007" i="1" l="1"/>
  <c r="B2008" i="1" l="1"/>
  <c r="B2009" i="1" l="1"/>
  <c r="B2010" i="1" l="1"/>
  <c r="B2011" i="1" l="1"/>
  <c r="B2012" i="1" l="1"/>
  <c r="B2013" i="1" l="1"/>
  <c r="B2014" i="1" l="1"/>
  <c r="B2015" i="1" l="1"/>
  <c r="B2016" i="1" l="1"/>
</calcChain>
</file>

<file path=xl/sharedStrings.xml><?xml version="1.0" encoding="utf-8"?>
<sst xmlns="http://schemas.openxmlformats.org/spreadsheetml/2006/main" count="2133" uniqueCount="1039">
  <si>
    <t>LangID</t>
    <phoneticPr fontId="1"/>
  </si>
  <si>
    <t>StageID</t>
    <phoneticPr fontId="1"/>
  </si>
  <si>
    <t>LogID</t>
    <phoneticPr fontId="1"/>
  </si>
  <si>
    <t>Log</t>
    <phoneticPr fontId="1"/>
  </si>
  <si>
    <t>Chara</t>
    <phoneticPr fontId="1"/>
  </si>
  <si>
    <t>Name</t>
    <phoneticPr fontId="1"/>
  </si>
  <si>
    <t>Chara</t>
    <phoneticPr fontId="1"/>
  </si>
  <si>
    <t>Name</t>
    <phoneticPr fontId="1"/>
  </si>
  <si>
    <t>Schneider.</t>
    <phoneticPr fontId="1"/>
  </si>
  <si>
    <t>ドイツ語</t>
    <rPh sb="3" eb="4">
      <t>ゴ</t>
    </rPh>
    <phoneticPr fontId="1"/>
  </si>
  <si>
    <t>Weber</t>
  </si>
  <si>
    <t>パス</t>
    <phoneticPr fontId="1"/>
  </si>
  <si>
    <t>画像</t>
    <rPh sb="0" eb="2">
      <t>ガゾウ</t>
    </rPh>
    <phoneticPr fontId="1"/>
  </si>
  <si>
    <t>フランス語</t>
    <rPh sb="4" eb="5">
      <t>ゴ</t>
    </rPh>
    <phoneticPr fontId="1"/>
  </si>
  <si>
    <t>Leçon un</t>
  </si>
  <si>
    <t>Minako</t>
    <phoneticPr fontId="1"/>
  </si>
  <si>
    <t>Céline</t>
    <phoneticPr fontId="1"/>
  </si>
  <si>
    <t>Luigi</t>
    <phoneticPr fontId="1"/>
  </si>
  <si>
    <t>M. Dubois</t>
    <phoneticPr fontId="1"/>
  </si>
  <si>
    <t>type</t>
    <phoneticPr fontId="1"/>
  </si>
  <si>
    <t>icon</t>
    <phoneticPr fontId="1"/>
  </si>
  <si>
    <t>assets/icons/image326.png</t>
  </si>
  <si>
    <t>assets/icons/image014.png</t>
  </si>
  <si>
    <t>assets/icons/image013.png</t>
  </si>
  <si>
    <t>assets/icons/image003.png</t>
  </si>
  <si>
    <t>assets/icons/image016.png</t>
  </si>
  <si>
    <t>assets/icons/image086.png</t>
  </si>
  <si>
    <t>assets/icons/image078.png</t>
  </si>
  <si>
    <t>assets/icons/image023.png</t>
  </si>
  <si>
    <t>assets/icons/image033.png</t>
  </si>
  <si>
    <t>Tanaka</t>
    <phoneticPr fontId="1"/>
  </si>
  <si>
    <t>Navigator</t>
    <phoneticPr fontId="1"/>
  </si>
  <si>
    <t>Player</t>
    <phoneticPr fontId="1"/>
  </si>
  <si>
    <t>Bauer</t>
  </si>
  <si>
    <t>assets/icons/image009.png</t>
    <phoneticPr fontId="1"/>
  </si>
  <si>
    <t>Passantin</t>
  </si>
  <si>
    <t>assets/icons/image081.png</t>
    <phoneticPr fontId="1"/>
  </si>
  <si>
    <t>中国語</t>
    <rPh sb="0" eb="3">
      <t>チュウゴクゴ</t>
    </rPh>
    <phoneticPr fontId="1"/>
  </si>
  <si>
    <t>李明</t>
  </si>
  <si>
    <t>assets/icons/image144.png</t>
    <phoneticPr fontId="1"/>
  </si>
  <si>
    <t>鈴木</t>
    <rPh sb="0" eb="2">
      <t>スズキ</t>
    </rPh>
    <phoneticPr fontId="1"/>
  </si>
  <si>
    <t>assets/icons/image037.png</t>
    <phoneticPr fontId="1"/>
  </si>
  <si>
    <t>url</t>
    <phoneticPr fontId="1"/>
  </si>
  <si>
    <t>Kellnerin</t>
  </si>
  <si>
    <t>assets/icons/image021.png</t>
    <phoneticPr fontId="1"/>
  </si>
  <si>
    <t>Angestellte</t>
  </si>
  <si>
    <t>assets/icons/image022.png</t>
  </si>
  <si>
    <t>Verkäuferin</t>
  </si>
  <si>
    <t>assets/icons/image088.png</t>
    <phoneticPr fontId="1"/>
  </si>
  <si>
    <t>Mayer</t>
  </si>
  <si>
    <t>assets/icons/image208.png</t>
    <phoneticPr fontId="1"/>
  </si>
  <si>
    <t>Herr Bauer</t>
    <phoneticPr fontId="1"/>
  </si>
  <si>
    <t>Frau Bauer</t>
    <phoneticPr fontId="1"/>
  </si>
  <si>
    <t>assets/icons/image026.png</t>
    <phoneticPr fontId="1"/>
  </si>
  <si>
    <t>assets/icons/image035.png</t>
    <phoneticPr fontId="1"/>
  </si>
  <si>
    <t>ドイツ語</t>
  </si>
  <si>
    <t>英語</t>
  </si>
  <si>
    <t>英語</t>
    <rPh sb="0" eb="2">
      <t>エイゴ</t>
    </rPh>
    <phoneticPr fontId="1"/>
  </si>
  <si>
    <t>フランス語</t>
  </si>
  <si>
    <t>中国語</t>
  </si>
  <si>
    <t>ロシア語</t>
  </si>
  <si>
    <t>ロシア語</t>
    <rPh sb="3" eb="4">
      <t>ゴ</t>
    </rPh>
    <phoneticPr fontId="1"/>
  </si>
  <si>
    <t>ウクライナ語</t>
  </si>
  <si>
    <t>ウクライナ語</t>
    <rPh sb="5" eb="6">
      <t>ゴ</t>
    </rPh>
    <phoneticPr fontId="1"/>
  </si>
  <si>
    <t>アラビア語</t>
  </si>
  <si>
    <t>アラビア語</t>
    <rPh sb="4" eb="5">
      <t>ゴ</t>
    </rPh>
    <phoneticPr fontId="1"/>
  </si>
  <si>
    <t>フィンランド語</t>
  </si>
  <si>
    <t>フィンランド語</t>
    <rPh sb="6" eb="7">
      <t>ゴ</t>
    </rPh>
    <phoneticPr fontId="1"/>
  </si>
  <si>
    <t>ラテン語</t>
  </si>
  <si>
    <t>ラテン語</t>
    <rPh sb="3" eb="4">
      <t>ゴ</t>
    </rPh>
    <phoneticPr fontId="1"/>
  </si>
  <si>
    <t>en</t>
  </si>
  <si>
    <t>de</t>
  </si>
  <si>
    <t>fr</t>
  </si>
  <si>
    <t>zh</t>
  </si>
  <si>
    <t>アフリカーンス語</t>
  </si>
  <si>
    <t>Afrikaans</t>
  </si>
  <si>
    <t>af</t>
  </si>
  <si>
    <t>アルバニア語</t>
  </si>
  <si>
    <t>Gjuha shqipe</t>
  </si>
  <si>
    <t>sq</t>
  </si>
  <si>
    <t>アムハラ語</t>
  </si>
  <si>
    <t>አማርኛ</t>
  </si>
  <si>
    <t>am</t>
  </si>
  <si>
    <t>العربية</t>
  </si>
  <si>
    <t>ar</t>
  </si>
  <si>
    <t>アルメニア語</t>
  </si>
  <si>
    <t>Հայերեն</t>
  </si>
  <si>
    <t>hy</t>
  </si>
  <si>
    <t>アゼルバイジャン語</t>
  </si>
  <si>
    <t>Azərbaycan dili,</t>
  </si>
  <si>
    <t>Azərbaycanca,</t>
  </si>
  <si>
    <t>تورک دیلی‎</t>
  </si>
  <si>
    <t>az</t>
  </si>
  <si>
    <t>euskara</t>
  </si>
  <si>
    <t>eu</t>
  </si>
  <si>
    <t>ベラルーシ語</t>
  </si>
  <si>
    <t>беларуская мова</t>
  </si>
  <si>
    <t>be</t>
  </si>
  <si>
    <t>ベンガル語</t>
  </si>
  <si>
    <t>বাংলা</t>
  </si>
  <si>
    <t>bn</t>
  </si>
  <si>
    <t>ボスニア語</t>
  </si>
  <si>
    <t>bosanski jezik</t>
  </si>
  <si>
    <t>bs</t>
  </si>
  <si>
    <t>ブルガリア語</t>
  </si>
  <si>
    <t>български език</t>
  </si>
  <si>
    <t>bg</t>
  </si>
  <si>
    <t>ミャンマー語</t>
  </si>
  <si>
    <t>မြန်မာဘာသာ</t>
  </si>
  <si>
    <t>my</t>
  </si>
  <si>
    <t>"カタルーニャ語、</t>
  </si>
  <si>
    <t>バレンシア語"</t>
  </si>
  <si>
    <t>català,</t>
  </si>
  <si>
    <t>valencià</t>
  </si>
  <si>
    <t>ca</t>
  </si>
  <si>
    <t>チェワ語</t>
  </si>
  <si>
    <t>Chicheŵa,</t>
  </si>
  <si>
    <t>Chichewa</t>
  </si>
  <si>
    <t>ny</t>
  </si>
  <si>
    <t>中文</t>
  </si>
  <si>
    <t>中国語（簡体字）</t>
  </si>
  <si>
    <t>汉语</t>
  </si>
  <si>
    <t>zh-CN</t>
  </si>
  <si>
    <t>中国語（繁体字）</t>
  </si>
  <si>
    <t>漢語</t>
  </si>
  <si>
    <t>zh-TW</t>
  </si>
  <si>
    <t>コルシカ語</t>
  </si>
  <si>
    <t>corsu,</t>
  </si>
  <si>
    <t>lingua corsa</t>
  </si>
  <si>
    <t>co</t>
  </si>
  <si>
    <t>クロアチア語</t>
  </si>
  <si>
    <t>hrvatski</t>
  </si>
  <si>
    <t>hr</t>
  </si>
  <si>
    <t>チェコ語</t>
  </si>
  <si>
    <t>čeština,</t>
  </si>
  <si>
    <t>český jazyk</t>
  </si>
  <si>
    <t>cs</t>
  </si>
  <si>
    <t>デンマーク語</t>
  </si>
  <si>
    <t>dansk</t>
  </si>
  <si>
    <t>da</t>
  </si>
  <si>
    <t>オランダ語</t>
  </si>
  <si>
    <t>Nederlands</t>
  </si>
  <si>
    <t>nl</t>
  </si>
  <si>
    <t>English</t>
  </si>
  <si>
    <t>エスペラント</t>
  </si>
  <si>
    <t>Esperanto</t>
  </si>
  <si>
    <t>eo</t>
  </si>
  <si>
    <t>エストニア語</t>
  </si>
  <si>
    <t>eesti keel</t>
  </si>
  <si>
    <t>et</t>
  </si>
  <si>
    <t>suomi,</t>
  </si>
  <si>
    <t>suomen kieli</t>
  </si>
  <si>
    <t>fi</t>
  </si>
  <si>
    <t>français</t>
  </si>
  <si>
    <t>ガリシア語</t>
  </si>
  <si>
    <t>galego</t>
  </si>
  <si>
    <t>gl</t>
  </si>
  <si>
    <t>グルジア語</t>
  </si>
  <si>
    <t>ქართული</t>
  </si>
  <si>
    <t>ka</t>
  </si>
  <si>
    <t>Deutsch</t>
  </si>
  <si>
    <t>ギリシア語</t>
  </si>
  <si>
    <t>ελληνικά</t>
  </si>
  <si>
    <t>el</t>
  </si>
  <si>
    <t>グジャラート語</t>
  </si>
  <si>
    <t>ગુજરાતી</t>
  </si>
  <si>
    <t>gu</t>
  </si>
  <si>
    <t>ハイチ語</t>
  </si>
  <si>
    <t>Kreyòl ayisyen</t>
  </si>
  <si>
    <t>ht</t>
  </si>
  <si>
    <t>ハウサ語</t>
  </si>
  <si>
    <t>Hausa,</t>
  </si>
  <si>
    <t>هَوُسَ</t>
  </si>
  <si>
    <t>ha</t>
  </si>
  <si>
    <t>ヘブライ語</t>
  </si>
  <si>
    <t>עברית</t>
  </si>
  <si>
    <t>he</t>
  </si>
  <si>
    <t>ヒンディー語</t>
  </si>
  <si>
    <t>हिन्दी</t>
  </si>
  <si>
    <t>hi</t>
  </si>
  <si>
    <t>ハンガリー語</t>
  </si>
  <si>
    <t>magyar</t>
  </si>
  <si>
    <t>hu</t>
  </si>
  <si>
    <t>インドネシア語</t>
  </si>
  <si>
    <t>Bahasa Indonesia</t>
  </si>
  <si>
    <t>id</t>
  </si>
  <si>
    <t>アイルランド語</t>
  </si>
  <si>
    <t>Gaeilge</t>
  </si>
  <si>
    <t>ga</t>
  </si>
  <si>
    <t>イボ語</t>
  </si>
  <si>
    <t>asụsụ Igbo</t>
  </si>
  <si>
    <t>ig</t>
  </si>
  <si>
    <t>アイスランド語</t>
  </si>
  <si>
    <t>íslenska</t>
  </si>
  <si>
    <t>is</t>
  </si>
  <si>
    <t>イタリア語</t>
  </si>
  <si>
    <t>Italiano</t>
  </si>
  <si>
    <t>it</t>
  </si>
  <si>
    <t>日本語</t>
  </si>
  <si>
    <t>ja</t>
  </si>
  <si>
    <t>ジャワ語</t>
  </si>
  <si>
    <t>Basa Jawa,</t>
  </si>
  <si>
    <t>ꦧꦱꦗꦮ</t>
  </si>
  <si>
    <t>jv</t>
  </si>
  <si>
    <t>カンナダ語</t>
  </si>
  <si>
    <t>ಕನ್ನಡ</t>
  </si>
  <si>
    <t>kn</t>
  </si>
  <si>
    <t>カザフ語</t>
  </si>
  <si>
    <t>Қазақ тілі,</t>
  </si>
  <si>
    <t>Qazaq tili,</t>
  </si>
  <si>
    <t>قازاق ٴتىلى‎</t>
  </si>
  <si>
    <t>kk</t>
  </si>
  <si>
    <t>クメール語</t>
  </si>
  <si>
    <t>ភាសាខ្មែរ</t>
  </si>
  <si>
    <t>km</t>
  </si>
  <si>
    <t>キルギス語</t>
  </si>
  <si>
    <t>Кыргызча,</t>
  </si>
  <si>
    <t>Кыргыз тили,</t>
  </si>
  <si>
    <t>قىرعىز تىلى‎</t>
  </si>
  <si>
    <t>ky</t>
  </si>
  <si>
    <t>韓国語</t>
  </si>
  <si>
    <t>한국어 (韓國語),</t>
  </si>
  <si>
    <t>조선어 (朝鮮語)</t>
  </si>
  <si>
    <t>ko</t>
  </si>
  <si>
    <t>クルド語</t>
  </si>
  <si>
    <t>Kurdî,</t>
  </si>
  <si>
    <t>كوردی‎</t>
  </si>
  <si>
    <t>ku</t>
  </si>
  <si>
    <t>latina</t>
  </si>
  <si>
    <t>la</t>
  </si>
  <si>
    <t>ルクセンブルク語</t>
  </si>
  <si>
    <t>Lëtzebuergesch</t>
  </si>
  <si>
    <t>lb</t>
  </si>
  <si>
    <t>ラーオ語</t>
  </si>
  <si>
    <t>ພາສາລາວ</t>
  </si>
  <si>
    <t>lo</t>
  </si>
  <si>
    <t>リトアニア語</t>
  </si>
  <si>
    <t>lietuvių</t>
  </si>
  <si>
    <t>lt</t>
  </si>
  <si>
    <t>ラトビア語</t>
  </si>
  <si>
    <t>latviešu</t>
  </si>
  <si>
    <t>lv</t>
  </si>
  <si>
    <t>マケドニア語</t>
  </si>
  <si>
    <t>македонски јазик</t>
  </si>
  <si>
    <t>mk</t>
  </si>
  <si>
    <t>マダガスカル語</t>
  </si>
  <si>
    <t>Malagasy</t>
  </si>
  <si>
    <t>mg</t>
  </si>
  <si>
    <t>マレー語</t>
  </si>
  <si>
    <t>bahasa Melayu,</t>
  </si>
  <si>
    <t>بهاس ملايو‎</t>
  </si>
  <si>
    <t>ms</t>
  </si>
  <si>
    <t>マラヤーラム語</t>
  </si>
  <si>
    <t>മലയാളം</t>
  </si>
  <si>
    <t>ml</t>
  </si>
  <si>
    <t>マルタ語</t>
  </si>
  <si>
    <t>Malti</t>
  </si>
  <si>
    <t>mt</t>
  </si>
  <si>
    <t>マオリ語</t>
  </si>
  <si>
    <t>reo Māori</t>
  </si>
  <si>
    <t>mi</t>
  </si>
  <si>
    <t>マラーティー語</t>
  </si>
  <si>
    <t>मराठी</t>
  </si>
  <si>
    <t>mr</t>
  </si>
  <si>
    <t>モンゴル語</t>
  </si>
  <si>
    <t>Монгол хэл,</t>
  </si>
  <si>
    <t>ᠮᠣᠨᠭᠭᠣᠯ ᠬᠡᠯᠡ</t>
  </si>
  <si>
    <t>mn</t>
  </si>
  <si>
    <t>"ノルウェー語</t>
  </si>
  <si>
    <t>(ブークモール)"</t>
  </si>
  <si>
    <t>norsk bokmål</t>
  </si>
  <si>
    <t>nb</t>
  </si>
  <si>
    <t>ネパール語</t>
  </si>
  <si>
    <t>नेपाली भाषा</t>
  </si>
  <si>
    <t>ne</t>
  </si>
  <si>
    <t>ノルウェー語</t>
  </si>
  <si>
    <t>norsk</t>
  </si>
  <si>
    <t>no</t>
  </si>
  <si>
    <t>パンジャーブ語</t>
  </si>
  <si>
    <t>ਪੰਜਾਬੀ,</t>
  </si>
  <si>
    <t>پنجابی‎</t>
  </si>
  <si>
    <t>pa</t>
  </si>
  <si>
    <t>ペルシア語</t>
  </si>
  <si>
    <t>فارسی</t>
  </si>
  <si>
    <t>fa</t>
  </si>
  <si>
    <t>ポーランド語</t>
  </si>
  <si>
    <t>język polski,</t>
  </si>
  <si>
    <t>polszczyzna</t>
  </si>
  <si>
    <t>pl</t>
  </si>
  <si>
    <t>パシュトー語</t>
  </si>
  <si>
    <t>پښتو</t>
  </si>
  <si>
    <t>ps</t>
  </si>
  <si>
    <t>ポルトガル語</t>
  </si>
  <si>
    <t>português</t>
  </si>
  <si>
    <t>pt</t>
  </si>
  <si>
    <t>ルーマニア語、</t>
  </si>
  <si>
    <t>モルドバ語[1]</t>
  </si>
  <si>
    <t>limba română,</t>
  </si>
  <si>
    <t>limba moldovenească</t>
  </si>
  <si>
    <t>ro</t>
  </si>
  <si>
    <t>русский язык</t>
  </si>
  <si>
    <t>ru</t>
  </si>
  <si>
    <t>シンド語</t>
  </si>
  <si>
    <t>सिन्धी,</t>
  </si>
  <si>
    <t>سنڌي‎</t>
  </si>
  <si>
    <t>sd</t>
  </si>
  <si>
    <t>サモア語</t>
  </si>
  <si>
    <t>Gagana fa'a Sāmoa</t>
  </si>
  <si>
    <t>sm</t>
  </si>
  <si>
    <t>セルビア語</t>
  </si>
  <si>
    <t>српски језик,</t>
  </si>
  <si>
    <t>srpski jezik</t>
  </si>
  <si>
    <t>sr</t>
  </si>
  <si>
    <t>スコットランド・ゲール語</t>
  </si>
  <si>
    <t>Gàidhlig</t>
  </si>
  <si>
    <t>gd</t>
  </si>
  <si>
    <t>ショナ語</t>
  </si>
  <si>
    <t>chiShona</t>
  </si>
  <si>
    <t>sn</t>
  </si>
  <si>
    <t>シンハラ語</t>
  </si>
  <si>
    <t>සිංහල</t>
  </si>
  <si>
    <t>si</t>
  </si>
  <si>
    <t>スロバキア語</t>
  </si>
  <si>
    <t>slovenčina,</t>
  </si>
  <si>
    <t>slovenský jazyk</t>
  </si>
  <si>
    <t>sk</t>
  </si>
  <si>
    <t>スロベニア語</t>
  </si>
  <si>
    <t>slovenščina,</t>
  </si>
  <si>
    <t>slovenski jezik</t>
  </si>
  <si>
    <t>sl</t>
  </si>
  <si>
    <t>ソマリ語</t>
  </si>
  <si>
    <t>af Soomaali</t>
  </si>
  <si>
    <t>so</t>
  </si>
  <si>
    <t>ソト語</t>
  </si>
  <si>
    <t>Sesotho</t>
  </si>
  <si>
    <t>st</t>
  </si>
  <si>
    <t>スペイン語</t>
  </si>
  <si>
    <t>español,</t>
  </si>
  <si>
    <t>castellano</t>
  </si>
  <si>
    <t>es</t>
  </si>
  <si>
    <t>スンダ語</t>
  </si>
  <si>
    <t>Basa Sunda</t>
  </si>
  <si>
    <t>su</t>
  </si>
  <si>
    <t>スワヒリ語</t>
  </si>
  <si>
    <t>Kiswahili</t>
  </si>
  <si>
    <t>sw</t>
  </si>
  <si>
    <t>スウェーデン語</t>
  </si>
  <si>
    <t>svenska</t>
  </si>
  <si>
    <t>sv</t>
  </si>
  <si>
    <t>タミル語</t>
  </si>
  <si>
    <t>தமிழ்</t>
  </si>
  <si>
    <t>ta</t>
  </si>
  <si>
    <t>テルグ語</t>
  </si>
  <si>
    <t>తెలుగు</t>
  </si>
  <si>
    <t>te</t>
  </si>
  <si>
    <t>タジク語</t>
  </si>
  <si>
    <t>тоҷикӣ,</t>
  </si>
  <si>
    <t>tojikī,</t>
  </si>
  <si>
    <t>تاجیکی‎</t>
  </si>
  <si>
    <t>tg</t>
  </si>
  <si>
    <t>タイ語</t>
  </si>
  <si>
    <t>ภาษาไทย</t>
  </si>
  <si>
    <t>th</t>
  </si>
  <si>
    <t>タガログ語</t>
  </si>
  <si>
    <t>Wikang Tagalog</t>
  </si>
  <si>
    <t>tl</t>
  </si>
  <si>
    <t>トルコ語</t>
  </si>
  <si>
    <t>Türkçe</t>
  </si>
  <si>
    <t>tr</t>
  </si>
  <si>
    <t>українська мова</t>
  </si>
  <si>
    <t>uk</t>
  </si>
  <si>
    <t>ウルドゥー語</t>
  </si>
  <si>
    <t>اردو</t>
  </si>
  <si>
    <t>ur</t>
  </si>
  <si>
    <t>ウズベク語</t>
  </si>
  <si>
    <t>Oʻzbek tili,</t>
  </si>
  <si>
    <t>Ўзбек тили,</t>
  </si>
  <si>
    <t>ئۇزبېك تیلى‎</t>
  </si>
  <si>
    <t>uz</t>
  </si>
  <si>
    <t>ベトナム語</t>
  </si>
  <si>
    <t>Tiếng Việt</t>
  </si>
  <si>
    <t>vi</t>
  </si>
  <si>
    <t>ウェールズ語</t>
  </si>
  <si>
    <t>Cymraeg</t>
  </si>
  <si>
    <t>cy</t>
  </si>
  <si>
    <t>西フリジア語</t>
  </si>
  <si>
    <t>Frysk</t>
  </si>
  <si>
    <t>fy</t>
  </si>
  <si>
    <t>コサ語</t>
  </si>
  <si>
    <t>isiXhosa</t>
  </si>
  <si>
    <t>xh</t>
  </si>
  <si>
    <t>イディッシュ語</t>
  </si>
  <si>
    <t>ייִדיש</t>
  </si>
  <si>
    <t>yi</t>
  </si>
  <si>
    <t>ヨルバ語</t>
  </si>
  <si>
    <t>èdè Yorùbá</t>
  </si>
  <si>
    <t>yo</t>
  </si>
  <si>
    <t>ズールー語</t>
  </si>
  <si>
    <t>isiZulu</t>
  </si>
  <si>
    <t>zu</t>
  </si>
  <si>
    <t>バスク語</t>
    <phoneticPr fontId="1"/>
  </si>
  <si>
    <t>say</t>
    <phoneticPr fontId="1"/>
  </si>
  <si>
    <t>ja</t>
    <phoneticPr fontId="1"/>
  </si>
  <si>
    <t>ja</t>
    <phoneticPr fontId="1"/>
  </si>
  <si>
    <t>ja</t>
    <phoneticPr fontId="1"/>
  </si>
  <si>
    <t>ja</t>
    <phoneticPr fontId="1"/>
  </si>
  <si>
    <t>Frau</t>
    <phoneticPr fontId="1"/>
  </si>
  <si>
    <t>assets/icons/image102.png</t>
    <phoneticPr fontId="1"/>
  </si>
  <si>
    <t>en-GB</t>
  </si>
  <si>
    <t>de-DE</t>
  </si>
  <si>
    <t>fr-FR</t>
  </si>
  <si>
    <t>fi-FI</t>
  </si>
  <si>
    <t>ar-SA</t>
  </si>
  <si>
    <t>ru-RU</t>
    <phoneticPr fontId="1"/>
  </si>
  <si>
    <t>zh-CN</t>
    <phoneticPr fontId="1"/>
  </si>
  <si>
    <t>uk</t>
    <phoneticPr fontId="1"/>
  </si>
  <si>
    <t>la</t>
    <phoneticPr fontId="1"/>
  </si>
  <si>
    <t>nl-NL</t>
    <phoneticPr fontId="1"/>
  </si>
  <si>
    <t>eo</t>
    <phoneticPr fontId="1"/>
  </si>
  <si>
    <t>ko-KR</t>
    <phoneticPr fontId="1"/>
  </si>
  <si>
    <t>es-ES</t>
    <phoneticPr fontId="1"/>
  </si>
  <si>
    <t>assets/icons/image015.png</t>
    <phoneticPr fontId="1"/>
  </si>
  <si>
    <t>Анна</t>
  </si>
  <si>
    <t>Цубаса</t>
  </si>
  <si>
    <t>assets/icons/image017.png</t>
    <phoneticPr fontId="1"/>
  </si>
  <si>
    <t>Люда</t>
  </si>
  <si>
    <t>Наташа</t>
  </si>
  <si>
    <t>assets/icons/image035.png</t>
    <phoneticPr fontId="1"/>
  </si>
  <si>
    <t>こんにちは。</t>
  </si>
  <si>
    <t>assets/icons/image074.png</t>
    <phoneticPr fontId="1"/>
  </si>
  <si>
    <t>Женщина 1</t>
  </si>
  <si>
    <t>Женщина 2</t>
  </si>
  <si>
    <t>assets/icons/image145.png</t>
    <phoneticPr fontId="1"/>
  </si>
  <si>
    <t>assets/icons/image149.png</t>
    <phoneticPr fontId="1"/>
  </si>
  <si>
    <t>Женщина 3</t>
  </si>
  <si>
    <t>assets/icons/image162.png</t>
    <phoneticPr fontId="1"/>
  </si>
  <si>
    <t>Урок тринадцать</t>
  </si>
  <si>
    <t>У меня болит голова.</t>
  </si>
  <si>
    <t>У вас болит только голова?</t>
  </si>
  <si>
    <t xml:space="preserve">Цубаса : У меня болит голова.
Врач:
У вас болит только голова?
↓
Ecor
66
E
Цубаса : Ещё у меня болит живот. И ноги тоже болят.
Врач :
Что вы делали вчера?
Цубаса : Вчерá у меня был день рождения.
Мы много пили и ели. Ещё пели и танцевали.
Врач : Понятно. Вы устали. Хорошо отдыхайте.
Цубаса : Это трудно. Потому что сегодня вечером у меня будут
Врач :
гости. Я буду много пить и есть.
Ещё вы будете петь и танцевать.
Цубаса : Да. Что делать?
Врач : Тогда приходите завтра. У меня будет время.
</t>
    <phoneticPr fontId="1"/>
  </si>
  <si>
    <t>Врач</t>
  </si>
  <si>
    <t>assets/icons/image142.png</t>
    <phoneticPr fontId="1"/>
  </si>
  <si>
    <t>英語</t>
    <rPh sb="0" eb="2">
      <t>エイゴ</t>
    </rPh>
    <phoneticPr fontId="1"/>
  </si>
  <si>
    <t>So, are you all ready then, Eri?</t>
  </si>
  <si>
    <t>Mike</t>
    <phoneticPr fontId="1"/>
  </si>
  <si>
    <t>assets/icons/image019.png</t>
    <phoneticPr fontId="1"/>
  </si>
  <si>
    <t>Eri</t>
    <phoneticPr fontId="1"/>
  </si>
  <si>
    <t>assets/icons/image209.png</t>
    <phoneticPr fontId="1"/>
  </si>
  <si>
    <t xml:space="preserve">Yes, I think so. </t>
  </si>
  <si>
    <t xml:space="preserve"> I'm just starting to get cold feet about the whole thing.</t>
    <phoneticPr fontId="1"/>
  </si>
  <si>
    <t>It's a bit late for that.</t>
  </si>
  <si>
    <t xml:space="preserve"> I still can't believe you won't be here on Monday. </t>
    <phoneticPr fontId="1"/>
  </si>
  <si>
    <t>But don't worry if you're doing the right thing.</t>
  </si>
  <si>
    <t>Just go for it!</t>
  </si>
  <si>
    <t>Lesson one</t>
    <phoneticPr fontId="1"/>
  </si>
  <si>
    <t>Aya</t>
    <phoneticPr fontId="1"/>
  </si>
  <si>
    <t>assets/icons/image223.png</t>
    <phoneticPr fontId="1"/>
  </si>
  <si>
    <t>She's right.</t>
  </si>
  <si>
    <t>We'd all like to be in your place.</t>
  </si>
  <si>
    <t xml:space="preserve">I have such a good career here, </t>
  </si>
  <si>
    <t>but I've always wanted to do this</t>
    <phoneticPr fontId="1"/>
  </si>
  <si>
    <t xml:space="preserve"> - go to England to study English</t>
  </si>
  <si>
    <t>and this scholarship at the University of Birmingham is the chance of a lifetime.</t>
    <phoneticPr fontId="1"/>
  </si>
  <si>
    <t>えり、準備はいい？</t>
    <phoneticPr fontId="1"/>
  </si>
  <si>
    <t>もう荷造りは終わった?</t>
    <phoneticPr fontId="1"/>
  </si>
  <si>
    <t>Have you got all your bags packed?</t>
    <phoneticPr fontId="1"/>
  </si>
  <si>
    <t>色々なことを考えるとなんだか怖い。</t>
    <rPh sb="0" eb="2">
      <t>イロイロ</t>
    </rPh>
    <rPh sb="6" eb="7">
      <t>カンガ</t>
    </rPh>
    <rPh sb="14" eb="15">
      <t>コワ</t>
    </rPh>
    <phoneticPr fontId="1"/>
  </si>
  <si>
    <t>それには少し遅いです。</t>
  </si>
  <si>
    <t>ええ、そう思う。</t>
    <phoneticPr fontId="1"/>
  </si>
  <si>
    <t>あなたが月曜日にここにいないなんて、いまだに信じられない。</t>
    <phoneticPr fontId="1"/>
  </si>
  <si>
    <t>しかし、あなたが正しいことをしているなら、心配しないで。</t>
    <phoneticPr fontId="1"/>
  </si>
  <si>
    <t>がんばれ！</t>
  </si>
  <si>
    <t>彼女の言う通り。</t>
    <rPh sb="3" eb="4">
      <t>イ</t>
    </rPh>
    <rPh sb="5" eb="6">
      <t>トオ</t>
    </rPh>
    <phoneticPr fontId="1"/>
  </si>
  <si>
    <t>皆、あなたの立場になりたいと思っています。</t>
    <rPh sb="6" eb="8">
      <t>タチバ</t>
    </rPh>
    <phoneticPr fontId="1"/>
  </si>
  <si>
    <t>私はここでとても良い仕事をもっています。</t>
    <rPh sb="10" eb="12">
      <t>シゴト</t>
    </rPh>
    <phoneticPr fontId="1"/>
  </si>
  <si>
    <t>でもずっとやりたかった</t>
  </si>
  <si>
    <t>イギリスで英語の勉強をすることを</t>
    <rPh sb="5" eb="7">
      <t>エイゴ</t>
    </rPh>
    <rPh sb="8" eb="10">
      <t>ベンキョウ</t>
    </rPh>
    <phoneticPr fontId="1"/>
  </si>
  <si>
    <t>バーミンガム大学でのこの奨学金は、一生に一度のチャンスだから。</t>
    <phoneticPr fontId="1"/>
  </si>
  <si>
    <t>Lesson two</t>
  </si>
  <si>
    <t>Mrs. Bennett</t>
  </si>
  <si>
    <t>assets/icons/image149.png</t>
    <phoneticPr fontId="1"/>
  </si>
  <si>
    <t>You must be tired after your journey up from London.</t>
  </si>
  <si>
    <t>This is your room.</t>
  </si>
  <si>
    <t xml:space="preserve"> I hope you'll like it. </t>
  </si>
  <si>
    <t>You've got a big window that looks out on the garden.</t>
    <phoneticPr fontId="1"/>
  </si>
  <si>
    <t>Oh, it's lovely.</t>
  </si>
  <si>
    <t>It's so light.</t>
  </si>
  <si>
    <t>Your bathroom's in here.</t>
  </si>
  <si>
    <t>Well, shower room, I should say.</t>
    <phoneticPr fontId="1"/>
  </si>
  <si>
    <t xml:space="preserve">Excuse me. </t>
  </si>
  <si>
    <t>What's this switch for?</t>
  </si>
  <si>
    <t>Oh, that's just for the fan.</t>
  </si>
  <si>
    <t>Please make yourself at home.</t>
  </si>
  <si>
    <t xml:space="preserve">I'll be downstairs making us a cup of tea. </t>
    <phoneticPr fontId="1"/>
  </si>
  <si>
    <t>Just call me if you need anything.</t>
  </si>
  <si>
    <t>That's very kind of you.</t>
  </si>
  <si>
    <t xml:space="preserve">Thank you. </t>
    <phoneticPr fontId="1"/>
  </si>
  <si>
    <t>あなたはロンドンからの旅で疲れているでしょう。</t>
    <phoneticPr fontId="1"/>
  </si>
  <si>
    <t>これがあなたの部屋です。</t>
    <phoneticPr fontId="1"/>
  </si>
  <si>
    <t xml:space="preserve"> 気にいってくれるといいのだけど。</t>
  </si>
  <si>
    <t>庭に面した大きな窓があります。</t>
  </si>
  <si>
    <t>きれいですね。</t>
    <phoneticPr fontId="1"/>
  </si>
  <si>
    <t>それに、とても明るいです。</t>
    <phoneticPr fontId="1"/>
  </si>
  <si>
    <t>バスルームはここ</t>
  </si>
  <si>
    <t xml:space="preserve"> シャワー室と言ってもいいかも</t>
    <phoneticPr fontId="1"/>
  </si>
  <si>
    <t>すみません、</t>
  </si>
  <si>
    <t>このスィッチは何のためにあるのですか?</t>
  </si>
  <si>
    <t>それは、換気扇の。</t>
    <phoneticPr fontId="1"/>
  </si>
  <si>
    <t>くつろいで</t>
  </si>
  <si>
    <t>階下に行って、 お茶のしたくをします。</t>
    <phoneticPr fontId="1"/>
  </si>
  <si>
    <t xml:space="preserve"> 何か必要なものがあれば、 呼んでね。</t>
  </si>
  <si>
    <t>ありがとうございます。</t>
  </si>
  <si>
    <t>親切ですね。</t>
    <phoneticPr fontId="1"/>
  </si>
  <si>
    <t>Lesson three</t>
  </si>
  <si>
    <t>Hello.</t>
  </si>
  <si>
    <t>Are you waiting for Len Sutton's class?</t>
  </si>
  <si>
    <t>Yes.</t>
  </si>
  <si>
    <t>I'm Asha.</t>
  </si>
  <si>
    <t>And before you ask me if I'm Indian,</t>
  </si>
  <si>
    <t>I'm from Dhaka in Bangladesh.</t>
    <phoneticPr fontId="1"/>
  </si>
  <si>
    <t>assets/icons/image235.png</t>
    <phoneticPr fontId="1"/>
  </si>
  <si>
    <t>Asha</t>
    <phoneticPr fontId="1"/>
  </si>
  <si>
    <t xml:space="preserve">Eri Takagi, from Tokyo. </t>
  </si>
  <si>
    <t xml:space="preserve"> I'm afraid I don't know much about Bangladesh.</t>
    <phoneticPr fontId="1"/>
  </si>
  <si>
    <t>Well, I'm from there,</t>
  </si>
  <si>
    <t xml:space="preserve"> but I have a lot of relatives here in Birmingham, too.</t>
    <phoneticPr fontId="1"/>
  </si>
  <si>
    <t xml:space="preserve">I envy you. </t>
  </si>
  <si>
    <t xml:space="preserve"> I really miss Japanese food more than I expected.</t>
  </si>
  <si>
    <t>Let's have dinner together later.</t>
  </si>
  <si>
    <t xml:space="preserve"> レン・サットン先生の授業を待っているの?</t>
    <rPh sb="11" eb="13">
      <t>ジュギョウ</t>
    </rPh>
    <phoneticPr fontId="1"/>
  </si>
  <si>
    <t>はい。</t>
    <phoneticPr fontId="1"/>
  </si>
  <si>
    <t>私はアシャ。</t>
    <rPh sb="0" eb="1">
      <t>ワタシ</t>
    </rPh>
    <phoneticPr fontId="1"/>
  </si>
  <si>
    <t>インド人かと聞かれる前に言うけれど、</t>
    <rPh sb="12" eb="13">
      <t>イ</t>
    </rPh>
    <phoneticPr fontId="1"/>
  </si>
  <si>
    <t>私はバングラデシュのダカ出身。</t>
    <rPh sb="0" eb="1">
      <t>ワタシ</t>
    </rPh>
    <rPh sb="12" eb="14">
      <t>シュッシン</t>
    </rPh>
    <phoneticPr fontId="1"/>
  </si>
  <si>
    <t>東京からきた高木エリ。</t>
    <phoneticPr fontId="1"/>
  </si>
  <si>
    <t>ここバーミンガムにもたくさん親戚がいるの。</t>
    <phoneticPr fontId="1"/>
  </si>
  <si>
    <t>うらやましい。</t>
    <phoneticPr fontId="1"/>
  </si>
  <si>
    <t>私は思っていた以上に日本食が恋しくなって。</t>
    <phoneticPr fontId="1"/>
  </si>
  <si>
    <t>あとで夕食に行きましょう</t>
  </si>
  <si>
    <t xml:space="preserve">the reason Birmingham's the 'curry capital of the nation'. </t>
    <phoneticPr fontId="1"/>
  </si>
  <si>
    <t>有名なバルティ トライアングルを紹介させて</t>
    <phoneticPr fontId="1"/>
  </si>
  <si>
    <t>You must let me introduce you to the famous Balti Triangle</t>
    <phoneticPr fontId="1"/>
  </si>
  <si>
    <t xml:space="preserve"> 「英国のカレーの中心地」 だから。</t>
    <phoneticPr fontId="1"/>
  </si>
  <si>
    <t>ごめんなさい、私はバングラデシュのことはあまりよく知らないんだ。</t>
    <phoneticPr fontId="1"/>
  </si>
  <si>
    <t>まあ、バングラデシュ出身なんだけど、</t>
    <phoneticPr fontId="1"/>
  </si>
  <si>
    <t>Lesson four</t>
  </si>
  <si>
    <t>Hi, Eri!</t>
  </si>
  <si>
    <t>Do you mind if I join you?</t>
  </si>
  <si>
    <t>Not at all.</t>
  </si>
  <si>
    <t>Go ahead.</t>
  </si>
  <si>
    <t>I was just looking at the homework Len gave us.</t>
    <phoneticPr fontId="1"/>
  </si>
  <si>
    <t>But today's Pancake Day</t>
  </si>
  <si>
    <t>you can't do anything so serious today!</t>
    <phoneticPr fontId="1"/>
  </si>
  <si>
    <t>Pancake Day?</t>
  </si>
  <si>
    <t>What are you supposed to do?</t>
  </si>
  <si>
    <t>Eat pancakes?</t>
  </si>
  <si>
    <t xml:space="preserve">It's a tradition in England to have a feast before the start of Lent. </t>
    <phoneticPr fontId="1"/>
  </si>
  <si>
    <t>We're having a big pancake party in my house.</t>
  </si>
  <si>
    <t>Come and join us.</t>
  </si>
  <si>
    <t>What kind of pancakes do you make?</t>
  </si>
  <si>
    <t>but one of my housemates is French</t>
  </si>
  <si>
    <t>and she's planning to make savoury ones, with ratatouille, too.</t>
    <phoneticPr fontId="1"/>
  </si>
  <si>
    <t>English people usually eat them with lemon juice and sugar,</t>
    <phoneticPr fontId="1"/>
  </si>
  <si>
    <t>こんにちは、エリ！</t>
    <phoneticPr fontId="1"/>
  </si>
  <si>
    <t>ご一緒してもいい？</t>
    <phoneticPr fontId="1"/>
  </si>
  <si>
    <t>もちろん</t>
  </si>
  <si>
    <t>どうぞ。</t>
  </si>
  <si>
    <t>レン先生から出された宿題をやっていたの</t>
  </si>
  <si>
    <t>でも今日は「パンケーキの日」</t>
    <phoneticPr fontId="1"/>
  </si>
  <si>
    <t>今日は、何に対してもそんなに真面目にならなくてもいいの。</t>
    <rPh sb="14" eb="17">
      <t>マジメ</t>
    </rPh>
    <phoneticPr fontId="1"/>
  </si>
  <si>
    <t>:「パンケーキの日」？</t>
    <phoneticPr fontId="1"/>
  </si>
  <si>
    <t>何をするわけ?</t>
  </si>
  <si>
    <t>何をするの?</t>
    <phoneticPr fontId="1"/>
  </si>
  <si>
    <t>ええ。</t>
    <phoneticPr fontId="1"/>
  </si>
  <si>
    <t>イングランドの伝統では、四旬節が始まる前にご馳走を食べるの。</t>
    <phoneticPr fontId="1"/>
  </si>
  <si>
    <t>私の家で大きなパンケーキ・パーティをやるの。</t>
    <phoneticPr fontId="1"/>
  </si>
  <si>
    <t>ぜひいらっしゃい。</t>
  </si>
  <si>
    <t>どんなパンケーキを作るの?</t>
    <phoneticPr fontId="1"/>
  </si>
  <si>
    <t>イギリス人はたいていレモン汁と砂糖をかけて食べる</t>
  </si>
  <si>
    <t>けど、 うちのハウスメートにはフランス人がいるの</t>
    <phoneticPr fontId="1"/>
  </si>
  <si>
    <t>それで、 彼女がラタトゥイユといっしょにおいしいものを作ってくれる予定。</t>
    <rPh sb="33" eb="35">
      <t>ヨテイ</t>
    </rPh>
    <phoneticPr fontId="1"/>
  </si>
  <si>
    <t>Lesson five</t>
  </si>
  <si>
    <t>(Panting) Sorry, I'm late.</t>
  </si>
  <si>
    <t>I didn't know about changing to summer time today.</t>
    <phoneticPr fontId="1"/>
  </si>
  <si>
    <t>It doesn't feel like summer to me!</t>
  </si>
  <si>
    <t>It's freezing.</t>
    <phoneticPr fontId="1"/>
  </si>
  <si>
    <t>Simon</t>
    <phoneticPr fontId="1"/>
  </si>
  <si>
    <t>assets/icons/image250.png</t>
    <phoneticPr fontId="1"/>
  </si>
  <si>
    <t xml:space="preserve"> I suppose it's my fault really. </t>
  </si>
  <si>
    <t xml:space="preserve"> I should have told you.</t>
  </si>
  <si>
    <t>Anyway, it's a good job you've come now.</t>
  </si>
  <si>
    <t>Another five minutes</t>
    <phoneticPr fontId="1"/>
  </si>
  <si>
    <t>and left without you.</t>
    <phoneticPr fontId="1"/>
  </si>
  <si>
    <t>and I'd have thrown in the towel</t>
    <phoneticPr fontId="1"/>
  </si>
  <si>
    <t>Oh, don't say that!</t>
  </si>
  <si>
    <t>You know how much I've been looking forward to going to Cambridge.</t>
    <phoneticPr fontId="1"/>
  </si>
  <si>
    <t>Where can I get a ticket in a hurry?</t>
    <phoneticPr fontId="1"/>
  </si>
  <si>
    <t>From one of those machines?</t>
  </si>
  <si>
    <t>Usually you can buy one from a machine, or the ticket window,</t>
    <phoneticPr fontId="1"/>
  </si>
  <si>
    <t>but I bought both our tickets from the Trainline website;</t>
    <phoneticPr fontId="1"/>
  </si>
  <si>
    <t>Here's yours.</t>
  </si>
  <si>
    <t xml:space="preserve">it's much cheaper. </t>
    <phoneticPr fontId="1"/>
  </si>
  <si>
    <t>(息切れ) すみません、遅くなりました。</t>
    <rPh sb="1" eb="3">
      <t>イキギ</t>
    </rPh>
    <phoneticPr fontId="1"/>
  </si>
  <si>
    <t>今日でサマータイムに変わるなんて知らなかった。</t>
  </si>
  <si>
    <t>夏とは思えない！</t>
  </si>
  <si>
    <t>本当に私のせいだと思います。</t>
  </si>
  <si>
    <t>すごく寒い。</t>
    <phoneticPr fontId="1"/>
  </si>
  <si>
    <t>伝えておけばよかった</t>
  </si>
  <si>
    <t>でも来てくれてよかった。</t>
  </si>
  <si>
    <t>あと5分遅れていたら、</t>
  </si>
  <si>
    <t>あきらめて</t>
    <phoneticPr fontId="1"/>
  </si>
  <si>
    <t>君を置いて行っていたから。</t>
    <rPh sb="0" eb="1">
      <t>キミ</t>
    </rPh>
    <rPh sb="2" eb="3">
      <t>オ</t>
    </rPh>
    <phoneticPr fontId="1"/>
  </si>
  <si>
    <t>そんなこと言わないで</t>
  </si>
  <si>
    <t>私がどれだけケンブリッジに行くことを楽しみにしていたか知っているでしょ。</t>
    <rPh sb="27" eb="28">
      <t>シ</t>
    </rPh>
    <phoneticPr fontId="1"/>
  </si>
  <si>
    <t>どこで切符を急いで買えばいいの？</t>
    <phoneticPr fontId="1"/>
  </si>
  <si>
    <t>この販売機のどれか ?</t>
    <phoneticPr fontId="1"/>
  </si>
  <si>
    <t>ふつうは販売機か窓口で買うけど、</t>
  </si>
  <si>
    <t>もう「トレインライン」のウェブサイトで2枚分買っておいた</t>
    <phoneticPr fontId="1"/>
  </si>
  <si>
    <t>そのほうがずっと安いから。</t>
  </si>
  <si>
    <t>どうぞ。</t>
    <phoneticPr fontId="1"/>
  </si>
  <si>
    <t>Lesson six</t>
  </si>
  <si>
    <t>I'm sorry, Simon, but my feet are killing me.</t>
  </si>
  <si>
    <t>Can we stop somewhere for lunch?</t>
    <phoneticPr fontId="1"/>
  </si>
  <si>
    <t>Yeah, I need a rest, too.</t>
  </si>
  <si>
    <t>I thought we'd get some sandwiches</t>
  </si>
  <si>
    <t>and have a bit of a picnic on Jesus Green by the river,</t>
  </si>
  <si>
    <t>since it's such a nice day today.</t>
    <phoneticPr fontId="1"/>
  </si>
  <si>
    <t>Look at all the places we've seen so far!</t>
  </si>
  <si>
    <t>The Fitzwilliam Museum, Queens' College, King's College, and Trinity, too.</t>
    <phoneticPr fontId="1"/>
  </si>
  <si>
    <t>I wish I had more notes;</t>
  </si>
  <si>
    <t>all I have under King's is,</t>
  </si>
  <si>
    <t xml:space="preserve"> Seems to me you've got the important things.</t>
  </si>
  <si>
    <t>I mean, where would we be without loos and sandwiches?</t>
    <phoneticPr fontId="1"/>
  </si>
  <si>
    <t>Back in the Dark Ages!</t>
    <phoneticPr fontId="1"/>
  </si>
  <si>
    <t>ごめんなさい、サイモン、でも足が痛くて。</t>
  </si>
  <si>
    <t>昼食にどこか立ち寄らない？</t>
    <phoneticPr fontId="1"/>
  </si>
  <si>
    <t>そうだね。 僕も休みたい</t>
  </si>
  <si>
    <t>川沿いのジーザス・グリーンでちょっとしたピクニックをして、</t>
  </si>
  <si>
    <t>今日はとてもいい日だから。</t>
  </si>
  <si>
    <t>サンドイッチを食べよう思っていたんだ。</t>
    <phoneticPr fontId="1"/>
  </si>
  <si>
    <t>これまでに見てきた場所を見て！</t>
    <phoneticPr fontId="1"/>
  </si>
  <si>
    <t>フィッツウィリアム美術館、クイーンズ カレッジ、キングス カレッジ、トリニティも。</t>
  </si>
  <si>
    <t>もっとメモすればよかった。</t>
    <phoneticPr fontId="1"/>
  </si>
  <si>
    <t>キングズ・コレッジでは</t>
  </si>
  <si>
    <t xml:space="preserve"> 「卒業生にはトイレの発明者やケインズ」</t>
    <phoneticPr fontId="1"/>
  </si>
  <si>
    <t>トリニティでは「クマのプーさん」と「サンドイッチの発明者」としか</t>
    <phoneticPr fontId="1"/>
  </si>
  <si>
    <t>僕には重要なことが書いてあるように見える</t>
  </si>
  <si>
    <t>つまり、トイレとサンドイッチがなければどこにいるでしょうか？</t>
  </si>
  <si>
    <t>暗黒時代に逆戻り！</t>
  </si>
  <si>
    <t>Lesson seven</t>
  </si>
  <si>
    <t>Hello, Eri.</t>
  </si>
  <si>
    <t>Are you doing some Easter egg shopping, too?</t>
  </si>
  <si>
    <t>I'm stocking up on them</t>
  </si>
  <si>
    <t>ready for my grandson and the nieces and nephews coming to see me over Easter.</t>
    <phoneticPr fontId="1"/>
  </si>
  <si>
    <t xml:space="preserve">Oh, I'm just buying a lot of the little creme eggs for my friends. </t>
    <phoneticPr fontId="1"/>
  </si>
  <si>
    <t>I fell in love with them when I visited Cadbury's factory in Bournville.</t>
    <phoneticPr fontId="1"/>
  </si>
  <si>
    <t>Did you see the giant chocolate egg in House of Fraser's window?</t>
    <phoneticPr fontId="1"/>
  </si>
  <si>
    <t xml:space="preserve">Yes. </t>
  </si>
  <si>
    <t>Who on earth's going to buy such an enormous egg?</t>
  </si>
  <si>
    <t>No one really.</t>
  </si>
  <si>
    <t>It's made to get people to help others at Easter.</t>
    <phoneticPr fontId="1"/>
  </si>
  <si>
    <t>You pay a little money to have a go at guessing the weight of the egg.</t>
    <phoneticPr fontId="1"/>
  </si>
  <si>
    <t>The nearest guess wins a prize donated by one of the local businesses,</t>
    <phoneticPr fontId="1"/>
  </si>
  <si>
    <t>and the egg and the money go to the Queen Elizabeth Hospital.</t>
    <phoneticPr fontId="1"/>
  </si>
  <si>
    <t xml:space="preserve">What a good idea! </t>
    <phoneticPr fontId="1"/>
  </si>
  <si>
    <t>Everyone wins.</t>
  </si>
  <si>
    <t>I must try my luck.</t>
  </si>
  <si>
    <t>こんにちは、エリ。</t>
  </si>
  <si>
    <t>あなたもイースターエッグの買い物をしているの?</t>
    <phoneticPr fontId="1"/>
  </si>
  <si>
    <t>私はまとめ買いしている</t>
    <phoneticPr fontId="1"/>
  </si>
  <si>
    <t>イースターに私に会いに来る孫と姪、甥のために</t>
    <phoneticPr fontId="1"/>
  </si>
  <si>
    <t>ああ、友達のために小さなクリームエッグをたくさん買っているところです。</t>
  </si>
  <si>
    <t>ボーンビルにあるキャドバリーの工場を訪れたとき、私は気にいってしまいました。</t>
    <phoneticPr fontId="1"/>
  </si>
  <si>
    <t>ハウス オブ フレイザーの巨大なチョコレートの卵が見えましたか?</t>
    <phoneticPr fontId="1"/>
  </si>
  <si>
    <t xml:space="preserve">ええ。 </t>
  </si>
  <si>
    <t>いったい誰があんな大きな卵を買うんですか?</t>
  </si>
  <si>
    <t>実際には誰も買わない</t>
  </si>
  <si>
    <t>あれはイースターの慈善事業のために作られている</t>
    <phoneticPr fontId="1"/>
  </si>
  <si>
    <t>少しお金を払って、卵の重さを当ててみます。</t>
  </si>
  <si>
    <t>もっとも正解に近い人が地元企業が寄付した賞をもらえて、</t>
    <phoneticPr fontId="1"/>
  </si>
  <si>
    <t>その卵とお金は、 クイーン・エリザベス病院に渡される。</t>
    <phoneticPr fontId="1"/>
  </si>
  <si>
    <t>いいアイデアですね！</t>
  </si>
  <si>
    <t>誰もが幸せになる。</t>
    <phoneticPr fontId="1"/>
  </si>
  <si>
    <t>私も運を試さなければ。</t>
    <phoneticPr fontId="1"/>
  </si>
  <si>
    <t>Lesson eight</t>
  </si>
  <si>
    <t>I'm sure I'll fail.</t>
  </si>
  <si>
    <t>How can we concentrate on exams on a lovely day like this?</t>
  </si>
  <si>
    <t>Oh, I'm sure you won't.</t>
  </si>
  <si>
    <t>You always get much better marks than I do.</t>
    <phoneticPr fontId="1"/>
  </si>
  <si>
    <t>I think I'll be repeating this course next term if I'm not careful.</t>
    <phoneticPr fontId="1"/>
  </si>
  <si>
    <t>No way!</t>
  </si>
  <si>
    <t>We'll both pass with flying colours and be models for future students.</t>
    <phoneticPr fontId="1"/>
  </si>
  <si>
    <t>Well, I think that's saying a bit too much;</t>
  </si>
  <si>
    <t xml:space="preserve"> I'll be happy just to pass.</t>
    <phoneticPr fontId="1"/>
  </si>
  <si>
    <t>What are you doing after the exams?</t>
  </si>
  <si>
    <t>Going home for the summer?</t>
    <phoneticPr fontId="1"/>
  </si>
  <si>
    <t xml:space="preserve">No, I can't. </t>
  </si>
  <si>
    <t xml:space="preserve"> I only have ten days off before the Academic Skills course starts.</t>
    <phoneticPr fontId="1"/>
  </si>
  <si>
    <t xml:space="preserve">Wow! </t>
  </si>
  <si>
    <t>But, if you've got ten days free,</t>
  </si>
  <si>
    <t>why don't you come to Scarborough for a week's holiday with me and Simon?</t>
    <phoneticPr fontId="1"/>
  </si>
  <si>
    <t>We've rented a flat for a week.</t>
  </si>
  <si>
    <t>こんな天気のいい日に試験に集中できるはずがない。</t>
    <phoneticPr fontId="1"/>
  </si>
  <si>
    <t>きっと失敗します。</t>
  </si>
  <si>
    <t>大丈夫</t>
  </si>
  <si>
    <t>あなたはいつも私よりずっと良い点数をとってます。</t>
    <phoneticPr fontId="1"/>
  </si>
  <si>
    <t>私は気をつけないと来学期もこのコースを繰り返すと思います。</t>
    <rPh sb="0" eb="1">
      <t>ワタシ</t>
    </rPh>
    <phoneticPr fontId="1"/>
  </si>
  <si>
    <t>まさか!</t>
  </si>
  <si>
    <t>2人とも見事に合格して、後輩たちの見本になるわよ。</t>
  </si>
  <si>
    <t>まあ、それは少し言い過ぎだと思います。</t>
  </si>
  <si>
    <t>合格するだけで幸せです。</t>
  </si>
  <si>
    <t>試験の後は何をしますか？</t>
    <phoneticPr fontId="1"/>
  </si>
  <si>
    <t>夏は実家に帰りますか？</t>
  </si>
  <si>
    <t>いいえ、できません。</t>
  </si>
  <si>
    <t>アカデミック・スキル・コースが始まるまで、10日間しか休みがありません。</t>
    <phoneticPr fontId="1"/>
  </si>
  <si>
    <t>わお！</t>
  </si>
  <si>
    <t>でも、10日間の空きがあれば、</t>
  </si>
  <si>
    <t>私とサイモンと一緒に一週間の休暇でスカボロに来ませんか？</t>
    <phoneticPr fontId="1"/>
  </si>
  <si>
    <t>アパートを一週間借りました。</t>
    <phoneticPr fontId="1"/>
  </si>
  <si>
    <t>Lesson nine</t>
  </si>
  <si>
    <t>Where shall we go for dinner?</t>
  </si>
  <si>
    <t>And what do you fancy doing after that?</t>
    <phoneticPr fontId="1"/>
  </si>
  <si>
    <t>I don't know if I can eat much dinner.</t>
  </si>
  <si>
    <t>The beach café food was so good.</t>
    <phoneticPr fontId="1"/>
  </si>
  <si>
    <t>Yes, but it was great eating on the beach in our deck chairs, wasn't it?</t>
    <phoneticPr fontId="1"/>
  </si>
  <si>
    <t xml:space="preserve"> I really felt English, especially having the lemon top ice cream.</t>
    <phoneticPr fontId="1"/>
  </si>
  <si>
    <t>I don't know where you two put so much food!</t>
  </si>
  <si>
    <t>It's a wonder you could still swim after eating so much.</t>
    <phoneticPr fontId="1"/>
  </si>
  <si>
    <t xml:space="preserve"> I know, let's go to the Seafest at the West Pier.</t>
  </si>
  <si>
    <t>There's good seafood cooking there, and lots of live music, and plenty of bars nearby if you want a drink.</t>
    <phoneticPr fontId="1"/>
  </si>
  <si>
    <t>That sounds good.</t>
  </si>
  <si>
    <t>I'd rather stay outdoors on such a lovely evening.</t>
    <phoneticPr fontId="1"/>
  </si>
  <si>
    <t>夕食はどこに行く?</t>
  </si>
  <si>
    <t>その後、何をしたいですか？</t>
  </si>
  <si>
    <t>夕食はそれほど食べられるかどうかわからない</t>
  </si>
  <si>
    <t>ビーチカフェの食事はとても美味しかったから。</t>
    <phoneticPr fontId="1"/>
  </si>
  <si>
    <t>はい、でもデッキチェアでビーチで食事をするのは最高でしたね。</t>
  </si>
  <si>
    <t>特にレモントップのアイスクリームを食べると、本当に英国を感じました。</t>
    <rPh sb="25" eb="27">
      <t>エイコク</t>
    </rPh>
    <phoneticPr fontId="1"/>
  </si>
  <si>
    <t>2人はいったいどこにそんなに詰め込んだの?</t>
  </si>
  <si>
    <t>こんなに食べたのにまだ泳げるなんて不思議です。</t>
  </si>
  <si>
    <t>そうだ、 ウエストピアのシーフェストに行こう。</t>
    <phoneticPr fontId="1"/>
  </si>
  <si>
    <t>そこにはおいしいシーフード料理があり、たくさんのライブ音楽があり、飲み物が必要な場合は近くにたくさんのバーがあります.</t>
  </si>
  <si>
    <t>いいですね。</t>
  </si>
  <si>
    <t>こんな素敵な夜は外にいたい。</t>
  </si>
  <si>
    <t>Lesson ten</t>
  </si>
  <si>
    <t>Oh, Asha,</t>
  </si>
  <si>
    <t xml:space="preserve"> I have to get some wine to take to an all-day study　session</t>
    <phoneticPr fontId="1"/>
  </si>
  <si>
    <t>and barbecue at my supervisor's house today,</t>
  </si>
  <si>
    <t xml:space="preserve"> but　the Sainsbury's near me is closed.</t>
    <phoneticPr fontId="1"/>
  </si>
  <si>
    <t xml:space="preserve">It said something on the　door about a bank holiday. </t>
    <phoneticPr fontId="1"/>
  </si>
  <si>
    <t>Do you know anything about it?</t>
  </si>
  <si>
    <t>Yeah, it's the Summer Bank Holiday today.</t>
  </si>
  <si>
    <t xml:space="preserve"> It's a kind of public　holiday.</t>
    <phoneticPr fontId="1"/>
  </si>
  <si>
    <t xml:space="preserve"> So, it's up to you,</t>
  </si>
  <si>
    <t xml:space="preserve"> you can either go to the big Tesco's　at Five Ways, </t>
    <phoneticPr fontId="1"/>
  </si>
  <si>
    <t xml:space="preserve"> or a real wine shop in the centre.</t>
  </si>
  <si>
    <t>There's a　good one near the bus stops on Colmore Row.</t>
    <phoneticPr fontId="1"/>
  </si>
  <si>
    <t>I feel stupid.</t>
  </si>
  <si>
    <t>I thought a bank holiday just meant the banks　were closed.</t>
    <phoneticPr fontId="1"/>
  </si>
  <si>
    <t>Hi, Eri.</t>
  </si>
  <si>
    <t>How's everything going?</t>
  </si>
  <si>
    <t>調子はどう?</t>
  </si>
  <si>
    <t>ああ、アシャ</t>
  </si>
  <si>
    <t>終日の勉強会に持っていくためにワインを買わなければなりません</t>
  </si>
  <si>
    <t>そして今日は指導教官の家でバーベキューなの。</t>
    <phoneticPr fontId="1"/>
  </si>
  <si>
    <t>でも近くのセインズベリーは閉まっていて。</t>
    <phoneticPr fontId="1"/>
  </si>
  <si>
    <t xml:space="preserve"> ドアのところに、バンク・ホリデイについて書かれていた</t>
    <phoneticPr fontId="1"/>
  </si>
  <si>
    <t>何か知っていますか？</t>
    <phoneticPr fontId="1"/>
  </si>
  <si>
    <t>そう、今日は夏のバンク ホリデイ。</t>
    <phoneticPr fontId="1"/>
  </si>
  <si>
    <t>それは一種の公休日です。</t>
  </si>
  <si>
    <t>だから、それはあなた次第、</t>
    <phoneticPr fontId="1"/>
  </si>
  <si>
    <t>ファイブウェイズにある大きなテスコに行くか、</t>
  </si>
  <si>
    <t>または中心部にある本物のワインショップ。</t>
  </si>
  <si>
    <t>コルモア・ロウのバス停の近くに良い店があります。</t>
    <phoneticPr fontId="1"/>
  </si>
  <si>
    <t>バカみたい</t>
  </si>
  <si>
    <t>バンク・ホリデイは銀行が閉まっているだけだと思っていました。</t>
    <phoneticPr fontId="1"/>
  </si>
  <si>
    <t>Graduates inventor of the W.C., and Keynes'.</t>
  </si>
  <si>
    <t>Trinity has just, 'Winnie the Pooh', and 'sandwich inventor'.</t>
  </si>
  <si>
    <t>Lesson eleven</t>
  </si>
  <si>
    <t>Prof. Owen</t>
  </si>
  <si>
    <t>assets/icons/image287.png</t>
    <phoneticPr fontId="1"/>
  </si>
  <si>
    <t>Thanks for coming at such short notice, Eri.</t>
  </si>
  <si>
    <t>I hope I'm not in trouble.</t>
  </si>
  <si>
    <t>No, no.</t>
  </si>
  <si>
    <t xml:space="preserve"> I understand you want to focus on Celtic studies in your final report,</t>
    <phoneticPr fontId="1"/>
  </si>
  <si>
    <t>and there's a very useful conference on next week at the University of Wales' Gregynog Hall,</t>
    <phoneticPr fontId="1"/>
  </si>
  <si>
    <t>It would be an excellent opportunity for you to kill two birds with one stone,</t>
    <phoneticPr fontId="1"/>
  </si>
  <si>
    <t>if you're free.</t>
  </si>
  <si>
    <t>Sorry.</t>
  </si>
  <si>
    <t>I'm not sure what you mean about killing two birds with one stone.</t>
    <phoneticPr fontId="1"/>
  </si>
  <si>
    <t>Ah, sorry.</t>
  </si>
  <si>
    <t>I just mean you can study and get some useful sightseeing in at the same time.</t>
    <phoneticPr fontId="1"/>
  </si>
  <si>
    <t>えりさん、急に来てくれてありがとう。</t>
  </si>
  <si>
    <t>どういたしまして。</t>
  </si>
  <si>
    <t>しかられないといいんですけど。</t>
    <phoneticPr fontId="1"/>
  </si>
  <si>
    <t>いやいや。</t>
  </si>
  <si>
    <t>最終レポートでケルト研究に焦点を当てたいとのことですが、</t>
  </si>
  <si>
    <t xml:space="preserve">ということだね。 来週ウェールズ大学のグレガノーグ・ホールで非常に役に立ちそうな学会があります。 </t>
    <phoneticPr fontId="1"/>
  </si>
  <si>
    <t>with an excursion to Snowdonia National Park, which is just next door.</t>
    <phoneticPr fontId="1"/>
  </si>
  <si>
    <t>すぐ隣にあるスノードニア国立公園への小旅行付き。</t>
  </si>
  <si>
    <t>一石二鳥の絶好のチャンスとなるが、</t>
  </si>
  <si>
    <t>暇ならね。</t>
    <phoneticPr fontId="1"/>
  </si>
  <si>
    <t>すみません</t>
  </si>
  <si>
    <t>「一石二鳥」とはどういう意味なのかよくわかりません。</t>
    <phoneticPr fontId="1"/>
  </si>
  <si>
    <t>ああ、ごめんなさい。</t>
  </si>
  <si>
    <t>勉強と有意義な観光を同時にできるということです。</t>
    <rPh sb="3" eb="6">
      <t>ユウイギ</t>
    </rPh>
    <phoneticPr fontId="1"/>
  </si>
  <si>
    <t>Lesson twelve</t>
  </si>
  <si>
    <t>ベネット夫人:エリ、私の故郷への旅はどうだったのかしら?</t>
  </si>
  <si>
    <t>Well, Eri, how did you enjoy your visit to my native country?</t>
    <phoneticPr fontId="1"/>
  </si>
  <si>
    <t>Oh, it was fantastic!</t>
  </si>
  <si>
    <t>Snowdonia was so beautiful.</t>
  </si>
  <si>
    <t>Come and tell me all about it.</t>
  </si>
  <si>
    <t>We went by coach to the Tallylyn Railway first.</t>
  </si>
  <si>
    <t>I was thrilled because I've always been a Thomas fan.</t>
    <phoneticPr fontId="1"/>
  </si>
  <si>
    <t>Then we picnicked in a big forest and drove past a lovely big lake.</t>
    <phoneticPr fontId="1"/>
  </si>
  <si>
    <t xml:space="preserve"> I'm sorry I didn't manage to catch the names.</t>
    <phoneticPr fontId="1"/>
  </si>
  <si>
    <t xml:space="preserve"> Welsh is difficult to read sometimes.</t>
  </si>
  <si>
    <t>We stayed in Portmeirion overnight and I bought a lovely Portmeirionware cup.</t>
    <phoneticPr fontId="1"/>
  </si>
  <si>
    <t>Look.</t>
  </si>
  <si>
    <t>Isn't this a lovely photo of Betws y Coed?</t>
    <phoneticPr fontId="1"/>
  </si>
  <si>
    <t>ああ、それは素晴らしかったです！</t>
  </si>
  <si>
    <t>スノードニアはとてもきれいでした。</t>
  </si>
  <si>
    <t>全部聞かせて</t>
  </si>
  <si>
    <t>「小さな鉄道」の 1 つに乗ることができましたか?</t>
  </si>
  <si>
    <t>はい。</t>
  </si>
  <si>
    <t>まずタリスリン鉄道までバスで行きました。</t>
  </si>
  <si>
    <t>ずっとトーマスのファンだったので、わくわくしました。</t>
  </si>
  <si>
    <t>それから私たちは大きな森でピクニックをし、素敵な大きな湖を車で通り過ぎました。</t>
  </si>
  <si>
    <t>名前を聞き取れなかったのは残念です。</t>
  </si>
  <si>
    <t>ウェールズ語は読みにくいことがあります。</t>
  </si>
  <si>
    <t>私たちはポートメイリオンに一晩滞在し、素敵なポートメイリオン製のカップを買いました。</t>
    <rPh sb="30" eb="31">
      <t>セイ</t>
    </rPh>
    <phoneticPr fontId="1"/>
  </si>
  <si>
    <t xml:space="preserve"> 見てください。</t>
  </si>
  <si>
    <t>ベトゥス・ア・コエドのきれいな写真でしょう?</t>
    <phoneticPr fontId="1"/>
  </si>
  <si>
    <t>Lesson thirteen</t>
  </si>
  <si>
    <t>You won't know till you try, will you?</t>
  </si>
  <si>
    <t>Ah, binge drinking is still sadly part of youth culture here,</t>
  </si>
  <si>
    <t>We usually go to the nicer places around the Canal Basin,</t>
  </si>
  <si>
    <t>and just have a really good night out.</t>
  </si>
  <si>
    <t>Are you doing anything tonight, Eri?</t>
  </si>
  <si>
    <t>Gail and I are going clubbing,</t>
    <phoneticPr fontId="1"/>
  </si>
  <si>
    <t>and we wondered if you'd like to join us for a girls' night out.</t>
    <phoneticPr fontId="1"/>
  </si>
  <si>
    <t>I don't have any special plans for tonight,</t>
  </si>
  <si>
    <t>but I'm not sure if I'm really cut out for clubbing.</t>
    <phoneticPr fontId="1"/>
  </si>
  <si>
    <t>Well, I mean, doesn't it get a bit violent sometimes, with lots of young people drinking too much and having fights?</t>
    <phoneticPr fontId="1"/>
  </si>
  <si>
    <t>but don't worry, Gail and I will steer clear of any rough spots.</t>
    <phoneticPr fontId="1"/>
  </si>
  <si>
    <t>エリ、今晩、 何かする予定がある?</t>
  </si>
  <si>
    <t>ゲイルと私はクラブに行く予定です。</t>
  </si>
  <si>
    <t>女子会に参加しませんか？</t>
  </si>
  <si>
    <t>今夜は特に予定はありませんが、</t>
  </si>
  <si>
    <t>でも、私が本当にクラブ好きかどうかはわかりません。</t>
  </si>
  <si>
    <t>やってみないと分からないですよね？</t>
  </si>
  <si>
    <t>そうですね、若い人たちが飲みすぎてケンカしたりして、ちょっと暴力的になることもあるじゃないですか。</t>
  </si>
  <si>
    <t>ああ、悲しいことに、暴飲はまだここの若者文化の一部です.</t>
  </si>
  <si>
    <t>だけど心配しないで、ゲイルと私は荒れた場所を避けます。</t>
  </si>
  <si>
    <t>そして、本当に良い夜を過ごします。</t>
    <phoneticPr fontId="1"/>
  </si>
  <si>
    <t>私たちは通常、運河盆地周辺の素敵な場所に行きます、</t>
    <rPh sb="14" eb="16">
      <t>ステキ</t>
    </rPh>
    <phoneticPr fontId="1"/>
  </si>
  <si>
    <t>Lesson fourteen</t>
  </si>
  <si>
    <t>It's important to plan well.</t>
  </si>
  <si>
    <t>What do you really want to do in London?</t>
    <phoneticPr fontId="1"/>
  </si>
  <si>
    <t xml:space="preserve">Yes, we can get the tube to Trafalgar Square and take the bus from there. </t>
    <phoneticPr fontId="1"/>
  </si>
  <si>
    <t xml:space="preserve">Then we can get off and look at Westminster Abbey and Big Ben, </t>
    <phoneticPr fontId="1"/>
  </si>
  <si>
    <t xml:space="preserve">take the boat downriver to see the Tower, </t>
    <phoneticPr fontId="1"/>
  </si>
  <si>
    <t>catch the bus back to visit Buckingham Palace and perhaps Madame Tussaud's.</t>
    <phoneticPr fontId="1"/>
  </si>
  <si>
    <t>I think that's too much for one day.</t>
  </si>
  <si>
    <t>How about leaving Tussaud's and the London Eye for the next day,</t>
    <phoneticPr fontId="1"/>
  </si>
  <si>
    <t xml:space="preserve"> and staying one more day?</t>
    <phoneticPr fontId="1"/>
  </si>
  <si>
    <t>ちゃんと計画することが重要だ</t>
  </si>
  <si>
    <t>ロンドンで本当にやりたいことは何ですか？</t>
  </si>
  <si>
    <t>無料リバークルーズ付きの乗り降り自由のツアーバスに乗ってみませんか？</t>
  </si>
  <si>
    <t>いいですね、地下鉄でトラファルガー広場まで行き、そこからバスに乗ります。</t>
    <phoneticPr fontId="1"/>
  </si>
  <si>
    <t>それから降りて、ウェストミンスター寺院とビッグ・ベンを眺めることができます。</t>
  </si>
  <si>
    <t>ボートに乗って川を下り、タワーを見に行きます。</t>
  </si>
  <si>
    <t>バスに戻って、バッキンガム宮殿やマダム タッソー蝋人形館を訪れましょう。</t>
  </si>
  <si>
    <t>1日に対しては多すぎると思います。</t>
    <rPh sb="3" eb="4">
      <t>タイ</t>
    </rPh>
    <phoneticPr fontId="1"/>
  </si>
  <si>
    <t>タッソー蝋人形館とロンドン アイを後にして、次の日にしてはいかがですか。</t>
    <phoneticPr fontId="1"/>
  </si>
  <si>
    <t>もう一日滞在しませんか？</t>
    <phoneticPr fontId="1"/>
  </si>
  <si>
    <t>Lesson fifteen</t>
  </si>
  <si>
    <t>I'm glad you booked all our tickets online before we came.</t>
  </si>
  <si>
    <t>I must buy my mother a pretty blouse or something here.</t>
  </si>
  <si>
    <t>And then Knightsbridge for Harrods, don't forget.</t>
  </si>
  <si>
    <t>You saved me a lot of money, especially for the show and dinner last night.</t>
    <phoneticPr fontId="1"/>
  </si>
  <si>
    <t>We were lucky to get tickets for the Phantom of the Opera, even booking in advance.</t>
    <phoneticPr fontId="1"/>
  </si>
  <si>
    <t>And you bought that lovely dress in Selfridges.</t>
    <phoneticPr fontId="1"/>
  </si>
  <si>
    <t>Well, here's Liberty's.</t>
  </si>
  <si>
    <t>私たちが来る前に、すべてのチケットをオンラインで予約しておいてくれてよかったです。</t>
    <phoneticPr fontId="1"/>
  </si>
  <si>
    <t>特に昨夜のショーとディナーのために、あなたは私にたくさんのお金を節約してくれました。</t>
  </si>
  <si>
    <t>幸運にもオペラ座の怪人のチケットを事前に予約して手に入れることができました。</t>
  </si>
  <si>
    <t>そしてあなたはセルフリッジで素敵なドレスを買いました。</t>
  </si>
  <si>
    <t>さて、ここはリバティ。</t>
  </si>
  <si>
    <t>It looks a bit overwhelming.</t>
  </si>
  <si>
    <t>Are we really going in there?</t>
  </si>
  <si>
    <t>Of course we are!</t>
  </si>
  <si>
    <t>You can't come to the West End and not visit Liberty's!</t>
    <phoneticPr fontId="1"/>
  </si>
  <si>
    <t>ちょっと圧倒されそうです。</t>
  </si>
  <si>
    <t>本当にそこに行くの？</t>
  </si>
  <si>
    <t>もちろんです！</t>
  </si>
  <si>
    <t>ウエスト エンドに来て、リバティーズに行かないわけにはいきません。</t>
  </si>
  <si>
    <t>ここで母にきれいなブラウスか何かを買わなければ。</t>
    <phoneticPr fontId="1"/>
  </si>
  <si>
    <t>そしてハロッズのナイツブリッジもお忘れなく。</t>
  </si>
  <si>
    <t>Lesson sixteen</t>
  </si>
  <si>
    <t>Just a piece of pizza and a salad?</t>
  </si>
  <si>
    <t>You must be on a diet!</t>
  </si>
  <si>
    <t>Too much great food in London!</t>
  </si>
  <si>
    <t xml:space="preserve"> There's something called a Halloween-Bonfire Night party this weekend.</t>
    <phoneticPr fontId="1"/>
  </si>
  <si>
    <t xml:space="preserve"> If it's useful cultural study, I should attend, shouldn't I?</t>
    <phoneticPr fontId="1"/>
  </si>
  <si>
    <t xml:space="preserve"> I haven't a clue what Bonfire Night is.</t>
    <phoneticPr fontId="1"/>
  </si>
  <si>
    <t>What a model student you are!</t>
  </si>
  <si>
    <t>Still, you did impress Len with your report on the history of London's development.</t>
    <phoneticPr fontId="1"/>
  </si>
  <si>
    <t>Bonfire Night is November 5th, and celebrates Parliament not getting blown up in the seventeenth century,</t>
    <phoneticPr fontId="1"/>
  </si>
  <si>
    <t>but nowadays the American Halloween traditions are killing it off, I think.</t>
    <phoneticPr fontId="1"/>
  </si>
  <si>
    <t>ピザとサラダだけ？</t>
  </si>
  <si>
    <t>ダイエットしているに違いない！</t>
  </si>
  <si>
    <t>ロンドンには素晴らしい食べ物が多すぎます！</t>
  </si>
  <si>
    <t>文化の勉強に役立つなら、参加するべきですよね？</t>
  </si>
  <si>
    <t>今週末、ハロウィン ボンファイヤー ナイト パーティーと呼ばれるものがあるけど。</t>
    <phoneticPr fontId="1"/>
  </si>
  <si>
    <t>あなたはなんて模範的な学生でしょう！</t>
  </si>
  <si>
    <t>しかも、あなたはロンドンの発展の歴史に関するレポートでレンに感銘を与えました。</t>
    <phoneticPr fontId="1"/>
  </si>
  <si>
    <t>ボンファイア・ナイトが何なのかさっぱりわかりません。</t>
    <phoneticPr fontId="1"/>
  </si>
  <si>
    <t>ボンファイア・ナイトは 11 月 5 日で、議会が 17 世紀に爆破されなかったことを祝います。</t>
    <phoneticPr fontId="1"/>
  </si>
  <si>
    <t>しかし最近では、アメリカのハロウィーンの伝統がそれを殺していると思います.</t>
  </si>
  <si>
    <t>Lesson seventeen</t>
  </si>
  <si>
    <t>Well, here's the flat.</t>
  </si>
  <si>
    <t>It's amazing!</t>
  </si>
  <si>
    <t>Fiona</t>
  </si>
  <si>
    <t>assets/icons/image329.png</t>
    <phoneticPr fontId="1"/>
  </si>
  <si>
    <t xml:space="preserve"> The gardens must be really beautiful in summer.</t>
    <phoneticPr fontId="1"/>
  </si>
  <si>
    <t>Aye, they are,</t>
  </si>
  <si>
    <t>but it's awfully crowded because of the Festival.</t>
    <phoneticPr fontId="1"/>
  </si>
  <si>
    <t>Are we going to buy Scottish souvenirs right away?</t>
  </si>
  <si>
    <t>I'll need a cashpoint first.</t>
    <phoneticPr fontId="1"/>
  </si>
  <si>
    <t>We'll see the University first,</t>
  </si>
  <si>
    <t xml:space="preserve"> and get some lunch before we do the Royal Mile. </t>
    <phoneticPr fontId="1"/>
  </si>
  <si>
    <t xml:space="preserve"> We can visit the New Town and shop a bit more on Princes Street tomorrow.</t>
    <phoneticPr fontId="1"/>
  </si>
  <si>
    <t xml:space="preserve">Great! </t>
  </si>
  <si>
    <t>I'm dying to see where Sherlock Holmes and Darwin got their start.</t>
    <phoneticPr fontId="1"/>
  </si>
  <si>
    <t>さて、ここがアパートです。</t>
  </si>
  <si>
    <t xml:space="preserve"> I've put you in the front room, </t>
    <phoneticPr fontId="1"/>
  </si>
  <si>
    <t xml:space="preserve"> where you've a great view of the castle and down the Mound.</t>
    <phoneticPr fontId="1"/>
  </si>
  <si>
    <t>城とマウンドの素晴らしい景色を眺めることができます。</t>
  </si>
  <si>
    <t>私はあなたを正面の部屋に配置しました。</t>
    <rPh sb="6" eb="8">
      <t>ショウメン</t>
    </rPh>
    <rPh sb="12" eb="14">
      <t>ハイチ</t>
    </rPh>
    <phoneticPr fontId="1"/>
  </si>
  <si>
    <t>すごい！</t>
  </si>
  <si>
    <t>夏の庭園は本当に美しいに違いありません。</t>
  </si>
  <si>
    <t>そうです</t>
    <phoneticPr fontId="1"/>
  </si>
  <si>
    <t>でも、まつりのせいですごい混みます。</t>
    <phoneticPr fontId="1"/>
  </si>
  <si>
    <t>スコットランドのお土産をすぐに買いに行きますか。</t>
  </si>
  <si>
    <t>まずATMが必要です。</t>
    <phoneticPr fontId="1"/>
  </si>
  <si>
    <t>まず大学を見てみましょう。</t>
  </si>
  <si>
    <t>ロイヤルマイルに行く前に昼食をとります。</t>
  </si>
  <si>
    <t>明日はニュータウンに行って、プリンシズ通りでもう少し買い物をしましょう。</t>
  </si>
  <si>
    <t>シャーロック・ホームズやダーウィンが生まれたところを見たくてたまりません。</t>
    <rPh sb="26" eb="27">
      <t>ミ</t>
    </rPh>
    <phoneticPr fontId="1"/>
  </si>
  <si>
    <t>Lesson eighteen</t>
  </si>
  <si>
    <t>Do you usually send presents or cards to all the teachers in the department?</t>
    <phoneticPr fontId="1"/>
  </si>
  <si>
    <t xml:space="preserve">There's no need to give presents to anyone, </t>
    <phoneticPr fontId="1"/>
  </si>
  <si>
    <t>except perhaps Professor Owen because he's your supervisor,</t>
    <phoneticPr fontId="1"/>
  </si>
  <si>
    <t>but it's a good idea to send cards to all your teachers.</t>
    <phoneticPr fontId="1"/>
  </si>
  <si>
    <t>I see.</t>
  </si>
  <si>
    <t xml:space="preserve"> I'd probably better get a nice present for my landlady, too.</t>
    <phoneticPr fontId="1"/>
  </si>
  <si>
    <t>Yes, I think you should,</t>
  </si>
  <si>
    <t xml:space="preserve"> since she's offered to serve you and Asha Christmas dinner. </t>
    <phoneticPr fontId="1"/>
  </si>
  <si>
    <t>Turkey and all the trimmings!</t>
  </si>
  <si>
    <t>I envy you.</t>
    <phoneticPr fontId="1"/>
  </si>
  <si>
    <t>Pudding and mince pies, too, probably.</t>
  </si>
  <si>
    <t>She told me to be sure to hang my stocking for Santa on Christmas Eve.</t>
    <phoneticPr fontId="1"/>
  </si>
  <si>
    <t>Have you been a good girl all year?</t>
  </si>
  <si>
    <t>You won't get any presents if you haven't!</t>
    <phoneticPr fontId="1"/>
  </si>
  <si>
    <t>誰にもプレゼントを渡す必要はありません。</t>
  </si>
  <si>
    <t>普通、学科のすべての教師にプレゼントやカードを送りますか。</t>
    <rPh sb="0" eb="2">
      <t>フツウ</t>
    </rPh>
    <phoneticPr fontId="1"/>
  </si>
  <si>
    <t>しかし、すべての教師にカードを送るのは良い考えです。</t>
  </si>
  <si>
    <t>ただし、オーウェン教授はあなたのスーパーバイザーなので、贈った方が良いかも。</t>
    <rPh sb="28" eb="29">
      <t>オク</t>
    </rPh>
    <rPh sb="31" eb="32">
      <t>ホウ</t>
    </rPh>
    <rPh sb="33" eb="34">
      <t>ヨ</t>
    </rPh>
    <phoneticPr fontId="1"/>
  </si>
  <si>
    <t>そうですか。</t>
  </si>
  <si>
    <t>大家さんにも素敵なプレゼントをあげたほうがいいでしょう。</t>
  </si>
  <si>
    <t>はい、そうすべきだと思います。</t>
  </si>
  <si>
    <t>彼女はあなたとアシャのクリスマス ディナーを提供してくれるからです。</t>
    <phoneticPr fontId="1"/>
  </si>
  <si>
    <t>七面鳥や付け合わせ！</t>
    <phoneticPr fontId="1"/>
  </si>
  <si>
    <t>うらやましい。</t>
    <phoneticPr fontId="1"/>
  </si>
  <si>
    <t>たぶん、プリンとミンスパイも。</t>
    <phoneticPr fontId="1"/>
  </si>
  <si>
    <t>彼女はクリスマスイブに必ず私の靴下をサンタのために掛けるように言った.</t>
    <phoneticPr fontId="1"/>
  </si>
  <si>
    <t>あなたは一年中いい子でしたか？</t>
  </si>
  <si>
    <t>そうしないとプレゼントはもらえません！</t>
  </si>
  <si>
    <t>Lesson nineteen</t>
  </si>
  <si>
    <t>Well, there'll be food and drink at the party, won't there?</t>
  </si>
  <si>
    <t>今晩の学生会主催の新年パーティにはいらっしゃるんですよね。</t>
  </si>
  <si>
    <t>You're going to the Guild's New Year party tonight, aren't you?</t>
    <phoneticPr fontId="1"/>
  </si>
  <si>
    <t xml:space="preserve"> I am, but it's just English New Year. </t>
  </si>
  <si>
    <t>I'll miss all the joys of Hogmanay.</t>
    <phoneticPr fontId="1"/>
  </si>
  <si>
    <t>What's so different?</t>
  </si>
  <si>
    <t>I didn't think British people made much of New Year.</t>
    <phoneticPr fontId="1"/>
  </si>
  <si>
    <t xml:space="preserve">Well, as far as customs go, </t>
    <phoneticPr fontId="1"/>
  </si>
  <si>
    <t>Auld Lang Syne and First Footing are fairly common in England, too.</t>
  </si>
  <si>
    <t>The visiting and the food are what I'll miss most, and the fireworks.</t>
    <phoneticPr fontId="1"/>
  </si>
  <si>
    <t>Some places still have torchlight or fireball parades, too.</t>
    <phoneticPr fontId="1"/>
  </si>
  <si>
    <t>Aye, but there'll be no black bun and no haggis!</t>
  </si>
  <si>
    <t>行くわ、でもあれはイングリッシュ風の新年なの。</t>
    <phoneticPr fontId="1"/>
  </si>
  <si>
    <t>私は、スコットランド風の大みそかのお祝いがなつかしいわ。</t>
    <phoneticPr fontId="1"/>
  </si>
  <si>
    <t>何がそんなに違うの？</t>
  </si>
  <si>
    <t>イギリス人は正月を大事にしていなかったと思います。</t>
  </si>
  <si>
    <t>まあ、慣習に関して言えば、</t>
    <rPh sb="3" eb="5">
      <t>カンシュウ</t>
    </rPh>
    <phoneticPr fontId="1"/>
  </si>
  <si>
    <t>「蛍の光」 を歌うことと新年の最初の客を迎えることはイングランドでもかなり一般的</t>
    <phoneticPr fontId="1"/>
  </si>
  <si>
    <t>訪問と食べ物、そして花火が一番恋しいです。</t>
  </si>
  <si>
    <t>たいまつや火の玉のパレードがまだ行われている場所もあります。</t>
  </si>
  <si>
    <t>ええと、パーティーでは食べ物と飲み物がありますよね？</t>
  </si>
  <si>
    <t>はい、でもブラックバンもハギスもありません！</t>
    <phoneticPr fontId="1"/>
  </si>
  <si>
    <t>Lesson twenty</t>
  </si>
  <si>
    <t>that's what we say.</t>
  </si>
  <si>
    <t>Hi, there, Eri!</t>
  </si>
  <si>
    <t xml:space="preserve"> I'm glad to see you, </t>
    <phoneticPr fontId="1"/>
  </si>
  <si>
    <t>but how come you're not busy packing suitcases and things?</t>
  </si>
  <si>
    <t>You're leaving for Tokyo tomorrow, aren't you?</t>
    <phoneticPr fontId="1"/>
  </si>
  <si>
    <t>Yes, but I had my two big cases picked up and delivered to Heathrow earlier.</t>
    <phoneticPr fontId="1"/>
  </si>
  <si>
    <t>That's smart thinking!</t>
  </si>
  <si>
    <t>Let someone else do all the heavy work.</t>
  </si>
  <si>
    <t>This is a lovely garden.</t>
  </si>
  <si>
    <t xml:space="preserve"> It's a pity it's so windy and cold today.</t>
  </si>
  <si>
    <t>Well, it is March, after all.</t>
  </si>
  <si>
    <t>I'd like to make a garden on my balcony in Tokyo.</t>
  </si>
  <si>
    <t>Do you think it's difficult?</t>
    <phoneticPr fontId="1"/>
  </si>
  <si>
    <t>There are loads of books and websites available, full of advice.</t>
    <phoneticPr fontId="1"/>
  </si>
  <si>
    <t>Just remember to keep an eye on the caterpillars, slugs, and snails.</t>
    <phoneticPr fontId="1"/>
  </si>
  <si>
    <t>And do send us pictures!</t>
  </si>
  <si>
    <t>こんにちは、えりさん！</t>
  </si>
  <si>
    <t>あなたにお会いできてうれしいです、</t>
  </si>
  <si>
    <t>でも、スーツケースや荷物を詰めるのに忙しくないのはなぜですか？</t>
  </si>
  <si>
    <t>あなたは明日東京に出発しますよね？</t>
    <phoneticPr fontId="1"/>
  </si>
  <si>
    <t>はい。でも、先にヒースローに 2 つの大きなスーツケースを引き取ってもらい、届けてもらいました。</t>
    <phoneticPr fontId="1"/>
  </si>
  <si>
    <t>それは賢い考えです！</t>
  </si>
  <si>
    <t>面倒な作業はすべて他の人に任せましょう。</t>
  </si>
  <si>
    <t>これはすてきな庭です。</t>
  </si>
  <si>
    <t>今日は風が強くて寒いのが残念です。</t>
  </si>
  <si>
    <t>さて、 なにせいよいよ3月だからね。</t>
    <phoneticPr fontId="1"/>
  </si>
  <si>
    <t xml:space="preserve"> 「まだライオンでこれから仔羊」</t>
  </si>
  <si>
    <t>そう私たちは言っています。</t>
    <rPh sb="6" eb="7">
      <t>イ</t>
    </rPh>
    <phoneticPr fontId="1"/>
  </si>
  <si>
    <t>東京のベランダに庭を作りたいです。</t>
  </si>
  <si>
    <t>難しいと思いますか？</t>
  </si>
  <si>
    <t>たくさんの本やウェブサイトがあり、アドバイスが満載です。</t>
  </si>
  <si>
    <t>イモムシ、ナメクジ、カタツムリから目を離さないようにしてください。</t>
  </si>
  <si>
    <t>そして私たちに写真を送ってください！</t>
  </si>
  <si>
    <t xml:space="preserve"> 'In like a lion, out like a lamb',</t>
  </si>
  <si>
    <t>Why don't we take this 'hop on, hop off' type tour bus with a free river cruise?</t>
  </si>
  <si>
    <t>Did you get to ride on one of the 'little railways'?</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</si>
</sst>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ＭＳ Ｐゴシック"/>
      <family val="2"/>
      <charset val="128"/>
      <scheme val="minor"/>
    </font>
    <font>
      <sz val="6"/>
      <name val="ＭＳ Ｐゴシック"/>
      <family val="2"/>
      <charset val="128"/>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3">
    <xf numFmtId="0" fontId="0" fillId="0" borderId="0" xfId="0">
      <alignment vertical="center"/>
    </xf>
    <xf numFmtId="0" fontId="0" fillId="0" borderId="0" xfId="0" applyAlignment="1">
      <alignment vertical="center" wrapText="1"/>
    </xf>
    <xf numFmtId="0" fontId="0" fillId="0" borderId="0" xfId="0" quotePrefix="1">
      <alignment vertical="center"/>
    </xf>
  </cellXfs>
  <cellStyles count="1">
    <cellStyle name="標準" xfId="0" builtinId="0"/>
  </cellStyles>
  <dxfs count="5">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2109"/>
  <sheetViews>
    <sheetView tabSelected="1" topLeftCell="A1309" zoomScale="57" zoomScaleNormal="57" workbookViewId="0">
      <selection activeCell="F1277" sqref="F1277"/>
    </sheetView>
  </sheetViews>
  <sheetFormatPr defaultRowHeight="13.5" x14ac:dyDescent="0.15"/>
  <cols>
    <col min="1" max="1" width="9.625" bestFit="1" customWidth="1"/>
    <col min="2" max="2" width="7.75" bestFit="1" customWidth="1"/>
    <col min="3" max="4" width="6.125" bestFit="1" customWidth="1"/>
    <col min="5" max="5" width="9.875" bestFit="1" customWidth="1"/>
    <col min="6" max="6" width="48.125" bestFit="1" customWidth="1"/>
    <col min="7" max="7" width="4.875" bestFit="1" customWidth="1"/>
    <col min="12" max="12" width="48.125" customWidth="1"/>
  </cols>
  <sheetData>
    <row r="1" spans="1:12" x14ac:dyDescent="0.15">
      <c r="A1" t="s">
        <v>0</v>
      </c>
      <c r="B1" t="s">
        <v>1</v>
      </c>
      <c r="C1" t="s">
        <v>2</v>
      </c>
      <c r="D1" t="s">
        <v>4</v>
      </c>
      <c r="E1" t="s">
        <v>5</v>
      </c>
      <c r="F1" t="s">
        <v>3</v>
      </c>
      <c r="G1" t="s">
        <v>19</v>
      </c>
      <c r="H1" t="s">
        <v>20</v>
      </c>
      <c r="I1" t="s">
        <v>401</v>
      </c>
    </row>
    <row r="2" spans="1:12" x14ac:dyDescent="0.15">
      <c r="A2" t="s">
        <v>442</v>
      </c>
      <c r="B2">
        <v>1</v>
      </c>
      <c r="C2">
        <v>1</v>
      </c>
      <c r="D2">
        <v>1</v>
      </c>
      <c r="E2" t="str">
        <f>VLOOKUP(D2,name!A:B,2,1)</f>
        <v>Navigator</v>
      </c>
      <c r="F2" t="s">
        <v>454</v>
      </c>
      <c r="G2" t="str">
        <f>IF(B2&lt;&gt;B3,"e",IF(D2=0,"q","a"))</f>
        <v>a</v>
      </c>
      <c r="H2" t="str">
        <f>VLOOKUP(D2,name!A:C,3,1)</f>
        <v>assets/icons/image014.png</v>
      </c>
      <c r="I2" t="str">
        <f>IF(A2="","",VLOOKUP(A2,lng!A:B,2,0))</f>
        <v>en-GB</v>
      </c>
    </row>
    <row r="3" spans="1:12" x14ac:dyDescent="0.15">
      <c r="A3" t="str">
        <f t="shared" ref="A3:B18" si="0">A2</f>
        <v>英語</v>
      </c>
      <c r="B3">
        <f>B2</f>
        <v>1</v>
      </c>
      <c r="C3">
        <f>C2+1</f>
        <v>2</v>
      </c>
      <c r="D3">
        <v>1</v>
      </c>
      <c r="E3" t="str">
        <f>VLOOKUP(D3,name!A:B,2,1)</f>
        <v>Navigator</v>
      </c>
      <c r="F3" t="str">
        <f>"レッスン"&amp;B3</f>
        <v>レッスン1</v>
      </c>
      <c r="G3" t="str">
        <f>IF(B3&lt;&gt;B4,"e",IF(D3=0,"q","a"))</f>
        <v>a</v>
      </c>
      <c r="H3" t="str">
        <f>VLOOKUP(D3,name!A:C,3,1)</f>
        <v>assets/icons/image014.png</v>
      </c>
      <c r="I3" t="s">
        <v>402</v>
      </c>
    </row>
    <row r="4" spans="1:12" ht="40.5" x14ac:dyDescent="0.15">
      <c r="A4" t="str">
        <f t="shared" si="0"/>
        <v>英語</v>
      </c>
      <c r="B4">
        <f t="shared" si="0"/>
        <v>1</v>
      </c>
      <c r="C4">
        <f t="shared" ref="C4:C67" si="1">C3+1</f>
        <v>3</v>
      </c>
      <c r="D4">
        <v>1</v>
      </c>
      <c r="E4" t="str">
        <f>VLOOKUP(D4,name!A:B,2,1)</f>
        <v>Navigator</v>
      </c>
      <c r="F4" s="1" t="str">
        <f>"まずは対話文を流します。その後に、日本語と"&amp;A4&amp;"を一文ずつ流すので"&amp;A4&amp;"を真似して下さい。最後に日本語のみを流すので、"&amp;A4&amp;"で答えてください。"</f>
        <v>まずは対話文を流します。その後に、日本語と英語を一文ずつ流すので英語を真似して下さい。最後に日本語のみを流すので、英語で答えてください。</v>
      </c>
      <c r="G4" t="str">
        <f>IF(B4&lt;&gt;B5,"e",IF(D4=0,"q","a"))</f>
        <v>a</v>
      </c>
      <c r="H4" t="str">
        <f>VLOOKUP(D4,name!A:C,3,1)</f>
        <v>assets/icons/image014.png</v>
      </c>
      <c r="I4" t="s">
        <v>402</v>
      </c>
      <c r="L4" s="1"/>
    </row>
    <row r="5" spans="1:12" x14ac:dyDescent="0.15">
      <c r="A5" t="str">
        <f t="shared" si="0"/>
        <v>英語</v>
      </c>
      <c r="B5">
        <f t="shared" si="0"/>
        <v>1</v>
      </c>
      <c r="C5">
        <f t="shared" si="1"/>
        <v>4</v>
      </c>
      <c r="D5">
        <f>D6</f>
        <v>28</v>
      </c>
      <c r="E5" t="str">
        <f>VLOOKUP(D5,name!A:B,2,1)</f>
        <v>Mike</v>
      </c>
      <c r="F5" t="s">
        <v>463</v>
      </c>
      <c r="G5" t="str">
        <f t="shared" ref="G5:G15" si="2">IF(B5&lt;&gt;B6,"e",IF(D5=0,"q","a"))</f>
        <v>a</v>
      </c>
      <c r="H5" t="str">
        <f>VLOOKUP(D5,name!A:C,3,1)</f>
        <v>assets/icons/image019.png</v>
      </c>
      <c r="I5" t="s">
        <v>402</v>
      </c>
    </row>
    <row r="6" spans="1:12" x14ac:dyDescent="0.15">
      <c r="A6" t="str">
        <f t="shared" si="0"/>
        <v>英語</v>
      </c>
      <c r="B6">
        <f t="shared" si="0"/>
        <v>1</v>
      </c>
      <c r="C6">
        <f t="shared" si="1"/>
        <v>5</v>
      </c>
      <c r="D6">
        <f t="shared" ref="D6:D31" si="3">D7</f>
        <v>28</v>
      </c>
      <c r="E6" t="str">
        <f>VLOOKUP(D6,name!A:B,2,1)</f>
        <v>Mike</v>
      </c>
      <c r="F6" t="s">
        <v>443</v>
      </c>
      <c r="G6" t="str">
        <f t="shared" si="2"/>
        <v>a</v>
      </c>
      <c r="H6" t="str">
        <f>VLOOKUP(D6,name!A:C,3,1)</f>
        <v>assets/icons/image019.png</v>
      </c>
      <c r="I6" t="str">
        <f>IF(A6="","",VLOOKUP(A6,lng!A:B,2,0))</f>
        <v>en-GB</v>
      </c>
    </row>
    <row r="7" spans="1:12" x14ac:dyDescent="0.15">
      <c r="A7" t="str">
        <f t="shared" si="0"/>
        <v>英語</v>
      </c>
      <c r="B7">
        <f t="shared" si="0"/>
        <v>1</v>
      </c>
      <c r="C7">
        <f t="shared" si="1"/>
        <v>6</v>
      </c>
      <c r="D7">
        <f t="shared" si="3"/>
        <v>28</v>
      </c>
      <c r="E7" t="str">
        <f>VLOOKUP(D7,name!A:B,2,1)</f>
        <v>Mike</v>
      </c>
      <c r="F7" t="s">
        <v>464</v>
      </c>
      <c r="G7" t="str">
        <f t="shared" si="2"/>
        <v>a</v>
      </c>
      <c r="H7" t="str">
        <f>VLOOKUP(D7,name!A:C,3,1)</f>
        <v>assets/icons/image019.png</v>
      </c>
      <c r="I7" t="s">
        <v>402</v>
      </c>
    </row>
    <row r="8" spans="1:12" x14ac:dyDescent="0.15">
      <c r="A8" t="str">
        <f t="shared" si="0"/>
        <v>英語</v>
      </c>
      <c r="B8">
        <f t="shared" si="0"/>
        <v>1</v>
      </c>
      <c r="C8">
        <f t="shared" si="1"/>
        <v>7</v>
      </c>
      <c r="D8">
        <v>28</v>
      </c>
      <c r="E8" t="str">
        <f>VLOOKUP(D8,name!A:B,2,1)</f>
        <v>Mike</v>
      </c>
      <c r="F8" t="s">
        <v>465</v>
      </c>
      <c r="G8" t="str">
        <f t="shared" si="2"/>
        <v>a</v>
      </c>
      <c r="H8" t="str">
        <f>VLOOKUP(D8,name!A:C,3,1)</f>
        <v>assets/icons/image019.png</v>
      </c>
      <c r="I8" t="str">
        <f>IF(A8="","",VLOOKUP(A8,lng!A:B,2,0))</f>
        <v>en-GB</v>
      </c>
    </row>
    <row r="9" spans="1:12" x14ac:dyDescent="0.15">
      <c r="A9" t="str">
        <f t="shared" si="0"/>
        <v>英語</v>
      </c>
      <c r="B9">
        <f t="shared" si="0"/>
        <v>1</v>
      </c>
      <c r="C9">
        <f t="shared" si="1"/>
        <v>8</v>
      </c>
      <c r="D9">
        <f t="shared" si="3"/>
        <v>29</v>
      </c>
      <c r="E9" t="str">
        <f>VLOOKUP(D9,name!A:B,2,1)</f>
        <v>Eri</v>
      </c>
      <c r="F9" t="s">
        <v>468</v>
      </c>
      <c r="G9" t="str">
        <f t="shared" si="2"/>
        <v>a</v>
      </c>
      <c r="H9" t="str">
        <f>VLOOKUP(D9,name!A:C,3,1)</f>
        <v>assets/icons/image209.png</v>
      </c>
      <c r="I9" t="s">
        <v>402</v>
      </c>
    </row>
    <row r="10" spans="1:12" x14ac:dyDescent="0.15">
      <c r="A10" t="str">
        <f t="shared" si="0"/>
        <v>英語</v>
      </c>
      <c r="B10">
        <f t="shared" si="0"/>
        <v>1</v>
      </c>
      <c r="C10">
        <f t="shared" si="1"/>
        <v>9</v>
      </c>
      <c r="D10">
        <f t="shared" si="3"/>
        <v>29</v>
      </c>
      <c r="E10" t="str">
        <f>VLOOKUP(D10,name!A:B,2,1)</f>
        <v>Eri</v>
      </c>
      <c r="F10" t="s">
        <v>448</v>
      </c>
      <c r="G10" t="str">
        <f t="shared" si="2"/>
        <v>a</v>
      </c>
      <c r="H10" t="str">
        <f>VLOOKUP(D10,name!A:C,3,1)</f>
        <v>assets/icons/image209.png</v>
      </c>
      <c r="I10" t="str">
        <f>IF(A10="","",VLOOKUP(A10,lng!A:B,2,0))</f>
        <v>en-GB</v>
      </c>
    </row>
    <row r="11" spans="1:12" x14ac:dyDescent="0.15">
      <c r="A11" t="str">
        <f t="shared" si="0"/>
        <v>英語</v>
      </c>
      <c r="B11">
        <f t="shared" si="0"/>
        <v>1</v>
      </c>
      <c r="C11">
        <f t="shared" si="1"/>
        <v>10</v>
      </c>
      <c r="D11">
        <f t="shared" si="3"/>
        <v>29</v>
      </c>
      <c r="E11" t="str">
        <f>VLOOKUP(D11,name!A:B,2,1)</f>
        <v>Eri</v>
      </c>
      <c r="F11" t="s">
        <v>466</v>
      </c>
      <c r="G11" t="str">
        <f t="shared" si="2"/>
        <v>a</v>
      </c>
      <c r="H11" t="str">
        <f>VLOOKUP(D11,name!A:C,3,1)</f>
        <v>assets/icons/image209.png</v>
      </c>
      <c r="I11" t="s">
        <v>402</v>
      </c>
    </row>
    <row r="12" spans="1:12" x14ac:dyDescent="0.15">
      <c r="A12" t="str">
        <f t="shared" si="0"/>
        <v>英語</v>
      </c>
      <c r="B12">
        <f t="shared" si="0"/>
        <v>1</v>
      </c>
      <c r="C12">
        <f t="shared" si="1"/>
        <v>11</v>
      </c>
      <c r="D12">
        <v>29</v>
      </c>
      <c r="E12" t="str">
        <f>VLOOKUP(D12,name!A:B,2,1)</f>
        <v>Eri</v>
      </c>
      <c r="F12" t="s">
        <v>449</v>
      </c>
      <c r="G12" t="str">
        <f t="shared" si="2"/>
        <v>a</v>
      </c>
      <c r="H12" t="str">
        <f>VLOOKUP(D12,name!A:C,3,1)</f>
        <v>assets/icons/image209.png</v>
      </c>
      <c r="I12" t="str">
        <f>IF(A12="","",VLOOKUP(A12,lng!A:B,2,0))</f>
        <v>en-GB</v>
      </c>
    </row>
    <row r="13" spans="1:12" x14ac:dyDescent="0.15">
      <c r="A13" t="str">
        <f t="shared" si="0"/>
        <v>英語</v>
      </c>
      <c r="B13">
        <f t="shared" si="0"/>
        <v>1</v>
      </c>
      <c r="C13">
        <f t="shared" si="1"/>
        <v>12</v>
      </c>
      <c r="D13">
        <f t="shared" si="3"/>
        <v>30</v>
      </c>
      <c r="E13" t="str">
        <f>VLOOKUP(D13,name!A:B,2,1)</f>
        <v>Aya</v>
      </c>
      <c r="F13" t="s">
        <v>467</v>
      </c>
      <c r="G13" t="str">
        <f t="shared" si="2"/>
        <v>a</v>
      </c>
      <c r="H13" t="str">
        <f>VLOOKUP(D13,name!A:C,3,1)</f>
        <v>assets/icons/image223.png</v>
      </c>
      <c r="I13" t="s">
        <v>402</v>
      </c>
    </row>
    <row r="14" spans="1:12" x14ac:dyDescent="0.15">
      <c r="A14" t="str">
        <f t="shared" si="0"/>
        <v>英語</v>
      </c>
      <c r="B14">
        <f t="shared" si="0"/>
        <v>1</v>
      </c>
      <c r="C14">
        <f t="shared" si="1"/>
        <v>13</v>
      </c>
      <c r="D14">
        <f t="shared" si="3"/>
        <v>30</v>
      </c>
      <c r="E14" t="str">
        <f>VLOOKUP(D14,name!A:B,2,1)</f>
        <v>Aya</v>
      </c>
      <c r="F14" t="s">
        <v>450</v>
      </c>
      <c r="G14" t="str">
        <f t="shared" si="2"/>
        <v>a</v>
      </c>
      <c r="H14" t="str">
        <f>VLOOKUP(D14,name!A:C,3,1)</f>
        <v>assets/icons/image223.png</v>
      </c>
      <c r="I14" t="str">
        <f>IF(A14="","",VLOOKUP(A14,lng!A:B,2,0))</f>
        <v>en-GB</v>
      </c>
    </row>
    <row r="15" spans="1:12" x14ac:dyDescent="0.15">
      <c r="A15" t="str">
        <f t="shared" si="0"/>
        <v>英語</v>
      </c>
      <c r="B15">
        <f t="shared" si="0"/>
        <v>1</v>
      </c>
      <c r="C15">
        <f t="shared" si="1"/>
        <v>14</v>
      </c>
      <c r="D15">
        <f t="shared" si="3"/>
        <v>30</v>
      </c>
      <c r="E15" t="str">
        <f>VLOOKUP(D15,name!A:B,2,1)</f>
        <v>Aya</v>
      </c>
      <c r="F15" t="s">
        <v>469</v>
      </c>
      <c r="G15" t="str">
        <f t="shared" si="2"/>
        <v>a</v>
      </c>
      <c r="H15" t="str">
        <f>VLOOKUP(D15,name!A:C,3,1)</f>
        <v>assets/icons/image223.png</v>
      </c>
      <c r="I15" t="s">
        <v>402</v>
      </c>
    </row>
    <row r="16" spans="1:12" x14ac:dyDescent="0.15">
      <c r="A16" t="str">
        <f t="shared" si="0"/>
        <v>英語</v>
      </c>
      <c r="B16">
        <f t="shared" si="0"/>
        <v>1</v>
      </c>
      <c r="C16">
        <f t="shared" si="1"/>
        <v>15</v>
      </c>
      <c r="D16">
        <f t="shared" si="3"/>
        <v>30</v>
      </c>
      <c r="E16" t="str">
        <f>VLOOKUP(D16,name!A:B,2,1)</f>
        <v>Aya</v>
      </c>
      <c r="F16" t="s">
        <v>451</v>
      </c>
      <c r="G16" t="str">
        <f t="shared" ref="G16:G29" si="4">IF(B16&lt;&gt;B17,"e",IF(D16=0,"q","a"))</f>
        <v>a</v>
      </c>
      <c r="H16" t="str">
        <f>VLOOKUP(D16,name!A:C,3,1)</f>
        <v>assets/icons/image223.png</v>
      </c>
      <c r="I16" t="str">
        <f>IF(A16="","",VLOOKUP(A16,lng!A:B,2,0))</f>
        <v>en-GB</v>
      </c>
    </row>
    <row r="17" spans="1:9" x14ac:dyDescent="0.15">
      <c r="A17" t="str">
        <f t="shared" si="0"/>
        <v>英語</v>
      </c>
      <c r="B17">
        <f t="shared" si="0"/>
        <v>1</v>
      </c>
      <c r="C17">
        <f t="shared" si="1"/>
        <v>16</v>
      </c>
      <c r="D17">
        <f t="shared" si="3"/>
        <v>30</v>
      </c>
      <c r="E17" t="str">
        <f>VLOOKUP(D17,name!A:B,2,1)</f>
        <v>Aya</v>
      </c>
      <c r="F17" t="s">
        <v>470</v>
      </c>
      <c r="G17" t="str">
        <f t="shared" si="4"/>
        <v>a</v>
      </c>
      <c r="H17" t="str">
        <f>VLOOKUP(D17,name!A:C,3,1)</f>
        <v>assets/icons/image223.png</v>
      </c>
      <c r="I17" t="s">
        <v>402</v>
      </c>
    </row>
    <row r="18" spans="1:9" x14ac:dyDescent="0.15">
      <c r="A18" t="str">
        <f t="shared" si="0"/>
        <v>英語</v>
      </c>
      <c r="B18">
        <f t="shared" si="0"/>
        <v>1</v>
      </c>
      <c r="C18">
        <f t="shared" si="1"/>
        <v>17</v>
      </c>
      <c r="D18">
        <f t="shared" si="3"/>
        <v>30</v>
      </c>
      <c r="E18" t="str">
        <f>VLOOKUP(D18,name!A:B,2,1)</f>
        <v>Aya</v>
      </c>
      <c r="F18" t="s">
        <v>452</v>
      </c>
      <c r="G18" t="str">
        <f t="shared" si="4"/>
        <v>a</v>
      </c>
      <c r="H18" t="str">
        <f>VLOOKUP(D18,name!A:C,3,1)</f>
        <v>assets/icons/image223.png</v>
      </c>
      <c r="I18" t="str">
        <f>IF(A18="","",VLOOKUP(A18,lng!A:B,2,0))</f>
        <v>en-GB</v>
      </c>
    </row>
    <row r="19" spans="1:9" x14ac:dyDescent="0.15">
      <c r="A19" t="str">
        <f t="shared" ref="A19:B27" si="5">A18</f>
        <v>英語</v>
      </c>
      <c r="B19">
        <f t="shared" si="5"/>
        <v>1</v>
      </c>
      <c r="C19">
        <f t="shared" si="1"/>
        <v>18</v>
      </c>
      <c r="D19">
        <f t="shared" si="3"/>
        <v>30</v>
      </c>
      <c r="E19" t="str">
        <f>VLOOKUP(D19,name!A:B,2,1)</f>
        <v>Aya</v>
      </c>
      <c r="F19" t="s">
        <v>471</v>
      </c>
      <c r="G19" t="str">
        <f t="shared" si="4"/>
        <v>a</v>
      </c>
      <c r="H19" t="str">
        <f>VLOOKUP(D19,name!A:C,3,1)</f>
        <v>assets/icons/image223.png</v>
      </c>
      <c r="I19" t="s">
        <v>402</v>
      </c>
    </row>
    <row r="20" spans="1:9" x14ac:dyDescent="0.15">
      <c r="A20" t="str">
        <f t="shared" si="5"/>
        <v>英語</v>
      </c>
      <c r="B20">
        <f t="shared" si="5"/>
        <v>1</v>
      </c>
      <c r="C20">
        <f t="shared" si="1"/>
        <v>19</v>
      </c>
      <c r="D20">
        <v>30</v>
      </c>
      <c r="E20" t="str">
        <f>VLOOKUP(D20,name!A:B,2,1)</f>
        <v>Aya</v>
      </c>
      <c r="F20" t="s">
        <v>453</v>
      </c>
      <c r="G20" t="str">
        <f t="shared" si="4"/>
        <v>a</v>
      </c>
      <c r="H20" t="str">
        <f>VLOOKUP(D20,name!A:C,3,1)</f>
        <v>assets/icons/image223.png</v>
      </c>
      <c r="I20" t="str">
        <f>IF(A20="","",VLOOKUP(A20,lng!A:B,2,0))</f>
        <v>en-GB</v>
      </c>
    </row>
    <row r="21" spans="1:9" x14ac:dyDescent="0.15">
      <c r="A21" t="str">
        <f t="shared" si="5"/>
        <v>英語</v>
      </c>
      <c r="B21">
        <f t="shared" si="5"/>
        <v>1</v>
      </c>
      <c r="C21">
        <f t="shared" si="1"/>
        <v>20</v>
      </c>
      <c r="D21">
        <f t="shared" si="3"/>
        <v>28</v>
      </c>
      <c r="E21" t="str">
        <f>VLOOKUP(D21,name!A:B,2,1)</f>
        <v>Mike</v>
      </c>
      <c r="F21" t="s">
        <v>472</v>
      </c>
      <c r="G21" t="str">
        <f t="shared" si="4"/>
        <v>a</v>
      </c>
      <c r="H21" t="str">
        <f>VLOOKUP(D21,name!A:C,3,1)</f>
        <v>assets/icons/image019.png</v>
      </c>
      <c r="I21" t="s">
        <v>402</v>
      </c>
    </row>
    <row r="22" spans="1:9" x14ac:dyDescent="0.15">
      <c r="A22" t="str">
        <f t="shared" si="5"/>
        <v>英語</v>
      </c>
      <c r="B22">
        <f t="shared" si="5"/>
        <v>1</v>
      </c>
      <c r="C22">
        <f t="shared" si="1"/>
        <v>21</v>
      </c>
      <c r="D22">
        <f t="shared" si="3"/>
        <v>28</v>
      </c>
      <c r="E22" t="str">
        <f>VLOOKUP(D22,name!A:B,2,1)</f>
        <v>Mike</v>
      </c>
      <c r="F22" t="s">
        <v>457</v>
      </c>
      <c r="G22" t="str">
        <f t="shared" si="4"/>
        <v>a</v>
      </c>
      <c r="H22" t="str">
        <f>VLOOKUP(D22,name!A:C,3,1)</f>
        <v>assets/icons/image019.png</v>
      </c>
      <c r="I22" t="str">
        <f>IF(A22="","",VLOOKUP(A22,lng!A:B,2,0))</f>
        <v>en-GB</v>
      </c>
    </row>
    <row r="23" spans="1:9" x14ac:dyDescent="0.15">
      <c r="A23" t="str">
        <f t="shared" si="5"/>
        <v>英語</v>
      </c>
      <c r="B23">
        <f t="shared" si="5"/>
        <v>1</v>
      </c>
      <c r="C23">
        <f t="shared" si="1"/>
        <v>22</v>
      </c>
      <c r="D23">
        <f t="shared" si="3"/>
        <v>28</v>
      </c>
      <c r="E23" t="str">
        <f>VLOOKUP(D23,name!A:B,2,1)</f>
        <v>Mike</v>
      </c>
      <c r="F23" t="s">
        <v>473</v>
      </c>
      <c r="G23" t="str">
        <f t="shared" si="4"/>
        <v>a</v>
      </c>
      <c r="H23" t="str">
        <f>VLOOKUP(D23,name!A:C,3,1)</f>
        <v>assets/icons/image019.png</v>
      </c>
      <c r="I23" t="s">
        <v>402</v>
      </c>
    </row>
    <row r="24" spans="1:9" x14ac:dyDescent="0.15">
      <c r="A24" t="str">
        <f t="shared" si="5"/>
        <v>英語</v>
      </c>
      <c r="B24">
        <f t="shared" si="5"/>
        <v>1</v>
      </c>
      <c r="C24">
        <f t="shared" si="1"/>
        <v>23</v>
      </c>
      <c r="D24">
        <v>28</v>
      </c>
      <c r="E24" t="str">
        <f>VLOOKUP(D24,name!A:B,2,1)</f>
        <v>Mike</v>
      </c>
      <c r="F24" t="s">
        <v>458</v>
      </c>
      <c r="G24" t="str">
        <f t="shared" si="4"/>
        <v>a</v>
      </c>
      <c r="H24" t="str">
        <f>VLOOKUP(D24,name!A:C,3,1)</f>
        <v>assets/icons/image019.png</v>
      </c>
      <c r="I24" t="str">
        <f>IF(A24="","",VLOOKUP(A24,lng!A:B,2,0))</f>
        <v>en-GB</v>
      </c>
    </row>
    <row r="25" spans="1:9" x14ac:dyDescent="0.15">
      <c r="A25" t="str">
        <f t="shared" si="5"/>
        <v>英語</v>
      </c>
      <c r="B25">
        <f t="shared" si="5"/>
        <v>1</v>
      </c>
      <c r="C25">
        <f t="shared" si="1"/>
        <v>24</v>
      </c>
      <c r="D25">
        <f t="shared" si="3"/>
        <v>29</v>
      </c>
      <c r="E25" t="str">
        <f>VLOOKUP(D25,name!A:B,2,1)</f>
        <v>Eri</v>
      </c>
      <c r="F25" t="s">
        <v>474</v>
      </c>
      <c r="G25" t="str">
        <f t="shared" si="4"/>
        <v>a</v>
      </c>
      <c r="H25" t="str">
        <f>VLOOKUP(D25,name!A:C,3,1)</f>
        <v>assets/icons/image209.png</v>
      </c>
      <c r="I25" t="s">
        <v>402</v>
      </c>
    </row>
    <row r="26" spans="1:9" x14ac:dyDescent="0.15">
      <c r="A26" t="str">
        <f t="shared" si="5"/>
        <v>英語</v>
      </c>
      <c r="B26">
        <f t="shared" si="5"/>
        <v>1</v>
      </c>
      <c r="C26">
        <f t="shared" si="1"/>
        <v>25</v>
      </c>
      <c r="D26">
        <f t="shared" si="3"/>
        <v>29</v>
      </c>
      <c r="E26" t="str">
        <f>VLOOKUP(D26,name!A:B,2,1)</f>
        <v>Eri</v>
      </c>
      <c r="F26" t="s">
        <v>459</v>
      </c>
      <c r="G26" t="str">
        <f t="shared" si="4"/>
        <v>a</v>
      </c>
      <c r="H26" t="str">
        <f>VLOOKUP(D26,name!A:C,3,1)</f>
        <v>assets/icons/image209.png</v>
      </c>
      <c r="I26" t="str">
        <f>IF(A26="","",VLOOKUP(A26,lng!A:B,2,0))</f>
        <v>en-GB</v>
      </c>
    </row>
    <row r="27" spans="1:9" x14ac:dyDescent="0.15">
      <c r="A27" t="str">
        <f t="shared" si="5"/>
        <v>英語</v>
      </c>
      <c r="B27">
        <f t="shared" si="5"/>
        <v>1</v>
      </c>
      <c r="C27">
        <f t="shared" si="1"/>
        <v>26</v>
      </c>
      <c r="D27">
        <f t="shared" si="3"/>
        <v>29</v>
      </c>
      <c r="E27" t="str">
        <f>VLOOKUP(D27,name!A:B,2,1)</f>
        <v>Eri</v>
      </c>
      <c r="F27" t="s">
        <v>475</v>
      </c>
      <c r="G27" t="str">
        <f t="shared" si="4"/>
        <v>a</v>
      </c>
      <c r="H27" t="str">
        <f>VLOOKUP(D27,name!A:C,3,1)</f>
        <v>assets/icons/image209.png</v>
      </c>
      <c r="I27" t="s">
        <v>402</v>
      </c>
    </row>
    <row r="28" spans="1:9" x14ac:dyDescent="0.15">
      <c r="A28" t="str">
        <f t="shared" ref="A28:B28" si="6">A27</f>
        <v>英語</v>
      </c>
      <c r="B28">
        <f t="shared" si="6"/>
        <v>1</v>
      </c>
      <c r="C28">
        <f t="shared" si="1"/>
        <v>27</v>
      </c>
      <c r="D28">
        <f t="shared" si="3"/>
        <v>29</v>
      </c>
      <c r="E28" t="str">
        <f>VLOOKUP(D28,name!A:B,2,1)</f>
        <v>Eri</v>
      </c>
      <c r="F28" t="s">
        <v>460</v>
      </c>
      <c r="G28" t="str">
        <f t="shared" si="4"/>
        <v>a</v>
      </c>
      <c r="H28" t="str">
        <f>VLOOKUP(D28,name!A:C,3,1)</f>
        <v>assets/icons/image209.png</v>
      </c>
      <c r="I28" t="str">
        <f>IF(A28="","",VLOOKUP(A28,lng!A:B,2,0))</f>
        <v>en-GB</v>
      </c>
    </row>
    <row r="29" spans="1:9" x14ac:dyDescent="0.15">
      <c r="A29" t="str">
        <f t="shared" ref="A29:B29" si="7">A28</f>
        <v>英語</v>
      </c>
      <c r="B29">
        <f t="shared" si="7"/>
        <v>1</v>
      </c>
      <c r="C29">
        <f t="shared" si="1"/>
        <v>28</v>
      </c>
      <c r="D29">
        <f t="shared" si="3"/>
        <v>29</v>
      </c>
      <c r="E29" t="str">
        <f>VLOOKUP(D29,name!A:B,2,1)</f>
        <v>Eri</v>
      </c>
      <c r="F29" t="s">
        <v>476</v>
      </c>
      <c r="G29" t="str">
        <f t="shared" si="4"/>
        <v>a</v>
      </c>
      <c r="H29" t="str">
        <f>VLOOKUP(D29,name!A:C,3,1)</f>
        <v>assets/icons/image209.png</v>
      </c>
      <c r="I29" t="s">
        <v>402</v>
      </c>
    </row>
    <row r="30" spans="1:9" x14ac:dyDescent="0.15">
      <c r="A30" t="str">
        <f t="shared" ref="A30:B30" si="8">A29</f>
        <v>英語</v>
      </c>
      <c r="B30">
        <f t="shared" si="8"/>
        <v>1</v>
      </c>
      <c r="C30">
        <f t="shared" si="1"/>
        <v>29</v>
      </c>
      <c r="D30">
        <f t="shared" si="3"/>
        <v>29</v>
      </c>
      <c r="E30" t="str">
        <f>VLOOKUP(D30,name!A:B,2,1)</f>
        <v>Eri</v>
      </c>
      <c r="F30" t="s">
        <v>461</v>
      </c>
      <c r="G30" t="str">
        <f t="shared" ref="G30:G93" si="9">IF(B30&lt;&gt;B31,"e",IF(D30=0,"q","a"))</f>
        <v>a</v>
      </c>
      <c r="H30" t="str">
        <f>VLOOKUP(D30,name!A:C,3,1)</f>
        <v>assets/icons/image209.png</v>
      </c>
      <c r="I30" t="str">
        <f>IF(A30="","",VLOOKUP(A30,lng!A:B,2,0))</f>
        <v>en-GB</v>
      </c>
    </row>
    <row r="31" spans="1:9" x14ac:dyDescent="0.15">
      <c r="A31" t="str">
        <f t="shared" ref="A31:B31" si="10">A30</f>
        <v>英語</v>
      </c>
      <c r="B31">
        <f t="shared" si="10"/>
        <v>1</v>
      </c>
      <c r="C31">
        <f t="shared" si="1"/>
        <v>30</v>
      </c>
      <c r="D31">
        <f t="shared" si="3"/>
        <v>29</v>
      </c>
      <c r="E31" t="str">
        <f>VLOOKUP(D31,name!A:B,2,1)</f>
        <v>Eri</v>
      </c>
      <c r="F31" t="s">
        <v>477</v>
      </c>
      <c r="G31" t="str">
        <f t="shared" si="9"/>
        <v>a</v>
      </c>
      <c r="H31" t="str">
        <f>VLOOKUP(D31,name!A:C,3,1)</f>
        <v>assets/icons/image209.png</v>
      </c>
      <c r="I31" t="s">
        <v>402</v>
      </c>
    </row>
    <row r="32" spans="1:9" x14ac:dyDescent="0.15">
      <c r="A32" t="str">
        <f t="shared" ref="A32:B32" si="11">A31</f>
        <v>英語</v>
      </c>
      <c r="B32">
        <f t="shared" si="11"/>
        <v>1</v>
      </c>
      <c r="C32">
        <f t="shared" si="1"/>
        <v>31</v>
      </c>
      <c r="D32">
        <v>29</v>
      </c>
      <c r="E32" t="str">
        <f>VLOOKUP(D32,name!A:B,2,1)</f>
        <v>Eri</v>
      </c>
      <c r="F32" t="s">
        <v>462</v>
      </c>
      <c r="G32" t="str">
        <f t="shared" si="9"/>
        <v>a</v>
      </c>
      <c r="H32" t="str">
        <f>VLOOKUP(D32,name!A:C,3,1)</f>
        <v>assets/icons/image209.png</v>
      </c>
      <c r="I32" t="str">
        <f>IF(A32="","",VLOOKUP(A32,lng!A:B,2,0))</f>
        <v>en-GB</v>
      </c>
    </row>
    <row r="33" spans="1:9" x14ac:dyDescent="0.15">
      <c r="A33" t="str">
        <f t="shared" ref="A33:B33" si="12">A32</f>
        <v>英語</v>
      </c>
      <c r="B33">
        <f t="shared" si="12"/>
        <v>1</v>
      </c>
      <c r="C33">
        <f t="shared" si="1"/>
        <v>32</v>
      </c>
      <c r="D33">
        <v>1</v>
      </c>
      <c r="E33" t="str">
        <f>VLOOKUP(D33,name!A:B,2,1)</f>
        <v>Navigator</v>
      </c>
      <c r="F33" t="str">
        <f>"次の"&amp;A33&amp;"を真似してね！"</f>
        <v>次の英語を真似してね！</v>
      </c>
      <c r="G33" t="str">
        <f t="shared" si="9"/>
        <v>a</v>
      </c>
      <c r="H33" t="str">
        <f>VLOOKUP(D33,name!A:C,3,1)</f>
        <v>assets/icons/image014.png</v>
      </c>
      <c r="I33" t="s">
        <v>402</v>
      </c>
    </row>
    <row r="34" spans="1:9" x14ac:dyDescent="0.15">
      <c r="A34" t="str">
        <f t="shared" ref="A34:B34" si="13">A33</f>
        <v>英語</v>
      </c>
      <c r="B34">
        <f t="shared" si="13"/>
        <v>1</v>
      </c>
      <c r="C34">
        <f t="shared" si="1"/>
        <v>33</v>
      </c>
      <c r="D34">
        <f>D5</f>
        <v>28</v>
      </c>
      <c r="E34" t="str">
        <f>VLOOKUP(D34,name!A:B,2,1)</f>
        <v>Mike</v>
      </c>
      <c r="F34" t="str">
        <f>F5</f>
        <v>えり、準備はいい？</v>
      </c>
      <c r="G34" t="str">
        <f t="shared" si="9"/>
        <v>a</v>
      </c>
      <c r="H34" t="str">
        <f>VLOOKUP(D34,name!A:C,3,1)</f>
        <v>assets/icons/image019.png</v>
      </c>
      <c r="I34" t="s">
        <v>402</v>
      </c>
    </row>
    <row r="35" spans="1:9" x14ac:dyDescent="0.15">
      <c r="A35" t="str">
        <f t="shared" ref="A35:B35" si="14">A34</f>
        <v>英語</v>
      </c>
      <c r="B35">
        <f t="shared" si="14"/>
        <v>1</v>
      </c>
      <c r="C35">
        <f t="shared" si="1"/>
        <v>34</v>
      </c>
      <c r="D35">
        <f>D6</f>
        <v>28</v>
      </c>
      <c r="E35" t="str">
        <f>VLOOKUP(D35,name!A:B,2,1)</f>
        <v>Mike</v>
      </c>
      <c r="F35" t="str">
        <f>F6</f>
        <v>So, are you all ready then, Eri?</v>
      </c>
      <c r="G35" t="str">
        <f t="shared" si="9"/>
        <v>a</v>
      </c>
      <c r="H35" t="str">
        <f>VLOOKUP(D35,name!A:C,3,1)</f>
        <v>assets/icons/image019.png</v>
      </c>
      <c r="I35" t="str">
        <f>IF(A35="","",VLOOKUP(A35,lng!A:B,2,0))</f>
        <v>en-GB</v>
      </c>
    </row>
    <row r="36" spans="1:9" x14ac:dyDescent="0.15">
      <c r="A36" t="str">
        <f t="shared" ref="A36:B36" si="15">A35</f>
        <v>英語</v>
      </c>
      <c r="B36">
        <f t="shared" si="15"/>
        <v>1</v>
      </c>
      <c r="C36">
        <f t="shared" si="1"/>
        <v>35</v>
      </c>
      <c r="D36">
        <v>0</v>
      </c>
      <c r="E36" t="str">
        <f>VLOOKUP(D36,name!A:B,2,1)</f>
        <v>Player</v>
      </c>
      <c r="F36" t="str">
        <f>F6</f>
        <v>So, are you all ready then, Eri?</v>
      </c>
      <c r="G36" t="str">
        <f t="shared" si="9"/>
        <v>q</v>
      </c>
      <c r="H36" t="str">
        <f>VLOOKUP(D36,name!A:C,3,1)</f>
        <v>assets/icons/image326.png</v>
      </c>
      <c r="I36" t="str">
        <f>IF(A36="","",VLOOKUP(A36,lng!A:B,2,0))</f>
        <v>en-GB</v>
      </c>
    </row>
    <row r="37" spans="1:9" x14ac:dyDescent="0.15">
      <c r="A37" t="str">
        <f t="shared" ref="A37:B37" si="16">A36</f>
        <v>英語</v>
      </c>
      <c r="B37">
        <f t="shared" si="16"/>
        <v>1</v>
      </c>
      <c r="C37">
        <f t="shared" si="1"/>
        <v>36</v>
      </c>
      <c r="D37">
        <f>D7</f>
        <v>28</v>
      </c>
      <c r="E37" t="str">
        <f>VLOOKUP(D37,name!A:B,2,1)</f>
        <v>Mike</v>
      </c>
      <c r="F37" t="str">
        <f>F7</f>
        <v>もう荷造りは終わった?</v>
      </c>
      <c r="G37" t="str">
        <f t="shared" si="9"/>
        <v>a</v>
      </c>
      <c r="H37" t="str">
        <f>VLOOKUP(D37,name!A:C,3,1)</f>
        <v>assets/icons/image019.png</v>
      </c>
      <c r="I37" t="s">
        <v>402</v>
      </c>
    </row>
    <row r="38" spans="1:9" x14ac:dyDescent="0.15">
      <c r="A38" t="str">
        <f t="shared" ref="A38:B38" si="17">A37</f>
        <v>英語</v>
      </c>
      <c r="B38">
        <f t="shared" si="17"/>
        <v>1</v>
      </c>
      <c r="C38">
        <f t="shared" si="1"/>
        <v>37</v>
      </c>
      <c r="D38">
        <f>D8</f>
        <v>28</v>
      </c>
      <c r="E38" t="str">
        <f>VLOOKUP(D38,name!A:B,2,1)</f>
        <v>Mike</v>
      </c>
      <c r="F38" t="str">
        <f>F8</f>
        <v>Have you got all your bags packed?</v>
      </c>
      <c r="G38" t="str">
        <f t="shared" si="9"/>
        <v>a</v>
      </c>
      <c r="H38" t="str">
        <f>VLOOKUP(D38,name!A:C,3,1)</f>
        <v>assets/icons/image019.png</v>
      </c>
      <c r="I38" t="str">
        <f>IF(A38="","",VLOOKUP(A38,lng!A:B,2,0))</f>
        <v>en-GB</v>
      </c>
    </row>
    <row r="39" spans="1:9" x14ac:dyDescent="0.15">
      <c r="A39" t="str">
        <f t="shared" ref="A39:B39" si="18">A38</f>
        <v>英語</v>
      </c>
      <c r="B39">
        <f t="shared" si="18"/>
        <v>1</v>
      </c>
      <c r="C39">
        <f t="shared" si="1"/>
        <v>38</v>
      </c>
      <c r="D39">
        <v>0</v>
      </c>
      <c r="E39" t="str">
        <f>VLOOKUP(D39,name!A:B,2,1)</f>
        <v>Player</v>
      </c>
      <c r="F39" t="str">
        <f>F8</f>
        <v>Have you got all your bags packed?</v>
      </c>
      <c r="G39" t="str">
        <f t="shared" si="9"/>
        <v>q</v>
      </c>
      <c r="H39" t="str">
        <f>VLOOKUP(D39,name!A:C,3,1)</f>
        <v>assets/icons/image326.png</v>
      </c>
      <c r="I39" t="str">
        <f>IF(A39="","",VLOOKUP(A39,lng!A:B,2,0))</f>
        <v>en-GB</v>
      </c>
    </row>
    <row r="40" spans="1:9" x14ac:dyDescent="0.15">
      <c r="A40" t="str">
        <f t="shared" ref="A40:B40" si="19">A39</f>
        <v>英語</v>
      </c>
      <c r="B40">
        <f t="shared" si="19"/>
        <v>1</v>
      </c>
      <c r="C40">
        <f t="shared" si="1"/>
        <v>39</v>
      </c>
      <c r="D40">
        <f>D9</f>
        <v>29</v>
      </c>
      <c r="E40" t="str">
        <f>VLOOKUP(D40,name!A:B,2,1)</f>
        <v>Eri</v>
      </c>
      <c r="F40" t="str">
        <f>F9</f>
        <v>ええ、そう思う。</v>
      </c>
      <c r="G40" t="str">
        <f t="shared" si="9"/>
        <v>a</v>
      </c>
      <c r="H40" t="str">
        <f>VLOOKUP(D40,name!A:C,3,1)</f>
        <v>assets/icons/image209.png</v>
      </c>
      <c r="I40" t="s">
        <v>402</v>
      </c>
    </row>
    <row r="41" spans="1:9" x14ac:dyDescent="0.15">
      <c r="A41" t="str">
        <f t="shared" ref="A41:B41" si="20">A40</f>
        <v>英語</v>
      </c>
      <c r="B41">
        <f t="shared" si="20"/>
        <v>1</v>
      </c>
      <c r="C41">
        <f t="shared" si="1"/>
        <v>40</v>
      </c>
      <c r="D41">
        <f>D10</f>
        <v>29</v>
      </c>
      <c r="E41" t="str">
        <f>VLOOKUP(D41,name!A:B,2,1)</f>
        <v>Eri</v>
      </c>
      <c r="F41" t="str">
        <f>F10</f>
        <v xml:space="preserve">Yes, I think so. </v>
      </c>
      <c r="G41" t="str">
        <f t="shared" si="9"/>
        <v>a</v>
      </c>
      <c r="H41" t="str">
        <f>VLOOKUP(D41,name!A:C,3,1)</f>
        <v>assets/icons/image209.png</v>
      </c>
      <c r="I41" t="str">
        <f>IF(A41="","",VLOOKUP(A41,lng!A:B,2,0))</f>
        <v>en-GB</v>
      </c>
    </row>
    <row r="42" spans="1:9" x14ac:dyDescent="0.15">
      <c r="A42" t="str">
        <f t="shared" ref="A42:B42" si="21">A41</f>
        <v>英語</v>
      </c>
      <c r="B42">
        <f t="shared" si="21"/>
        <v>1</v>
      </c>
      <c r="C42">
        <f t="shared" si="1"/>
        <v>41</v>
      </c>
      <c r="D42">
        <v>0</v>
      </c>
      <c r="E42" t="str">
        <f>VLOOKUP(D42,name!A:B,2,1)</f>
        <v>Player</v>
      </c>
      <c r="F42" t="str">
        <f>F10</f>
        <v xml:space="preserve">Yes, I think so. </v>
      </c>
      <c r="G42" t="str">
        <f t="shared" si="9"/>
        <v>q</v>
      </c>
      <c r="H42" t="str">
        <f>VLOOKUP(D42,name!A:C,3,1)</f>
        <v>assets/icons/image326.png</v>
      </c>
      <c r="I42" t="str">
        <f>IF(A42="","",VLOOKUP(A42,lng!A:B,2,0))</f>
        <v>en-GB</v>
      </c>
    </row>
    <row r="43" spans="1:9" x14ac:dyDescent="0.15">
      <c r="A43" t="str">
        <f t="shared" ref="A43:B43" si="22">A42</f>
        <v>英語</v>
      </c>
      <c r="B43">
        <f t="shared" si="22"/>
        <v>1</v>
      </c>
      <c r="C43">
        <f t="shared" si="1"/>
        <v>42</v>
      </c>
      <c r="D43">
        <f>D11</f>
        <v>29</v>
      </c>
      <c r="E43" t="str">
        <f>VLOOKUP(D43,name!A:B,2,1)</f>
        <v>Eri</v>
      </c>
      <c r="F43" t="str">
        <f>F11</f>
        <v>色々なことを考えるとなんだか怖い。</v>
      </c>
      <c r="G43" t="str">
        <f t="shared" si="9"/>
        <v>a</v>
      </c>
      <c r="H43" t="str">
        <f>VLOOKUP(D43,name!A:C,3,1)</f>
        <v>assets/icons/image209.png</v>
      </c>
      <c r="I43" t="s">
        <v>402</v>
      </c>
    </row>
    <row r="44" spans="1:9" x14ac:dyDescent="0.15">
      <c r="A44" t="str">
        <f t="shared" ref="A44:B44" si="23">A43</f>
        <v>英語</v>
      </c>
      <c r="B44">
        <f t="shared" si="23"/>
        <v>1</v>
      </c>
      <c r="C44">
        <f t="shared" si="1"/>
        <v>43</v>
      </c>
      <c r="D44">
        <f>D12</f>
        <v>29</v>
      </c>
      <c r="E44" t="str">
        <f>VLOOKUP(D44,name!A:B,2,1)</f>
        <v>Eri</v>
      </c>
      <c r="F44" t="str">
        <f>F12</f>
        <v xml:space="preserve"> I'm just starting to get cold feet about the whole thing.</v>
      </c>
      <c r="G44" t="str">
        <f t="shared" si="9"/>
        <v>a</v>
      </c>
      <c r="H44" t="str">
        <f>VLOOKUP(D44,name!A:C,3,1)</f>
        <v>assets/icons/image209.png</v>
      </c>
      <c r="I44" t="str">
        <f>IF(A44="","",VLOOKUP(A44,lng!A:B,2,0))</f>
        <v>en-GB</v>
      </c>
    </row>
    <row r="45" spans="1:9" x14ac:dyDescent="0.15">
      <c r="A45" t="str">
        <f t="shared" ref="A45:B45" si="24">A44</f>
        <v>英語</v>
      </c>
      <c r="B45">
        <f t="shared" si="24"/>
        <v>1</v>
      </c>
      <c r="C45">
        <f t="shared" si="1"/>
        <v>44</v>
      </c>
      <c r="D45">
        <v>0</v>
      </c>
      <c r="E45" t="str">
        <f>VLOOKUP(D45,name!A:B,2,1)</f>
        <v>Player</v>
      </c>
      <c r="F45" t="str">
        <f>F12</f>
        <v xml:space="preserve"> I'm just starting to get cold feet about the whole thing.</v>
      </c>
      <c r="G45" t="str">
        <f t="shared" si="9"/>
        <v>q</v>
      </c>
      <c r="H45" t="str">
        <f>VLOOKUP(D45,name!A:C,3,1)</f>
        <v>assets/icons/image326.png</v>
      </c>
      <c r="I45" t="str">
        <f>IF(A45="","",VLOOKUP(A45,lng!A:B,2,0))</f>
        <v>en-GB</v>
      </c>
    </row>
    <row r="46" spans="1:9" x14ac:dyDescent="0.15">
      <c r="A46" t="str">
        <f t="shared" ref="A46:B46" si="25">A45</f>
        <v>英語</v>
      </c>
      <c r="B46">
        <f t="shared" si="25"/>
        <v>1</v>
      </c>
      <c r="C46">
        <f t="shared" si="1"/>
        <v>45</v>
      </c>
      <c r="D46">
        <f>D13</f>
        <v>30</v>
      </c>
      <c r="E46" t="str">
        <f>VLOOKUP(D46,name!A:B,2,1)</f>
        <v>Aya</v>
      </c>
      <c r="F46" t="str">
        <f>F13</f>
        <v>それには少し遅いです。</v>
      </c>
      <c r="G46" t="str">
        <f t="shared" si="9"/>
        <v>a</v>
      </c>
      <c r="H46" t="str">
        <f>VLOOKUP(D46,name!A:C,3,1)</f>
        <v>assets/icons/image223.png</v>
      </c>
      <c r="I46" t="s">
        <v>402</v>
      </c>
    </row>
    <row r="47" spans="1:9" x14ac:dyDescent="0.15">
      <c r="A47" t="str">
        <f t="shared" ref="A47:B47" si="26">A46</f>
        <v>英語</v>
      </c>
      <c r="B47">
        <f t="shared" si="26"/>
        <v>1</v>
      </c>
      <c r="C47">
        <f t="shared" si="1"/>
        <v>46</v>
      </c>
      <c r="D47">
        <f>D14</f>
        <v>30</v>
      </c>
      <c r="E47" t="str">
        <f>VLOOKUP(D47,name!A:B,2,1)</f>
        <v>Aya</v>
      </c>
      <c r="F47" t="str">
        <f>F14</f>
        <v>It's a bit late for that.</v>
      </c>
      <c r="G47" t="str">
        <f t="shared" si="9"/>
        <v>a</v>
      </c>
      <c r="H47" t="str">
        <f>VLOOKUP(D47,name!A:C,3,1)</f>
        <v>assets/icons/image223.png</v>
      </c>
      <c r="I47" t="str">
        <f>IF(A47="","",VLOOKUP(A47,lng!A:B,2,0))</f>
        <v>en-GB</v>
      </c>
    </row>
    <row r="48" spans="1:9" x14ac:dyDescent="0.15">
      <c r="A48" t="str">
        <f t="shared" ref="A48:B48" si="27">A47</f>
        <v>英語</v>
      </c>
      <c r="B48">
        <f t="shared" si="27"/>
        <v>1</v>
      </c>
      <c r="C48">
        <f t="shared" si="1"/>
        <v>47</v>
      </c>
      <c r="D48">
        <v>0</v>
      </c>
      <c r="E48" t="str">
        <f>VLOOKUP(D48,name!A:B,2,1)</f>
        <v>Player</v>
      </c>
      <c r="F48" t="str">
        <f>F14</f>
        <v>It's a bit late for that.</v>
      </c>
      <c r="G48" t="str">
        <f t="shared" si="9"/>
        <v>q</v>
      </c>
      <c r="H48" t="str">
        <f>VLOOKUP(D48,name!A:C,3,1)</f>
        <v>assets/icons/image326.png</v>
      </c>
      <c r="I48" t="str">
        <f>IF(A48="","",VLOOKUP(A48,lng!A:B,2,0))</f>
        <v>en-GB</v>
      </c>
    </row>
    <row r="49" spans="1:9" x14ac:dyDescent="0.15">
      <c r="A49" t="str">
        <f t="shared" ref="A49:B49" si="28">A48</f>
        <v>英語</v>
      </c>
      <c r="B49">
        <f t="shared" si="28"/>
        <v>1</v>
      </c>
      <c r="C49">
        <f t="shared" si="1"/>
        <v>48</v>
      </c>
      <c r="D49">
        <f>D15</f>
        <v>30</v>
      </c>
      <c r="E49" t="str">
        <f>VLOOKUP(D49,name!A:B,2,1)</f>
        <v>Aya</v>
      </c>
      <c r="F49" t="str">
        <f>F15</f>
        <v>あなたが月曜日にここにいないなんて、いまだに信じられない。</v>
      </c>
      <c r="G49" t="str">
        <f t="shared" si="9"/>
        <v>a</v>
      </c>
      <c r="H49" t="str">
        <f>VLOOKUP(D49,name!A:C,3,1)</f>
        <v>assets/icons/image223.png</v>
      </c>
      <c r="I49" t="s">
        <v>402</v>
      </c>
    </row>
    <row r="50" spans="1:9" x14ac:dyDescent="0.15">
      <c r="A50" t="str">
        <f t="shared" ref="A50:B50" si="29">A49</f>
        <v>英語</v>
      </c>
      <c r="B50">
        <f t="shared" si="29"/>
        <v>1</v>
      </c>
      <c r="C50">
        <f t="shared" si="1"/>
        <v>49</v>
      </c>
      <c r="D50">
        <f>D16</f>
        <v>30</v>
      </c>
      <c r="E50" t="str">
        <f>VLOOKUP(D50,name!A:B,2,1)</f>
        <v>Aya</v>
      </c>
      <c r="F50" t="str">
        <f>F16</f>
        <v xml:space="preserve"> I still can't believe you won't be here on Monday. </v>
      </c>
      <c r="G50" t="str">
        <f t="shared" si="9"/>
        <v>a</v>
      </c>
      <c r="H50" t="str">
        <f>VLOOKUP(D50,name!A:C,3,1)</f>
        <v>assets/icons/image223.png</v>
      </c>
      <c r="I50" t="str">
        <f>IF(A50="","",VLOOKUP(A50,lng!A:B,2,0))</f>
        <v>en-GB</v>
      </c>
    </row>
    <row r="51" spans="1:9" x14ac:dyDescent="0.15">
      <c r="A51" t="str">
        <f t="shared" ref="A51:B51" si="30">A50</f>
        <v>英語</v>
      </c>
      <c r="B51">
        <f t="shared" si="30"/>
        <v>1</v>
      </c>
      <c r="C51">
        <f t="shared" si="1"/>
        <v>50</v>
      </c>
      <c r="D51">
        <v>0</v>
      </c>
      <c r="E51" t="str">
        <f>VLOOKUP(D51,name!A:B,2,1)</f>
        <v>Player</v>
      </c>
      <c r="F51" t="str">
        <f>F16</f>
        <v xml:space="preserve"> I still can't believe you won't be here on Monday. </v>
      </c>
      <c r="G51" t="str">
        <f t="shared" si="9"/>
        <v>q</v>
      </c>
      <c r="H51" t="str">
        <f>VLOOKUP(D51,name!A:C,3,1)</f>
        <v>assets/icons/image326.png</v>
      </c>
      <c r="I51" t="str">
        <f>IF(A51="","",VLOOKUP(A51,lng!A:B,2,0))</f>
        <v>en-GB</v>
      </c>
    </row>
    <row r="52" spans="1:9" x14ac:dyDescent="0.15">
      <c r="A52" t="str">
        <f t="shared" ref="A52:B52" si="31">A51</f>
        <v>英語</v>
      </c>
      <c r="B52">
        <f t="shared" si="31"/>
        <v>1</v>
      </c>
      <c r="C52">
        <f t="shared" si="1"/>
        <v>51</v>
      </c>
      <c r="D52">
        <f>D17</f>
        <v>30</v>
      </c>
      <c r="E52" t="str">
        <f>VLOOKUP(D52,name!A:B,2,1)</f>
        <v>Aya</v>
      </c>
      <c r="F52" t="str">
        <f>F17</f>
        <v>しかし、あなたが正しいことをしているなら、心配しないで。</v>
      </c>
      <c r="G52" t="str">
        <f t="shared" si="9"/>
        <v>a</v>
      </c>
      <c r="H52" t="str">
        <f>VLOOKUP(D52,name!A:C,3,1)</f>
        <v>assets/icons/image223.png</v>
      </c>
      <c r="I52" t="s">
        <v>402</v>
      </c>
    </row>
    <row r="53" spans="1:9" x14ac:dyDescent="0.15">
      <c r="A53" t="str">
        <f t="shared" ref="A53:B53" si="32">A52</f>
        <v>英語</v>
      </c>
      <c r="B53">
        <f t="shared" si="32"/>
        <v>1</v>
      </c>
      <c r="C53">
        <f t="shared" si="1"/>
        <v>52</v>
      </c>
      <c r="D53">
        <f>D18</f>
        <v>30</v>
      </c>
      <c r="E53" t="str">
        <f>VLOOKUP(D53,name!A:B,2,1)</f>
        <v>Aya</v>
      </c>
      <c r="F53" t="str">
        <f>F18</f>
        <v>But don't worry if you're doing the right thing.</v>
      </c>
      <c r="G53" t="str">
        <f t="shared" si="9"/>
        <v>a</v>
      </c>
      <c r="H53" t="str">
        <f>VLOOKUP(D53,name!A:C,3,1)</f>
        <v>assets/icons/image223.png</v>
      </c>
      <c r="I53" t="str">
        <f>IF(A53="","",VLOOKUP(A53,lng!A:B,2,0))</f>
        <v>en-GB</v>
      </c>
    </row>
    <row r="54" spans="1:9" x14ac:dyDescent="0.15">
      <c r="A54" t="str">
        <f t="shared" ref="A54:B54" si="33">A53</f>
        <v>英語</v>
      </c>
      <c r="B54">
        <f t="shared" si="33"/>
        <v>1</v>
      </c>
      <c r="C54">
        <f t="shared" si="1"/>
        <v>53</v>
      </c>
      <c r="D54">
        <v>0</v>
      </c>
      <c r="E54" t="str">
        <f>VLOOKUP(D54,name!A:B,2,1)</f>
        <v>Player</v>
      </c>
      <c r="F54" t="str">
        <f>F18</f>
        <v>But don't worry if you're doing the right thing.</v>
      </c>
      <c r="G54" t="str">
        <f t="shared" si="9"/>
        <v>q</v>
      </c>
      <c r="H54" t="str">
        <f>VLOOKUP(D54,name!A:C,3,1)</f>
        <v>assets/icons/image326.png</v>
      </c>
      <c r="I54" t="str">
        <f>IF(A54="","",VLOOKUP(A54,lng!A:B,2,0))</f>
        <v>en-GB</v>
      </c>
    </row>
    <row r="55" spans="1:9" x14ac:dyDescent="0.15">
      <c r="A55" t="str">
        <f t="shared" ref="A55:B55" si="34">A54</f>
        <v>英語</v>
      </c>
      <c r="B55">
        <f t="shared" si="34"/>
        <v>1</v>
      </c>
      <c r="C55">
        <f t="shared" si="1"/>
        <v>54</v>
      </c>
      <c r="D55">
        <f>D19</f>
        <v>30</v>
      </c>
      <c r="E55" t="str">
        <f>VLOOKUP(D55,name!A:B,2,1)</f>
        <v>Aya</v>
      </c>
      <c r="F55" t="str">
        <f>F19</f>
        <v>がんばれ！</v>
      </c>
      <c r="G55" t="str">
        <f t="shared" si="9"/>
        <v>a</v>
      </c>
      <c r="H55" t="str">
        <f>VLOOKUP(D55,name!A:C,3,1)</f>
        <v>assets/icons/image223.png</v>
      </c>
      <c r="I55" t="s">
        <v>402</v>
      </c>
    </row>
    <row r="56" spans="1:9" x14ac:dyDescent="0.15">
      <c r="A56" t="str">
        <f t="shared" ref="A56:B56" si="35">A55</f>
        <v>英語</v>
      </c>
      <c r="B56">
        <f t="shared" si="35"/>
        <v>1</v>
      </c>
      <c r="C56">
        <f t="shared" si="1"/>
        <v>55</v>
      </c>
      <c r="D56">
        <f>D20</f>
        <v>30</v>
      </c>
      <c r="E56" t="str">
        <f>VLOOKUP(D56,name!A:B,2,1)</f>
        <v>Aya</v>
      </c>
      <c r="F56" t="str">
        <f>F20</f>
        <v>Just go for it!</v>
      </c>
      <c r="G56" t="str">
        <f t="shared" si="9"/>
        <v>a</v>
      </c>
      <c r="H56" t="str">
        <f>VLOOKUP(D56,name!A:C,3,1)</f>
        <v>assets/icons/image223.png</v>
      </c>
      <c r="I56" t="str">
        <f>IF(A56="","",VLOOKUP(A56,lng!A:B,2,0))</f>
        <v>en-GB</v>
      </c>
    </row>
    <row r="57" spans="1:9" x14ac:dyDescent="0.15">
      <c r="A57" t="str">
        <f t="shared" ref="A57:B57" si="36">A56</f>
        <v>英語</v>
      </c>
      <c r="B57">
        <f t="shared" si="36"/>
        <v>1</v>
      </c>
      <c r="C57">
        <f t="shared" si="1"/>
        <v>56</v>
      </c>
      <c r="D57">
        <v>0</v>
      </c>
      <c r="E57" t="str">
        <f>VLOOKUP(D57,name!A:B,2,1)</f>
        <v>Player</v>
      </c>
      <c r="F57" t="str">
        <f>F20</f>
        <v>Just go for it!</v>
      </c>
      <c r="G57" t="str">
        <f t="shared" si="9"/>
        <v>q</v>
      </c>
      <c r="H57" t="str">
        <f>VLOOKUP(D57,name!A:C,3,1)</f>
        <v>assets/icons/image326.png</v>
      </c>
      <c r="I57" t="str">
        <f>IF(A57="","",VLOOKUP(A57,lng!A:B,2,0))</f>
        <v>en-GB</v>
      </c>
    </row>
    <row r="58" spans="1:9" x14ac:dyDescent="0.15">
      <c r="A58" t="str">
        <f t="shared" ref="A58:B58" si="37">A57</f>
        <v>英語</v>
      </c>
      <c r="B58">
        <f t="shared" si="37"/>
        <v>1</v>
      </c>
      <c r="C58">
        <f t="shared" si="1"/>
        <v>57</v>
      </c>
      <c r="D58">
        <f>D21</f>
        <v>28</v>
      </c>
      <c r="E58" t="str">
        <f>VLOOKUP(D58,name!A:B,2,1)</f>
        <v>Mike</v>
      </c>
      <c r="F58" t="str">
        <f>F21</f>
        <v>彼女の言う通り。</v>
      </c>
      <c r="G58" t="str">
        <f t="shared" si="9"/>
        <v>a</v>
      </c>
      <c r="H58" t="str">
        <f>VLOOKUP(D58,name!A:C,3,1)</f>
        <v>assets/icons/image019.png</v>
      </c>
      <c r="I58" t="s">
        <v>402</v>
      </c>
    </row>
    <row r="59" spans="1:9" x14ac:dyDescent="0.15">
      <c r="A59" t="str">
        <f t="shared" ref="A59:B59" si="38">A58</f>
        <v>英語</v>
      </c>
      <c r="B59">
        <f t="shared" si="38"/>
        <v>1</v>
      </c>
      <c r="C59">
        <f t="shared" si="1"/>
        <v>58</v>
      </c>
      <c r="D59">
        <f>D22</f>
        <v>28</v>
      </c>
      <c r="E59" t="str">
        <f>VLOOKUP(D59,name!A:B,2,1)</f>
        <v>Mike</v>
      </c>
      <c r="F59" t="str">
        <f>F22</f>
        <v>She's right.</v>
      </c>
      <c r="G59" t="str">
        <f t="shared" si="9"/>
        <v>a</v>
      </c>
      <c r="H59" t="str">
        <f>VLOOKUP(D59,name!A:C,3,1)</f>
        <v>assets/icons/image019.png</v>
      </c>
      <c r="I59" t="str">
        <f>IF(A59="","",VLOOKUP(A59,lng!A:B,2,0))</f>
        <v>en-GB</v>
      </c>
    </row>
    <row r="60" spans="1:9" x14ac:dyDescent="0.15">
      <c r="A60" t="str">
        <f t="shared" ref="A60:B60" si="39">A59</f>
        <v>英語</v>
      </c>
      <c r="B60">
        <f t="shared" si="39"/>
        <v>1</v>
      </c>
      <c r="C60">
        <f t="shared" si="1"/>
        <v>59</v>
      </c>
      <c r="D60">
        <v>0</v>
      </c>
      <c r="E60" t="str">
        <f>VLOOKUP(D60,name!A:B,2,1)</f>
        <v>Player</v>
      </c>
      <c r="F60" t="str">
        <f>F22</f>
        <v>She's right.</v>
      </c>
      <c r="G60" t="str">
        <f t="shared" si="9"/>
        <v>q</v>
      </c>
      <c r="H60" t="str">
        <f>VLOOKUP(D60,name!A:C,3,1)</f>
        <v>assets/icons/image326.png</v>
      </c>
      <c r="I60" t="str">
        <f>IF(A60="","",VLOOKUP(A60,lng!A:B,2,0))</f>
        <v>en-GB</v>
      </c>
    </row>
    <row r="61" spans="1:9" x14ac:dyDescent="0.15">
      <c r="A61" t="str">
        <f t="shared" ref="A61:B61" si="40">A60</f>
        <v>英語</v>
      </c>
      <c r="B61">
        <f t="shared" si="40"/>
        <v>1</v>
      </c>
      <c r="C61">
        <f t="shared" si="1"/>
        <v>60</v>
      </c>
      <c r="D61">
        <f>D23</f>
        <v>28</v>
      </c>
      <c r="E61" t="str">
        <f>VLOOKUP(D61,name!A:B,2,1)</f>
        <v>Mike</v>
      </c>
      <c r="F61" t="str">
        <f>F23</f>
        <v>皆、あなたの立場になりたいと思っています。</v>
      </c>
      <c r="G61" t="str">
        <f t="shared" si="9"/>
        <v>a</v>
      </c>
      <c r="H61" t="str">
        <f>VLOOKUP(D61,name!A:C,3,1)</f>
        <v>assets/icons/image019.png</v>
      </c>
      <c r="I61" t="s">
        <v>402</v>
      </c>
    </row>
    <row r="62" spans="1:9" x14ac:dyDescent="0.15">
      <c r="A62" t="str">
        <f t="shared" ref="A62:B62" si="41">A61</f>
        <v>英語</v>
      </c>
      <c r="B62">
        <f t="shared" si="41"/>
        <v>1</v>
      </c>
      <c r="C62">
        <f t="shared" si="1"/>
        <v>61</v>
      </c>
      <c r="D62">
        <f>D24</f>
        <v>28</v>
      </c>
      <c r="E62" t="str">
        <f>VLOOKUP(D62,name!A:B,2,1)</f>
        <v>Mike</v>
      </c>
      <c r="F62" t="str">
        <f>F24</f>
        <v>We'd all like to be in your place.</v>
      </c>
      <c r="G62" t="str">
        <f t="shared" si="9"/>
        <v>a</v>
      </c>
      <c r="H62" t="str">
        <f>VLOOKUP(D62,name!A:C,3,1)</f>
        <v>assets/icons/image019.png</v>
      </c>
      <c r="I62" t="str">
        <f>IF(A62="","",VLOOKUP(A62,lng!A:B,2,0))</f>
        <v>en-GB</v>
      </c>
    </row>
    <row r="63" spans="1:9" x14ac:dyDescent="0.15">
      <c r="A63" t="str">
        <f t="shared" ref="A63:B63" si="42">A62</f>
        <v>英語</v>
      </c>
      <c r="B63">
        <f t="shared" si="42"/>
        <v>1</v>
      </c>
      <c r="C63">
        <f t="shared" si="1"/>
        <v>62</v>
      </c>
      <c r="D63">
        <v>0</v>
      </c>
      <c r="E63" t="str">
        <f>VLOOKUP(D63,name!A:B,2,1)</f>
        <v>Player</v>
      </c>
      <c r="F63" t="str">
        <f>F24</f>
        <v>We'd all like to be in your place.</v>
      </c>
      <c r="G63" t="str">
        <f t="shared" si="9"/>
        <v>q</v>
      </c>
      <c r="H63" t="str">
        <f>VLOOKUP(D63,name!A:C,3,1)</f>
        <v>assets/icons/image326.png</v>
      </c>
      <c r="I63" t="str">
        <f>IF(A63="","",VLOOKUP(A63,lng!A:B,2,0))</f>
        <v>en-GB</v>
      </c>
    </row>
    <row r="64" spans="1:9" x14ac:dyDescent="0.15">
      <c r="A64" t="str">
        <f t="shared" ref="A64:B64" si="43">A63</f>
        <v>英語</v>
      </c>
      <c r="B64">
        <f t="shared" si="43"/>
        <v>1</v>
      </c>
      <c r="C64">
        <f t="shared" si="1"/>
        <v>63</v>
      </c>
      <c r="D64">
        <f>D25</f>
        <v>29</v>
      </c>
      <c r="E64" t="str">
        <f>VLOOKUP(D64,name!A:B,2,1)</f>
        <v>Eri</v>
      </c>
      <c r="F64" t="str">
        <f>F25</f>
        <v>私はここでとても良い仕事をもっています。</v>
      </c>
      <c r="G64" t="str">
        <f t="shared" si="9"/>
        <v>a</v>
      </c>
      <c r="H64" t="str">
        <f>VLOOKUP(D64,name!A:C,3,1)</f>
        <v>assets/icons/image209.png</v>
      </c>
      <c r="I64" t="s">
        <v>402</v>
      </c>
    </row>
    <row r="65" spans="1:9" x14ac:dyDescent="0.15">
      <c r="A65" t="str">
        <f t="shared" ref="A65:B65" si="44">A64</f>
        <v>英語</v>
      </c>
      <c r="B65">
        <f t="shared" si="44"/>
        <v>1</v>
      </c>
      <c r="C65">
        <f t="shared" si="1"/>
        <v>64</v>
      </c>
      <c r="D65">
        <f>D26</f>
        <v>29</v>
      </c>
      <c r="E65" t="str">
        <f>VLOOKUP(D65,name!A:B,2,1)</f>
        <v>Eri</v>
      </c>
      <c r="F65" t="str">
        <f>F26</f>
        <v xml:space="preserve">I have such a good career here, </v>
      </c>
      <c r="G65" t="str">
        <f t="shared" si="9"/>
        <v>a</v>
      </c>
      <c r="H65" t="str">
        <f>VLOOKUP(D65,name!A:C,3,1)</f>
        <v>assets/icons/image209.png</v>
      </c>
      <c r="I65" t="str">
        <f>IF(A65="","",VLOOKUP(A65,lng!A:B,2,0))</f>
        <v>en-GB</v>
      </c>
    </row>
    <row r="66" spans="1:9" x14ac:dyDescent="0.15">
      <c r="A66" t="str">
        <f t="shared" ref="A66:B66" si="45">A65</f>
        <v>英語</v>
      </c>
      <c r="B66">
        <f t="shared" si="45"/>
        <v>1</v>
      </c>
      <c r="C66">
        <f t="shared" si="1"/>
        <v>65</v>
      </c>
      <c r="D66">
        <v>0</v>
      </c>
      <c r="E66" t="str">
        <f>VLOOKUP(D66,name!A:B,2,1)</f>
        <v>Player</v>
      </c>
      <c r="F66" t="str">
        <f>F26</f>
        <v xml:space="preserve">I have such a good career here, </v>
      </c>
      <c r="G66" t="str">
        <f t="shared" si="9"/>
        <v>q</v>
      </c>
      <c r="H66" t="str">
        <f>VLOOKUP(D66,name!A:C,3,1)</f>
        <v>assets/icons/image326.png</v>
      </c>
      <c r="I66" t="str">
        <f>IF(A66="","",VLOOKUP(A66,lng!A:B,2,0))</f>
        <v>en-GB</v>
      </c>
    </row>
    <row r="67" spans="1:9" x14ac:dyDescent="0.15">
      <c r="A67" t="str">
        <f t="shared" ref="A67:B67" si="46">A66</f>
        <v>英語</v>
      </c>
      <c r="B67">
        <f t="shared" si="46"/>
        <v>1</v>
      </c>
      <c r="C67">
        <f t="shared" si="1"/>
        <v>66</v>
      </c>
      <c r="D67">
        <f>D27</f>
        <v>29</v>
      </c>
      <c r="E67" t="str">
        <f>VLOOKUP(D67,name!A:B,2,1)</f>
        <v>Eri</v>
      </c>
      <c r="F67" t="str">
        <f>F27</f>
        <v>でもずっとやりたかった</v>
      </c>
      <c r="G67" t="str">
        <f t="shared" si="9"/>
        <v>a</v>
      </c>
      <c r="H67" t="str">
        <f>VLOOKUP(D67,name!A:C,3,1)</f>
        <v>assets/icons/image209.png</v>
      </c>
      <c r="I67" t="s">
        <v>402</v>
      </c>
    </row>
    <row r="68" spans="1:9" x14ac:dyDescent="0.15">
      <c r="A68" t="str">
        <f t="shared" ref="A68:B68" si="47">A67</f>
        <v>英語</v>
      </c>
      <c r="B68">
        <f t="shared" si="47"/>
        <v>1</v>
      </c>
      <c r="C68">
        <f t="shared" ref="C68:C105" si="48">C67+1</f>
        <v>67</v>
      </c>
      <c r="D68">
        <f>D28</f>
        <v>29</v>
      </c>
      <c r="E68" t="str">
        <f>VLOOKUP(D68,name!A:B,2,1)</f>
        <v>Eri</v>
      </c>
      <c r="F68" t="str">
        <f>F28</f>
        <v>but I've always wanted to do this</v>
      </c>
      <c r="G68" t="str">
        <f t="shared" si="9"/>
        <v>a</v>
      </c>
      <c r="H68" t="str">
        <f>VLOOKUP(D68,name!A:C,3,1)</f>
        <v>assets/icons/image209.png</v>
      </c>
      <c r="I68" t="str">
        <f>IF(A68="","",VLOOKUP(A68,lng!A:B,2,0))</f>
        <v>en-GB</v>
      </c>
    </row>
    <row r="69" spans="1:9" x14ac:dyDescent="0.15">
      <c r="A69" t="str">
        <f t="shared" ref="A69:B69" si="49">A68</f>
        <v>英語</v>
      </c>
      <c r="B69">
        <f t="shared" si="49"/>
        <v>1</v>
      </c>
      <c r="C69">
        <f t="shared" si="48"/>
        <v>68</v>
      </c>
      <c r="D69">
        <v>0</v>
      </c>
      <c r="E69" t="str">
        <f>VLOOKUP(D69,name!A:B,2,1)</f>
        <v>Player</v>
      </c>
      <c r="F69" t="str">
        <f>F28</f>
        <v>but I've always wanted to do this</v>
      </c>
      <c r="G69" t="str">
        <f t="shared" si="9"/>
        <v>q</v>
      </c>
      <c r="H69" t="str">
        <f>VLOOKUP(D69,name!A:C,3,1)</f>
        <v>assets/icons/image326.png</v>
      </c>
      <c r="I69" t="str">
        <f>IF(A69="","",VLOOKUP(A69,lng!A:B,2,0))</f>
        <v>en-GB</v>
      </c>
    </row>
    <row r="70" spans="1:9" x14ac:dyDescent="0.15">
      <c r="A70" t="str">
        <f t="shared" ref="A70:B70" si="50">A69</f>
        <v>英語</v>
      </c>
      <c r="B70">
        <f t="shared" si="50"/>
        <v>1</v>
      </c>
      <c r="C70">
        <f t="shared" si="48"/>
        <v>69</v>
      </c>
      <c r="D70">
        <f>D29</f>
        <v>29</v>
      </c>
      <c r="E70" t="str">
        <f>VLOOKUP(D70,name!A:B,2,1)</f>
        <v>Eri</v>
      </c>
      <c r="F70" t="str">
        <f>F29</f>
        <v>イギリスで英語の勉強をすることを</v>
      </c>
      <c r="G70" t="str">
        <f t="shared" si="9"/>
        <v>a</v>
      </c>
      <c r="H70" t="str">
        <f>VLOOKUP(D70,name!A:C,3,1)</f>
        <v>assets/icons/image209.png</v>
      </c>
      <c r="I70" t="s">
        <v>402</v>
      </c>
    </row>
    <row r="71" spans="1:9" x14ac:dyDescent="0.15">
      <c r="A71" t="str">
        <f t="shared" ref="A71:B71" si="51">A70</f>
        <v>英語</v>
      </c>
      <c r="B71">
        <f t="shared" si="51"/>
        <v>1</v>
      </c>
      <c r="C71">
        <f t="shared" si="48"/>
        <v>70</v>
      </c>
      <c r="D71">
        <f>D30</f>
        <v>29</v>
      </c>
      <c r="E71" t="str">
        <f>VLOOKUP(D71,name!A:B,2,1)</f>
        <v>Eri</v>
      </c>
      <c r="F71" t="str">
        <f>F30</f>
        <v xml:space="preserve"> - go to England to study English</v>
      </c>
      <c r="G71" t="str">
        <f t="shared" si="9"/>
        <v>a</v>
      </c>
      <c r="H71" t="str">
        <f>VLOOKUP(D71,name!A:C,3,1)</f>
        <v>assets/icons/image209.png</v>
      </c>
      <c r="I71" t="str">
        <f>IF(A71="","",VLOOKUP(A71,lng!A:B,2,0))</f>
        <v>en-GB</v>
      </c>
    </row>
    <row r="72" spans="1:9" x14ac:dyDescent="0.15">
      <c r="A72" t="str">
        <f t="shared" ref="A72:B72" si="52">A71</f>
        <v>英語</v>
      </c>
      <c r="B72">
        <f t="shared" si="52"/>
        <v>1</v>
      </c>
      <c r="C72">
        <f t="shared" si="48"/>
        <v>71</v>
      </c>
      <c r="D72">
        <v>0</v>
      </c>
      <c r="E72" t="str">
        <f>VLOOKUP(D72,name!A:B,2,1)</f>
        <v>Player</v>
      </c>
      <c r="F72" t="str">
        <f>F30</f>
        <v xml:space="preserve"> - go to England to study English</v>
      </c>
      <c r="G72" t="str">
        <f t="shared" si="9"/>
        <v>q</v>
      </c>
      <c r="H72" t="str">
        <f>VLOOKUP(D72,name!A:C,3,1)</f>
        <v>assets/icons/image326.png</v>
      </c>
      <c r="I72" t="str">
        <f>IF(A72="","",VLOOKUP(A72,lng!A:B,2,0))</f>
        <v>en-GB</v>
      </c>
    </row>
    <row r="73" spans="1:9" x14ac:dyDescent="0.15">
      <c r="A73" t="str">
        <f t="shared" ref="A73:B73" si="53">A72</f>
        <v>英語</v>
      </c>
      <c r="B73">
        <f t="shared" si="53"/>
        <v>1</v>
      </c>
      <c r="C73">
        <f t="shared" si="48"/>
        <v>72</v>
      </c>
      <c r="D73">
        <f>D31</f>
        <v>29</v>
      </c>
      <c r="E73" t="str">
        <f>VLOOKUP(D73,name!A:B,2,1)</f>
        <v>Eri</v>
      </c>
      <c r="F73" t="str">
        <f>F31</f>
        <v>バーミンガム大学でのこの奨学金は、一生に一度のチャンスだから。</v>
      </c>
      <c r="G73" t="str">
        <f t="shared" si="9"/>
        <v>a</v>
      </c>
      <c r="H73" t="str">
        <f>VLOOKUP(D73,name!A:C,3,1)</f>
        <v>assets/icons/image209.png</v>
      </c>
      <c r="I73" t="s">
        <v>402</v>
      </c>
    </row>
    <row r="74" spans="1:9" x14ac:dyDescent="0.15">
      <c r="A74" t="str">
        <f t="shared" ref="A74:B74" si="54">A73</f>
        <v>英語</v>
      </c>
      <c r="B74">
        <f t="shared" si="54"/>
        <v>1</v>
      </c>
      <c r="C74">
        <f t="shared" si="48"/>
        <v>73</v>
      </c>
      <c r="D74">
        <f>D32</f>
        <v>29</v>
      </c>
      <c r="E74" t="str">
        <f>VLOOKUP(D74,name!A:B,2,1)</f>
        <v>Eri</v>
      </c>
      <c r="F74" t="str">
        <f>F32</f>
        <v>and this scholarship at the University of Birmingham is the chance of a lifetime.</v>
      </c>
      <c r="G74" t="str">
        <f t="shared" si="9"/>
        <v>a</v>
      </c>
      <c r="H74" t="str">
        <f>VLOOKUP(D74,name!A:C,3,1)</f>
        <v>assets/icons/image209.png</v>
      </c>
      <c r="I74" t="str">
        <f>IF(A74="","",VLOOKUP(A74,lng!A:B,2,0))</f>
        <v>en-GB</v>
      </c>
    </row>
    <row r="75" spans="1:9" x14ac:dyDescent="0.15">
      <c r="A75" t="str">
        <f t="shared" ref="A75:B75" si="55">A74</f>
        <v>英語</v>
      </c>
      <c r="B75">
        <f t="shared" si="55"/>
        <v>1</v>
      </c>
      <c r="C75">
        <f t="shared" si="48"/>
        <v>74</v>
      </c>
      <c r="D75">
        <v>0</v>
      </c>
      <c r="E75" t="str">
        <f>VLOOKUP(D75,name!A:B,2,1)</f>
        <v>Player</v>
      </c>
      <c r="F75" t="str">
        <f>F32</f>
        <v>and this scholarship at the University of Birmingham is the chance of a lifetime.</v>
      </c>
      <c r="G75" t="str">
        <f t="shared" si="9"/>
        <v>q</v>
      </c>
      <c r="H75" t="str">
        <f>VLOOKUP(D75,name!A:C,3,1)</f>
        <v>assets/icons/image326.png</v>
      </c>
      <c r="I75" t="str">
        <f>IF(A75="","",VLOOKUP(A75,lng!A:B,2,0))</f>
        <v>en-GB</v>
      </c>
    </row>
    <row r="76" spans="1:9" x14ac:dyDescent="0.15">
      <c r="A76" t="str">
        <f t="shared" ref="A76:B76" si="56">A75</f>
        <v>英語</v>
      </c>
      <c r="B76">
        <f t="shared" si="56"/>
        <v>1</v>
      </c>
      <c r="C76">
        <f t="shared" si="48"/>
        <v>75</v>
      </c>
      <c r="D76">
        <v>1</v>
      </c>
      <c r="E76" t="str">
        <f>VLOOKUP(D76,name!A:B,2,1)</f>
        <v>Navigator</v>
      </c>
      <c r="F76" t="str">
        <f>"次の日本語を"&amp;A76&amp;"に訳して答えてね！"</f>
        <v>次の日本語を英語に訳して答えてね！</v>
      </c>
      <c r="G76" t="str">
        <f t="shared" si="9"/>
        <v>a</v>
      </c>
      <c r="H76" t="str">
        <f>VLOOKUP(D76,name!A:C,3,1)</f>
        <v>assets/icons/image014.png</v>
      </c>
      <c r="I76" t="s">
        <v>402</v>
      </c>
    </row>
    <row r="77" spans="1:9" x14ac:dyDescent="0.15">
      <c r="A77" t="str">
        <f t="shared" ref="A77:B77" si="57">A76</f>
        <v>英語</v>
      </c>
      <c r="B77">
        <f t="shared" si="57"/>
        <v>1</v>
      </c>
      <c r="C77">
        <f t="shared" si="48"/>
        <v>76</v>
      </c>
      <c r="D77">
        <f>D5</f>
        <v>28</v>
      </c>
      <c r="E77" t="str">
        <f>VLOOKUP(D77,name!A:B,2,1)</f>
        <v>Mike</v>
      </c>
      <c r="F77" t="str">
        <f t="shared" ref="F77:F104" si="58">F5</f>
        <v>えり、準備はいい？</v>
      </c>
      <c r="G77" t="str">
        <f t="shared" si="9"/>
        <v>a</v>
      </c>
      <c r="H77" t="str">
        <f>VLOOKUP(D77,name!A:C,3,1)</f>
        <v>assets/icons/image019.png</v>
      </c>
      <c r="I77" t="s">
        <v>402</v>
      </c>
    </row>
    <row r="78" spans="1:9" x14ac:dyDescent="0.15">
      <c r="A78" t="str">
        <f t="shared" ref="A78:B78" si="59">A77</f>
        <v>英語</v>
      </c>
      <c r="B78">
        <f t="shared" si="59"/>
        <v>1</v>
      </c>
      <c r="C78">
        <f t="shared" si="48"/>
        <v>77</v>
      </c>
      <c r="D78">
        <v>0</v>
      </c>
      <c r="E78" t="str">
        <f>VLOOKUP(D78,name!A:B,2,1)</f>
        <v>Player</v>
      </c>
      <c r="F78" t="str">
        <f t="shared" si="58"/>
        <v>So, are you all ready then, Eri?</v>
      </c>
      <c r="G78" t="str">
        <f t="shared" si="9"/>
        <v>q</v>
      </c>
      <c r="H78" t="str">
        <f>VLOOKUP(D78,name!A:C,3,1)</f>
        <v>assets/icons/image326.png</v>
      </c>
      <c r="I78" t="str">
        <f>IF(A78="","",VLOOKUP(A78,lng!A:B,2,0))</f>
        <v>en-GB</v>
      </c>
    </row>
    <row r="79" spans="1:9" x14ac:dyDescent="0.15">
      <c r="A79" t="str">
        <f t="shared" ref="A79:B79" si="60">A78</f>
        <v>英語</v>
      </c>
      <c r="B79">
        <f t="shared" si="60"/>
        <v>1</v>
      </c>
      <c r="C79">
        <f t="shared" si="48"/>
        <v>78</v>
      </c>
      <c r="D79">
        <f>D7</f>
        <v>28</v>
      </c>
      <c r="E79" t="str">
        <f>VLOOKUP(D79,name!A:B,2,1)</f>
        <v>Mike</v>
      </c>
      <c r="F79" t="str">
        <f t="shared" si="58"/>
        <v>もう荷造りは終わった?</v>
      </c>
      <c r="G79" t="str">
        <f t="shared" si="9"/>
        <v>a</v>
      </c>
      <c r="H79" t="str">
        <f>VLOOKUP(D79,name!A:C,3,1)</f>
        <v>assets/icons/image019.png</v>
      </c>
      <c r="I79" t="s">
        <v>402</v>
      </c>
    </row>
    <row r="80" spans="1:9" x14ac:dyDescent="0.15">
      <c r="A80" t="str">
        <f t="shared" ref="A80:B80" si="61">A79</f>
        <v>英語</v>
      </c>
      <c r="B80">
        <f t="shared" si="61"/>
        <v>1</v>
      </c>
      <c r="C80">
        <f t="shared" si="48"/>
        <v>79</v>
      </c>
      <c r="D80">
        <v>0</v>
      </c>
      <c r="E80" t="str">
        <f>VLOOKUP(D80,name!A:B,2,1)</f>
        <v>Player</v>
      </c>
      <c r="F80" t="str">
        <f t="shared" si="58"/>
        <v>Have you got all your bags packed?</v>
      </c>
      <c r="G80" t="str">
        <f t="shared" si="9"/>
        <v>q</v>
      </c>
      <c r="H80" t="str">
        <f>VLOOKUP(D80,name!A:C,3,1)</f>
        <v>assets/icons/image326.png</v>
      </c>
      <c r="I80" t="str">
        <f>IF(A80="","",VLOOKUP(A80,lng!A:B,2,0))</f>
        <v>en-GB</v>
      </c>
    </row>
    <row r="81" spans="1:9" x14ac:dyDescent="0.15">
      <c r="A81" t="str">
        <f t="shared" ref="A81:B81" si="62">A80</f>
        <v>英語</v>
      </c>
      <c r="B81">
        <f t="shared" si="62"/>
        <v>1</v>
      </c>
      <c r="C81">
        <f t="shared" si="48"/>
        <v>80</v>
      </c>
      <c r="D81">
        <f>D9</f>
        <v>29</v>
      </c>
      <c r="E81" t="str">
        <f>VLOOKUP(D81,name!A:B,2,1)</f>
        <v>Eri</v>
      </c>
      <c r="F81" t="str">
        <f t="shared" si="58"/>
        <v>ええ、そう思う。</v>
      </c>
      <c r="G81" t="str">
        <f t="shared" si="9"/>
        <v>a</v>
      </c>
      <c r="H81" t="str">
        <f>VLOOKUP(D81,name!A:C,3,1)</f>
        <v>assets/icons/image209.png</v>
      </c>
      <c r="I81" t="s">
        <v>402</v>
      </c>
    </row>
    <row r="82" spans="1:9" x14ac:dyDescent="0.15">
      <c r="A82" t="str">
        <f t="shared" ref="A82:B82" si="63">A81</f>
        <v>英語</v>
      </c>
      <c r="B82">
        <f t="shared" si="63"/>
        <v>1</v>
      </c>
      <c r="C82">
        <f t="shared" si="48"/>
        <v>81</v>
      </c>
      <c r="D82">
        <v>0</v>
      </c>
      <c r="E82" t="str">
        <f>VLOOKUP(D82,name!A:B,2,1)</f>
        <v>Player</v>
      </c>
      <c r="F82" t="str">
        <f t="shared" si="58"/>
        <v xml:space="preserve">Yes, I think so. </v>
      </c>
      <c r="G82" t="str">
        <f t="shared" si="9"/>
        <v>q</v>
      </c>
      <c r="H82" t="str">
        <f>VLOOKUP(D82,name!A:C,3,1)</f>
        <v>assets/icons/image326.png</v>
      </c>
      <c r="I82" t="str">
        <f>IF(A82="","",VLOOKUP(A82,lng!A:B,2,0))</f>
        <v>en-GB</v>
      </c>
    </row>
    <row r="83" spans="1:9" x14ac:dyDescent="0.15">
      <c r="A83" t="str">
        <f t="shared" ref="A83:B83" si="64">A82</f>
        <v>英語</v>
      </c>
      <c r="B83">
        <f t="shared" si="64"/>
        <v>1</v>
      </c>
      <c r="C83">
        <f t="shared" si="48"/>
        <v>82</v>
      </c>
      <c r="D83">
        <f>D11</f>
        <v>29</v>
      </c>
      <c r="E83" t="str">
        <f>VLOOKUP(D83,name!A:B,2,1)</f>
        <v>Eri</v>
      </c>
      <c r="F83" t="str">
        <f t="shared" si="58"/>
        <v>色々なことを考えるとなんだか怖い。</v>
      </c>
      <c r="G83" t="str">
        <f t="shared" si="9"/>
        <v>a</v>
      </c>
      <c r="H83" t="str">
        <f>VLOOKUP(D83,name!A:C,3,1)</f>
        <v>assets/icons/image209.png</v>
      </c>
      <c r="I83" t="s">
        <v>402</v>
      </c>
    </row>
    <row r="84" spans="1:9" x14ac:dyDescent="0.15">
      <c r="A84" t="str">
        <f t="shared" ref="A84:B84" si="65">A83</f>
        <v>英語</v>
      </c>
      <c r="B84">
        <f t="shared" si="65"/>
        <v>1</v>
      </c>
      <c r="C84">
        <f t="shared" si="48"/>
        <v>83</v>
      </c>
      <c r="D84">
        <v>0</v>
      </c>
      <c r="E84" t="str">
        <f>VLOOKUP(D84,name!A:B,2,1)</f>
        <v>Player</v>
      </c>
      <c r="F84" t="str">
        <f t="shared" si="58"/>
        <v xml:space="preserve"> I'm just starting to get cold feet about the whole thing.</v>
      </c>
      <c r="G84" t="str">
        <f t="shared" si="9"/>
        <v>q</v>
      </c>
      <c r="H84" t="str">
        <f>VLOOKUP(D84,name!A:C,3,1)</f>
        <v>assets/icons/image326.png</v>
      </c>
      <c r="I84" t="str">
        <f>IF(A84="","",VLOOKUP(A84,lng!A:B,2,0))</f>
        <v>en-GB</v>
      </c>
    </row>
    <row r="85" spans="1:9" x14ac:dyDescent="0.15">
      <c r="A85" t="str">
        <f t="shared" ref="A85:B85" si="66">A84</f>
        <v>英語</v>
      </c>
      <c r="B85">
        <f t="shared" si="66"/>
        <v>1</v>
      </c>
      <c r="C85">
        <f t="shared" si="48"/>
        <v>84</v>
      </c>
      <c r="D85">
        <f>D13</f>
        <v>30</v>
      </c>
      <c r="E85" t="str">
        <f>VLOOKUP(D85,name!A:B,2,1)</f>
        <v>Aya</v>
      </c>
      <c r="F85" t="str">
        <f t="shared" si="58"/>
        <v>それには少し遅いです。</v>
      </c>
      <c r="G85" t="str">
        <f t="shared" si="9"/>
        <v>a</v>
      </c>
      <c r="H85" t="str">
        <f>VLOOKUP(D85,name!A:C,3,1)</f>
        <v>assets/icons/image223.png</v>
      </c>
      <c r="I85" t="s">
        <v>402</v>
      </c>
    </row>
    <row r="86" spans="1:9" x14ac:dyDescent="0.15">
      <c r="A86" t="str">
        <f t="shared" ref="A86:B86" si="67">A85</f>
        <v>英語</v>
      </c>
      <c r="B86">
        <f t="shared" si="67"/>
        <v>1</v>
      </c>
      <c r="C86">
        <f t="shared" si="48"/>
        <v>85</v>
      </c>
      <c r="D86">
        <v>0</v>
      </c>
      <c r="E86" t="str">
        <f>VLOOKUP(D86,name!A:B,2,1)</f>
        <v>Player</v>
      </c>
      <c r="F86" t="str">
        <f t="shared" si="58"/>
        <v>It's a bit late for that.</v>
      </c>
      <c r="G86" t="str">
        <f t="shared" si="9"/>
        <v>q</v>
      </c>
      <c r="H86" t="str">
        <f>VLOOKUP(D86,name!A:C,3,1)</f>
        <v>assets/icons/image326.png</v>
      </c>
      <c r="I86" t="str">
        <f>IF(A86="","",VLOOKUP(A86,lng!A:B,2,0))</f>
        <v>en-GB</v>
      </c>
    </row>
    <row r="87" spans="1:9" x14ac:dyDescent="0.15">
      <c r="A87" t="str">
        <f t="shared" ref="A87:B87" si="68">A86</f>
        <v>英語</v>
      </c>
      <c r="B87">
        <f t="shared" si="68"/>
        <v>1</v>
      </c>
      <c r="C87">
        <f t="shared" si="48"/>
        <v>86</v>
      </c>
      <c r="D87">
        <f>D15</f>
        <v>30</v>
      </c>
      <c r="E87" t="str">
        <f>VLOOKUP(D87,name!A:B,2,1)</f>
        <v>Aya</v>
      </c>
      <c r="F87" t="str">
        <f t="shared" si="58"/>
        <v>あなたが月曜日にここにいないなんて、いまだに信じられない。</v>
      </c>
      <c r="G87" t="str">
        <f t="shared" si="9"/>
        <v>a</v>
      </c>
      <c r="H87" t="str">
        <f>VLOOKUP(D87,name!A:C,3,1)</f>
        <v>assets/icons/image223.png</v>
      </c>
      <c r="I87" t="s">
        <v>402</v>
      </c>
    </row>
    <row r="88" spans="1:9" x14ac:dyDescent="0.15">
      <c r="A88" t="str">
        <f t="shared" ref="A88:B88" si="69">A87</f>
        <v>英語</v>
      </c>
      <c r="B88">
        <f t="shared" si="69"/>
        <v>1</v>
      </c>
      <c r="C88">
        <f t="shared" si="48"/>
        <v>87</v>
      </c>
      <c r="D88">
        <v>0</v>
      </c>
      <c r="E88" t="str">
        <f>VLOOKUP(D88,name!A:B,2,1)</f>
        <v>Player</v>
      </c>
      <c r="F88" t="str">
        <f t="shared" si="58"/>
        <v xml:space="preserve"> I still can't believe you won't be here on Monday. </v>
      </c>
      <c r="G88" t="str">
        <f t="shared" si="9"/>
        <v>q</v>
      </c>
      <c r="H88" t="str">
        <f>VLOOKUP(D88,name!A:C,3,1)</f>
        <v>assets/icons/image326.png</v>
      </c>
      <c r="I88" t="str">
        <f>IF(A88="","",VLOOKUP(A88,lng!A:B,2,0))</f>
        <v>en-GB</v>
      </c>
    </row>
    <row r="89" spans="1:9" x14ac:dyDescent="0.15">
      <c r="A89" t="str">
        <f t="shared" ref="A89:B89" si="70">A88</f>
        <v>英語</v>
      </c>
      <c r="B89">
        <f t="shared" si="70"/>
        <v>1</v>
      </c>
      <c r="C89">
        <f t="shared" si="48"/>
        <v>88</v>
      </c>
      <c r="D89">
        <f>D17</f>
        <v>30</v>
      </c>
      <c r="E89" t="str">
        <f>VLOOKUP(D89,name!A:B,2,1)</f>
        <v>Aya</v>
      </c>
      <c r="F89" t="str">
        <f t="shared" si="58"/>
        <v>しかし、あなたが正しいことをしているなら、心配しないで。</v>
      </c>
      <c r="G89" t="str">
        <f t="shared" si="9"/>
        <v>a</v>
      </c>
      <c r="H89" t="str">
        <f>VLOOKUP(D89,name!A:C,3,1)</f>
        <v>assets/icons/image223.png</v>
      </c>
      <c r="I89" t="s">
        <v>402</v>
      </c>
    </row>
    <row r="90" spans="1:9" x14ac:dyDescent="0.15">
      <c r="A90" t="str">
        <f t="shared" ref="A90:B90" si="71">A89</f>
        <v>英語</v>
      </c>
      <c r="B90">
        <f t="shared" si="71"/>
        <v>1</v>
      </c>
      <c r="C90">
        <f t="shared" si="48"/>
        <v>89</v>
      </c>
      <c r="D90">
        <v>0</v>
      </c>
      <c r="E90" t="str">
        <f>VLOOKUP(D90,name!A:B,2,1)</f>
        <v>Player</v>
      </c>
      <c r="F90" t="str">
        <f t="shared" si="58"/>
        <v>But don't worry if you're doing the right thing.</v>
      </c>
      <c r="G90" t="str">
        <f t="shared" si="9"/>
        <v>q</v>
      </c>
      <c r="H90" t="str">
        <f>VLOOKUP(D90,name!A:C,3,1)</f>
        <v>assets/icons/image326.png</v>
      </c>
      <c r="I90" t="str">
        <f>IF(A90="","",VLOOKUP(A90,lng!A:B,2,0))</f>
        <v>en-GB</v>
      </c>
    </row>
    <row r="91" spans="1:9" x14ac:dyDescent="0.15">
      <c r="A91" t="str">
        <f t="shared" ref="A91:B91" si="72">A90</f>
        <v>英語</v>
      </c>
      <c r="B91">
        <f t="shared" si="72"/>
        <v>1</v>
      </c>
      <c r="C91">
        <f t="shared" si="48"/>
        <v>90</v>
      </c>
      <c r="D91">
        <f>D19</f>
        <v>30</v>
      </c>
      <c r="E91" t="str">
        <f>VLOOKUP(D91,name!A:B,2,1)</f>
        <v>Aya</v>
      </c>
      <c r="F91" t="str">
        <f t="shared" si="58"/>
        <v>がんばれ！</v>
      </c>
      <c r="G91" t="str">
        <f t="shared" si="9"/>
        <v>a</v>
      </c>
      <c r="H91" t="str">
        <f>VLOOKUP(D91,name!A:C,3,1)</f>
        <v>assets/icons/image223.png</v>
      </c>
      <c r="I91" t="s">
        <v>402</v>
      </c>
    </row>
    <row r="92" spans="1:9" x14ac:dyDescent="0.15">
      <c r="A92" t="str">
        <f t="shared" ref="A92:B92" si="73">A91</f>
        <v>英語</v>
      </c>
      <c r="B92">
        <f t="shared" si="73"/>
        <v>1</v>
      </c>
      <c r="C92">
        <f t="shared" si="48"/>
        <v>91</v>
      </c>
      <c r="D92">
        <v>0</v>
      </c>
      <c r="E92" t="str">
        <f>VLOOKUP(D92,name!A:B,2,1)</f>
        <v>Player</v>
      </c>
      <c r="F92" t="str">
        <f t="shared" si="58"/>
        <v>Just go for it!</v>
      </c>
      <c r="G92" t="str">
        <f t="shared" si="9"/>
        <v>q</v>
      </c>
      <c r="H92" t="str">
        <f>VLOOKUP(D92,name!A:C,3,1)</f>
        <v>assets/icons/image326.png</v>
      </c>
      <c r="I92" t="str">
        <f>IF(A92="","",VLOOKUP(A92,lng!A:B,2,0))</f>
        <v>en-GB</v>
      </c>
    </row>
    <row r="93" spans="1:9" x14ac:dyDescent="0.15">
      <c r="A93" t="str">
        <f t="shared" ref="A93:B93" si="74">A92</f>
        <v>英語</v>
      </c>
      <c r="B93">
        <f t="shared" si="74"/>
        <v>1</v>
      </c>
      <c r="C93">
        <f t="shared" si="48"/>
        <v>92</v>
      </c>
      <c r="D93">
        <f>D21</f>
        <v>28</v>
      </c>
      <c r="E93" t="str">
        <f>VLOOKUP(D93,name!A:B,2,1)</f>
        <v>Mike</v>
      </c>
      <c r="F93" t="str">
        <f t="shared" si="58"/>
        <v>彼女の言う通り。</v>
      </c>
      <c r="G93" t="str">
        <f t="shared" si="9"/>
        <v>a</v>
      </c>
      <c r="H93" t="str">
        <f>VLOOKUP(D93,name!A:C,3,1)</f>
        <v>assets/icons/image019.png</v>
      </c>
      <c r="I93" t="s">
        <v>402</v>
      </c>
    </row>
    <row r="94" spans="1:9" x14ac:dyDescent="0.15">
      <c r="A94" t="str">
        <f t="shared" ref="A94:B94" si="75">A93</f>
        <v>英語</v>
      </c>
      <c r="B94">
        <f t="shared" si="75"/>
        <v>1</v>
      </c>
      <c r="C94">
        <f t="shared" si="48"/>
        <v>93</v>
      </c>
      <c r="D94">
        <v>0</v>
      </c>
      <c r="E94" t="str">
        <f>VLOOKUP(D94,name!A:B,2,1)</f>
        <v>Player</v>
      </c>
      <c r="F94" t="str">
        <f t="shared" si="58"/>
        <v>She's right.</v>
      </c>
      <c r="G94" t="str">
        <f t="shared" ref="G94:G157" si="76">IF(B94&lt;&gt;B95,"e",IF(D94=0,"q","a"))</f>
        <v>q</v>
      </c>
      <c r="H94" t="str">
        <f>VLOOKUP(D94,name!A:C,3,1)</f>
        <v>assets/icons/image326.png</v>
      </c>
      <c r="I94" t="str">
        <f>IF(A94="","",VLOOKUP(A94,lng!A:B,2,0))</f>
        <v>en-GB</v>
      </c>
    </row>
    <row r="95" spans="1:9" x14ac:dyDescent="0.15">
      <c r="A95" t="str">
        <f t="shared" ref="A95:B95" si="77">A94</f>
        <v>英語</v>
      </c>
      <c r="B95">
        <f t="shared" si="77"/>
        <v>1</v>
      </c>
      <c r="C95">
        <f t="shared" si="48"/>
        <v>94</v>
      </c>
      <c r="D95">
        <f>D23</f>
        <v>28</v>
      </c>
      <c r="E95" t="str">
        <f>VLOOKUP(D95,name!A:B,2,1)</f>
        <v>Mike</v>
      </c>
      <c r="F95" t="str">
        <f t="shared" si="58"/>
        <v>皆、あなたの立場になりたいと思っています。</v>
      </c>
      <c r="G95" t="str">
        <f t="shared" si="76"/>
        <v>a</v>
      </c>
      <c r="H95" t="str">
        <f>VLOOKUP(D95,name!A:C,3,1)</f>
        <v>assets/icons/image019.png</v>
      </c>
      <c r="I95" t="s">
        <v>402</v>
      </c>
    </row>
    <row r="96" spans="1:9" x14ac:dyDescent="0.15">
      <c r="A96" t="str">
        <f t="shared" ref="A96:B96" si="78">A95</f>
        <v>英語</v>
      </c>
      <c r="B96">
        <f t="shared" si="78"/>
        <v>1</v>
      </c>
      <c r="C96">
        <f t="shared" si="48"/>
        <v>95</v>
      </c>
      <c r="D96">
        <v>0</v>
      </c>
      <c r="E96" t="str">
        <f>VLOOKUP(D96,name!A:B,2,1)</f>
        <v>Player</v>
      </c>
      <c r="F96" t="str">
        <f t="shared" si="58"/>
        <v>We'd all like to be in your place.</v>
      </c>
      <c r="G96" t="str">
        <f t="shared" si="76"/>
        <v>q</v>
      </c>
      <c r="H96" t="str">
        <f>VLOOKUP(D96,name!A:C,3,1)</f>
        <v>assets/icons/image326.png</v>
      </c>
      <c r="I96" t="str">
        <f>IF(A96="","",VLOOKUP(A96,lng!A:B,2,0))</f>
        <v>en-GB</v>
      </c>
    </row>
    <row r="97" spans="1:12" x14ac:dyDescent="0.15">
      <c r="A97" t="str">
        <f t="shared" ref="A97:B97" si="79">A96</f>
        <v>英語</v>
      </c>
      <c r="B97">
        <f t="shared" si="79"/>
        <v>1</v>
      </c>
      <c r="C97">
        <f t="shared" si="48"/>
        <v>96</v>
      </c>
      <c r="D97">
        <f>D25</f>
        <v>29</v>
      </c>
      <c r="E97" t="str">
        <f>VLOOKUP(D97,name!A:B,2,1)</f>
        <v>Eri</v>
      </c>
      <c r="F97" t="str">
        <f t="shared" si="58"/>
        <v>私はここでとても良い仕事をもっています。</v>
      </c>
      <c r="G97" t="str">
        <f t="shared" si="76"/>
        <v>a</v>
      </c>
      <c r="H97" t="str">
        <f>VLOOKUP(D97,name!A:C,3,1)</f>
        <v>assets/icons/image209.png</v>
      </c>
      <c r="I97" t="s">
        <v>402</v>
      </c>
    </row>
    <row r="98" spans="1:12" x14ac:dyDescent="0.15">
      <c r="A98" t="str">
        <f t="shared" ref="A98:B98" si="80">A97</f>
        <v>英語</v>
      </c>
      <c r="B98">
        <f t="shared" si="80"/>
        <v>1</v>
      </c>
      <c r="C98">
        <f t="shared" si="48"/>
        <v>97</v>
      </c>
      <c r="D98">
        <v>0</v>
      </c>
      <c r="E98" t="str">
        <f>VLOOKUP(D98,name!A:B,2,1)</f>
        <v>Player</v>
      </c>
      <c r="F98" t="str">
        <f t="shared" si="58"/>
        <v xml:space="preserve">I have such a good career here, </v>
      </c>
      <c r="G98" t="str">
        <f t="shared" si="76"/>
        <v>q</v>
      </c>
      <c r="H98" t="str">
        <f>VLOOKUP(D98,name!A:C,3,1)</f>
        <v>assets/icons/image326.png</v>
      </c>
      <c r="I98" t="str">
        <f>IF(A98="","",VLOOKUP(A98,lng!A:B,2,0))</f>
        <v>en-GB</v>
      </c>
    </row>
    <row r="99" spans="1:12" x14ac:dyDescent="0.15">
      <c r="A99" t="str">
        <f t="shared" ref="A99:B99" si="81">A98</f>
        <v>英語</v>
      </c>
      <c r="B99">
        <f t="shared" si="81"/>
        <v>1</v>
      </c>
      <c r="C99">
        <f t="shared" si="48"/>
        <v>98</v>
      </c>
      <c r="D99">
        <f>D27</f>
        <v>29</v>
      </c>
      <c r="E99" t="str">
        <f>VLOOKUP(D99,name!A:B,2,1)</f>
        <v>Eri</v>
      </c>
      <c r="F99" t="str">
        <f t="shared" si="58"/>
        <v>でもずっとやりたかった</v>
      </c>
      <c r="G99" t="str">
        <f t="shared" si="76"/>
        <v>a</v>
      </c>
      <c r="H99" t="str">
        <f>VLOOKUP(D99,name!A:C,3,1)</f>
        <v>assets/icons/image209.png</v>
      </c>
      <c r="I99" t="s">
        <v>402</v>
      </c>
    </row>
    <row r="100" spans="1:12" x14ac:dyDescent="0.15">
      <c r="A100" t="str">
        <f t="shared" ref="A100:B100" si="82">A99</f>
        <v>英語</v>
      </c>
      <c r="B100">
        <f t="shared" si="82"/>
        <v>1</v>
      </c>
      <c r="C100">
        <f t="shared" si="48"/>
        <v>99</v>
      </c>
      <c r="D100">
        <v>0</v>
      </c>
      <c r="E100" t="str">
        <f>VLOOKUP(D100,name!A:B,2,1)</f>
        <v>Player</v>
      </c>
      <c r="F100" t="str">
        <f t="shared" si="58"/>
        <v>but I've always wanted to do this</v>
      </c>
      <c r="G100" t="str">
        <f t="shared" si="76"/>
        <v>q</v>
      </c>
      <c r="H100" t="str">
        <f>VLOOKUP(D100,name!A:C,3,1)</f>
        <v>assets/icons/image326.png</v>
      </c>
      <c r="I100" t="str">
        <f>IF(A100="","",VLOOKUP(A100,lng!A:B,2,0))</f>
        <v>en-GB</v>
      </c>
    </row>
    <row r="101" spans="1:12" x14ac:dyDescent="0.15">
      <c r="A101" t="str">
        <f t="shared" ref="A101:B101" si="83">A100</f>
        <v>英語</v>
      </c>
      <c r="B101">
        <f t="shared" si="83"/>
        <v>1</v>
      </c>
      <c r="C101">
        <f t="shared" si="48"/>
        <v>100</v>
      </c>
      <c r="D101">
        <f>D29</f>
        <v>29</v>
      </c>
      <c r="E101" t="str">
        <f>VLOOKUP(D101,name!A:B,2,1)</f>
        <v>Eri</v>
      </c>
      <c r="F101" t="str">
        <f t="shared" si="58"/>
        <v>イギリスで英語の勉強をすることを</v>
      </c>
      <c r="G101" t="str">
        <f t="shared" si="76"/>
        <v>a</v>
      </c>
      <c r="H101" t="str">
        <f>VLOOKUP(D101,name!A:C,3,1)</f>
        <v>assets/icons/image209.png</v>
      </c>
      <c r="I101" t="s">
        <v>402</v>
      </c>
    </row>
    <row r="102" spans="1:12" x14ac:dyDescent="0.15">
      <c r="A102" t="str">
        <f t="shared" ref="A102:B102" si="84">A101</f>
        <v>英語</v>
      </c>
      <c r="B102">
        <f t="shared" si="84"/>
        <v>1</v>
      </c>
      <c r="C102">
        <f t="shared" si="48"/>
        <v>101</v>
      </c>
      <c r="D102">
        <v>0</v>
      </c>
      <c r="E102" t="str">
        <f>VLOOKUP(D102,name!A:B,2,1)</f>
        <v>Player</v>
      </c>
      <c r="F102" t="str">
        <f t="shared" si="58"/>
        <v xml:space="preserve"> - go to England to study English</v>
      </c>
      <c r="G102" t="str">
        <f t="shared" si="76"/>
        <v>q</v>
      </c>
      <c r="H102" t="str">
        <f>VLOOKUP(D102,name!A:C,3,1)</f>
        <v>assets/icons/image326.png</v>
      </c>
      <c r="I102" t="str">
        <f>IF(A102="","",VLOOKUP(A102,lng!A:B,2,0))</f>
        <v>en-GB</v>
      </c>
    </row>
    <row r="103" spans="1:12" x14ac:dyDescent="0.15">
      <c r="A103" t="str">
        <f t="shared" ref="A103:B103" si="85">A102</f>
        <v>英語</v>
      </c>
      <c r="B103">
        <f t="shared" si="85"/>
        <v>1</v>
      </c>
      <c r="C103">
        <f t="shared" si="48"/>
        <v>102</v>
      </c>
      <c r="D103">
        <f>D31</f>
        <v>29</v>
      </c>
      <c r="E103" t="str">
        <f>VLOOKUP(D103,name!A:B,2,1)</f>
        <v>Eri</v>
      </c>
      <c r="F103" t="str">
        <f t="shared" si="58"/>
        <v>バーミンガム大学でのこの奨学金は、一生に一度のチャンスだから。</v>
      </c>
      <c r="G103" t="str">
        <f t="shared" si="76"/>
        <v>a</v>
      </c>
      <c r="H103" t="str">
        <f>VLOOKUP(D103,name!A:C,3,1)</f>
        <v>assets/icons/image209.png</v>
      </c>
      <c r="I103" t="s">
        <v>402</v>
      </c>
    </row>
    <row r="104" spans="1:12" x14ac:dyDescent="0.15">
      <c r="A104" t="str">
        <f t="shared" ref="A104:B104" si="86">A103</f>
        <v>英語</v>
      </c>
      <c r="B104">
        <f t="shared" si="86"/>
        <v>1</v>
      </c>
      <c r="C104">
        <f t="shared" si="48"/>
        <v>103</v>
      </c>
      <c r="D104">
        <v>0</v>
      </c>
      <c r="E104" t="str">
        <f>VLOOKUP(D104,name!A:B,2,1)</f>
        <v>Player</v>
      </c>
      <c r="F104" t="str">
        <f t="shared" si="58"/>
        <v>and this scholarship at the University of Birmingham is the chance of a lifetime.</v>
      </c>
      <c r="G104" t="str">
        <f t="shared" si="76"/>
        <v>q</v>
      </c>
      <c r="H104" t="str">
        <f>VLOOKUP(D104,name!A:C,3,1)</f>
        <v>assets/icons/image326.png</v>
      </c>
      <c r="I104" t="str">
        <f>IF(A104="","",VLOOKUP(A104,lng!A:B,2,0))</f>
        <v>en-GB</v>
      </c>
    </row>
    <row r="105" spans="1:12" x14ac:dyDescent="0.15">
      <c r="A105" t="str">
        <f t="shared" ref="A105:B105" si="87">A104</f>
        <v>英語</v>
      </c>
      <c r="B105">
        <f t="shared" si="87"/>
        <v>1</v>
      </c>
      <c r="C105">
        <f t="shared" si="48"/>
        <v>104</v>
      </c>
      <c r="D105">
        <v>1</v>
      </c>
      <c r="E105" t="str">
        <f>VLOOKUP(D105,name!A:B,2,1)</f>
        <v>Navigator</v>
      </c>
      <c r="F105" t="str">
        <f>"とても良くできました。レッスン"&amp;B105&amp;"はこれで終了です。"</f>
        <v>とても良くできました。レッスン1はこれで終了です。</v>
      </c>
      <c r="G105" t="str">
        <f t="shared" si="76"/>
        <v>e</v>
      </c>
      <c r="H105" t="str">
        <f>VLOOKUP(D105,name!A:C,3,1)</f>
        <v>assets/icons/image014.png</v>
      </c>
      <c r="I105" t="s">
        <v>402</v>
      </c>
    </row>
    <row r="106" spans="1:12" x14ac:dyDescent="0.15">
      <c r="A106" t="str">
        <f>A105</f>
        <v>英語</v>
      </c>
      <c r="B106">
        <f>B105+1</f>
        <v>2</v>
      </c>
      <c r="C106">
        <v>1</v>
      </c>
      <c r="D106">
        <v>1</v>
      </c>
      <c r="E106" t="str">
        <f>VLOOKUP(D106,name!A:B,2,1)</f>
        <v>Navigator</v>
      </c>
      <c r="F106" t="s">
        <v>478</v>
      </c>
      <c r="G106" t="str">
        <f t="shared" si="76"/>
        <v>a</v>
      </c>
      <c r="H106" t="str">
        <f>VLOOKUP(D106,name!A:C,3,1)</f>
        <v>assets/icons/image014.png</v>
      </c>
      <c r="I106" t="str">
        <f>IF(A106="","",VLOOKUP(A106,lng!A:B,2,0))</f>
        <v>en-GB</v>
      </c>
    </row>
    <row r="107" spans="1:12" x14ac:dyDescent="0.15">
      <c r="A107" t="str">
        <f t="shared" ref="A107:B122" si="88">A106</f>
        <v>英語</v>
      </c>
      <c r="B107">
        <f>B106</f>
        <v>2</v>
      </c>
      <c r="C107">
        <f>C106+1</f>
        <v>2</v>
      </c>
      <c r="D107">
        <v>1</v>
      </c>
      <c r="E107" t="str">
        <f>VLOOKUP(D107,name!A:B,2,1)</f>
        <v>Navigator</v>
      </c>
      <c r="F107" t="str">
        <f>"レッスン"&amp;B107</f>
        <v>レッスン2</v>
      </c>
      <c r="G107" t="str">
        <f t="shared" si="76"/>
        <v>a</v>
      </c>
      <c r="H107" t="str">
        <f>VLOOKUP(D107,name!A:C,3,1)</f>
        <v>assets/icons/image014.png</v>
      </c>
      <c r="I107" t="s">
        <v>402</v>
      </c>
    </row>
    <row r="108" spans="1:12" ht="40.5" x14ac:dyDescent="0.15">
      <c r="A108" t="str">
        <f t="shared" si="88"/>
        <v>英語</v>
      </c>
      <c r="B108">
        <f t="shared" si="88"/>
        <v>2</v>
      </c>
      <c r="C108">
        <f t="shared" ref="C108:C171" si="89">C107+1</f>
        <v>3</v>
      </c>
      <c r="D108">
        <v>1</v>
      </c>
      <c r="E108" t="str">
        <f>VLOOKUP(D108,name!A:B,2,1)</f>
        <v>Navigator</v>
      </c>
      <c r="F108" s="1" t="str">
        <f>"まずは対話文を流します。その後に、日本語と"&amp;A108&amp;"を一文ずつ流すので"&amp;A108&amp;"を真似して下さい。最後に日本語のみを流すので、"&amp;A108&amp;"で答えてください。"</f>
        <v>まずは対話文を流します。その後に、日本語と英語を一文ずつ流すので英語を真似して下さい。最後に日本語のみを流すので、英語で答えてください。</v>
      </c>
      <c r="G108" t="str">
        <f t="shared" si="76"/>
        <v>a</v>
      </c>
      <c r="H108" t="str">
        <f>VLOOKUP(D108,name!A:C,3,1)</f>
        <v>assets/icons/image014.png</v>
      </c>
      <c r="I108" t="s">
        <v>402</v>
      </c>
      <c r="L108" s="1"/>
    </row>
    <row r="109" spans="1:12" x14ac:dyDescent="0.15">
      <c r="A109" t="str">
        <f t="shared" si="88"/>
        <v>英語</v>
      </c>
      <c r="B109">
        <f t="shared" si="88"/>
        <v>2</v>
      </c>
      <c r="C109">
        <f t="shared" si="89"/>
        <v>4</v>
      </c>
      <c r="D109">
        <f>D110</f>
        <v>31</v>
      </c>
      <c r="E109" t="str">
        <f>VLOOKUP(D109,name!A:B,2,1)</f>
        <v>Mrs. Bennett</v>
      </c>
      <c r="F109" t="s">
        <v>497</v>
      </c>
      <c r="G109" t="str">
        <f t="shared" si="76"/>
        <v>a</v>
      </c>
      <c r="H109" t="str">
        <f>VLOOKUP(D109,name!A:C,3,1)</f>
        <v>assets/icons/image149.png</v>
      </c>
      <c r="I109" t="s">
        <v>402</v>
      </c>
    </row>
    <row r="110" spans="1:12" x14ac:dyDescent="0.15">
      <c r="A110" t="str">
        <f t="shared" si="88"/>
        <v>英語</v>
      </c>
      <c r="B110">
        <f t="shared" si="88"/>
        <v>2</v>
      </c>
      <c r="C110">
        <f t="shared" si="89"/>
        <v>5</v>
      </c>
      <c r="D110">
        <v>31</v>
      </c>
      <c r="E110" t="str">
        <f>VLOOKUP(D110,name!A:B,2,1)</f>
        <v>Mrs. Bennett</v>
      </c>
      <c r="F110" t="s">
        <v>481</v>
      </c>
      <c r="G110" t="str">
        <f t="shared" si="76"/>
        <v>a</v>
      </c>
      <c r="H110" t="str">
        <f>VLOOKUP(D110,name!A:C,3,1)</f>
        <v>assets/icons/image149.png</v>
      </c>
      <c r="I110" t="str">
        <f>IF(A110="","",VLOOKUP(A110,lng!A:B,2,0))</f>
        <v>en-GB</v>
      </c>
    </row>
    <row r="111" spans="1:12" x14ac:dyDescent="0.15">
      <c r="A111" t="str">
        <f t="shared" si="88"/>
        <v>英語</v>
      </c>
      <c r="B111">
        <f t="shared" si="88"/>
        <v>2</v>
      </c>
      <c r="C111">
        <f t="shared" si="89"/>
        <v>6</v>
      </c>
      <c r="D111">
        <f t="shared" ref="D111:D139" si="90">D112</f>
        <v>31</v>
      </c>
      <c r="E111" t="str">
        <f>VLOOKUP(D111,name!A:B,2,1)</f>
        <v>Mrs. Bennett</v>
      </c>
      <c r="F111" t="s">
        <v>498</v>
      </c>
      <c r="G111" t="str">
        <f t="shared" si="76"/>
        <v>a</v>
      </c>
      <c r="H111" t="str">
        <f>VLOOKUP(D111,name!A:C,3,1)</f>
        <v>assets/icons/image149.png</v>
      </c>
      <c r="I111" t="s">
        <v>402</v>
      </c>
    </row>
    <row r="112" spans="1:12" x14ac:dyDescent="0.15">
      <c r="A112" t="str">
        <f t="shared" si="88"/>
        <v>英語</v>
      </c>
      <c r="B112">
        <f t="shared" si="88"/>
        <v>2</v>
      </c>
      <c r="C112">
        <f t="shared" si="89"/>
        <v>7</v>
      </c>
      <c r="D112">
        <f t="shared" si="90"/>
        <v>31</v>
      </c>
      <c r="E112" t="str">
        <f>VLOOKUP(D112,name!A:B,2,1)</f>
        <v>Mrs. Bennett</v>
      </c>
      <c r="F112" t="s">
        <v>482</v>
      </c>
      <c r="G112" t="str">
        <f t="shared" si="76"/>
        <v>a</v>
      </c>
      <c r="H112" t="str">
        <f>VLOOKUP(D112,name!A:C,3,1)</f>
        <v>assets/icons/image149.png</v>
      </c>
      <c r="I112" t="str">
        <f>IF(A112="","",VLOOKUP(A112,lng!A:B,2,0))</f>
        <v>en-GB</v>
      </c>
    </row>
    <row r="113" spans="1:9" x14ac:dyDescent="0.15">
      <c r="A113" t="str">
        <f t="shared" si="88"/>
        <v>英語</v>
      </c>
      <c r="B113">
        <f t="shared" si="88"/>
        <v>2</v>
      </c>
      <c r="C113">
        <f t="shared" si="89"/>
        <v>8</v>
      </c>
      <c r="D113">
        <f t="shared" si="90"/>
        <v>31</v>
      </c>
      <c r="E113" t="str">
        <f>VLOOKUP(D113,name!A:B,2,1)</f>
        <v>Mrs. Bennett</v>
      </c>
      <c r="F113" t="s">
        <v>499</v>
      </c>
      <c r="G113" t="str">
        <f t="shared" si="76"/>
        <v>a</v>
      </c>
      <c r="H113" t="str">
        <f>VLOOKUP(D113,name!A:C,3,1)</f>
        <v>assets/icons/image149.png</v>
      </c>
      <c r="I113" t="s">
        <v>402</v>
      </c>
    </row>
    <row r="114" spans="1:9" x14ac:dyDescent="0.15">
      <c r="A114" t="str">
        <f t="shared" si="88"/>
        <v>英語</v>
      </c>
      <c r="B114">
        <f t="shared" si="88"/>
        <v>2</v>
      </c>
      <c r="C114">
        <f t="shared" si="89"/>
        <v>9</v>
      </c>
      <c r="D114">
        <f t="shared" si="90"/>
        <v>31</v>
      </c>
      <c r="E114" t="str">
        <f>VLOOKUP(D114,name!A:B,2,1)</f>
        <v>Mrs. Bennett</v>
      </c>
      <c r="F114" t="s">
        <v>483</v>
      </c>
      <c r="G114" t="str">
        <f t="shared" si="76"/>
        <v>a</v>
      </c>
      <c r="H114" t="str">
        <f>VLOOKUP(D114,name!A:C,3,1)</f>
        <v>assets/icons/image149.png</v>
      </c>
      <c r="I114" t="str">
        <f>IF(A114="","",VLOOKUP(A114,lng!A:B,2,0))</f>
        <v>en-GB</v>
      </c>
    </row>
    <row r="115" spans="1:9" x14ac:dyDescent="0.15">
      <c r="A115" t="str">
        <f t="shared" si="88"/>
        <v>英語</v>
      </c>
      <c r="B115">
        <f t="shared" si="88"/>
        <v>2</v>
      </c>
      <c r="C115">
        <f t="shared" si="89"/>
        <v>10</v>
      </c>
      <c r="D115">
        <f t="shared" si="90"/>
        <v>31</v>
      </c>
      <c r="E115" t="str">
        <f>VLOOKUP(D115,name!A:B,2,1)</f>
        <v>Mrs. Bennett</v>
      </c>
      <c r="F115" t="s">
        <v>500</v>
      </c>
      <c r="G115" t="str">
        <f t="shared" si="76"/>
        <v>a</v>
      </c>
      <c r="H115" t="str">
        <f>VLOOKUP(D115,name!A:C,3,1)</f>
        <v>assets/icons/image149.png</v>
      </c>
      <c r="I115" t="s">
        <v>402</v>
      </c>
    </row>
    <row r="116" spans="1:9" x14ac:dyDescent="0.15">
      <c r="A116" t="str">
        <f t="shared" si="88"/>
        <v>英語</v>
      </c>
      <c r="B116">
        <f t="shared" si="88"/>
        <v>2</v>
      </c>
      <c r="C116">
        <f t="shared" si="89"/>
        <v>11</v>
      </c>
      <c r="D116">
        <v>31</v>
      </c>
      <c r="E116" t="str">
        <f>VLOOKUP(D116,name!A:B,2,1)</f>
        <v>Mrs. Bennett</v>
      </c>
      <c r="F116" t="s">
        <v>484</v>
      </c>
      <c r="G116" t="str">
        <f t="shared" si="76"/>
        <v>a</v>
      </c>
      <c r="H116" t="str">
        <f>VLOOKUP(D116,name!A:C,3,1)</f>
        <v>assets/icons/image149.png</v>
      </c>
      <c r="I116" t="str">
        <f>IF(A116="","",VLOOKUP(A116,lng!A:B,2,0))</f>
        <v>en-GB</v>
      </c>
    </row>
    <row r="117" spans="1:9" x14ac:dyDescent="0.15">
      <c r="A117" t="str">
        <f t="shared" si="88"/>
        <v>英語</v>
      </c>
      <c r="B117">
        <f t="shared" si="88"/>
        <v>2</v>
      </c>
      <c r="C117">
        <f t="shared" si="89"/>
        <v>12</v>
      </c>
      <c r="D117">
        <f t="shared" si="90"/>
        <v>29</v>
      </c>
      <c r="E117" t="str">
        <f>VLOOKUP(D117,name!A:B,2,1)</f>
        <v>Eri</v>
      </c>
      <c r="F117" t="s">
        <v>501</v>
      </c>
      <c r="G117" t="str">
        <f t="shared" si="76"/>
        <v>a</v>
      </c>
      <c r="H117" t="str">
        <f>VLOOKUP(D117,name!A:C,3,1)</f>
        <v>assets/icons/image209.png</v>
      </c>
      <c r="I117" t="s">
        <v>402</v>
      </c>
    </row>
    <row r="118" spans="1:9" x14ac:dyDescent="0.15">
      <c r="A118" t="str">
        <f t="shared" si="88"/>
        <v>英語</v>
      </c>
      <c r="B118">
        <f t="shared" si="88"/>
        <v>2</v>
      </c>
      <c r="C118">
        <f t="shared" si="89"/>
        <v>13</v>
      </c>
      <c r="D118">
        <f t="shared" si="90"/>
        <v>29</v>
      </c>
      <c r="E118" t="str">
        <f>VLOOKUP(D118,name!A:B,2,1)</f>
        <v>Eri</v>
      </c>
      <c r="F118" t="s">
        <v>485</v>
      </c>
      <c r="G118" t="str">
        <f t="shared" si="76"/>
        <v>a</v>
      </c>
      <c r="H118" t="str">
        <f>VLOOKUP(D118,name!A:C,3,1)</f>
        <v>assets/icons/image209.png</v>
      </c>
      <c r="I118" t="str">
        <f>IF(A118="","",VLOOKUP(A118,lng!A:B,2,0))</f>
        <v>en-GB</v>
      </c>
    </row>
    <row r="119" spans="1:9" x14ac:dyDescent="0.15">
      <c r="A119" t="str">
        <f t="shared" si="88"/>
        <v>英語</v>
      </c>
      <c r="B119">
        <f t="shared" si="88"/>
        <v>2</v>
      </c>
      <c r="C119">
        <f t="shared" si="89"/>
        <v>14</v>
      </c>
      <c r="D119">
        <f t="shared" si="90"/>
        <v>29</v>
      </c>
      <c r="E119" t="str">
        <f>VLOOKUP(D119,name!A:B,2,1)</f>
        <v>Eri</v>
      </c>
      <c r="F119" t="s">
        <v>502</v>
      </c>
      <c r="G119" t="str">
        <f t="shared" si="76"/>
        <v>a</v>
      </c>
      <c r="H119" t="str">
        <f>VLOOKUP(D119,name!A:C,3,1)</f>
        <v>assets/icons/image209.png</v>
      </c>
      <c r="I119" t="s">
        <v>402</v>
      </c>
    </row>
    <row r="120" spans="1:9" x14ac:dyDescent="0.15">
      <c r="A120" t="str">
        <f t="shared" si="88"/>
        <v>英語</v>
      </c>
      <c r="B120">
        <f t="shared" si="88"/>
        <v>2</v>
      </c>
      <c r="C120">
        <f t="shared" si="89"/>
        <v>15</v>
      </c>
      <c r="D120">
        <v>29</v>
      </c>
      <c r="E120" t="str">
        <f>VLOOKUP(D120,name!A:B,2,1)</f>
        <v>Eri</v>
      </c>
      <c r="F120" t="s">
        <v>486</v>
      </c>
      <c r="G120" t="str">
        <f t="shared" si="76"/>
        <v>a</v>
      </c>
      <c r="H120" t="str">
        <f>VLOOKUP(D120,name!A:C,3,1)</f>
        <v>assets/icons/image209.png</v>
      </c>
      <c r="I120" t="str">
        <f>IF(A120="","",VLOOKUP(A120,lng!A:B,2,0))</f>
        <v>en-GB</v>
      </c>
    </row>
    <row r="121" spans="1:9" x14ac:dyDescent="0.15">
      <c r="A121" t="str">
        <f t="shared" si="88"/>
        <v>英語</v>
      </c>
      <c r="B121">
        <f t="shared" si="88"/>
        <v>2</v>
      </c>
      <c r="C121">
        <f t="shared" si="89"/>
        <v>16</v>
      </c>
      <c r="D121">
        <f t="shared" si="90"/>
        <v>31</v>
      </c>
      <c r="E121" t="str">
        <f>VLOOKUP(D121,name!A:B,2,1)</f>
        <v>Mrs. Bennett</v>
      </c>
      <c r="F121" t="s">
        <v>503</v>
      </c>
      <c r="G121" t="str">
        <f t="shared" si="76"/>
        <v>a</v>
      </c>
      <c r="H121" t="str">
        <f>VLOOKUP(D121,name!A:C,3,1)</f>
        <v>assets/icons/image149.png</v>
      </c>
      <c r="I121" t="s">
        <v>402</v>
      </c>
    </row>
    <row r="122" spans="1:9" x14ac:dyDescent="0.15">
      <c r="A122" t="str">
        <f t="shared" si="88"/>
        <v>英語</v>
      </c>
      <c r="B122">
        <f t="shared" si="88"/>
        <v>2</v>
      </c>
      <c r="C122">
        <f t="shared" si="89"/>
        <v>17</v>
      </c>
      <c r="D122">
        <f t="shared" si="90"/>
        <v>31</v>
      </c>
      <c r="E122" t="str">
        <f>VLOOKUP(D122,name!A:B,2,1)</f>
        <v>Mrs. Bennett</v>
      </c>
      <c r="F122" t="s">
        <v>487</v>
      </c>
      <c r="G122" t="str">
        <f t="shared" si="76"/>
        <v>a</v>
      </c>
      <c r="H122" t="str">
        <f>VLOOKUP(D122,name!A:C,3,1)</f>
        <v>assets/icons/image149.png</v>
      </c>
      <c r="I122" t="str">
        <f>IF(A122="","",VLOOKUP(A122,lng!A:B,2,0))</f>
        <v>en-GB</v>
      </c>
    </row>
    <row r="123" spans="1:9" x14ac:dyDescent="0.15">
      <c r="A123" t="str">
        <f t="shared" ref="A123:B134" si="91">A122</f>
        <v>英語</v>
      </c>
      <c r="B123">
        <f t="shared" si="91"/>
        <v>2</v>
      </c>
      <c r="C123">
        <f t="shared" si="89"/>
        <v>18</v>
      </c>
      <c r="D123">
        <f t="shared" si="90"/>
        <v>31</v>
      </c>
      <c r="E123" t="str">
        <f>VLOOKUP(D123,name!A:B,2,1)</f>
        <v>Mrs. Bennett</v>
      </c>
      <c r="F123" t="s">
        <v>504</v>
      </c>
      <c r="G123" t="str">
        <f t="shared" si="76"/>
        <v>a</v>
      </c>
      <c r="H123" t="str">
        <f>VLOOKUP(D123,name!A:C,3,1)</f>
        <v>assets/icons/image149.png</v>
      </c>
      <c r="I123" t="s">
        <v>402</v>
      </c>
    </row>
    <row r="124" spans="1:9" x14ac:dyDescent="0.15">
      <c r="A124" t="str">
        <f t="shared" si="91"/>
        <v>英語</v>
      </c>
      <c r="B124">
        <f t="shared" si="91"/>
        <v>2</v>
      </c>
      <c r="C124">
        <f t="shared" si="89"/>
        <v>19</v>
      </c>
      <c r="D124">
        <v>31</v>
      </c>
      <c r="E124" t="str">
        <f>VLOOKUP(D124,name!A:B,2,1)</f>
        <v>Mrs. Bennett</v>
      </c>
      <c r="F124" t="s">
        <v>488</v>
      </c>
      <c r="G124" t="str">
        <f t="shared" si="76"/>
        <v>a</v>
      </c>
      <c r="H124" t="str">
        <f>VLOOKUP(D124,name!A:C,3,1)</f>
        <v>assets/icons/image149.png</v>
      </c>
      <c r="I124" t="str">
        <f>IF(A124="","",VLOOKUP(A124,lng!A:B,2,0))</f>
        <v>en-GB</v>
      </c>
    </row>
    <row r="125" spans="1:9" x14ac:dyDescent="0.15">
      <c r="A125" t="str">
        <f t="shared" si="91"/>
        <v>英語</v>
      </c>
      <c r="B125">
        <f t="shared" si="91"/>
        <v>2</v>
      </c>
      <c r="C125">
        <f t="shared" si="89"/>
        <v>20</v>
      </c>
      <c r="D125">
        <f t="shared" si="90"/>
        <v>29</v>
      </c>
      <c r="E125" t="str">
        <f>VLOOKUP(D125,name!A:B,2,1)</f>
        <v>Eri</v>
      </c>
      <c r="F125" t="s">
        <v>505</v>
      </c>
      <c r="G125" t="str">
        <f t="shared" si="76"/>
        <v>a</v>
      </c>
      <c r="H125" t="str">
        <f>VLOOKUP(D125,name!A:C,3,1)</f>
        <v>assets/icons/image209.png</v>
      </c>
      <c r="I125" t="s">
        <v>402</v>
      </c>
    </row>
    <row r="126" spans="1:9" x14ac:dyDescent="0.15">
      <c r="A126" t="str">
        <f t="shared" si="91"/>
        <v>英語</v>
      </c>
      <c r="B126">
        <f t="shared" si="91"/>
        <v>2</v>
      </c>
      <c r="C126">
        <f t="shared" si="89"/>
        <v>21</v>
      </c>
      <c r="D126">
        <f t="shared" si="90"/>
        <v>29</v>
      </c>
      <c r="E126" t="str">
        <f>VLOOKUP(D126,name!A:B,2,1)</f>
        <v>Eri</v>
      </c>
      <c r="F126" t="s">
        <v>489</v>
      </c>
      <c r="G126" t="str">
        <f t="shared" si="76"/>
        <v>a</v>
      </c>
      <c r="H126" t="str">
        <f>VLOOKUP(D126,name!A:C,3,1)</f>
        <v>assets/icons/image209.png</v>
      </c>
      <c r="I126" t="str">
        <f>IF(A126="","",VLOOKUP(A126,lng!A:B,2,0))</f>
        <v>en-GB</v>
      </c>
    </row>
    <row r="127" spans="1:9" x14ac:dyDescent="0.15">
      <c r="A127" t="str">
        <f t="shared" si="91"/>
        <v>英語</v>
      </c>
      <c r="B127">
        <f t="shared" si="91"/>
        <v>2</v>
      </c>
      <c r="C127">
        <f t="shared" si="89"/>
        <v>22</v>
      </c>
      <c r="D127">
        <f t="shared" si="90"/>
        <v>29</v>
      </c>
      <c r="E127" t="str">
        <f>VLOOKUP(D127,name!A:B,2,1)</f>
        <v>Eri</v>
      </c>
      <c r="F127" t="s">
        <v>506</v>
      </c>
      <c r="G127" t="str">
        <f t="shared" si="76"/>
        <v>a</v>
      </c>
      <c r="H127" t="str">
        <f>VLOOKUP(D127,name!A:C,3,1)</f>
        <v>assets/icons/image209.png</v>
      </c>
      <c r="I127" t="s">
        <v>402</v>
      </c>
    </row>
    <row r="128" spans="1:9" x14ac:dyDescent="0.15">
      <c r="A128" t="str">
        <f t="shared" si="91"/>
        <v>英語</v>
      </c>
      <c r="B128">
        <f t="shared" si="91"/>
        <v>2</v>
      </c>
      <c r="C128">
        <f t="shared" si="89"/>
        <v>23</v>
      </c>
      <c r="D128">
        <v>29</v>
      </c>
      <c r="E128" t="str">
        <f>VLOOKUP(D128,name!A:B,2,1)</f>
        <v>Eri</v>
      </c>
      <c r="F128" t="s">
        <v>490</v>
      </c>
      <c r="G128" t="str">
        <f t="shared" si="76"/>
        <v>a</v>
      </c>
      <c r="H128" t="str">
        <f>VLOOKUP(D128,name!A:C,3,1)</f>
        <v>assets/icons/image209.png</v>
      </c>
      <c r="I128" t="str">
        <f>IF(A128="","",VLOOKUP(A128,lng!A:B,2,0))</f>
        <v>en-GB</v>
      </c>
    </row>
    <row r="129" spans="1:9" x14ac:dyDescent="0.15">
      <c r="A129" t="str">
        <f t="shared" si="91"/>
        <v>英語</v>
      </c>
      <c r="B129">
        <f t="shared" si="91"/>
        <v>2</v>
      </c>
      <c r="C129">
        <f t="shared" si="89"/>
        <v>24</v>
      </c>
      <c r="D129">
        <f t="shared" si="90"/>
        <v>31</v>
      </c>
      <c r="E129" t="str">
        <f>VLOOKUP(D129,name!A:B,2,1)</f>
        <v>Mrs. Bennett</v>
      </c>
      <c r="F129" t="s">
        <v>507</v>
      </c>
      <c r="G129" t="str">
        <f t="shared" si="76"/>
        <v>a</v>
      </c>
      <c r="H129" t="str">
        <f>VLOOKUP(D129,name!A:C,3,1)</f>
        <v>assets/icons/image149.png</v>
      </c>
      <c r="I129" t="s">
        <v>402</v>
      </c>
    </row>
    <row r="130" spans="1:9" x14ac:dyDescent="0.15">
      <c r="A130" t="str">
        <f t="shared" si="91"/>
        <v>英語</v>
      </c>
      <c r="B130">
        <f t="shared" si="91"/>
        <v>2</v>
      </c>
      <c r="C130">
        <f t="shared" si="89"/>
        <v>25</v>
      </c>
      <c r="D130">
        <v>31</v>
      </c>
      <c r="E130" t="str">
        <f>VLOOKUP(D130,name!A:B,2,1)</f>
        <v>Mrs. Bennett</v>
      </c>
      <c r="F130" t="s">
        <v>491</v>
      </c>
      <c r="G130" t="str">
        <f t="shared" si="76"/>
        <v>a</v>
      </c>
      <c r="H130" t="str">
        <f>VLOOKUP(D130,name!A:C,3,1)</f>
        <v>assets/icons/image149.png</v>
      </c>
      <c r="I130" t="str">
        <f>IF(A130="","",VLOOKUP(A130,lng!A:B,2,0))</f>
        <v>en-GB</v>
      </c>
    </row>
    <row r="131" spans="1:9" x14ac:dyDescent="0.15">
      <c r="A131" t="str">
        <f t="shared" si="91"/>
        <v>英語</v>
      </c>
      <c r="B131">
        <f t="shared" si="91"/>
        <v>2</v>
      </c>
      <c r="C131">
        <f t="shared" si="89"/>
        <v>26</v>
      </c>
      <c r="D131">
        <f t="shared" si="90"/>
        <v>31</v>
      </c>
      <c r="E131" t="str">
        <f>VLOOKUP(D131,name!A:B,2,1)</f>
        <v>Mrs. Bennett</v>
      </c>
      <c r="F131" t="s">
        <v>508</v>
      </c>
      <c r="G131" t="str">
        <f t="shared" si="76"/>
        <v>a</v>
      </c>
      <c r="H131" t="str">
        <f>VLOOKUP(D131,name!A:C,3,1)</f>
        <v>assets/icons/image149.png</v>
      </c>
      <c r="I131" t="s">
        <v>402</v>
      </c>
    </row>
    <row r="132" spans="1:9" x14ac:dyDescent="0.15">
      <c r="A132" t="str">
        <f t="shared" si="91"/>
        <v>英語</v>
      </c>
      <c r="B132">
        <f t="shared" si="91"/>
        <v>2</v>
      </c>
      <c r="C132">
        <f t="shared" si="89"/>
        <v>27</v>
      </c>
      <c r="D132">
        <f t="shared" si="90"/>
        <v>31</v>
      </c>
      <c r="E132" t="str">
        <f>VLOOKUP(D132,name!A:B,2,1)</f>
        <v>Mrs. Bennett</v>
      </c>
      <c r="F132" t="s">
        <v>492</v>
      </c>
      <c r="G132" t="str">
        <f t="shared" si="76"/>
        <v>a</v>
      </c>
      <c r="H132" t="str">
        <f>VLOOKUP(D132,name!A:C,3,1)</f>
        <v>assets/icons/image149.png</v>
      </c>
      <c r="I132" t="str">
        <f>IF(A132="","",VLOOKUP(A132,lng!A:B,2,0))</f>
        <v>en-GB</v>
      </c>
    </row>
    <row r="133" spans="1:9" x14ac:dyDescent="0.15">
      <c r="A133" t="str">
        <f t="shared" si="91"/>
        <v>英語</v>
      </c>
      <c r="B133">
        <f t="shared" si="91"/>
        <v>2</v>
      </c>
      <c r="C133">
        <f t="shared" si="89"/>
        <v>28</v>
      </c>
      <c r="D133">
        <f t="shared" si="90"/>
        <v>31</v>
      </c>
      <c r="E133" t="str">
        <f>VLOOKUP(D133,name!A:B,2,1)</f>
        <v>Mrs. Bennett</v>
      </c>
      <c r="F133" t="s">
        <v>509</v>
      </c>
      <c r="G133" t="str">
        <f t="shared" si="76"/>
        <v>a</v>
      </c>
      <c r="H133" t="str">
        <f>VLOOKUP(D133,name!A:C,3,1)</f>
        <v>assets/icons/image149.png</v>
      </c>
      <c r="I133" t="s">
        <v>402</v>
      </c>
    </row>
    <row r="134" spans="1:9" x14ac:dyDescent="0.15">
      <c r="A134" t="str">
        <f t="shared" si="91"/>
        <v>英語</v>
      </c>
      <c r="B134">
        <f t="shared" si="91"/>
        <v>2</v>
      </c>
      <c r="C134">
        <f t="shared" si="89"/>
        <v>29</v>
      </c>
      <c r="D134">
        <f t="shared" si="90"/>
        <v>31</v>
      </c>
      <c r="E134" t="str">
        <f>VLOOKUP(D134,name!A:B,2,1)</f>
        <v>Mrs. Bennett</v>
      </c>
      <c r="F134" t="s">
        <v>493</v>
      </c>
      <c r="G134" t="str">
        <f t="shared" si="76"/>
        <v>a</v>
      </c>
      <c r="H134" t="str">
        <f>VLOOKUP(D134,name!A:C,3,1)</f>
        <v>assets/icons/image149.png</v>
      </c>
      <c r="I134" t="str">
        <f>IF(A134="","",VLOOKUP(A134,lng!A:B,2,0))</f>
        <v>en-GB</v>
      </c>
    </row>
    <row r="135" spans="1:9" x14ac:dyDescent="0.15">
      <c r="A135" t="str">
        <f t="shared" ref="A135:B135" si="92">A134</f>
        <v>英語</v>
      </c>
      <c r="B135">
        <f t="shared" si="92"/>
        <v>2</v>
      </c>
      <c r="C135">
        <f t="shared" si="89"/>
        <v>30</v>
      </c>
      <c r="D135">
        <f t="shared" si="90"/>
        <v>31</v>
      </c>
      <c r="E135" t="str">
        <f>VLOOKUP(D135,name!A:B,2,1)</f>
        <v>Mrs. Bennett</v>
      </c>
      <c r="F135" t="s">
        <v>510</v>
      </c>
      <c r="G135" t="str">
        <f t="shared" si="76"/>
        <v>a</v>
      </c>
      <c r="H135" t="str">
        <f>VLOOKUP(D135,name!A:C,3,1)</f>
        <v>assets/icons/image149.png</v>
      </c>
      <c r="I135" t="s">
        <v>402</v>
      </c>
    </row>
    <row r="136" spans="1:9" x14ac:dyDescent="0.15">
      <c r="A136" t="str">
        <f t="shared" ref="A136:B136" si="93">A135</f>
        <v>英語</v>
      </c>
      <c r="B136">
        <f t="shared" si="93"/>
        <v>2</v>
      </c>
      <c r="C136">
        <f t="shared" si="89"/>
        <v>31</v>
      </c>
      <c r="D136">
        <v>31</v>
      </c>
      <c r="E136" t="str">
        <f>VLOOKUP(D136,name!A:B,2,1)</f>
        <v>Mrs. Bennett</v>
      </c>
      <c r="F136" t="s">
        <v>494</v>
      </c>
      <c r="G136" t="str">
        <f t="shared" si="76"/>
        <v>a</v>
      </c>
      <c r="H136" t="str">
        <f>VLOOKUP(D136,name!A:C,3,1)</f>
        <v>assets/icons/image149.png</v>
      </c>
      <c r="I136" t="str">
        <f>IF(A136="","",VLOOKUP(A136,lng!A:B,2,0))</f>
        <v>en-GB</v>
      </c>
    </row>
    <row r="137" spans="1:9" x14ac:dyDescent="0.15">
      <c r="A137" t="str">
        <f t="shared" ref="A137:B137" si="94">A136</f>
        <v>英語</v>
      </c>
      <c r="B137">
        <f t="shared" si="94"/>
        <v>2</v>
      </c>
      <c r="C137">
        <f t="shared" si="89"/>
        <v>32</v>
      </c>
      <c r="D137">
        <f t="shared" si="90"/>
        <v>29</v>
      </c>
      <c r="E137" t="str">
        <f>VLOOKUP(D137,name!A:B,2,1)</f>
        <v>Eri</v>
      </c>
      <c r="F137" t="s">
        <v>511</v>
      </c>
      <c r="G137" t="str">
        <f t="shared" si="76"/>
        <v>a</v>
      </c>
      <c r="H137" t="str">
        <f>VLOOKUP(D137,name!A:C,3,1)</f>
        <v>assets/icons/image209.png</v>
      </c>
      <c r="I137" t="s">
        <v>402</v>
      </c>
    </row>
    <row r="138" spans="1:9" x14ac:dyDescent="0.15">
      <c r="A138" t="str">
        <f t="shared" ref="A138:B138" si="95">A137</f>
        <v>英語</v>
      </c>
      <c r="B138">
        <f t="shared" si="95"/>
        <v>2</v>
      </c>
      <c r="C138">
        <f t="shared" si="89"/>
        <v>33</v>
      </c>
      <c r="D138">
        <f t="shared" si="90"/>
        <v>29</v>
      </c>
      <c r="E138" t="str">
        <f>VLOOKUP(D138,name!A:B,2,1)</f>
        <v>Eri</v>
      </c>
      <c r="F138" s="1" t="s">
        <v>496</v>
      </c>
      <c r="G138" t="str">
        <f t="shared" si="76"/>
        <v>a</v>
      </c>
      <c r="H138" t="str">
        <f>VLOOKUP(D138,name!A:C,3,1)</f>
        <v>assets/icons/image209.png</v>
      </c>
      <c r="I138" t="str">
        <f>IF(A138="","",VLOOKUP(A138,lng!A:B,2,0))</f>
        <v>en-GB</v>
      </c>
    </row>
    <row r="139" spans="1:9" x14ac:dyDescent="0.15">
      <c r="A139" t="str">
        <f t="shared" ref="A139:B139" si="96">A138</f>
        <v>英語</v>
      </c>
      <c r="B139">
        <f t="shared" si="96"/>
        <v>2</v>
      </c>
      <c r="C139">
        <f t="shared" si="89"/>
        <v>34</v>
      </c>
      <c r="D139">
        <f t="shared" si="90"/>
        <v>29</v>
      </c>
      <c r="E139" t="str">
        <f>VLOOKUP(D139,name!A:B,2,1)</f>
        <v>Eri</v>
      </c>
      <c r="F139" t="s">
        <v>512</v>
      </c>
      <c r="G139" t="str">
        <f t="shared" si="76"/>
        <v>a</v>
      </c>
      <c r="H139" t="str">
        <f>VLOOKUP(D139,name!A:C,3,1)</f>
        <v>assets/icons/image209.png</v>
      </c>
      <c r="I139" t="s">
        <v>402</v>
      </c>
    </row>
    <row r="140" spans="1:9" x14ac:dyDescent="0.15">
      <c r="A140" t="str">
        <f t="shared" ref="A140:B140" si="97">A139</f>
        <v>英語</v>
      </c>
      <c r="B140">
        <f t="shared" si="97"/>
        <v>2</v>
      </c>
      <c r="C140">
        <f t="shared" si="89"/>
        <v>35</v>
      </c>
      <c r="D140">
        <v>29</v>
      </c>
      <c r="E140" t="str">
        <f>VLOOKUP(D140,name!A:B,2,1)</f>
        <v>Eri</v>
      </c>
      <c r="F140" t="s">
        <v>495</v>
      </c>
      <c r="G140" t="str">
        <f t="shared" si="76"/>
        <v>a</v>
      </c>
      <c r="H140" t="str">
        <f>VLOOKUP(D140,name!A:C,3,1)</f>
        <v>assets/icons/image209.png</v>
      </c>
      <c r="I140" t="str">
        <f>IF(A140="","",VLOOKUP(A140,lng!A:B,2,0))</f>
        <v>en-GB</v>
      </c>
    </row>
    <row r="141" spans="1:9" x14ac:dyDescent="0.15">
      <c r="A141" t="str">
        <f t="shared" ref="A141:B141" si="98">A140</f>
        <v>英語</v>
      </c>
      <c r="B141">
        <f t="shared" si="98"/>
        <v>2</v>
      </c>
      <c r="C141">
        <f t="shared" si="89"/>
        <v>36</v>
      </c>
      <c r="D141">
        <v>1</v>
      </c>
      <c r="E141" t="str">
        <f>VLOOKUP(D141,name!A:B,2,1)</f>
        <v>Navigator</v>
      </c>
      <c r="F141" t="str">
        <f>"次の"&amp;A141&amp;"を真似してね！"</f>
        <v>次の英語を真似してね！</v>
      </c>
      <c r="G141" t="str">
        <f t="shared" si="76"/>
        <v>a</v>
      </c>
      <c r="H141" t="str">
        <f>VLOOKUP(D141,name!A:C,3,1)</f>
        <v>assets/icons/image014.png</v>
      </c>
      <c r="I141" t="s">
        <v>402</v>
      </c>
    </row>
    <row r="142" spans="1:9" x14ac:dyDescent="0.15">
      <c r="A142" t="str">
        <f t="shared" ref="A142:B142" si="99">A141</f>
        <v>英語</v>
      </c>
      <c r="B142">
        <f t="shared" si="99"/>
        <v>2</v>
      </c>
      <c r="C142">
        <f t="shared" si="89"/>
        <v>37</v>
      </c>
      <c r="D142">
        <f>D109</f>
        <v>31</v>
      </c>
      <c r="E142" t="str">
        <f>VLOOKUP(D142,name!A:B,2,1)</f>
        <v>Mrs. Bennett</v>
      </c>
      <c r="F142" t="str">
        <f>F109</f>
        <v>あなたはロンドンからの旅で疲れているでしょう。</v>
      </c>
      <c r="G142" t="str">
        <f t="shared" si="76"/>
        <v>a</v>
      </c>
      <c r="H142" t="str">
        <f>VLOOKUP(D142,name!A:C,3,1)</f>
        <v>assets/icons/image149.png</v>
      </c>
      <c r="I142" t="s">
        <v>402</v>
      </c>
    </row>
    <row r="143" spans="1:9" x14ac:dyDescent="0.15">
      <c r="A143" t="str">
        <f t="shared" ref="A143:B143" si="100">A142</f>
        <v>英語</v>
      </c>
      <c r="B143">
        <f t="shared" si="100"/>
        <v>2</v>
      </c>
      <c r="C143">
        <f t="shared" si="89"/>
        <v>38</v>
      </c>
      <c r="D143">
        <f>D110</f>
        <v>31</v>
      </c>
      <c r="E143" t="str">
        <f>VLOOKUP(D143,name!A:B,2,1)</f>
        <v>Mrs. Bennett</v>
      </c>
      <c r="F143" t="str">
        <f>F110</f>
        <v>You must be tired after your journey up from London.</v>
      </c>
      <c r="G143" t="str">
        <f t="shared" si="76"/>
        <v>a</v>
      </c>
      <c r="H143" t="str">
        <f>VLOOKUP(D143,name!A:C,3,1)</f>
        <v>assets/icons/image149.png</v>
      </c>
      <c r="I143" t="str">
        <f>IF(A143="","",VLOOKUP(A143,lng!A:B,2,0))</f>
        <v>en-GB</v>
      </c>
    </row>
    <row r="144" spans="1:9" x14ac:dyDescent="0.15">
      <c r="A144" t="str">
        <f t="shared" ref="A144:B144" si="101">A143</f>
        <v>英語</v>
      </c>
      <c r="B144">
        <f t="shared" si="101"/>
        <v>2</v>
      </c>
      <c r="C144">
        <f t="shared" si="89"/>
        <v>39</v>
      </c>
      <c r="D144">
        <v>0</v>
      </c>
      <c r="E144" t="str">
        <f>VLOOKUP(D144,name!A:B,2,1)</f>
        <v>Player</v>
      </c>
      <c r="F144" t="str">
        <f>F110</f>
        <v>You must be tired after your journey up from London.</v>
      </c>
      <c r="G144" t="str">
        <f t="shared" si="76"/>
        <v>q</v>
      </c>
      <c r="H144" t="str">
        <f>VLOOKUP(D144,name!A:C,3,1)</f>
        <v>assets/icons/image326.png</v>
      </c>
      <c r="I144" t="str">
        <f>IF(A144="","",VLOOKUP(A144,lng!A:B,2,0))</f>
        <v>en-GB</v>
      </c>
    </row>
    <row r="145" spans="1:9" x14ac:dyDescent="0.15">
      <c r="A145" t="str">
        <f t="shared" ref="A145:B145" si="102">A144</f>
        <v>英語</v>
      </c>
      <c r="B145">
        <f t="shared" si="102"/>
        <v>2</v>
      </c>
      <c r="C145">
        <f t="shared" si="89"/>
        <v>40</v>
      </c>
      <c r="D145">
        <f>D111</f>
        <v>31</v>
      </c>
      <c r="E145" t="str">
        <f>VLOOKUP(D145,name!A:B,2,1)</f>
        <v>Mrs. Bennett</v>
      </c>
      <c r="F145" t="str">
        <f>F111</f>
        <v>これがあなたの部屋です。</v>
      </c>
      <c r="G145" t="str">
        <f t="shared" si="76"/>
        <v>a</v>
      </c>
      <c r="H145" t="str">
        <f>VLOOKUP(D145,name!A:C,3,1)</f>
        <v>assets/icons/image149.png</v>
      </c>
      <c r="I145" t="s">
        <v>402</v>
      </c>
    </row>
    <row r="146" spans="1:9" x14ac:dyDescent="0.15">
      <c r="A146" t="str">
        <f t="shared" ref="A146:B146" si="103">A145</f>
        <v>英語</v>
      </c>
      <c r="B146">
        <f t="shared" si="103"/>
        <v>2</v>
      </c>
      <c r="C146">
        <f t="shared" si="89"/>
        <v>41</v>
      </c>
      <c r="D146">
        <f>D112</f>
        <v>31</v>
      </c>
      <c r="E146" t="str">
        <f>VLOOKUP(D146,name!A:B,2,1)</f>
        <v>Mrs. Bennett</v>
      </c>
      <c r="F146" t="str">
        <f>F112</f>
        <v>This is your room.</v>
      </c>
      <c r="G146" t="str">
        <f t="shared" si="76"/>
        <v>a</v>
      </c>
      <c r="H146" t="str">
        <f>VLOOKUP(D146,name!A:C,3,1)</f>
        <v>assets/icons/image149.png</v>
      </c>
      <c r="I146" t="str">
        <f>IF(A146="","",VLOOKUP(A146,lng!A:B,2,0))</f>
        <v>en-GB</v>
      </c>
    </row>
    <row r="147" spans="1:9" x14ac:dyDescent="0.15">
      <c r="A147" t="str">
        <f t="shared" ref="A147:B147" si="104">A146</f>
        <v>英語</v>
      </c>
      <c r="B147">
        <f t="shared" si="104"/>
        <v>2</v>
      </c>
      <c r="C147">
        <f t="shared" si="89"/>
        <v>42</v>
      </c>
      <c r="D147">
        <v>0</v>
      </c>
      <c r="E147" t="str">
        <f>VLOOKUP(D147,name!A:B,2,1)</f>
        <v>Player</v>
      </c>
      <c r="F147" t="str">
        <f>F112</f>
        <v>This is your room.</v>
      </c>
      <c r="G147" t="str">
        <f t="shared" si="76"/>
        <v>q</v>
      </c>
      <c r="H147" t="str">
        <f>VLOOKUP(D147,name!A:C,3,1)</f>
        <v>assets/icons/image326.png</v>
      </c>
      <c r="I147" t="str">
        <f>IF(A147="","",VLOOKUP(A147,lng!A:B,2,0))</f>
        <v>en-GB</v>
      </c>
    </row>
    <row r="148" spans="1:9" x14ac:dyDescent="0.15">
      <c r="A148" t="str">
        <f t="shared" ref="A148:B148" si="105">A147</f>
        <v>英語</v>
      </c>
      <c r="B148">
        <f t="shared" si="105"/>
        <v>2</v>
      </c>
      <c r="C148">
        <f t="shared" si="89"/>
        <v>43</v>
      </c>
      <c r="D148">
        <f>D113</f>
        <v>31</v>
      </c>
      <c r="E148" t="str">
        <f>VLOOKUP(D148,name!A:B,2,1)</f>
        <v>Mrs. Bennett</v>
      </c>
      <c r="F148" t="str">
        <f>F113</f>
        <v xml:space="preserve"> 気にいってくれるといいのだけど。</v>
      </c>
      <c r="G148" t="str">
        <f t="shared" si="76"/>
        <v>a</v>
      </c>
      <c r="H148" t="str">
        <f>VLOOKUP(D148,name!A:C,3,1)</f>
        <v>assets/icons/image149.png</v>
      </c>
      <c r="I148" t="s">
        <v>402</v>
      </c>
    </row>
    <row r="149" spans="1:9" x14ac:dyDescent="0.15">
      <c r="A149" t="str">
        <f t="shared" ref="A149:B149" si="106">A148</f>
        <v>英語</v>
      </c>
      <c r="B149">
        <f t="shared" si="106"/>
        <v>2</v>
      </c>
      <c r="C149">
        <f t="shared" si="89"/>
        <v>44</v>
      </c>
      <c r="D149">
        <f>D114</f>
        <v>31</v>
      </c>
      <c r="E149" t="str">
        <f>VLOOKUP(D149,name!A:B,2,1)</f>
        <v>Mrs. Bennett</v>
      </c>
      <c r="F149" t="str">
        <f>F114</f>
        <v xml:space="preserve"> I hope you'll like it. </v>
      </c>
      <c r="G149" t="str">
        <f t="shared" si="76"/>
        <v>a</v>
      </c>
      <c r="H149" t="str">
        <f>VLOOKUP(D149,name!A:C,3,1)</f>
        <v>assets/icons/image149.png</v>
      </c>
      <c r="I149" t="str">
        <f>IF(A149="","",VLOOKUP(A149,lng!A:B,2,0))</f>
        <v>en-GB</v>
      </c>
    </row>
    <row r="150" spans="1:9" x14ac:dyDescent="0.15">
      <c r="A150" t="str">
        <f t="shared" ref="A150:B150" si="107">A149</f>
        <v>英語</v>
      </c>
      <c r="B150">
        <f t="shared" si="107"/>
        <v>2</v>
      </c>
      <c r="C150">
        <f t="shared" si="89"/>
        <v>45</v>
      </c>
      <c r="D150">
        <v>0</v>
      </c>
      <c r="E150" t="str">
        <f>VLOOKUP(D150,name!A:B,2,1)</f>
        <v>Player</v>
      </c>
      <c r="F150" t="str">
        <f>F114</f>
        <v xml:space="preserve"> I hope you'll like it. </v>
      </c>
      <c r="G150" t="str">
        <f t="shared" si="76"/>
        <v>q</v>
      </c>
      <c r="H150" t="str">
        <f>VLOOKUP(D150,name!A:C,3,1)</f>
        <v>assets/icons/image326.png</v>
      </c>
      <c r="I150" t="str">
        <f>IF(A150="","",VLOOKUP(A150,lng!A:B,2,0))</f>
        <v>en-GB</v>
      </c>
    </row>
    <row r="151" spans="1:9" x14ac:dyDescent="0.15">
      <c r="A151" t="str">
        <f t="shared" ref="A151:B151" si="108">A150</f>
        <v>英語</v>
      </c>
      <c r="B151">
        <f t="shared" si="108"/>
        <v>2</v>
      </c>
      <c r="C151">
        <f t="shared" si="89"/>
        <v>46</v>
      </c>
      <c r="D151">
        <f>D115</f>
        <v>31</v>
      </c>
      <c r="E151" t="str">
        <f>VLOOKUP(D151,name!A:B,2,1)</f>
        <v>Mrs. Bennett</v>
      </c>
      <c r="F151" t="str">
        <f>F115</f>
        <v>庭に面した大きな窓があります。</v>
      </c>
      <c r="G151" t="str">
        <f t="shared" si="76"/>
        <v>a</v>
      </c>
      <c r="H151" t="str">
        <f>VLOOKUP(D151,name!A:C,3,1)</f>
        <v>assets/icons/image149.png</v>
      </c>
      <c r="I151" t="s">
        <v>402</v>
      </c>
    </row>
    <row r="152" spans="1:9" x14ac:dyDescent="0.15">
      <c r="A152" t="str">
        <f t="shared" ref="A152:B152" si="109">A151</f>
        <v>英語</v>
      </c>
      <c r="B152">
        <f t="shared" si="109"/>
        <v>2</v>
      </c>
      <c r="C152">
        <f t="shared" si="89"/>
        <v>47</v>
      </c>
      <c r="D152">
        <f>D116</f>
        <v>31</v>
      </c>
      <c r="E152" t="str">
        <f>VLOOKUP(D152,name!A:B,2,1)</f>
        <v>Mrs. Bennett</v>
      </c>
      <c r="F152" t="str">
        <f>F116</f>
        <v>You've got a big window that looks out on the garden.</v>
      </c>
      <c r="G152" t="str">
        <f t="shared" si="76"/>
        <v>a</v>
      </c>
      <c r="H152" t="str">
        <f>VLOOKUP(D152,name!A:C,3,1)</f>
        <v>assets/icons/image149.png</v>
      </c>
      <c r="I152" t="str">
        <f>IF(A152="","",VLOOKUP(A152,lng!A:B,2,0))</f>
        <v>en-GB</v>
      </c>
    </row>
    <row r="153" spans="1:9" x14ac:dyDescent="0.15">
      <c r="A153" t="str">
        <f t="shared" ref="A153:B153" si="110">A152</f>
        <v>英語</v>
      </c>
      <c r="B153">
        <f t="shared" si="110"/>
        <v>2</v>
      </c>
      <c r="C153">
        <f t="shared" si="89"/>
        <v>48</v>
      </c>
      <c r="D153">
        <v>0</v>
      </c>
      <c r="E153" t="str">
        <f>VLOOKUP(D153,name!A:B,2,1)</f>
        <v>Player</v>
      </c>
      <c r="F153" t="str">
        <f>F116</f>
        <v>You've got a big window that looks out on the garden.</v>
      </c>
      <c r="G153" t="str">
        <f t="shared" si="76"/>
        <v>q</v>
      </c>
      <c r="H153" t="str">
        <f>VLOOKUP(D153,name!A:C,3,1)</f>
        <v>assets/icons/image326.png</v>
      </c>
      <c r="I153" t="str">
        <f>IF(A153="","",VLOOKUP(A153,lng!A:B,2,0))</f>
        <v>en-GB</v>
      </c>
    </row>
    <row r="154" spans="1:9" x14ac:dyDescent="0.15">
      <c r="A154" t="str">
        <f t="shared" ref="A154:B154" si="111">A153</f>
        <v>英語</v>
      </c>
      <c r="B154">
        <f t="shared" si="111"/>
        <v>2</v>
      </c>
      <c r="C154">
        <f t="shared" si="89"/>
        <v>49</v>
      </c>
      <c r="D154">
        <f>D117</f>
        <v>29</v>
      </c>
      <c r="E154" t="str">
        <f>VLOOKUP(D154,name!A:B,2,1)</f>
        <v>Eri</v>
      </c>
      <c r="F154" t="str">
        <f>F117</f>
        <v>きれいですね。</v>
      </c>
      <c r="G154" t="str">
        <f t="shared" si="76"/>
        <v>a</v>
      </c>
      <c r="H154" t="str">
        <f>VLOOKUP(D154,name!A:C,3,1)</f>
        <v>assets/icons/image209.png</v>
      </c>
      <c r="I154" t="s">
        <v>402</v>
      </c>
    </row>
    <row r="155" spans="1:9" x14ac:dyDescent="0.15">
      <c r="A155" t="str">
        <f t="shared" ref="A155:B155" si="112">A154</f>
        <v>英語</v>
      </c>
      <c r="B155">
        <f t="shared" si="112"/>
        <v>2</v>
      </c>
      <c r="C155">
        <f t="shared" si="89"/>
        <v>50</v>
      </c>
      <c r="D155">
        <f>D118</f>
        <v>29</v>
      </c>
      <c r="E155" t="str">
        <f>VLOOKUP(D155,name!A:B,2,1)</f>
        <v>Eri</v>
      </c>
      <c r="F155" t="str">
        <f>F118</f>
        <v>Oh, it's lovely.</v>
      </c>
      <c r="G155" t="str">
        <f t="shared" si="76"/>
        <v>a</v>
      </c>
      <c r="H155" t="str">
        <f>VLOOKUP(D155,name!A:C,3,1)</f>
        <v>assets/icons/image209.png</v>
      </c>
      <c r="I155" t="str">
        <f>IF(A155="","",VLOOKUP(A155,lng!A:B,2,0))</f>
        <v>en-GB</v>
      </c>
    </row>
    <row r="156" spans="1:9" x14ac:dyDescent="0.15">
      <c r="A156" t="str">
        <f t="shared" ref="A156:B156" si="113">A155</f>
        <v>英語</v>
      </c>
      <c r="B156">
        <f t="shared" si="113"/>
        <v>2</v>
      </c>
      <c r="C156">
        <f t="shared" si="89"/>
        <v>51</v>
      </c>
      <c r="D156">
        <v>0</v>
      </c>
      <c r="E156" t="str">
        <f>VLOOKUP(D156,name!A:B,2,1)</f>
        <v>Player</v>
      </c>
      <c r="F156" t="str">
        <f>F118</f>
        <v>Oh, it's lovely.</v>
      </c>
      <c r="G156" t="str">
        <f t="shared" si="76"/>
        <v>q</v>
      </c>
      <c r="H156" t="str">
        <f>VLOOKUP(D156,name!A:C,3,1)</f>
        <v>assets/icons/image326.png</v>
      </c>
      <c r="I156" t="str">
        <f>IF(A156="","",VLOOKUP(A156,lng!A:B,2,0))</f>
        <v>en-GB</v>
      </c>
    </row>
    <row r="157" spans="1:9" x14ac:dyDescent="0.15">
      <c r="A157" t="str">
        <f t="shared" ref="A157:B157" si="114">A156</f>
        <v>英語</v>
      </c>
      <c r="B157">
        <f t="shared" si="114"/>
        <v>2</v>
      </c>
      <c r="C157">
        <f t="shared" si="89"/>
        <v>52</v>
      </c>
      <c r="D157">
        <f>D119</f>
        <v>29</v>
      </c>
      <c r="E157" t="str">
        <f>VLOOKUP(D157,name!A:B,2,1)</f>
        <v>Eri</v>
      </c>
      <c r="F157" t="str">
        <f>F119</f>
        <v>それに、とても明るいです。</v>
      </c>
      <c r="G157" t="str">
        <f t="shared" si="76"/>
        <v>a</v>
      </c>
      <c r="H157" t="str">
        <f>VLOOKUP(D157,name!A:C,3,1)</f>
        <v>assets/icons/image209.png</v>
      </c>
      <c r="I157" t="s">
        <v>402</v>
      </c>
    </row>
    <row r="158" spans="1:9" x14ac:dyDescent="0.15">
      <c r="A158" t="str">
        <f t="shared" ref="A158:B158" si="115">A157</f>
        <v>英語</v>
      </c>
      <c r="B158">
        <f t="shared" si="115"/>
        <v>2</v>
      </c>
      <c r="C158">
        <f t="shared" si="89"/>
        <v>53</v>
      </c>
      <c r="D158">
        <f>D120</f>
        <v>29</v>
      </c>
      <c r="E158" t="str">
        <f>VLOOKUP(D158,name!A:B,2,1)</f>
        <v>Eri</v>
      </c>
      <c r="F158" t="str">
        <f>F120</f>
        <v>It's so light.</v>
      </c>
      <c r="G158" t="str">
        <f t="shared" ref="G158:G221" si="116">IF(B158&lt;&gt;B159,"e",IF(D158=0,"q","a"))</f>
        <v>a</v>
      </c>
      <c r="H158" t="str">
        <f>VLOOKUP(D158,name!A:C,3,1)</f>
        <v>assets/icons/image209.png</v>
      </c>
      <c r="I158" t="str">
        <f>IF(A158="","",VLOOKUP(A158,lng!A:B,2,0))</f>
        <v>en-GB</v>
      </c>
    </row>
    <row r="159" spans="1:9" x14ac:dyDescent="0.15">
      <c r="A159" t="str">
        <f t="shared" ref="A159:B159" si="117">A158</f>
        <v>英語</v>
      </c>
      <c r="B159">
        <f t="shared" si="117"/>
        <v>2</v>
      </c>
      <c r="C159">
        <f t="shared" si="89"/>
        <v>54</v>
      </c>
      <c r="D159">
        <v>0</v>
      </c>
      <c r="E159" t="str">
        <f>VLOOKUP(D159,name!A:B,2,1)</f>
        <v>Player</v>
      </c>
      <c r="F159" t="str">
        <f>F120</f>
        <v>It's so light.</v>
      </c>
      <c r="G159" t="str">
        <f t="shared" si="116"/>
        <v>q</v>
      </c>
      <c r="H159" t="str">
        <f>VLOOKUP(D159,name!A:C,3,1)</f>
        <v>assets/icons/image326.png</v>
      </c>
      <c r="I159" t="str">
        <f>IF(A159="","",VLOOKUP(A159,lng!A:B,2,0))</f>
        <v>en-GB</v>
      </c>
    </row>
    <row r="160" spans="1:9" x14ac:dyDescent="0.15">
      <c r="A160" t="str">
        <f t="shared" ref="A160:B160" si="118">A159</f>
        <v>英語</v>
      </c>
      <c r="B160">
        <f t="shared" si="118"/>
        <v>2</v>
      </c>
      <c r="C160">
        <f t="shared" si="89"/>
        <v>55</v>
      </c>
      <c r="D160">
        <f>D121</f>
        <v>31</v>
      </c>
      <c r="E160" t="str">
        <f>VLOOKUP(D160,name!A:B,2,1)</f>
        <v>Mrs. Bennett</v>
      </c>
      <c r="F160" t="str">
        <f>F121</f>
        <v>バスルームはここ</v>
      </c>
      <c r="G160" t="str">
        <f t="shared" si="116"/>
        <v>a</v>
      </c>
      <c r="H160" t="str">
        <f>VLOOKUP(D160,name!A:C,3,1)</f>
        <v>assets/icons/image149.png</v>
      </c>
      <c r="I160" t="s">
        <v>402</v>
      </c>
    </row>
    <row r="161" spans="1:9" x14ac:dyDescent="0.15">
      <c r="A161" t="str">
        <f t="shared" ref="A161:B161" si="119">A160</f>
        <v>英語</v>
      </c>
      <c r="B161">
        <f t="shared" si="119"/>
        <v>2</v>
      </c>
      <c r="C161">
        <f t="shared" si="89"/>
        <v>56</v>
      </c>
      <c r="D161">
        <f>D122</f>
        <v>31</v>
      </c>
      <c r="E161" t="str">
        <f>VLOOKUP(D161,name!A:B,2,1)</f>
        <v>Mrs. Bennett</v>
      </c>
      <c r="F161" t="str">
        <f>F122</f>
        <v>Your bathroom's in here.</v>
      </c>
      <c r="G161" t="str">
        <f t="shared" si="116"/>
        <v>a</v>
      </c>
      <c r="H161" t="str">
        <f>VLOOKUP(D161,name!A:C,3,1)</f>
        <v>assets/icons/image149.png</v>
      </c>
      <c r="I161" t="str">
        <f>IF(A161="","",VLOOKUP(A161,lng!A:B,2,0))</f>
        <v>en-GB</v>
      </c>
    </row>
    <row r="162" spans="1:9" x14ac:dyDescent="0.15">
      <c r="A162" t="str">
        <f t="shared" ref="A162:B162" si="120">A161</f>
        <v>英語</v>
      </c>
      <c r="B162">
        <f t="shared" si="120"/>
        <v>2</v>
      </c>
      <c r="C162">
        <f t="shared" si="89"/>
        <v>57</v>
      </c>
      <c r="D162">
        <v>0</v>
      </c>
      <c r="E162" t="str">
        <f>VLOOKUP(D162,name!A:B,2,1)</f>
        <v>Player</v>
      </c>
      <c r="F162" t="str">
        <f>F122</f>
        <v>Your bathroom's in here.</v>
      </c>
      <c r="G162" t="str">
        <f t="shared" si="116"/>
        <v>q</v>
      </c>
      <c r="H162" t="str">
        <f>VLOOKUP(D162,name!A:C,3,1)</f>
        <v>assets/icons/image326.png</v>
      </c>
      <c r="I162" t="str">
        <f>IF(A162="","",VLOOKUP(A162,lng!A:B,2,0))</f>
        <v>en-GB</v>
      </c>
    </row>
    <row r="163" spans="1:9" x14ac:dyDescent="0.15">
      <c r="A163" t="str">
        <f t="shared" ref="A163:B163" si="121">A162</f>
        <v>英語</v>
      </c>
      <c r="B163">
        <f t="shared" si="121"/>
        <v>2</v>
      </c>
      <c r="C163">
        <f t="shared" si="89"/>
        <v>58</v>
      </c>
      <c r="D163">
        <f>D123</f>
        <v>31</v>
      </c>
      <c r="E163" t="str">
        <f>VLOOKUP(D163,name!A:B,2,1)</f>
        <v>Mrs. Bennett</v>
      </c>
      <c r="F163" t="str">
        <f>F123</f>
        <v xml:space="preserve"> シャワー室と言ってもいいかも</v>
      </c>
      <c r="G163" t="str">
        <f t="shared" si="116"/>
        <v>a</v>
      </c>
      <c r="H163" t="str">
        <f>VLOOKUP(D163,name!A:C,3,1)</f>
        <v>assets/icons/image149.png</v>
      </c>
      <c r="I163" t="s">
        <v>402</v>
      </c>
    </row>
    <row r="164" spans="1:9" x14ac:dyDescent="0.15">
      <c r="A164" t="str">
        <f t="shared" ref="A164:B164" si="122">A163</f>
        <v>英語</v>
      </c>
      <c r="B164">
        <f t="shared" si="122"/>
        <v>2</v>
      </c>
      <c r="C164">
        <f t="shared" si="89"/>
        <v>59</v>
      </c>
      <c r="D164">
        <f>D124</f>
        <v>31</v>
      </c>
      <c r="E164" t="str">
        <f>VLOOKUP(D164,name!A:B,2,1)</f>
        <v>Mrs. Bennett</v>
      </c>
      <c r="F164" t="str">
        <f>F124</f>
        <v>Well, shower room, I should say.</v>
      </c>
      <c r="G164" t="str">
        <f t="shared" si="116"/>
        <v>a</v>
      </c>
      <c r="H164" t="str">
        <f>VLOOKUP(D164,name!A:C,3,1)</f>
        <v>assets/icons/image149.png</v>
      </c>
      <c r="I164" t="str">
        <f>IF(A164="","",VLOOKUP(A164,lng!A:B,2,0))</f>
        <v>en-GB</v>
      </c>
    </row>
    <row r="165" spans="1:9" x14ac:dyDescent="0.15">
      <c r="A165" t="str">
        <f t="shared" ref="A165:B165" si="123">A164</f>
        <v>英語</v>
      </c>
      <c r="B165">
        <f t="shared" si="123"/>
        <v>2</v>
      </c>
      <c r="C165">
        <f t="shared" si="89"/>
        <v>60</v>
      </c>
      <c r="D165">
        <v>0</v>
      </c>
      <c r="E165" t="str">
        <f>VLOOKUP(D165,name!A:B,2,1)</f>
        <v>Player</v>
      </c>
      <c r="F165" t="str">
        <f>F124</f>
        <v>Well, shower room, I should say.</v>
      </c>
      <c r="G165" t="str">
        <f t="shared" si="116"/>
        <v>q</v>
      </c>
      <c r="H165" t="str">
        <f>VLOOKUP(D165,name!A:C,3,1)</f>
        <v>assets/icons/image326.png</v>
      </c>
      <c r="I165" t="str">
        <f>IF(A165="","",VLOOKUP(A165,lng!A:B,2,0))</f>
        <v>en-GB</v>
      </c>
    </row>
    <row r="166" spans="1:9" x14ac:dyDescent="0.15">
      <c r="A166" t="str">
        <f t="shared" ref="A166:B166" si="124">A165</f>
        <v>英語</v>
      </c>
      <c r="B166">
        <f t="shared" si="124"/>
        <v>2</v>
      </c>
      <c r="C166">
        <f t="shared" si="89"/>
        <v>61</v>
      </c>
      <c r="D166">
        <f>D125</f>
        <v>29</v>
      </c>
      <c r="E166" t="str">
        <f>VLOOKUP(D166,name!A:B,2,1)</f>
        <v>Eri</v>
      </c>
      <c r="F166" t="str">
        <f>F125</f>
        <v>すみません、</v>
      </c>
      <c r="G166" t="str">
        <f t="shared" si="116"/>
        <v>a</v>
      </c>
      <c r="H166" t="str">
        <f>VLOOKUP(D166,name!A:C,3,1)</f>
        <v>assets/icons/image209.png</v>
      </c>
      <c r="I166" t="s">
        <v>402</v>
      </c>
    </row>
    <row r="167" spans="1:9" x14ac:dyDescent="0.15">
      <c r="A167" t="str">
        <f t="shared" ref="A167:B167" si="125">A166</f>
        <v>英語</v>
      </c>
      <c r="B167">
        <f t="shared" si="125"/>
        <v>2</v>
      </c>
      <c r="C167">
        <f t="shared" si="89"/>
        <v>62</v>
      </c>
      <c r="D167">
        <f>D126</f>
        <v>29</v>
      </c>
      <c r="E167" t="str">
        <f>VLOOKUP(D167,name!A:B,2,1)</f>
        <v>Eri</v>
      </c>
      <c r="F167" t="str">
        <f>F126</f>
        <v xml:space="preserve">Excuse me. </v>
      </c>
      <c r="G167" t="str">
        <f t="shared" si="116"/>
        <v>a</v>
      </c>
      <c r="H167" t="str">
        <f>VLOOKUP(D167,name!A:C,3,1)</f>
        <v>assets/icons/image209.png</v>
      </c>
      <c r="I167" t="str">
        <f>IF(A167="","",VLOOKUP(A167,lng!A:B,2,0))</f>
        <v>en-GB</v>
      </c>
    </row>
    <row r="168" spans="1:9" x14ac:dyDescent="0.15">
      <c r="A168" t="str">
        <f t="shared" ref="A168:B168" si="126">A167</f>
        <v>英語</v>
      </c>
      <c r="B168">
        <f t="shared" si="126"/>
        <v>2</v>
      </c>
      <c r="C168">
        <f t="shared" si="89"/>
        <v>63</v>
      </c>
      <c r="D168">
        <v>0</v>
      </c>
      <c r="E168" t="str">
        <f>VLOOKUP(D168,name!A:B,2,1)</f>
        <v>Player</v>
      </c>
      <c r="F168" t="str">
        <f>F126</f>
        <v xml:space="preserve">Excuse me. </v>
      </c>
      <c r="G168" t="str">
        <f t="shared" si="116"/>
        <v>q</v>
      </c>
      <c r="H168" t="str">
        <f>VLOOKUP(D168,name!A:C,3,1)</f>
        <v>assets/icons/image326.png</v>
      </c>
      <c r="I168" t="str">
        <f>IF(A168="","",VLOOKUP(A168,lng!A:B,2,0))</f>
        <v>en-GB</v>
      </c>
    </row>
    <row r="169" spans="1:9" x14ac:dyDescent="0.15">
      <c r="A169" t="str">
        <f t="shared" ref="A169:B169" si="127">A168</f>
        <v>英語</v>
      </c>
      <c r="B169">
        <f t="shared" si="127"/>
        <v>2</v>
      </c>
      <c r="C169">
        <f t="shared" si="89"/>
        <v>64</v>
      </c>
      <c r="D169">
        <f>D127</f>
        <v>29</v>
      </c>
      <c r="E169" t="str">
        <f>VLOOKUP(D169,name!A:B,2,1)</f>
        <v>Eri</v>
      </c>
      <c r="F169" t="str">
        <f>F127</f>
        <v>このスィッチは何のためにあるのですか?</v>
      </c>
      <c r="G169" t="str">
        <f t="shared" si="116"/>
        <v>a</v>
      </c>
      <c r="H169" t="str">
        <f>VLOOKUP(D169,name!A:C,3,1)</f>
        <v>assets/icons/image209.png</v>
      </c>
      <c r="I169" t="s">
        <v>402</v>
      </c>
    </row>
    <row r="170" spans="1:9" x14ac:dyDescent="0.15">
      <c r="A170" t="str">
        <f t="shared" ref="A170:B170" si="128">A169</f>
        <v>英語</v>
      </c>
      <c r="B170">
        <f t="shared" si="128"/>
        <v>2</v>
      </c>
      <c r="C170">
        <f t="shared" si="89"/>
        <v>65</v>
      </c>
      <c r="D170">
        <f>D128</f>
        <v>29</v>
      </c>
      <c r="E170" t="str">
        <f>VLOOKUP(D170,name!A:B,2,1)</f>
        <v>Eri</v>
      </c>
      <c r="F170" t="str">
        <f>F128</f>
        <v>What's this switch for?</v>
      </c>
      <c r="G170" t="str">
        <f t="shared" si="116"/>
        <v>a</v>
      </c>
      <c r="H170" t="str">
        <f>VLOOKUP(D170,name!A:C,3,1)</f>
        <v>assets/icons/image209.png</v>
      </c>
      <c r="I170" t="str">
        <f>IF(A170="","",VLOOKUP(A170,lng!A:B,2,0))</f>
        <v>en-GB</v>
      </c>
    </row>
    <row r="171" spans="1:9" x14ac:dyDescent="0.15">
      <c r="A171" t="str">
        <f t="shared" ref="A171:B171" si="129">A170</f>
        <v>英語</v>
      </c>
      <c r="B171">
        <f t="shared" si="129"/>
        <v>2</v>
      </c>
      <c r="C171">
        <f t="shared" si="89"/>
        <v>66</v>
      </c>
      <c r="D171">
        <v>0</v>
      </c>
      <c r="E171" t="str">
        <f>VLOOKUP(D171,name!A:B,2,1)</f>
        <v>Player</v>
      </c>
      <c r="F171" t="str">
        <f>F128</f>
        <v>What's this switch for?</v>
      </c>
      <c r="G171" t="str">
        <f t="shared" si="116"/>
        <v>q</v>
      </c>
      <c r="H171" t="str">
        <f>VLOOKUP(D171,name!A:C,3,1)</f>
        <v>assets/icons/image326.png</v>
      </c>
      <c r="I171" t="str">
        <f>IF(A171="","",VLOOKUP(A171,lng!A:B,2,0))</f>
        <v>en-GB</v>
      </c>
    </row>
    <row r="172" spans="1:9" x14ac:dyDescent="0.15">
      <c r="A172" t="str">
        <f t="shared" ref="A172:B172" si="130">A171</f>
        <v>英語</v>
      </c>
      <c r="B172">
        <f t="shared" si="130"/>
        <v>2</v>
      </c>
      <c r="C172">
        <f t="shared" ref="C172:C223" si="131">C171+1</f>
        <v>67</v>
      </c>
      <c r="D172">
        <f>D129</f>
        <v>31</v>
      </c>
      <c r="E172" t="str">
        <f>VLOOKUP(D172,name!A:B,2,1)</f>
        <v>Mrs. Bennett</v>
      </c>
      <c r="F172" t="str">
        <f>F129</f>
        <v>それは、換気扇の。</v>
      </c>
      <c r="G172" t="str">
        <f t="shared" si="116"/>
        <v>a</v>
      </c>
      <c r="H172" t="str">
        <f>VLOOKUP(D172,name!A:C,3,1)</f>
        <v>assets/icons/image149.png</v>
      </c>
      <c r="I172" t="s">
        <v>402</v>
      </c>
    </row>
    <row r="173" spans="1:9" x14ac:dyDescent="0.15">
      <c r="A173" t="str">
        <f t="shared" ref="A173:B173" si="132">A172</f>
        <v>英語</v>
      </c>
      <c r="B173">
        <f t="shared" si="132"/>
        <v>2</v>
      </c>
      <c r="C173">
        <f t="shared" si="131"/>
        <v>68</v>
      </c>
      <c r="D173">
        <f>D130</f>
        <v>31</v>
      </c>
      <c r="E173" t="str">
        <f>VLOOKUP(D173,name!A:B,2,1)</f>
        <v>Mrs. Bennett</v>
      </c>
      <c r="F173" t="str">
        <f>F130</f>
        <v>Oh, that's just for the fan.</v>
      </c>
      <c r="G173" t="str">
        <f t="shared" si="116"/>
        <v>a</v>
      </c>
      <c r="H173" t="str">
        <f>VLOOKUP(D173,name!A:C,3,1)</f>
        <v>assets/icons/image149.png</v>
      </c>
      <c r="I173" t="str">
        <f>IF(A173="","",VLOOKUP(A173,lng!A:B,2,0))</f>
        <v>en-GB</v>
      </c>
    </row>
    <row r="174" spans="1:9" x14ac:dyDescent="0.15">
      <c r="A174" t="str">
        <f t="shared" ref="A174:B174" si="133">A173</f>
        <v>英語</v>
      </c>
      <c r="B174">
        <f t="shared" si="133"/>
        <v>2</v>
      </c>
      <c r="C174">
        <f t="shared" si="131"/>
        <v>69</v>
      </c>
      <c r="D174">
        <v>0</v>
      </c>
      <c r="E174" t="str">
        <f>VLOOKUP(D174,name!A:B,2,1)</f>
        <v>Player</v>
      </c>
      <c r="F174" t="str">
        <f>F130</f>
        <v>Oh, that's just for the fan.</v>
      </c>
      <c r="G174" t="str">
        <f t="shared" si="116"/>
        <v>q</v>
      </c>
      <c r="H174" t="str">
        <f>VLOOKUP(D174,name!A:C,3,1)</f>
        <v>assets/icons/image326.png</v>
      </c>
      <c r="I174" t="str">
        <f>IF(A174="","",VLOOKUP(A174,lng!A:B,2,0))</f>
        <v>en-GB</v>
      </c>
    </row>
    <row r="175" spans="1:9" x14ac:dyDescent="0.15">
      <c r="A175" t="str">
        <f t="shared" ref="A175:B175" si="134">A174</f>
        <v>英語</v>
      </c>
      <c r="B175">
        <f t="shared" si="134"/>
        <v>2</v>
      </c>
      <c r="C175">
        <f t="shared" si="131"/>
        <v>70</v>
      </c>
      <c r="D175">
        <f>D131</f>
        <v>31</v>
      </c>
      <c r="E175" t="str">
        <f>VLOOKUP(D175,name!A:B,2,1)</f>
        <v>Mrs. Bennett</v>
      </c>
      <c r="F175" t="str">
        <f>F131</f>
        <v>くつろいで</v>
      </c>
      <c r="G175" t="str">
        <f t="shared" si="116"/>
        <v>a</v>
      </c>
      <c r="H175" t="str">
        <f>VLOOKUP(D175,name!A:C,3,1)</f>
        <v>assets/icons/image149.png</v>
      </c>
      <c r="I175" t="s">
        <v>402</v>
      </c>
    </row>
    <row r="176" spans="1:9" x14ac:dyDescent="0.15">
      <c r="A176" t="str">
        <f t="shared" ref="A176:B176" si="135">A175</f>
        <v>英語</v>
      </c>
      <c r="B176">
        <f t="shared" si="135"/>
        <v>2</v>
      </c>
      <c r="C176">
        <f t="shared" si="131"/>
        <v>71</v>
      </c>
      <c r="D176">
        <f>D132</f>
        <v>31</v>
      </c>
      <c r="E176" t="str">
        <f>VLOOKUP(D176,name!A:B,2,1)</f>
        <v>Mrs. Bennett</v>
      </c>
      <c r="F176" t="str">
        <f>F132</f>
        <v>Please make yourself at home.</v>
      </c>
      <c r="G176" t="str">
        <f t="shared" si="116"/>
        <v>a</v>
      </c>
      <c r="H176" t="str">
        <f>VLOOKUP(D176,name!A:C,3,1)</f>
        <v>assets/icons/image149.png</v>
      </c>
      <c r="I176" t="str">
        <f>IF(A176="","",VLOOKUP(A176,lng!A:B,2,0))</f>
        <v>en-GB</v>
      </c>
    </row>
    <row r="177" spans="1:9" x14ac:dyDescent="0.15">
      <c r="A177" t="str">
        <f t="shared" ref="A177:B177" si="136">A176</f>
        <v>英語</v>
      </c>
      <c r="B177">
        <f t="shared" si="136"/>
        <v>2</v>
      </c>
      <c r="C177">
        <f t="shared" si="131"/>
        <v>72</v>
      </c>
      <c r="D177">
        <v>0</v>
      </c>
      <c r="E177" t="str">
        <f>VLOOKUP(D177,name!A:B,2,1)</f>
        <v>Player</v>
      </c>
      <c r="F177" t="str">
        <f>F132</f>
        <v>Please make yourself at home.</v>
      </c>
      <c r="G177" t="str">
        <f t="shared" si="116"/>
        <v>q</v>
      </c>
      <c r="H177" t="str">
        <f>VLOOKUP(D177,name!A:C,3,1)</f>
        <v>assets/icons/image326.png</v>
      </c>
      <c r="I177" t="str">
        <f>IF(A177="","",VLOOKUP(A177,lng!A:B,2,0))</f>
        <v>en-GB</v>
      </c>
    </row>
    <row r="178" spans="1:9" x14ac:dyDescent="0.15">
      <c r="A178" t="str">
        <f t="shared" ref="A178:B178" si="137">A177</f>
        <v>英語</v>
      </c>
      <c r="B178">
        <f t="shared" si="137"/>
        <v>2</v>
      </c>
      <c r="C178">
        <f t="shared" si="131"/>
        <v>73</v>
      </c>
      <c r="D178">
        <f>D133</f>
        <v>31</v>
      </c>
      <c r="E178" t="str">
        <f>VLOOKUP(D178,name!A:B,2,1)</f>
        <v>Mrs. Bennett</v>
      </c>
      <c r="F178" t="str">
        <f>F133</f>
        <v>階下に行って、 お茶のしたくをします。</v>
      </c>
      <c r="G178" t="str">
        <f t="shared" si="116"/>
        <v>a</v>
      </c>
      <c r="H178" t="str">
        <f>VLOOKUP(D178,name!A:C,3,1)</f>
        <v>assets/icons/image149.png</v>
      </c>
      <c r="I178" t="s">
        <v>402</v>
      </c>
    </row>
    <row r="179" spans="1:9" x14ac:dyDescent="0.15">
      <c r="A179" t="str">
        <f t="shared" ref="A179:B179" si="138">A178</f>
        <v>英語</v>
      </c>
      <c r="B179">
        <f t="shared" si="138"/>
        <v>2</v>
      </c>
      <c r="C179">
        <f t="shared" si="131"/>
        <v>74</v>
      </c>
      <c r="D179">
        <f>D134</f>
        <v>31</v>
      </c>
      <c r="E179" t="str">
        <f>VLOOKUP(D179,name!A:B,2,1)</f>
        <v>Mrs. Bennett</v>
      </c>
      <c r="F179" t="str">
        <f>F134</f>
        <v xml:space="preserve">I'll be downstairs making us a cup of tea. </v>
      </c>
      <c r="G179" t="str">
        <f t="shared" si="116"/>
        <v>a</v>
      </c>
      <c r="H179" t="str">
        <f>VLOOKUP(D179,name!A:C,3,1)</f>
        <v>assets/icons/image149.png</v>
      </c>
      <c r="I179" t="str">
        <f>IF(A179="","",VLOOKUP(A179,lng!A:B,2,0))</f>
        <v>en-GB</v>
      </c>
    </row>
    <row r="180" spans="1:9" x14ac:dyDescent="0.15">
      <c r="A180" t="str">
        <f t="shared" ref="A180:B180" si="139">A179</f>
        <v>英語</v>
      </c>
      <c r="B180">
        <f t="shared" si="139"/>
        <v>2</v>
      </c>
      <c r="C180">
        <f t="shared" si="131"/>
        <v>75</v>
      </c>
      <c r="D180">
        <v>0</v>
      </c>
      <c r="E180" t="str">
        <f>VLOOKUP(D180,name!A:B,2,1)</f>
        <v>Player</v>
      </c>
      <c r="F180" t="str">
        <f>F134</f>
        <v xml:space="preserve">I'll be downstairs making us a cup of tea. </v>
      </c>
      <c r="G180" t="str">
        <f t="shared" si="116"/>
        <v>q</v>
      </c>
      <c r="H180" t="str">
        <f>VLOOKUP(D180,name!A:C,3,1)</f>
        <v>assets/icons/image326.png</v>
      </c>
      <c r="I180" t="str">
        <f>IF(A180="","",VLOOKUP(A180,lng!A:B,2,0))</f>
        <v>en-GB</v>
      </c>
    </row>
    <row r="181" spans="1:9" x14ac:dyDescent="0.15">
      <c r="A181" t="str">
        <f t="shared" ref="A181:B181" si="140">A180</f>
        <v>英語</v>
      </c>
      <c r="B181">
        <f t="shared" si="140"/>
        <v>2</v>
      </c>
      <c r="C181">
        <f t="shared" si="131"/>
        <v>76</v>
      </c>
      <c r="D181">
        <f>D135</f>
        <v>31</v>
      </c>
      <c r="E181" t="str">
        <f>VLOOKUP(D181,name!A:B,2,1)</f>
        <v>Mrs. Bennett</v>
      </c>
      <c r="F181" t="str">
        <f>F135</f>
        <v xml:space="preserve"> 何か必要なものがあれば、 呼んでね。</v>
      </c>
      <c r="G181" t="str">
        <f t="shared" si="116"/>
        <v>a</v>
      </c>
      <c r="H181" t="str">
        <f>VLOOKUP(D181,name!A:C,3,1)</f>
        <v>assets/icons/image149.png</v>
      </c>
      <c r="I181" t="s">
        <v>402</v>
      </c>
    </row>
    <row r="182" spans="1:9" x14ac:dyDescent="0.15">
      <c r="A182" t="str">
        <f t="shared" ref="A182:B182" si="141">A181</f>
        <v>英語</v>
      </c>
      <c r="B182">
        <f t="shared" si="141"/>
        <v>2</v>
      </c>
      <c r="C182">
        <f t="shared" si="131"/>
        <v>77</v>
      </c>
      <c r="D182">
        <f>D136</f>
        <v>31</v>
      </c>
      <c r="E182" t="str">
        <f>VLOOKUP(D182,name!A:B,2,1)</f>
        <v>Mrs. Bennett</v>
      </c>
      <c r="F182" t="str">
        <f>F136</f>
        <v>Just call me if you need anything.</v>
      </c>
      <c r="G182" t="str">
        <f t="shared" si="116"/>
        <v>a</v>
      </c>
      <c r="H182" t="str">
        <f>VLOOKUP(D182,name!A:C,3,1)</f>
        <v>assets/icons/image149.png</v>
      </c>
      <c r="I182" t="str">
        <f>IF(A182="","",VLOOKUP(A182,lng!A:B,2,0))</f>
        <v>en-GB</v>
      </c>
    </row>
    <row r="183" spans="1:9" x14ac:dyDescent="0.15">
      <c r="A183" t="str">
        <f t="shared" ref="A183:B183" si="142">A182</f>
        <v>英語</v>
      </c>
      <c r="B183">
        <f t="shared" si="142"/>
        <v>2</v>
      </c>
      <c r="C183">
        <f t="shared" si="131"/>
        <v>78</v>
      </c>
      <c r="D183">
        <v>0</v>
      </c>
      <c r="E183" t="str">
        <f>VLOOKUP(D183,name!A:B,2,1)</f>
        <v>Player</v>
      </c>
      <c r="F183" t="str">
        <f>F136</f>
        <v>Just call me if you need anything.</v>
      </c>
      <c r="G183" t="str">
        <f t="shared" si="116"/>
        <v>q</v>
      </c>
      <c r="H183" t="str">
        <f>VLOOKUP(D183,name!A:C,3,1)</f>
        <v>assets/icons/image326.png</v>
      </c>
      <c r="I183" t="str">
        <f>IF(A183="","",VLOOKUP(A183,lng!A:B,2,0))</f>
        <v>en-GB</v>
      </c>
    </row>
    <row r="184" spans="1:9" x14ac:dyDescent="0.15">
      <c r="A184" t="str">
        <f t="shared" ref="A184:B184" si="143">A183</f>
        <v>英語</v>
      </c>
      <c r="B184">
        <f t="shared" si="143"/>
        <v>2</v>
      </c>
      <c r="C184">
        <f t="shared" si="131"/>
        <v>79</v>
      </c>
      <c r="D184">
        <f>D137</f>
        <v>29</v>
      </c>
      <c r="E184" t="str">
        <f>VLOOKUP(D184,name!A:B,2,1)</f>
        <v>Eri</v>
      </c>
      <c r="F184" t="str">
        <f>F137</f>
        <v>ありがとうございます。</v>
      </c>
      <c r="G184" t="str">
        <f t="shared" si="116"/>
        <v>a</v>
      </c>
      <c r="H184" t="str">
        <f>VLOOKUP(D184,name!A:C,3,1)</f>
        <v>assets/icons/image209.png</v>
      </c>
      <c r="I184" t="s">
        <v>402</v>
      </c>
    </row>
    <row r="185" spans="1:9" x14ac:dyDescent="0.15">
      <c r="A185" t="str">
        <f t="shared" ref="A185:B185" si="144">A184</f>
        <v>英語</v>
      </c>
      <c r="B185">
        <f t="shared" si="144"/>
        <v>2</v>
      </c>
      <c r="C185">
        <f t="shared" si="131"/>
        <v>80</v>
      </c>
      <c r="D185">
        <f>D138</f>
        <v>29</v>
      </c>
      <c r="E185" t="str">
        <f>VLOOKUP(D185,name!A:B,2,1)</f>
        <v>Eri</v>
      </c>
      <c r="F185" t="str">
        <f>F138</f>
        <v xml:space="preserve">Thank you. </v>
      </c>
      <c r="G185" t="str">
        <f t="shared" si="116"/>
        <v>a</v>
      </c>
      <c r="H185" t="str">
        <f>VLOOKUP(D185,name!A:C,3,1)</f>
        <v>assets/icons/image209.png</v>
      </c>
      <c r="I185" t="str">
        <f>IF(A185="","",VLOOKUP(A185,lng!A:B,2,0))</f>
        <v>en-GB</v>
      </c>
    </row>
    <row r="186" spans="1:9" x14ac:dyDescent="0.15">
      <c r="A186" t="str">
        <f t="shared" ref="A186:B186" si="145">A185</f>
        <v>英語</v>
      </c>
      <c r="B186">
        <f t="shared" si="145"/>
        <v>2</v>
      </c>
      <c r="C186">
        <f t="shared" si="131"/>
        <v>81</v>
      </c>
      <c r="D186">
        <v>0</v>
      </c>
      <c r="E186" t="str">
        <f>VLOOKUP(D186,name!A:B,2,1)</f>
        <v>Player</v>
      </c>
      <c r="F186" t="str">
        <f>F138</f>
        <v xml:space="preserve">Thank you. </v>
      </c>
      <c r="G186" t="str">
        <f t="shared" si="116"/>
        <v>q</v>
      </c>
      <c r="H186" t="str">
        <f>VLOOKUP(D186,name!A:C,3,1)</f>
        <v>assets/icons/image326.png</v>
      </c>
      <c r="I186" t="str">
        <f>IF(A186="","",VLOOKUP(A186,lng!A:B,2,0))</f>
        <v>en-GB</v>
      </c>
    </row>
    <row r="187" spans="1:9" x14ac:dyDescent="0.15">
      <c r="A187" t="str">
        <f t="shared" ref="A187:B187" si="146">A186</f>
        <v>英語</v>
      </c>
      <c r="B187">
        <f t="shared" si="146"/>
        <v>2</v>
      </c>
      <c r="C187">
        <f t="shared" si="131"/>
        <v>82</v>
      </c>
      <c r="D187">
        <f>D139</f>
        <v>29</v>
      </c>
      <c r="E187" t="str">
        <f>VLOOKUP(D187,name!A:B,2,1)</f>
        <v>Eri</v>
      </c>
      <c r="F187" t="str">
        <f>F139</f>
        <v>親切ですね。</v>
      </c>
      <c r="G187" t="str">
        <f t="shared" si="116"/>
        <v>a</v>
      </c>
      <c r="H187" t="str">
        <f>VLOOKUP(D187,name!A:C,3,1)</f>
        <v>assets/icons/image209.png</v>
      </c>
      <c r="I187" t="s">
        <v>402</v>
      </c>
    </row>
    <row r="188" spans="1:9" x14ac:dyDescent="0.15">
      <c r="A188" t="str">
        <f t="shared" ref="A188:B188" si="147">A187</f>
        <v>英語</v>
      </c>
      <c r="B188">
        <f t="shared" si="147"/>
        <v>2</v>
      </c>
      <c r="C188">
        <f t="shared" si="131"/>
        <v>83</v>
      </c>
      <c r="D188">
        <f>D140</f>
        <v>29</v>
      </c>
      <c r="E188" t="str">
        <f>VLOOKUP(D188,name!A:B,2,1)</f>
        <v>Eri</v>
      </c>
      <c r="F188" t="str">
        <f>F140</f>
        <v>That's very kind of you.</v>
      </c>
      <c r="G188" t="str">
        <f t="shared" si="116"/>
        <v>a</v>
      </c>
      <c r="H188" t="str">
        <f>VLOOKUP(D188,name!A:C,3,1)</f>
        <v>assets/icons/image209.png</v>
      </c>
      <c r="I188" t="str">
        <f>IF(A188="","",VLOOKUP(A188,lng!A:B,2,0))</f>
        <v>en-GB</v>
      </c>
    </row>
    <row r="189" spans="1:9" x14ac:dyDescent="0.15">
      <c r="A189" t="str">
        <f t="shared" ref="A189:B189" si="148">A188</f>
        <v>英語</v>
      </c>
      <c r="B189">
        <f t="shared" si="148"/>
        <v>2</v>
      </c>
      <c r="C189">
        <f t="shared" si="131"/>
        <v>84</v>
      </c>
      <c r="D189">
        <v>0</v>
      </c>
      <c r="E189" t="str">
        <f>VLOOKUP(D189,name!A:B,2,1)</f>
        <v>Player</v>
      </c>
      <c r="F189" t="str">
        <f>F140</f>
        <v>That's very kind of you.</v>
      </c>
      <c r="G189" t="str">
        <f t="shared" si="116"/>
        <v>q</v>
      </c>
      <c r="H189" t="str">
        <f>VLOOKUP(D189,name!A:C,3,1)</f>
        <v>assets/icons/image326.png</v>
      </c>
      <c r="I189" t="str">
        <f>IF(A189="","",VLOOKUP(A189,lng!A:B,2,0))</f>
        <v>en-GB</v>
      </c>
    </row>
    <row r="190" spans="1:9" x14ac:dyDescent="0.15">
      <c r="A190" t="str">
        <f t="shared" ref="A190:B190" si="149">A189</f>
        <v>英語</v>
      </c>
      <c r="B190">
        <f t="shared" si="149"/>
        <v>2</v>
      </c>
      <c r="C190">
        <f t="shared" si="131"/>
        <v>85</v>
      </c>
      <c r="D190">
        <v>1</v>
      </c>
      <c r="E190" t="str">
        <f>VLOOKUP(D190,name!A:B,2,1)</f>
        <v>Navigator</v>
      </c>
      <c r="F190" t="str">
        <f>"次の日本語を"&amp;A190&amp;"に訳して答えてね！"</f>
        <v>次の日本語を英語に訳して答えてね！</v>
      </c>
      <c r="G190" t="str">
        <f t="shared" si="116"/>
        <v>a</v>
      </c>
      <c r="H190" t="str">
        <f>VLOOKUP(D190,name!A:C,3,1)</f>
        <v>assets/icons/image014.png</v>
      </c>
      <c r="I190" t="s">
        <v>402</v>
      </c>
    </row>
    <row r="191" spans="1:9" x14ac:dyDescent="0.15">
      <c r="A191" t="str">
        <f t="shared" ref="A191:B191" si="150">A190</f>
        <v>英語</v>
      </c>
      <c r="B191">
        <f t="shared" si="150"/>
        <v>2</v>
      </c>
      <c r="C191">
        <f t="shared" si="131"/>
        <v>86</v>
      </c>
      <c r="D191">
        <f>D109</f>
        <v>31</v>
      </c>
      <c r="E191" t="str">
        <f>VLOOKUP(D191,name!A:B,2,1)</f>
        <v>Mrs. Bennett</v>
      </c>
      <c r="F191" t="str">
        <f t="shared" ref="F191:F222" si="151">F109</f>
        <v>あなたはロンドンからの旅で疲れているでしょう。</v>
      </c>
      <c r="G191" t="str">
        <f t="shared" si="116"/>
        <v>a</v>
      </c>
      <c r="H191" t="str">
        <f>VLOOKUP(D191,name!A:C,3,1)</f>
        <v>assets/icons/image149.png</v>
      </c>
      <c r="I191" t="s">
        <v>402</v>
      </c>
    </row>
    <row r="192" spans="1:9" x14ac:dyDescent="0.15">
      <c r="A192" t="str">
        <f t="shared" ref="A192:B192" si="152">A191</f>
        <v>英語</v>
      </c>
      <c r="B192">
        <f t="shared" si="152"/>
        <v>2</v>
      </c>
      <c r="C192">
        <f t="shared" si="131"/>
        <v>87</v>
      </c>
      <c r="D192">
        <v>0</v>
      </c>
      <c r="E192" t="str">
        <f>VLOOKUP(D192,name!A:B,2,1)</f>
        <v>Player</v>
      </c>
      <c r="F192" t="str">
        <f t="shared" si="151"/>
        <v>You must be tired after your journey up from London.</v>
      </c>
      <c r="G192" t="str">
        <f t="shared" si="116"/>
        <v>q</v>
      </c>
      <c r="H192" t="str">
        <f>VLOOKUP(D192,name!A:C,3,1)</f>
        <v>assets/icons/image326.png</v>
      </c>
      <c r="I192" t="str">
        <f>IF(A192="","",VLOOKUP(A192,lng!A:B,2,0))</f>
        <v>en-GB</v>
      </c>
    </row>
    <row r="193" spans="1:9" x14ac:dyDescent="0.15">
      <c r="A193" t="str">
        <f t="shared" ref="A193:B193" si="153">A192</f>
        <v>英語</v>
      </c>
      <c r="B193">
        <f t="shared" si="153"/>
        <v>2</v>
      </c>
      <c r="C193">
        <f t="shared" si="131"/>
        <v>88</v>
      </c>
      <c r="D193">
        <f>D111</f>
        <v>31</v>
      </c>
      <c r="E193" t="str">
        <f>VLOOKUP(D193,name!A:B,2,1)</f>
        <v>Mrs. Bennett</v>
      </c>
      <c r="F193" t="str">
        <f t="shared" si="151"/>
        <v>これがあなたの部屋です。</v>
      </c>
      <c r="G193" t="str">
        <f t="shared" si="116"/>
        <v>a</v>
      </c>
      <c r="H193" t="str">
        <f>VLOOKUP(D193,name!A:C,3,1)</f>
        <v>assets/icons/image149.png</v>
      </c>
      <c r="I193" t="s">
        <v>402</v>
      </c>
    </row>
    <row r="194" spans="1:9" x14ac:dyDescent="0.15">
      <c r="A194" t="str">
        <f t="shared" ref="A194:B194" si="154">A193</f>
        <v>英語</v>
      </c>
      <c r="B194">
        <f t="shared" si="154"/>
        <v>2</v>
      </c>
      <c r="C194">
        <f t="shared" si="131"/>
        <v>89</v>
      </c>
      <c r="D194">
        <v>0</v>
      </c>
      <c r="E194" t="str">
        <f>VLOOKUP(D194,name!A:B,2,1)</f>
        <v>Player</v>
      </c>
      <c r="F194" t="str">
        <f t="shared" si="151"/>
        <v>This is your room.</v>
      </c>
      <c r="G194" t="str">
        <f t="shared" si="116"/>
        <v>q</v>
      </c>
      <c r="H194" t="str">
        <f>VLOOKUP(D194,name!A:C,3,1)</f>
        <v>assets/icons/image326.png</v>
      </c>
      <c r="I194" t="str">
        <f>IF(A194="","",VLOOKUP(A194,lng!A:B,2,0))</f>
        <v>en-GB</v>
      </c>
    </row>
    <row r="195" spans="1:9" x14ac:dyDescent="0.15">
      <c r="A195" t="str">
        <f t="shared" ref="A195:B195" si="155">A194</f>
        <v>英語</v>
      </c>
      <c r="B195">
        <f t="shared" si="155"/>
        <v>2</v>
      </c>
      <c r="C195">
        <f t="shared" si="131"/>
        <v>90</v>
      </c>
      <c r="D195">
        <f>D113</f>
        <v>31</v>
      </c>
      <c r="E195" t="str">
        <f>VLOOKUP(D195,name!A:B,2,1)</f>
        <v>Mrs. Bennett</v>
      </c>
      <c r="F195" t="str">
        <f t="shared" si="151"/>
        <v xml:space="preserve"> 気にいってくれるといいのだけど。</v>
      </c>
      <c r="G195" t="str">
        <f t="shared" si="116"/>
        <v>a</v>
      </c>
      <c r="H195" t="str">
        <f>VLOOKUP(D195,name!A:C,3,1)</f>
        <v>assets/icons/image149.png</v>
      </c>
      <c r="I195" t="s">
        <v>402</v>
      </c>
    </row>
    <row r="196" spans="1:9" x14ac:dyDescent="0.15">
      <c r="A196" t="str">
        <f t="shared" ref="A196:B196" si="156">A195</f>
        <v>英語</v>
      </c>
      <c r="B196">
        <f t="shared" si="156"/>
        <v>2</v>
      </c>
      <c r="C196">
        <f t="shared" si="131"/>
        <v>91</v>
      </c>
      <c r="D196">
        <v>0</v>
      </c>
      <c r="E196" t="str">
        <f>VLOOKUP(D196,name!A:B,2,1)</f>
        <v>Player</v>
      </c>
      <c r="F196" t="str">
        <f t="shared" si="151"/>
        <v xml:space="preserve"> I hope you'll like it. </v>
      </c>
      <c r="G196" t="str">
        <f t="shared" si="116"/>
        <v>q</v>
      </c>
      <c r="H196" t="str">
        <f>VLOOKUP(D196,name!A:C,3,1)</f>
        <v>assets/icons/image326.png</v>
      </c>
      <c r="I196" t="str">
        <f>IF(A196="","",VLOOKUP(A196,lng!A:B,2,0))</f>
        <v>en-GB</v>
      </c>
    </row>
    <row r="197" spans="1:9" x14ac:dyDescent="0.15">
      <c r="A197" t="str">
        <f t="shared" ref="A197:B197" si="157">A196</f>
        <v>英語</v>
      </c>
      <c r="B197">
        <f t="shared" si="157"/>
        <v>2</v>
      </c>
      <c r="C197">
        <f t="shared" si="131"/>
        <v>92</v>
      </c>
      <c r="D197">
        <f>D115</f>
        <v>31</v>
      </c>
      <c r="E197" t="str">
        <f>VLOOKUP(D197,name!A:B,2,1)</f>
        <v>Mrs. Bennett</v>
      </c>
      <c r="F197" t="str">
        <f t="shared" si="151"/>
        <v>庭に面した大きな窓があります。</v>
      </c>
      <c r="G197" t="str">
        <f t="shared" si="116"/>
        <v>a</v>
      </c>
      <c r="H197" t="str">
        <f>VLOOKUP(D197,name!A:C,3,1)</f>
        <v>assets/icons/image149.png</v>
      </c>
      <c r="I197" t="s">
        <v>402</v>
      </c>
    </row>
    <row r="198" spans="1:9" x14ac:dyDescent="0.15">
      <c r="A198" t="str">
        <f t="shared" ref="A198:B198" si="158">A197</f>
        <v>英語</v>
      </c>
      <c r="B198">
        <f t="shared" si="158"/>
        <v>2</v>
      </c>
      <c r="C198">
        <f t="shared" si="131"/>
        <v>93</v>
      </c>
      <c r="D198">
        <v>0</v>
      </c>
      <c r="E198" t="str">
        <f>VLOOKUP(D198,name!A:B,2,1)</f>
        <v>Player</v>
      </c>
      <c r="F198" t="str">
        <f t="shared" si="151"/>
        <v>You've got a big window that looks out on the garden.</v>
      </c>
      <c r="G198" t="str">
        <f t="shared" si="116"/>
        <v>q</v>
      </c>
      <c r="H198" t="str">
        <f>VLOOKUP(D198,name!A:C,3,1)</f>
        <v>assets/icons/image326.png</v>
      </c>
      <c r="I198" t="str">
        <f>IF(A198="","",VLOOKUP(A198,lng!A:B,2,0))</f>
        <v>en-GB</v>
      </c>
    </row>
    <row r="199" spans="1:9" x14ac:dyDescent="0.15">
      <c r="A199" t="str">
        <f t="shared" ref="A199:B199" si="159">A198</f>
        <v>英語</v>
      </c>
      <c r="B199">
        <f t="shared" si="159"/>
        <v>2</v>
      </c>
      <c r="C199">
        <f t="shared" si="131"/>
        <v>94</v>
      </c>
      <c r="D199">
        <f>D117</f>
        <v>29</v>
      </c>
      <c r="E199" t="str">
        <f>VLOOKUP(D199,name!A:B,2,1)</f>
        <v>Eri</v>
      </c>
      <c r="F199" t="str">
        <f t="shared" si="151"/>
        <v>きれいですね。</v>
      </c>
      <c r="G199" t="str">
        <f t="shared" si="116"/>
        <v>a</v>
      </c>
      <c r="H199" t="str">
        <f>VLOOKUP(D199,name!A:C,3,1)</f>
        <v>assets/icons/image209.png</v>
      </c>
      <c r="I199" t="s">
        <v>402</v>
      </c>
    </row>
    <row r="200" spans="1:9" x14ac:dyDescent="0.15">
      <c r="A200" t="str">
        <f t="shared" ref="A200:B200" si="160">A199</f>
        <v>英語</v>
      </c>
      <c r="B200">
        <f t="shared" si="160"/>
        <v>2</v>
      </c>
      <c r="C200">
        <f t="shared" si="131"/>
        <v>95</v>
      </c>
      <c r="D200">
        <v>0</v>
      </c>
      <c r="E200" t="str">
        <f>VLOOKUP(D200,name!A:B,2,1)</f>
        <v>Player</v>
      </c>
      <c r="F200" t="str">
        <f t="shared" si="151"/>
        <v>Oh, it's lovely.</v>
      </c>
      <c r="G200" t="str">
        <f t="shared" si="116"/>
        <v>q</v>
      </c>
      <c r="H200" t="str">
        <f>VLOOKUP(D200,name!A:C,3,1)</f>
        <v>assets/icons/image326.png</v>
      </c>
      <c r="I200" t="str">
        <f>IF(A200="","",VLOOKUP(A200,lng!A:B,2,0))</f>
        <v>en-GB</v>
      </c>
    </row>
    <row r="201" spans="1:9" x14ac:dyDescent="0.15">
      <c r="A201" t="str">
        <f t="shared" ref="A201:B201" si="161">A200</f>
        <v>英語</v>
      </c>
      <c r="B201">
        <f t="shared" si="161"/>
        <v>2</v>
      </c>
      <c r="C201">
        <f t="shared" si="131"/>
        <v>96</v>
      </c>
      <c r="D201">
        <f>D119</f>
        <v>29</v>
      </c>
      <c r="E201" t="str">
        <f>VLOOKUP(D201,name!A:B,2,1)</f>
        <v>Eri</v>
      </c>
      <c r="F201" t="str">
        <f t="shared" si="151"/>
        <v>それに、とても明るいです。</v>
      </c>
      <c r="G201" t="str">
        <f t="shared" si="116"/>
        <v>a</v>
      </c>
      <c r="H201" t="str">
        <f>VLOOKUP(D201,name!A:C,3,1)</f>
        <v>assets/icons/image209.png</v>
      </c>
      <c r="I201" t="s">
        <v>402</v>
      </c>
    </row>
    <row r="202" spans="1:9" x14ac:dyDescent="0.15">
      <c r="A202" t="str">
        <f t="shared" ref="A202:B202" si="162">A201</f>
        <v>英語</v>
      </c>
      <c r="B202">
        <f t="shared" si="162"/>
        <v>2</v>
      </c>
      <c r="C202">
        <f t="shared" si="131"/>
        <v>97</v>
      </c>
      <c r="D202">
        <v>0</v>
      </c>
      <c r="E202" t="str">
        <f>VLOOKUP(D202,name!A:B,2,1)</f>
        <v>Player</v>
      </c>
      <c r="F202" t="str">
        <f t="shared" si="151"/>
        <v>It's so light.</v>
      </c>
      <c r="G202" t="str">
        <f t="shared" si="116"/>
        <v>q</v>
      </c>
      <c r="H202" t="str">
        <f>VLOOKUP(D202,name!A:C,3,1)</f>
        <v>assets/icons/image326.png</v>
      </c>
      <c r="I202" t="str">
        <f>IF(A202="","",VLOOKUP(A202,lng!A:B,2,0))</f>
        <v>en-GB</v>
      </c>
    </row>
    <row r="203" spans="1:9" x14ac:dyDescent="0.15">
      <c r="A203" t="str">
        <f t="shared" ref="A203:B203" si="163">A202</f>
        <v>英語</v>
      </c>
      <c r="B203">
        <f t="shared" si="163"/>
        <v>2</v>
      </c>
      <c r="C203">
        <f t="shared" si="131"/>
        <v>98</v>
      </c>
      <c r="D203">
        <f>D121</f>
        <v>31</v>
      </c>
      <c r="E203" t="str">
        <f>VLOOKUP(D203,name!A:B,2,1)</f>
        <v>Mrs. Bennett</v>
      </c>
      <c r="F203" t="str">
        <f t="shared" si="151"/>
        <v>バスルームはここ</v>
      </c>
      <c r="G203" t="str">
        <f t="shared" si="116"/>
        <v>a</v>
      </c>
      <c r="H203" t="str">
        <f>VLOOKUP(D203,name!A:C,3,1)</f>
        <v>assets/icons/image149.png</v>
      </c>
      <c r="I203" t="s">
        <v>402</v>
      </c>
    </row>
    <row r="204" spans="1:9" x14ac:dyDescent="0.15">
      <c r="A204" t="str">
        <f t="shared" ref="A204:B204" si="164">A203</f>
        <v>英語</v>
      </c>
      <c r="B204">
        <f t="shared" si="164"/>
        <v>2</v>
      </c>
      <c r="C204">
        <f t="shared" si="131"/>
        <v>99</v>
      </c>
      <c r="D204">
        <v>0</v>
      </c>
      <c r="E204" t="str">
        <f>VLOOKUP(D204,name!A:B,2,1)</f>
        <v>Player</v>
      </c>
      <c r="F204" t="str">
        <f t="shared" si="151"/>
        <v>Your bathroom's in here.</v>
      </c>
      <c r="G204" t="str">
        <f t="shared" si="116"/>
        <v>q</v>
      </c>
      <c r="H204" t="str">
        <f>VLOOKUP(D204,name!A:C,3,1)</f>
        <v>assets/icons/image326.png</v>
      </c>
      <c r="I204" t="str">
        <f>IF(A204="","",VLOOKUP(A204,lng!A:B,2,0))</f>
        <v>en-GB</v>
      </c>
    </row>
    <row r="205" spans="1:9" x14ac:dyDescent="0.15">
      <c r="A205" t="str">
        <f t="shared" ref="A205:B205" si="165">A204</f>
        <v>英語</v>
      </c>
      <c r="B205">
        <f t="shared" si="165"/>
        <v>2</v>
      </c>
      <c r="C205">
        <f t="shared" si="131"/>
        <v>100</v>
      </c>
      <c r="D205">
        <f>D123</f>
        <v>31</v>
      </c>
      <c r="E205" t="str">
        <f>VLOOKUP(D205,name!A:B,2,1)</f>
        <v>Mrs. Bennett</v>
      </c>
      <c r="F205" t="str">
        <f t="shared" si="151"/>
        <v xml:space="preserve"> シャワー室と言ってもいいかも</v>
      </c>
      <c r="G205" t="str">
        <f t="shared" si="116"/>
        <v>a</v>
      </c>
      <c r="H205" t="str">
        <f>VLOOKUP(D205,name!A:C,3,1)</f>
        <v>assets/icons/image149.png</v>
      </c>
      <c r="I205" t="s">
        <v>402</v>
      </c>
    </row>
    <row r="206" spans="1:9" x14ac:dyDescent="0.15">
      <c r="A206" t="str">
        <f t="shared" ref="A206:B206" si="166">A205</f>
        <v>英語</v>
      </c>
      <c r="B206">
        <f t="shared" si="166"/>
        <v>2</v>
      </c>
      <c r="C206">
        <f t="shared" si="131"/>
        <v>101</v>
      </c>
      <c r="D206">
        <v>0</v>
      </c>
      <c r="E206" t="str">
        <f>VLOOKUP(D206,name!A:B,2,1)</f>
        <v>Player</v>
      </c>
      <c r="F206" t="str">
        <f t="shared" si="151"/>
        <v>Well, shower room, I should say.</v>
      </c>
      <c r="G206" t="str">
        <f t="shared" si="116"/>
        <v>q</v>
      </c>
      <c r="H206" t="str">
        <f>VLOOKUP(D206,name!A:C,3,1)</f>
        <v>assets/icons/image326.png</v>
      </c>
      <c r="I206" t="str">
        <f>IF(A206="","",VLOOKUP(A206,lng!A:B,2,0))</f>
        <v>en-GB</v>
      </c>
    </row>
    <row r="207" spans="1:9" x14ac:dyDescent="0.15">
      <c r="A207" t="str">
        <f t="shared" ref="A207:B207" si="167">A206</f>
        <v>英語</v>
      </c>
      <c r="B207">
        <f t="shared" si="167"/>
        <v>2</v>
      </c>
      <c r="C207">
        <f t="shared" si="131"/>
        <v>102</v>
      </c>
      <c r="D207">
        <f>D125</f>
        <v>29</v>
      </c>
      <c r="E207" t="str">
        <f>VLOOKUP(D207,name!A:B,2,1)</f>
        <v>Eri</v>
      </c>
      <c r="F207" t="str">
        <f t="shared" si="151"/>
        <v>すみません、</v>
      </c>
      <c r="G207" t="str">
        <f t="shared" si="116"/>
        <v>a</v>
      </c>
      <c r="H207" t="str">
        <f>VLOOKUP(D207,name!A:C,3,1)</f>
        <v>assets/icons/image209.png</v>
      </c>
      <c r="I207" t="s">
        <v>402</v>
      </c>
    </row>
    <row r="208" spans="1:9" x14ac:dyDescent="0.15">
      <c r="A208" t="str">
        <f t="shared" ref="A208:B208" si="168">A207</f>
        <v>英語</v>
      </c>
      <c r="B208">
        <f t="shared" si="168"/>
        <v>2</v>
      </c>
      <c r="C208">
        <f t="shared" si="131"/>
        <v>103</v>
      </c>
      <c r="D208">
        <v>0</v>
      </c>
      <c r="E208" t="str">
        <f>VLOOKUP(D208,name!A:B,2,1)</f>
        <v>Player</v>
      </c>
      <c r="F208" t="str">
        <f t="shared" si="151"/>
        <v xml:space="preserve">Excuse me. </v>
      </c>
      <c r="G208" t="str">
        <f t="shared" si="116"/>
        <v>q</v>
      </c>
      <c r="H208" t="str">
        <f>VLOOKUP(D208,name!A:C,3,1)</f>
        <v>assets/icons/image326.png</v>
      </c>
      <c r="I208" t="str">
        <f>IF(A208="","",VLOOKUP(A208,lng!A:B,2,0))</f>
        <v>en-GB</v>
      </c>
    </row>
    <row r="209" spans="1:9" x14ac:dyDescent="0.15">
      <c r="A209" t="str">
        <f t="shared" ref="A209:B209" si="169">A208</f>
        <v>英語</v>
      </c>
      <c r="B209">
        <f t="shared" si="169"/>
        <v>2</v>
      </c>
      <c r="C209">
        <f t="shared" si="131"/>
        <v>104</v>
      </c>
      <c r="D209">
        <f>D127</f>
        <v>29</v>
      </c>
      <c r="E209" t="str">
        <f>VLOOKUP(D209,name!A:B,2,1)</f>
        <v>Eri</v>
      </c>
      <c r="F209" t="str">
        <f t="shared" si="151"/>
        <v>このスィッチは何のためにあるのですか?</v>
      </c>
      <c r="G209" t="str">
        <f t="shared" si="116"/>
        <v>a</v>
      </c>
      <c r="H209" t="str">
        <f>VLOOKUP(D209,name!A:C,3,1)</f>
        <v>assets/icons/image209.png</v>
      </c>
      <c r="I209" t="s">
        <v>402</v>
      </c>
    </row>
    <row r="210" spans="1:9" x14ac:dyDescent="0.15">
      <c r="A210" t="str">
        <f t="shared" ref="A210:B210" si="170">A209</f>
        <v>英語</v>
      </c>
      <c r="B210">
        <f t="shared" si="170"/>
        <v>2</v>
      </c>
      <c r="C210">
        <f t="shared" si="131"/>
        <v>105</v>
      </c>
      <c r="D210">
        <v>0</v>
      </c>
      <c r="E210" t="str">
        <f>VLOOKUP(D210,name!A:B,2,1)</f>
        <v>Player</v>
      </c>
      <c r="F210" t="str">
        <f t="shared" si="151"/>
        <v>What's this switch for?</v>
      </c>
      <c r="G210" t="str">
        <f t="shared" si="116"/>
        <v>q</v>
      </c>
      <c r="H210" t="str">
        <f>VLOOKUP(D210,name!A:C,3,1)</f>
        <v>assets/icons/image326.png</v>
      </c>
      <c r="I210" t="str">
        <f>IF(A210="","",VLOOKUP(A210,lng!A:B,2,0))</f>
        <v>en-GB</v>
      </c>
    </row>
    <row r="211" spans="1:9" x14ac:dyDescent="0.15">
      <c r="A211" t="str">
        <f t="shared" ref="A211:B211" si="171">A210</f>
        <v>英語</v>
      </c>
      <c r="B211">
        <f t="shared" si="171"/>
        <v>2</v>
      </c>
      <c r="C211">
        <f t="shared" si="131"/>
        <v>106</v>
      </c>
      <c r="D211">
        <f>D129</f>
        <v>31</v>
      </c>
      <c r="E211" t="str">
        <f>VLOOKUP(D211,name!A:B,2,1)</f>
        <v>Mrs. Bennett</v>
      </c>
      <c r="F211" t="str">
        <f t="shared" si="151"/>
        <v>それは、換気扇の。</v>
      </c>
      <c r="G211" t="str">
        <f t="shared" si="116"/>
        <v>a</v>
      </c>
      <c r="H211" t="str">
        <f>VLOOKUP(D211,name!A:C,3,1)</f>
        <v>assets/icons/image149.png</v>
      </c>
      <c r="I211" t="s">
        <v>402</v>
      </c>
    </row>
    <row r="212" spans="1:9" x14ac:dyDescent="0.15">
      <c r="A212" t="str">
        <f t="shared" ref="A212:B212" si="172">A211</f>
        <v>英語</v>
      </c>
      <c r="B212">
        <f t="shared" si="172"/>
        <v>2</v>
      </c>
      <c r="C212">
        <f t="shared" si="131"/>
        <v>107</v>
      </c>
      <c r="D212">
        <v>0</v>
      </c>
      <c r="E212" t="str">
        <f>VLOOKUP(D212,name!A:B,2,1)</f>
        <v>Player</v>
      </c>
      <c r="F212" t="str">
        <f t="shared" si="151"/>
        <v>Oh, that's just for the fan.</v>
      </c>
      <c r="G212" t="str">
        <f t="shared" si="116"/>
        <v>q</v>
      </c>
      <c r="H212" t="str">
        <f>VLOOKUP(D212,name!A:C,3,1)</f>
        <v>assets/icons/image326.png</v>
      </c>
      <c r="I212" t="str">
        <f>IF(A212="","",VLOOKUP(A212,lng!A:B,2,0))</f>
        <v>en-GB</v>
      </c>
    </row>
    <row r="213" spans="1:9" x14ac:dyDescent="0.15">
      <c r="A213" t="str">
        <f t="shared" ref="A213:B213" si="173">A212</f>
        <v>英語</v>
      </c>
      <c r="B213">
        <f t="shared" si="173"/>
        <v>2</v>
      </c>
      <c r="C213">
        <f t="shared" si="131"/>
        <v>108</v>
      </c>
      <c r="D213">
        <f>D131</f>
        <v>31</v>
      </c>
      <c r="E213" t="str">
        <f>VLOOKUP(D213,name!A:B,2,1)</f>
        <v>Mrs. Bennett</v>
      </c>
      <c r="F213" t="str">
        <f t="shared" si="151"/>
        <v>くつろいで</v>
      </c>
      <c r="G213" t="str">
        <f t="shared" si="116"/>
        <v>a</v>
      </c>
      <c r="H213" t="str">
        <f>VLOOKUP(D213,name!A:C,3,1)</f>
        <v>assets/icons/image149.png</v>
      </c>
      <c r="I213" t="s">
        <v>402</v>
      </c>
    </row>
    <row r="214" spans="1:9" x14ac:dyDescent="0.15">
      <c r="A214" t="str">
        <f t="shared" ref="A214:B214" si="174">A213</f>
        <v>英語</v>
      </c>
      <c r="B214">
        <f t="shared" si="174"/>
        <v>2</v>
      </c>
      <c r="C214">
        <f t="shared" si="131"/>
        <v>109</v>
      </c>
      <c r="D214">
        <v>0</v>
      </c>
      <c r="E214" t="str">
        <f>VLOOKUP(D214,name!A:B,2,1)</f>
        <v>Player</v>
      </c>
      <c r="F214" t="str">
        <f t="shared" si="151"/>
        <v>Please make yourself at home.</v>
      </c>
      <c r="G214" t="str">
        <f t="shared" si="116"/>
        <v>q</v>
      </c>
      <c r="H214" t="str">
        <f>VLOOKUP(D214,name!A:C,3,1)</f>
        <v>assets/icons/image326.png</v>
      </c>
      <c r="I214" t="str">
        <f>IF(A214="","",VLOOKUP(A214,lng!A:B,2,0))</f>
        <v>en-GB</v>
      </c>
    </row>
    <row r="215" spans="1:9" x14ac:dyDescent="0.15">
      <c r="A215" t="str">
        <f t="shared" ref="A215:B215" si="175">A214</f>
        <v>英語</v>
      </c>
      <c r="B215">
        <f t="shared" si="175"/>
        <v>2</v>
      </c>
      <c r="C215">
        <f t="shared" si="131"/>
        <v>110</v>
      </c>
      <c r="D215">
        <f>D133</f>
        <v>31</v>
      </c>
      <c r="E215" t="str">
        <f>VLOOKUP(D215,name!A:B,2,1)</f>
        <v>Mrs. Bennett</v>
      </c>
      <c r="F215" t="str">
        <f t="shared" si="151"/>
        <v>階下に行って、 お茶のしたくをします。</v>
      </c>
      <c r="G215" t="str">
        <f t="shared" si="116"/>
        <v>a</v>
      </c>
      <c r="H215" t="str">
        <f>VLOOKUP(D215,name!A:C,3,1)</f>
        <v>assets/icons/image149.png</v>
      </c>
      <c r="I215" t="s">
        <v>402</v>
      </c>
    </row>
    <row r="216" spans="1:9" x14ac:dyDescent="0.15">
      <c r="A216" t="str">
        <f t="shared" ref="A216:B216" si="176">A215</f>
        <v>英語</v>
      </c>
      <c r="B216">
        <f t="shared" si="176"/>
        <v>2</v>
      </c>
      <c r="C216">
        <f t="shared" si="131"/>
        <v>111</v>
      </c>
      <c r="D216">
        <v>0</v>
      </c>
      <c r="E216" t="str">
        <f>VLOOKUP(D216,name!A:B,2,1)</f>
        <v>Player</v>
      </c>
      <c r="F216" t="str">
        <f t="shared" si="151"/>
        <v xml:space="preserve">I'll be downstairs making us a cup of tea. </v>
      </c>
      <c r="G216" t="str">
        <f t="shared" si="116"/>
        <v>q</v>
      </c>
      <c r="H216" t="str">
        <f>VLOOKUP(D216,name!A:C,3,1)</f>
        <v>assets/icons/image326.png</v>
      </c>
      <c r="I216" t="str">
        <f>IF(A216="","",VLOOKUP(A216,lng!A:B,2,0))</f>
        <v>en-GB</v>
      </c>
    </row>
    <row r="217" spans="1:9" x14ac:dyDescent="0.15">
      <c r="A217" t="str">
        <f t="shared" ref="A217:B217" si="177">A216</f>
        <v>英語</v>
      </c>
      <c r="B217">
        <f t="shared" si="177"/>
        <v>2</v>
      </c>
      <c r="C217">
        <f t="shared" si="131"/>
        <v>112</v>
      </c>
      <c r="D217">
        <f>D135</f>
        <v>31</v>
      </c>
      <c r="E217" t="str">
        <f>VLOOKUP(D217,name!A:B,2,1)</f>
        <v>Mrs. Bennett</v>
      </c>
      <c r="F217" t="str">
        <f t="shared" si="151"/>
        <v xml:space="preserve"> 何か必要なものがあれば、 呼んでね。</v>
      </c>
      <c r="G217" t="str">
        <f t="shared" si="116"/>
        <v>a</v>
      </c>
      <c r="H217" t="str">
        <f>VLOOKUP(D217,name!A:C,3,1)</f>
        <v>assets/icons/image149.png</v>
      </c>
      <c r="I217" t="s">
        <v>402</v>
      </c>
    </row>
    <row r="218" spans="1:9" x14ac:dyDescent="0.15">
      <c r="A218" t="str">
        <f t="shared" ref="A218:B218" si="178">A217</f>
        <v>英語</v>
      </c>
      <c r="B218">
        <f t="shared" si="178"/>
        <v>2</v>
      </c>
      <c r="C218">
        <f t="shared" si="131"/>
        <v>113</v>
      </c>
      <c r="D218">
        <v>0</v>
      </c>
      <c r="E218" t="str">
        <f>VLOOKUP(D218,name!A:B,2,1)</f>
        <v>Player</v>
      </c>
      <c r="F218" t="str">
        <f t="shared" si="151"/>
        <v>Just call me if you need anything.</v>
      </c>
      <c r="G218" t="str">
        <f t="shared" si="116"/>
        <v>q</v>
      </c>
      <c r="H218" t="str">
        <f>VLOOKUP(D218,name!A:C,3,1)</f>
        <v>assets/icons/image326.png</v>
      </c>
      <c r="I218" t="str">
        <f>IF(A218="","",VLOOKUP(A218,lng!A:B,2,0))</f>
        <v>en-GB</v>
      </c>
    </row>
    <row r="219" spans="1:9" x14ac:dyDescent="0.15">
      <c r="A219" t="str">
        <f t="shared" ref="A219:B219" si="179">A218</f>
        <v>英語</v>
      </c>
      <c r="B219">
        <f t="shared" si="179"/>
        <v>2</v>
      </c>
      <c r="C219">
        <f t="shared" si="131"/>
        <v>114</v>
      </c>
      <c r="D219">
        <f>D137</f>
        <v>29</v>
      </c>
      <c r="E219" t="str">
        <f>VLOOKUP(D219,name!A:B,2,1)</f>
        <v>Eri</v>
      </c>
      <c r="F219" t="str">
        <f t="shared" si="151"/>
        <v>ありがとうございます。</v>
      </c>
      <c r="G219" t="str">
        <f t="shared" si="116"/>
        <v>a</v>
      </c>
      <c r="H219" t="str">
        <f>VLOOKUP(D219,name!A:C,3,1)</f>
        <v>assets/icons/image209.png</v>
      </c>
      <c r="I219" t="s">
        <v>402</v>
      </c>
    </row>
    <row r="220" spans="1:9" x14ac:dyDescent="0.15">
      <c r="A220" t="str">
        <f t="shared" ref="A220:B220" si="180">A219</f>
        <v>英語</v>
      </c>
      <c r="B220">
        <f t="shared" si="180"/>
        <v>2</v>
      </c>
      <c r="C220">
        <f t="shared" si="131"/>
        <v>115</v>
      </c>
      <c r="D220">
        <v>0</v>
      </c>
      <c r="E220" t="str">
        <f>VLOOKUP(D220,name!A:B,2,1)</f>
        <v>Player</v>
      </c>
      <c r="F220" t="str">
        <f t="shared" si="151"/>
        <v xml:space="preserve">Thank you. </v>
      </c>
      <c r="G220" t="str">
        <f t="shared" si="116"/>
        <v>q</v>
      </c>
      <c r="H220" t="str">
        <f>VLOOKUP(D220,name!A:C,3,1)</f>
        <v>assets/icons/image326.png</v>
      </c>
      <c r="I220" t="str">
        <f>IF(A220="","",VLOOKUP(A220,lng!A:B,2,0))</f>
        <v>en-GB</v>
      </c>
    </row>
    <row r="221" spans="1:9" x14ac:dyDescent="0.15">
      <c r="A221" t="str">
        <f t="shared" ref="A221:B221" si="181">A220</f>
        <v>英語</v>
      </c>
      <c r="B221">
        <f t="shared" si="181"/>
        <v>2</v>
      </c>
      <c r="C221">
        <f t="shared" si="131"/>
        <v>116</v>
      </c>
      <c r="D221">
        <f>D139</f>
        <v>29</v>
      </c>
      <c r="E221" t="str">
        <f>VLOOKUP(D221,name!A:B,2,1)</f>
        <v>Eri</v>
      </c>
      <c r="F221" t="str">
        <f t="shared" si="151"/>
        <v>親切ですね。</v>
      </c>
      <c r="G221" t="str">
        <f t="shared" si="116"/>
        <v>a</v>
      </c>
      <c r="H221" t="str">
        <f>VLOOKUP(D221,name!A:C,3,1)</f>
        <v>assets/icons/image209.png</v>
      </c>
      <c r="I221" t="s">
        <v>402</v>
      </c>
    </row>
    <row r="222" spans="1:9" x14ac:dyDescent="0.15">
      <c r="A222" t="str">
        <f t="shared" ref="A222:B222" si="182">A221</f>
        <v>英語</v>
      </c>
      <c r="B222">
        <f t="shared" si="182"/>
        <v>2</v>
      </c>
      <c r="C222">
        <f t="shared" si="131"/>
        <v>117</v>
      </c>
      <c r="D222">
        <v>0</v>
      </c>
      <c r="E222" t="str">
        <f>VLOOKUP(D222,name!A:B,2,1)</f>
        <v>Player</v>
      </c>
      <c r="F222" t="str">
        <f t="shared" si="151"/>
        <v>That's very kind of you.</v>
      </c>
      <c r="G222" t="str">
        <f t="shared" ref="G222:G285" si="183">IF(B222&lt;&gt;B223,"e",IF(D222=0,"q","a"))</f>
        <v>q</v>
      </c>
      <c r="H222" t="str">
        <f>VLOOKUP(D222,name!A:C,3,1)</f>
        <v>assets/icons/image326.png</v>
      </c>
      <c r="I222" t="str">
        <f>IF(A222="","",VLOOKUP(A222,lng!A:B,2,0))</f>
        <v>en-GB</v>
      </c>
    </row>
    <row r="223" spans="1:9" x14ac:dyDescent="0.15">
      <c r="A223" t="str">
        <f t="shared" ref="A223:B223" si="184">A222</f>
        <v>英語</v>
      </c>
      <c r="B223">
        <f t="shared" si="184"/>
        <v>2</v>
      </c>
      <c r="C223">
        <f t="shared" si="131"/>
        <v>118</v>
      </c>
      <c r="D223">
        <v>1</v>
      </c>
      <c r="E223" t="str">
        <f>VLOOKUP(D223,name!A:B,2,1)</f>
        <v>Navigator</v>
      </c>
      <c r="F223" t="str">
        <f>"とても良くできました。レッスン"&amp;B223&amp;"はこれで終了です。"</f>
        <v>とても良くできました。レッスン2はこれで終了です。</v>
      </c>
      <c r="G223" t="str">
        <f t="shared" si="183"/>
        <v>e</v>
      </c>
      <c r="H223" t="str">
        <f>VLOOKUP(D223,name!A:C,3,1)</f>
        <v>assets/icons/image014.png</v>
      </c>
      <c r="I223" t="s">
        <v>402</v>
      </c>
    </row>
    <row r="224" spans="1:9" x14ac:dyDescent="0.15">
      <c r="A224" t="str">
        <f>A223</f>
        <v>英語</v>
      </c>
      <c r="B224">
        <f>B223+1</f>
        <v>3</v>
      </c>
      <c r="C224">
        <v>1</v>
      </c>
      <c r="D224">
        <v>1</v>
      </c>
      <c r="E224" t="str">
        <f>VLOOKUP(D224,name!A:B,2,1)</f>
        <v>Navigator</v>
      </c>
      <c r="F224" t="s">
        <v>513</v>
      </c>
      <c r="G224" t="str">
        <f t="shared" si="183"/>
        <v>a</v>
      </c>
      <c r="H224" t="str">
        <f>VLOOKUP(D224,name!A:C,3,1)</f>
        <v>assets/icons/image014.png</v>
      </c>
      <c r="I224" t="str">
        <f>IF(A224="","",VLOOKUP(A224,lng!A:B,2,0))</f>
        <v>en-GB</v>
      </c>
    </row>
    <row r="225" spans="1:12" x14ac:dyDescent="0.15">
      <c r="A225" t="str">
        <f t="shared" ref="A225:B240" si="185">A224</f>
        <v>英語</v>
      </c>
      <c r="B225">
        <f>B224</f>
        <v>3</v>
      </c>
      <c r="C225">
        <f>C224+1</f>
        <v>2</v>
      </c>
      <c r="D225">
        <v>1</v>
      </c>
      <c r="E225" t="str">
        <f>VLOOKUP(D225,name!A:B,2,1)</f>
        <v>Navigator</v>
      </c>
      <c r="F225" t="str">
        <f>"レッスン"&amp;B225</f>
        <v>レッスン3</v>
      </c>
      <c r="G225" t="str">
        <f t="shared" si="183"/>
        <v>a</v>
      </c>
      <c r="H225" t="str">
        <f>VLOOKUP(D225,name!A:C,3,1)</f>
        <v>assets/icons/image014.png</v>
      </c>
      <c r="I225" t="s">
        <v>402</v>
      </c>
    </row>
    <row r="226" spans="1:12" ht="40.5" x14ac:dyDescent="0.15">
      <c r="A226" t="str">
        <f t="shared" si="185"/>
        <v>英語</v>
      </c>
      <c r="B226">
        <f t="shared" si="185"/>
        <v>3</v>
      </c>
      <c r="C226">
        <f t="shared" ref="C226:C289" si="186">C225+1</f>
        <v>3</v>
      </c>
      <c r="D226">
        <v>1</v>
      </c>
      <c r="E226" t="str">
        <f>VLOOKUP(D226,name!A:B,2,1)</f>
        <v>Navigator</v>
      </c>
      <c r="F226" s="1" t="str">
        <f>"まずは対話文を流します。その後に、日本語と"&amp;A226&amp;"を一文ずつ流すので"&amp;A226&amp;"を真似して下さい。最後に日本語のみを流すので、"&amp;A226&amp;"で答えてください。"</f>
        <v>まずは対話文を流します。その後に、日本語と英語を一文ずつ流すので英語を真似して下さい。最後に日本語のみを流すので、英語で答えてください。</v>
      </c>
      <c r="G226" t="str">
        <f t="shared" si="183"/>
        <v>a</v>
      </c>
      <c r="H226" t="str">
        <f>VLOOKUP(D226,name!A:C,3,1)</f>
        <v>assets/icons/image014.png</v>
      </c>
      <c r="I226" t="s">
        <v>402</v>
      </c>
      <c r="L226" s="1"/>
    </row>
    <row r="227" spans="1:12" x14ac:dyDescent="0.15">
      <c r="A227" t="str">
        <f t="shared" si="185"/>
        <v>英語</v>
      </c>
      <c r="B227">
        <f t="shared" si="185"/>
        <v>3</v>
      </c>
      <c r="C227">
        <f t="shared" si="186"/>
        <v>4</v>
      </c>
      <c r="D227">
        <f>D228</f>
        <v>29</v>
      </c>
      <c r="E227" t="str">
        <f>VLOOKUP(D227,name!A:B,2,1)</f>
        <v>Eri</v>
      </c>
      <c r="F227" t="s">
        <v>428</v>
      </c>
      <c r="G227" t="str">
        <f t="shared" si="183"/>
        <v>a</v>
      </c>
      <c r="H227" t="str">
        <f>VLOOKUP(D227,name!A:C,3,1)</f>
        <v>assets/icons/image209.png</v>
      </c>
      <c r="I227" t="s">
        <v>402</v>
      </c>
    </row>
    <row r="228" spans="1:12" x14ac:dyDescent="0.15">
      <c r="A228" t="str">
        <f t="shared" si="185"/>
        <v>英語</v>
      </c>
      <c r="B228">
        <f t="shared" si="185"/>
        <v>3</v>
      </c>
      <c r="C228">
        <f t="shared" si="186"/>
        <v>5</v>
      </c>
      <c r="D228">
        <f t="shared" ref="D228:D255" si="187">D229</f>
        <v>29</v>
      </c>
      <c r="E228" t="str">
        <f>VLOOKUP(D228,name!A:B,2,1)</f>
        <v>Eri</v>
      </c>
      <c r="F228" t="s">
        <v>514</v>
      </c>
      <c r="G228" t="str">
        <f t="shared" si="183"/>
        <v>a</v>
      </c>
      <c r="H228" t="str">
        <f>VLOOKUP(D228,name!A:C,3,1)</f>
        <v>assets/icons/image209.png</v>
      </c>
      <c r="I228" t="str">
        <f>IF(A228="","",VLOOKUP(A228,lng!A:B,2,0))</f>
        <v>en-GB</v>
      </c>
    </row>
    <row r="229" spans="1:12" x14ac:dyDescent="0.15">
      <c r="A229" t="str">
        <f t="shared" si="185"/>
        <v>英語</v>
      </c>
      <c r="B229">
        <f t="shared" si="185"/>
        <v>3</v>
      </c>
      <c r="C229">
        <f t="shared" si="186"/>
        <v>6</v>
      </c>
      <c r="D229">
        <f t="shared" si="187"/>
        <v>29</v>
      </c>
      <c r="E229" t="str">
        <f>VLOOKUP(D229,name!A:B,2,1)</f>
        <v>Eri</v>
      </c>
      <c r="F229" t="s">
        <v>529</v>
      </c>
      <c r="G229" t="str">
        <f t="shared" si="183"/>
        <v>a</v>
      </c>
      <c r="H229" t="str">
        <f>VLOOKUP(D229,name!A:C,3,1)</f>
        <v>assets/icons/image209.png</v>
      </c>
      <c r="I229" t="s">
        <v>402</v>
      </c>
    </row>
    <row r="230" spans="1:12" x14ac:dyDescent="0.15">
      <c r="A230" t="str">
        <f t="shared" si="185"/>
        <v>英語</v>
      </c>
      <c r="B230">
        <f t="shared" si="185"/>
        <v>3</v>
      </c>
      <c r="C230">
        <f t="shared" si="186"/>
        <v>7</v>
      </c>
      <c r="D230">
        <v>29</v>
      </c>
      <c r="E230" t="str">
        <f>VLOOKUP(D230,name!A:B,2,1)</f>
        <v>Eri</v>
      </c>
      <c r="F230" t="s">
        <v>515</v>
      </c>
      <c r="G230" t="str">
        <f t="shared" si="183"/>
        <v>a</v>
      </c>
      <c r="H230" t="str">
        <f>VLOOKUP(D230,name!A:C,3,1)</f>
        <v>assets/icons/image209.png</v>
      </c>
      <c r="I230" t="str">
        <f>IF(A230="","",VLOOKUP(A230,lng!A:B,2,0))</f>
        <v>en-GB</v>
      </c>
    </row>
    <row r="231" spans="1:12" x14ac:dyDescent="0.15">
      <c r="A231" t="str">
        <f t="shared" si="185"/>
        <v>英語</v>
      </c>
      <c r="B231">
        <f t="shared" si="185"/>
        <v>3</v>
      </c>
      <c r="C231">
        <f t="shared" si="186"/>
        <v>8</v>
      </c>
      <c r="D231">
        <f t="shared" si="187"/>
        <v>32</v>
      </c>
      <c r="E231" t="str">
        <f>VLOOKUP(D231,name!A:B,2,1)</f>
        <v>Asha</v>
      </c>
      <c r="F231" t="s">
        <v>530</v>
      </c>
      <c r="G231" t="str">
        <f t="shared" si="183"/>
        <v>a</v>
      </c>
      <c r="H231" t="str">
        <f>VLOOKUP(D231,name!A:C,3,1)</f>
        <v>assets/icons/image235.png</v>
      </c>
      <c r="I231" t="s">
        <v>402</v>
      </c>
    </row>
    <row r="232" spans="1:12" x14ac:dyDescent="0.15">
      <c r="A232" t="str">
        <f t="shared" si="185"/>
        <v>英語</v>
      </c>
      <c r="B232">
        <f t="shared" si="185"/>
        <v>3</v>
      </c>
      <c r="C232">
        <f t="shared" si="186"/>
        <v>9</v>
      </c>
      <c r="D232">
        <f t="shared" si="187"/>
        <v>32</v>
      </c>
      <c r="E232" t="str">
        <f>VLOOKUP(D232,name!A:B,2,1)</f>
        <v>Asha</v>
      </c>
      <c r="F232" t="s">
        <v>516</v>
      </c>
      <c r="G232" t="str">
        <f t="shared" si="183"/>
        <v>a</v>
      </c>
      <c r="H232" t="str">
        <f>VLOOKUP(D232,name!A:C,3,1)</f>
        <v>assets/icons/image235.png</v>
      </c>
      <c r="I232" t="str">
        <f>IF(A232="","",VLOOKUP(A232,lng!A:B,2,0))</f>
        <v>en-GB</v>
      </c>
    </row>
    <row r="233" spans="1:12" x14ac:dyDescent="0.15">
      <c r="A233" t="str">
        <f t="shared" si="185"/>
        <v>英語</v>
      </c>
      <c r="B233">
        <f t="shared" si="185"/>
        <v>3</v>
      </c>
      <c r="C233">
        <f t="shared" si="186"/>
        <v>10</v>
      </c>
      <c r="D233">
        <f t="shared" si="187"/>
        <v>32</v>
      </c>
      <c r="E233" t="str">
        <f>VLOOKUP(D233,name!A:B,2,1)</f>
        <v>Asha</v>
      </c>
      <c r="F233" t="s">
        <v>531</v>
      </c>
      <c r="G233" t="str">
        <f t="shared" si="183"/>
        <v>a</v>
      </c>
      <c r="H233" t="str">
        <f>VLOOKUP(D233,name!A:C,3,1)</f>
        <v>assets/icons/image235.png</v>
      </c>
      <c r="I233" t="s">
        <v>402</v>
      </c>
    </row>
    <row r="234" spans="1:12" x14ac:dyDescent="0.15">
      <c r="A234" t="str">
        <f t="shared" si="185"/>
        <v>英語</v>
      </c>
      <c r="B234">
        <f t="shared" si="185"/>
        <v>3</v>
      </c>
      <c r="C234">
        <f t="shared" si="186"/>
        <v>11</v>
      </c>
      <c r="D234">
        <f t="shared" si="187"/>
        <v>32</v>
      </c>
      <c r="E234" t="str">
        <f>VLOOKUP(D234,name!A:B,2,1)</f>
        <v>Asha</v>
      </c>
      <c r="F234" t="s">
        <v>517</v>
      </c>
      <c r="G234" t="str">
        <f t="shared" si="183"/>
        <v>a</v>
      </c>
      <c r="H234" t="str">
        <f>VLOOKUP(D234,name!A:C,3,1)</f>
        <v>assets/icons/image235.png</v>
      </c>
      <c r="I234" t="str">
        <f>IF(A234="","",VLOOKUP(A234,lng!A:B,2,0))</f>
        <v>en-GB</v>
      </c>
    </row>
    <row r="235" spans="1:12" x14ac:dyDescent="0.15">
      <c r="A235" t="str">
        <f t="shared" si="185"/>
        <v>英語</v>
      </c>
      <c r="B235">
        <f t="shared" si="185"/>
        <v>3</v>
      </c>
      <c r="C235">
        <f t="shared" si="186"/>
        <v>12</v>
      </c>
      <c r="D235">
        <f t="shared" si="187"/>
        <v>32</v>
      </c>
      <c r="E235" t="str">
        <f>VLOOKUP(D235,name!A:B,2,1)</f>
        <v>Asha</v>
      </c>
      <c r="F235" t="s">
        <v>532</v>
      </c>
      <c r="G235" t="str">
        <f t="shared" si="183"/>
        <v>a</v>
      </c>
      <c r="H235" t="str">
        <f>VLOOKUP(D235,name!A:C,3,1)</f>
        <v>assets/icons/image235.png</v>
      </c>
      <c r="I235" t="s">
        <v>402</v>
      </c>
    </row>
    <row r="236" spans="1:12" x14ac:dyDescent="0.15">
      <c r="A236" t="str">
        <f t="shared" si="185"/>
        <v>英語</v>
      </c>
      <c r="B236">
        <f t="shared" si="185"/>
        <v>3</v>
      </c>
      <c r="C236">
        <f t="shared" si="186"/>
        <v>13</v>
      </c>
      <c r="D236">
        <f t="shared" si="187"/>
        <v>32</v>
      </c>
      <c r="E236" t="str">
        <f>VLOOKUP(D236,name!A:B,2,1)</f>
        <v>Asha</v>
      </c>
      <c r="F236" t="s">
        <v>518</v>
      </c>
      <c r="G236" t="str">
        <f t="shared" si="183"/>
        <v>a</v>
      </c>
      <c r="H236" t="str">
        <f>VLOOKUP(D236,name!A:C,3,1)</f>
        <v>assets/icons/image235.png</v>
      </c>
      <c r="I236" t="str">
        <f>IF(A236="","",VLOOKUP(A236,lng!A:B,2,0))</f>
        <v>en-GB</v>
      </c>
    </row>
    <row r="237" spans="1:12" x14ac:dyDescent="0.15">
      <c r="A237" t="str">
        <f t="shared" si="185"/>
        <v>英語</v>
      </c>
      <c r="B237">
        <f t="shared" si="185"/>
        <v>3</v>
      </c>
      <c r="C237">
        <f t="shared" si="186"/>
        <v>14</v>
      </c>
      <c r="D237">
        <f t="shared" si="187"/>
        <v>32</v>
      </c>
      <c r="E237" t="str">
        <f>VLOOKUP(D237,name!A:B,2,1)</f>
        <v>Asha</v>
      </c>
      <c r="F237" t="s">
        <v>533</v>
      </c>
      <c r="G237" t="str">
        <f t="shared" si="183"/>
        <v>a</v>
      </c>
      <c r="H237" t="str">
        <f>VLOOKUP(D237,name!A:C,3,1)</f>
        <v>assets/icons/image235.png</v>
      </c>
      <c r="I237" t="s">
        <v>402</v>
      </c>
    </row>
    <row r="238" spans="1:12" x14ac:dyDescent="0.15">
      <c r="A238" t="str">
        <f t="shared" si="185"/>
        <v>英語</v>
      </c>
      <c r="B238">
        <f t="shared" si="185"/>
        <v>3</v>
      </c>
      <c r="C238">
        <f t="shared" si="186"/>
        <v>15</v>
      </c>
      <c r="D238">
        <v>32</v>
      </c>
      <c r="E238" t="str">
        <f>VLOOKUP(D238,name!A:B,2,1)</f>
        <v>Asha</v>
      </c>
      <c r="F238" t="s">
        <v>519</v>
      </c>
      <c r="G238" t="str">
        <f t="shared" si="183"/>
        <v>a</v>
      </c>
      <c r="H238" t="str">
        <f>VLOOKUP(D238,name!A:C,3,1)</f>
        <v>assets/icons/image235.png</v>
      </c>
      <c r="I238" t="str">
        <f>IF(A238="","",VLOOKUP(A238,lng!A:B,2,0))</f>
        <v>en-GB</v>
      </c>
    </row>
    <row r="239" spans="1:12" x14ac:dyDescent="0.15">
      <c r="A239" t="str">
        <f t="shared" si="185"/>
        <v>英語</v>
      </c>
      <c r="B239">
        <f t="shared" si="185"/>
        <v>3</v>
      </c>
      <c r="C239">
        <f t="shared" si="186"/>
        <v>16</v>
      </c>
      <c r="D239">
        <f t="shared" si="187"/>
        <v>29</v>
      </c>
      <c r="E239" t="str">
        <f>VLOOKUP(D239,name!A:B,2,1)</f>
        <v>Eri</v>
      </c>
      <c r="F239" t="s">
        <v>534</v>
      </c>
      <c r="G239" t="str">
        <f t="shared" si="183"/>
        <v>a</v>
      </c>
      <c r="H239" t="str">
        <f>VLOOKUP(D239,name!A:C,3,1)</f>
        <v>assets/icons/image209.png</v>
      </c>
      <c r="I239" t="s">
        <v>402</v>
      </c>
    </row>
    <row r="240" spans="1:12" x14ac:dyDescent="0.15">
      <c r="A240" t="str">
        <f t="shared" si="185"/>
        <v>英語</v>
      </c>
      <c r="B240">
        <f t="shared" si="185"/>
        <v>3</v>
      </c>
      <c r="C240">
        <f t="shared" si="186"/>
        <v>17</v>
      </c>
      <c r="D240">
        <f t="shared" si="187"/>
        <v>29</v>
      </c>
      <c r="E240" t="str">
        <f>VLOOKUP(D240,name!A:B,2,1)</f>
        <v>Eri</v>
      </c>
      <c r="F240" t="s">
        <v>522</v>
      </c>
      <c r="G240" t="str">
        <f t="shared" si="183"/>
        <v>a</v>
      </c>
      <c r="H240" t="str">
        <f>VLOOKUP(D240,name!A:C,3,1)</f>
        <v>assets/icons/image209.png</v>
      </c>
      <c r="I240" t="str">
        <f>IF(A240="","",VLOOKUP(A240,lng!A:B,2,0))</f>
        <v>en-GB</v>
      </c>
    </row>
    <row r="241" spans="1:9" x14ac:dyDescent="0.15">
      <c r="A241" t="str">
        <f t="shared" ref="A241:B251" si="188">A240</f>
        <v>英語</v>
      </c>
      <c r="B241">
        <f t="shared" si="188"/>
        <v>3</v>
      </c>
      <c r="C241">
        <f t="shared" si="186"/>
        <v>18</v>
      </c>
      <c r="D241">
        <f t="shared" si="187"/>
        <v>29</v>
      </c>
      <c r="E241" t="str">
        <f>VLOOKUP(D241,name!A:B,2,1)</f>
        <v>Eri</v>
      </c>
      <c r="F241" t="s">
        <v>543</v>
      </c>
      <c r="G241" t="str">
        <f t="shared" si="183"/>
        <v>a</v>
      </c>
      <c r="H241" t="str">
        <f>VLOOKUP(D241,name!A:C,3,1)</f>
        <v>assets/icons/image209.png</v>
      </c>
      <c r="I241" t="s">
        <v>402</v>
      </c>
    </row>
    <row r="242" spans="1:9" x14ac:dyDescent="0.15">
      <c r="A242" t="str">
        <f t="shared" si="188"/>
        <v>英語</v>
      </c>
      <c r="B242">
        <f t="shared" si="188"/>
        <v>3</v>
      </c>
      <c r="C242">
        <f t="shared" si="186"/>
        <v>19</v>
      </c>
      <c r="D242">
        <v>29</v>
      </c>
      <c r="E242" t="str">
        <f>VLOOKUP(D242,name!A:B,2,1)</f>
        <v>Eri</v>
      </c>
      <c r="F242" t="s">
        <v>523</v>
      </c>
      <c r="G242" t="str">
        <f t="shared" si="183"/>
        <v>a</v>
      </c>
      <c r="H242" t="str">
        <f>VLOOKUP(D242,name!A:C,3,1)</f>
        <v>assets/icons/image209.png</v>
      </c>
      <c r="I242" t="str">
        <f>IF(A242="","",VLOOKUP(A242,lng!A:B,2,0))</f>
        <v>en-GB</v>
      </c>
    </row>
    <row r="243" spans="1:9" x14ac:dyDescent="0.15">
      <c r="A243" t="str">
        <f t="shared" si="188"/>
        <v>英語</v>
      </c>
      <c r="B243">
        <f t="shared" si="188"/>
        <v>3</v>
      </c>
      <c r="C243">
        <f t="shared" si="186"/>
        <v>20</v>
      </c>
      <c r="D243">
        <f t="shared" si="187"/>
        <v>32</v>
      </c>
      <c r="E243" t="str">
        <f>VLOOKUP(D243,name!A:B,2,1)</f>
        <v>Asha</v>
      </c>
      <c r="F243" t="s">
        <v>544</v>
      </c>
      <c r="G243" t="str">
        <f t="shared" si="183"/>
        <v>a</v>
      </c>
      <c r="H243" t="str">
        <f>VLOOKUP(D243,name!A:C,3,1)</f>
        <v>assets/icons/image235.png</v>
      </c>
      <c r="I243" t="s">
        <v>402</v>
      </c>
    </row>
    <row r="244" spans="1:9" x14ac:dyDescent="0.15">
      <c r="A244" t="str">
        <f t="shared" si="188"/>
        <v>英語</v>
      </c>
      <c r="B244">
        <f t="shared" si="188"/>
        <v>3</v>
      </c>
      <c r="C244">
        <f t="shared" si="186"/>
        <v>21</v>
      </c>
      <c r="D244">
        <f t="shared" si="187"/>
        <v>32</v>
      </c>
      <c r="E244" t="str">
        <f>VLOOKUP(D244,name!A:B,2,1)</f>
        <v>Asha</v>
      </c>
      <c r="F244" t="s">
        <v>524</v>
      </c>
      <c r="G244" t="str">
        <f t="shared" si="183"/>
        <v>a</v>
      </c>
      <c r="H244" t="str">
        <f>VLOOKUP(D244,name!A:C,3,1)</f>
        <v>assets/icons/image235.png</v>
      </c>
      <c r="I244" t="str">
        <f>IF(A244="","",VLOOKUP(A244,lng!A:B,2,0))</f>
        <v>en-GB</v>
      </c>
    </row>
    <row r="245" spans="1:9" x14ac:dyDescent="0.15">
      <c r="A245" t="str">
        <f t="shared" si="188"/>
        <v>英語</v>
      </c>
      <c r="B245">
        <f t="shared" si="188"/>
        <v>3</v>
      </c>
      <c r="C245">
        <f t="shared" si="186"/>
        <v>22</v>
      </c>
      <c r="D245">
        <f t="shared" si="187"/>
        <v>32</v>
      </c>
      <c r="E245" t="str">
        <f>VLOOKUP(D245,name!A:B,2,1)</f>
        <v>Asha</v>
      </c>
      <c r="F245" t="s">
        <v>535</v>
      </c>
      <c r="G245" t="str">
        <f t="shared" si="183"/>
        <v>a</v>
      </c>
      <c r="H245" t="str">
        <f>VLOOKUP(D245,name!A:C,3,1)</f>
        <v>assets/icons/image235.png</v>
      </c>
      <c r="I245" t="s">
        <v>402</v>
      </c>
    </row>
    <row r="246" spans="1:9" x14ac:dyDescent="0.15">
      <c r="A246" t="str">
        <f t="shared" si="188"/>
        <v>英語</v>
      </c>
      <c r="B246">
        <f t="shared" si="188"/>
        <v>3</v>
      </c>
      <c r="C246">
        <f t="shared" si="186"/>
        <v>23</v>
      </c>
      <c r="D246">
        <v>32</v>
      </c>
      <c r="E246" t="str">
        <f>VLOOKUP(D246,name!A:B,2,1)</f>
        <v>Asha</v>
      </c>
      <c r="F246" t="s">
        <v>525</v>
      </c>
      <c r="G246" t="str">
        <f t="shared" si="183"/>
        <v>a</v>
      </c>
      <c r="H246" t="str">
        <f>VLOOKUP(D246,name!A:C,3,1)</f>
        <v>assets/icons/image235.png</v>
      </c>
      <c r="I246" t="str">
        <f>IF(A246="","",VLOOKUP(A246,lng!A:B,2,0))</f>
        <v>en-GB</v>
      </c>
    </row>
    <row r="247" spans="1:9" x14ac:dyDescent="0.15">
      <c r="A247" t="str">
        <f t="shared" si="188"/>
        <v>英語</v>
      </c>
      <c r="B247">
        <f t="shared" si="188"/>
        <v>3</v>
      </c>
      <c r="C247">
        <f t="shared" si="186"/>
        <v>24</v>
      </c>
      <c r="D247">
        <f t="shared" si="187"/>
        <v>29</v>
      </c>
      <c r="E247" t="str">
        <f>VLOOKUP(D247,name!A:B,2,1)</f>
        <v>Eri</v>
      </c>
      <c r="F247" t="s">
        <v>536</v>
      </c>
      <c r="G247" t="str">
        <f t="shared" si="183"/>
        <v>a</v>
      </c>
      <c r="H247" t="str">
        <f>VLOOKUP(D247,name!A:C,3,1)</f>
        <v>assets/icons/image209.png</v>
      </c>
      <c r="I247" t="s">
        <v>402</v>
      </c>
    </row>
    <row r="248" spans="1:9" x14ac:dyDescent="0.15">
      <c r="A248" t="str">
        <f t="shared" si="188"/>
        <v>英語</v>
      </c>
      <c r="B248">
        <f t="shared" si="188"/>
        <v>3</v>
      </c>
      <c r="C248">
        <f t="shared" si="186"/>
        <v>25</v>
      </c>
      <c r="D248">
        <f t="shared" si="187"/>
        <v>29</v>
      </c>
      <c r="E248" t="str">
        <f>VLOOKUP(D248,name!A:B,2,1)</f>
        <v>Eri</v>
      </c>
      <c r="F248" t="s">
        <v>526</v>
      </c>
      <c r="G248" t="str">
        <f t="shared" si="183"/>
        <v>a</v>
      </c>
      <c r="H248" t="str">
        <f>VLOOKUP(D248,name!A:C,3,1)</f>
        <v>assets/icons/image209.png</v>
      </c>
      <c r="I248" t="str">
        <f>IF(A248="","",VLOOKUP(A248,lng!A:B,2,0))</f>
        <v>en-GB</v>
      </c>
    </row>
    <row r="249" spans="1:9" x14ac:dyDescent="0.15">
      <c r="A249" t="str">
        <f t="shared" si="188"/>
        <v>英語</v>
      </c>
      <c r="B249">
        <f t="shared" si="188"/>
        <v>3</v>
      </c>
      <c r="C249">
        <f t="shared" si="186"/>
        <v>26</v>
      </c>
      <c r="D249">
        <f t="shared" si="187"/>
        <v>29</v>
      </c>
      <c r="E249" t="str">
        <f>VLOOKUP(D249,name!A:B,2,1)</f>
        <v>Eri</v>
      </c>
      <c r="F249" t="s">
        <v>537</v>
      </c>
      <c r="G249" t="str">
        <f t="shared" si="183"/>
        <v>a</v>
      </c>
      <c r="H249" t="str">
        <f>VLOOKUP(D249,name!A:C,3,1)</f>
        <v>assets/icons/image209.png</v>
      </c>
      <c r="I249" t="s">
        <v>402</v>
      </c>
    </row>
    <row r="250" spans="1:9" x14ac:dyDescent="0.15">
      <c r="A250" t="str">
        <f t="shared" si="188"/>
        <v>英語</v>
      </c>
      <c r="B250">
        <f t="shared" si="188"/>
        <v>3</v>
      </c>
      <c r="C250">
        <f t="shared" si="186"/>
        <v>27</v>
      </c>
      <c r="D250">
        <v>29</v>
      </c>
      <c r="E250" t="str">
        <f>VLOOKUP(D250,name!A:B,2,1)</f>
        <v>Eri</v>
      </c>
      <c r="F250" t="s">
        <v>527</v>
      </c>
      <c r="G250" t="str">
        <f t="shared" si="183"/>
        <v>a</v>
      </c>
      <c r="H250" t="str">
        <f>VLOOKUP(D250,name!A:C,3,1)</f>
        <v>assets/icons/image209.png</v>
      </c>
      <c r="I250" t="str">
        <f>IF(A250="","",VLOOKUP(A250,lng!A:B,2,0))</f>
        <v>en-GB</v>
      </c>
    </row>
    <row r="251" spans="1:9" x14ac:dyDescent="0.15">
      <c r="A251" t="str">
        <f t="shared" si="188"/>
        <v>英語</v>
      </c>
      <c r="B251">
        <f t="shared" si="188"/>
        <v>3</v>
      </c>
      <c r="C251">
        <f t="shared" si="186"/>
        <v>28</v>
      </c>
      <c r="D251">
        <f t="shared" si="187"/>
        <v>32</v>
      </c>
      <c r="E251" t="str">
        <f>VLOOKUP(D251,name!A:B,2,1)</f>
        <v>Asha</v>
      </c>
      <c r="F251" t="s">
        <v>538</v>
      </c>
      <c r="G251" t="str">
        <f t="shared" si="183"/>
        <v>a</v>
      </c>
      <c r="H251" t="str">
        <f>VLOOKUP(D251,name!A:C,3,1)</f>
        <v>assets/icons/image235.png</v>
      </c>
      <c r="I251" t="s">
        <v>402</v>
      </c>
    </row>
    <row r="252" spans="1:9" x14ac:dyDescent="0.15">
      <c r="A252" t="str">
        <f t="shared" ref="A252:B252" si="189">A251</f>
        <v>英語</v>
      </c>
      <c r="B252">
        <f t="shared" si="189"/>
        <v>3</v>
      </c>
      <c r="C252">
        <f t="shared" si="186"/>
        <v>29</v>
      </c>
      <c r="D252">
        <f t="shared" si="187"/>
        <v>32</v>
      </c>
      <c r="E252" t="str">
        <f>VLOOKUP(D252,name!A:B,2,1)</f>
        <v>Asha</v>
      </c>
      <c r="F252" t="s">
        <v>528</v>
      </c>
      <c r="G252" t="str">
        <f t="shared" si="183"/>
        <v>a</v>
      </c>
      <c r="H252" t="str">
        <f>VLOOKUP(D252,name!A:C,3,1)</f>
        <v>assets/icons/image235.png</v>
      </c>
      <c r="I252" t="str">
        <f>IF(A252="","",VLOOKUP(A252,lng!A:B,2,0))</f>
        <v>en-GB</v>
      </c>
    </row>
    <row r="253" spans="1:9" x14ac:dyDescent="0.15">
      <c r="A253" t="str">
        <f t="shared" ref="A253:B253" si="190">A252</f>
        <v>英語</v>
      </c>
      <c r="B253">
        <f t="shared" si="190"/>
        <v>3</v>
      </c>
      <c r="C253">
        <f t="shared" si="186"/>
        <v>30</v>
      </c>
      <c r="D253">
        <f t="shared" si="187"/>
        <v>32</v>
      </c>
      <c r="E253" t="str">
        <f>VLOOKUP(D253,name!A:B,2,1)</f>
        <v>Asha</v>
      </c>
      <c r="F253" t="s">
        <v>540</v>
      </c>
      <c r="G253" t="str">
        <f t="shared" si="183"/>
        <v>a</v>
      </c>
      <c r="H253" t="str">
        <f>VLOOKUP(D253,name!A:C,3,1)</f>
        <v>assets/icons/image235.png</v>
      </c>
      <c r="I253" t="s">
        <v>402</v>
      </c>
    </row>
    <row r="254" spans="1:9" x14ac:dyDescent="0.15">
      <c r="A254" t="str">
        <f t="shared" ref="A254:B254" si="191">A253</f>
        <v>英語</v>
      </c>
      <c r="B254">
        <f t="shared" si="191"/>
        <v>3</v>
      </c>
      <c r="C254">
        <f t="shared" si="186"/>
        <v>31</v>
      </c>
      <c r="D254">
        <f t="shared" si="187"/>
        <v>32</v>
      </c>
      <c r="E254" t="str">
        <f>VLOOKUP(D254,name!A:B,2,1)</f>
        <v>Asha</v>
      </c>
      <c r="F254" t="s">
        <v>541</v>
      </c>
      <c r="G254" t="str">
        <f t="shared" si="183"/>
        <v>a</v>
      </c>
      <c r="H254" t="str">
        <f>VLOOKUP(D254,name!A:C,3,1)</f>
        <v>assets/icons/image235.png</v>
      </c>
      <c r="I254" t="str">
        <f>IF(A254="","",VLOOKUP(A254,lng!A:B,2,0))</f>
        <v>en-GB</v>
      </c>
    </row>
    <row r="255" spans="1:9" x14ac:dyDescent="0.15">
      <c r="A255" t="str">
        <f t="shared" ref="A255:B255" si="192">A254</f>
        <v>英語</v>
      </c>
      <c r="B255">
        <f t="shared" si="192"/>
        <v>3</v>
      </c>
      <c r="C255">
        <f t="shared" si="186"/>
        <v>32</v>
      </c>
      <c r="D255">
        <f t="shared" si="187"/>
        <v>32</v>
      </c>
      <c r="E255" t="str">
        <f>VLOOKUP(D255,name!A:B,2,1)</f>
        <v>Asha</v>
      </c>
      <c r="F255" t="s">
        <v>542</v>
      </c>
      <c r="G255" t="str">
        <f t="shared" si="183"/>
        <v>a</v>
      </c>
      <c r="H255" t="str">
        <f>VLOOKUP(D255,name!A:C,3,1)</f>
        <v>assets/icons/image235.png</v>
      </c>
      <c r="I255" t="s">
        <v>402</v>
      </c>
    </row>
    <row r="256" spans="1:9" x14ac:dyDescent="0.15">
      <c r="A256" t="str">
        <f t="shared" ref="A256:B256" si="193">A255</f>
        <v>英語</v>
      </c>
      <c r="B256">
        <f t="shared" si="193"/>
        <v>3</v>
      </c>
      <c r="C256">
        <f t="shared" si="186"/>
        <v>33</v>
      </c>
      <c r="D256">
        <v>32</v>
      </c>
      <c r="E256" t="str">
        <f>VLOOKUP(D256,name!A:B,2,1)</f>
        <v>Asha</v>
      </c>
      <c r="F256" t="s">
        <v>539</v>
      </c>
      <c r="G256" t="str">
        <f t="shared" si="183"/>
        <v>a</v>
      </c>
      <c r="H256" t="str">
        <f>VLOOKUP(D256,name!A:C,3,1)</f>
        <v>assets/icons/image235.png</v>
      </c>
      <c r="I256" t="str">
        <f>IF(A256="","",VLOOKUP(A256,lng!A:B,2,0))</f>
        <v>en-GB</v>
      </c>
    </row>
    <row r="257" spans="1:9" x14ac:dyDescent="0.15">
      <c r="A257" t="str">
        <f t="shared" ref="A257:B257" si="194">A256</f>
        <v>英語</v>
      </c>
      <c r="B257">
        <f t="shared" si="194"/>
        <v>3</v>
      </c>
      <c r="C257">
        <f t="shared" si="186"/>
        <v>34</v>
      </c>
      <c r="D257">
        <v>1</v>
      </c>
      <c r="E257" t="str">
        <f>VLOOKUP(D257,name!A:B,2,1)</f>
        <v>Navigator</v>
      </c>
      <c r="F257" t="str">
        <f>"次の"&amp;A257&amp;"を真似してね！"</f>
        <v>次の英語を真似してね！</v>
      </c>
      <c r="G257" t="str">
        <f t="shared" si="183"/>
        <v>a</v>
      </c>
      <c r="H257" t="str">
        <f>VLOOKUP(D257,name!A:C,3,1)</f>
        <v>assets/icons/image014.png</v>
      </c>
      <c r="I257" t="s">
        <v>402</v>
      </c>
    </row>
    <row r="258" spans="1:9" x14ac:dyDescent="0.15">
      <c r="A258" t="str">
        <f t="shared" ref="A258:B258" si="195">A257</f>
        <v>英語</v>
      </c>
      <c r="B258">
        <f t="shared" si="195"/>
        <v>3</v>
      </c>
      <c r="C258">
        <f t="shared" si="186"/>
        <v>35</v>
      </c>
      <c r="D258">
        <f>D227</f>
        <v>29</v>
      </c>
      <c r="E258" t="str">
        <f>VLOOKUP(D258,name!A:B,2,1)</f>
        <v>Eri</v>
      </c>
      <c r="F258" t="str">
        <f>F227</f>
        <v>こんにちは。</v>
      </c>
      <c r="G258" t="str">
        <f t="shared" si="183"/>
        <v>a</v>
      </c>
      <c r="H258" t="str">
        <f>VLOOKUP(D258,name!A:C,3,1)</f>
        <v>assets/icons/image209.png</v>
      </c>
      <c r="I258" t="s">
        <v>402</v>
      </c>
    </row>
    <row r="259" spans="1:9" x14ac:dyDescent="0.15">
      <c r="A259" t="str">
        <f t="shared" ref="A259:B259" si="196">A258</f>
        <v>英語</v>
      </c>
      <c r="B259">
        <f t="shared" si="196"/>
        <v>3</v>
      </c>
      <c r="C259">
        <f t="shared" si="186"/>
        <v>36</v>
      </c>
      <c r="D259">
        <f>D228</f>
        <v>29</v>
      </c>
      <c r="E259" t="str">
        <f>VLOOKUP(D259,name!A:B,2,1)</f>
        <v>Eri</v>
      </c>
      <c r="F259" t="str">
        <f>F228</f>
        <v>Hello.</v>
      </c>
      <c r="G259" t="str">
        <f t="shared" si="183"/>
        <v>a</v>
      </c>
      <c r="H259" t="str">
        <f>VLOOKUP(D259,name!A:C,3,1)</f>
        <v>assets/icons/image209.png</v>
      </c>
      <c r="I259" t="str">
        <f>IF(A259="","",VLOOKUP(A259,lng!A:B,2,0))</f>
        <v>en-GB</v>
      </c>
    </row>
    <row r="260" spans="1:9" x14ac:dyDescent="0.15">
      <c r="A260" t="str">
        <f t="shared" ref="A260:B260" si="197">A259</f>
        <v>英語</v>
      </c>
      <c r="B260">
        <f t="shared" si="197"/>
        <v>3</v>
      </c>
      <c r="C260">
        <f t="shared" si="186"/>
        <v>37</v>
      </c>
      <c r="D260">
        <v>0</v>
      </c>
      <c r="E260" t="str">
        <f>VLOOKUP(D260,name!A:B,2,1)</f>
        <v>Player</v>
      </c>
      <c r="F260" t="str">
        <f>F228</f>
        <v>Hello.</v>
      </c>
      <c r="G260" t="str">
        <f t="shared" si="183"/>
        <v>q</v>
      </c>
      <c r="H260" t="str">
        <f>VLOOKUP(D260,name!A:C,3,1)</f>
        <v>assets/icons/image326.png</v>
      </c>
      <c r="I260" t="str">
        <f>IF(A260="","",VLOOKUP(A260,lng!A:B,2,0))</f>
        <v>en-GB</v>
      </c>
    </row>
    <row r="261" spans="1:9" x14ac:dyDescent="0.15">
      <c r="A261" t="str">
        <f t="shared" ref="A261:B261" si="198">A260</f>
        <v>英語</v>
      </c>
      <c r="B261">
        <f t="shared" si="198"/>
        <v>3</v>
      </c>
      <c r="C261">
        <f t="shared" si="186"/>
        <v>38</v>
      </c>
      <c r="D261">
        <f>D229</f>
        <v>29</v>
      </c>
      <c r="E261" t="str">
        <f>VLOOKUP(D261,name!A:B,2,1)</f>
        <v>Eri</v>
      </c>
      <c r="F261" t="str">
        <f>F229</f>
        <v xml:space="preserve"> レン・サットン先生の授業を待っているの?</v>
      </c>
      <c r="G261" t="str">
        <f t="shared" si="183"/>
        <v>a</v>
      </c>
      <c r="H261" t="str">
        <f>VLOOKUP(D261,name!A:C,3,1)</f>
        <v>assets/icons/image209.png</v>
      </c>
      <c r="I261" t="s">
        <v>402</v>
      </c>
    </row>
    <row r="262" spans="1:9" x14ac:dyDescent="0.15">
      <c r="A262" t="str">
        <f t="shared" ref="A262:B262" si="199">A261</f>
        <v>英語</v>
      </c>
      <c r="B262">
        <f t="shared" si="199"/>
        <v>3</v>
      </c>
      <c r="C262">
        <f t="shared" si="186"/>
        <v>39</v>
      </c>
      <c r="D262">
        <f>D230</f>
        <v>29</v>
      </c>
      <c r="E262" t="str">
        <f>VLOOKUP(D262,name!A:B,2,1)</f>
        <v>Eri</v>
      </c>
      <c r="F262" t="str">
        <f>F230</f>
        <v>Are you waiting for Len Sutton's class?</v>
      </c>
      <c r="G262" t="str">
        <f t="shared" si="183"/>
        <v>a</v>
      </c>
      <c r="H262" t="str">
        <f>VLOOKUP(D262,name!A:C,3,1)</f>
        <v>assets/icons/image209.png</v>
      </c>
      <c r="I262" t="str">
        <f>IF(A262="","",VLOOKUP(A262,lng!A:B,2,0))</f>
        <v>en-GB</v>
      </c>
    </row>
    <row r="263" spans="1:9" x14ac:dyDescent="0.15">
      <c r="A263" t="str">
        <f t="shared" ref="A263:B263" si="200">A262</f>
        <v>英語</v>
      </c>
      <c r="B263">
        <f t="shared" si="200"/>
        <v>3</v>
      </c>
      <c r="C263">
        <f t="shared" si="186"/>
        <v>40</v>
      </c>
      <c r="D263">
        <v>0</v>
      </c>
      <c r="E263" t="str">
        <f>VLOOKUP(D263,name!A:B,2,1)</f>
        <v>Player</v>
      </c>
      <c r="F263" t="str">
        <f>F230</f>
        <v>Are you waiting for Len Sutton's class?</v>
      </c>
      <c r="G263" t="str">
        <f t="shared" si="183"/>
        <v>q</v>
      </c>
      <c r="H263" t="str">
        <f>VLOOKUP(D263,name!A:C,3,1)</f>
        <v>assets/icons/image326.png</v>
      </c>
      <c r="I263" t="str">
        <f>IF(A263="","",VLOOKUP(A263,lng!A:B,2,0))</f>
        <v>en-GB</v>
      </c>
    </row>
    <row r="264" spans="1:9" x14ac:dyDescent="0.15">
      <c r="A264" t="str">
        <f t="shared" ref="A264:B264" si="201">A263</f>
        <v>英語</v>
      </c>
      <c r="B264">
        <f t="shared" si="201"/>
        <v>3</v>
      </c>
      <c r="C264">
        <f t="shared" si="186"/>
        <v>41</v>
      </c>
      <c r="D264">
        <f>D231</f>
        <v>32</v>
      </c>
      <c r="E264" t="str">
        <f>VLOOKUP(D264,name!A:B,2,1)</f>
        <v>Asha</v>
      </c>
      <c r="F264" t="str">
        <f>F231</f>
        <v>はい。</v>
      </c>
      <c r="G264" t="str">
        <f t="shared" si="183"/>
        <v>a</v>
      </c>
      <c r="H264" t="str">
        <f>VLOOKUP(D264,name!A:C,3,1)</f>
        <v>assets/icons/image235.png</v>
      </c>
      <c r="I264" t="s">
        <v>402</v>
      </c>
    </row>
    <row r="265" spans="1:9" x14ac:dyDescent="0.15">
      <c r="A265" t="str">
        <f t="shared" ref="A265:B265" si="202">A264</f>
        <v>英語</v>
      </c>
      <c r="B265">
        <f t="shared" si="202"/>
        <v>3</v>
      </c>
      <c r="C265">
        <f t="shared" si="186"/>
        <v>42</v>
      </c>
      <c r="D265">
        <f>D232</f>
        <v>32</v>
      </c>
      <c r="E265" t="str">
        <f>VLOOKUP(D265,name!A:B,2,1)</f>
        <v>Asha</v>
      </c>
      <c r="F265" t="str">
        <f>F232</f>
        <v>Yes.</v>
      </c>
      <c r="G265" t="str">
        <f t="shared" si="183"/>
        <v>a</v>
      </c>
      <c r="H265" t="str">
        <f>VLOOKUP(D265,name!A:C,3,1)</f>
        <v>assets/icons/image235.png</v>
      </c>
      <c r="I265" t="str">
        <f>IF(A265="","",VLOOKUP(A265,lng!A:B,2,0))</f>
        <v>en-GB</v>
      </c>
    </row>
    <row r="266" spans="1:9" x14ac:dyDescent="0.15">
      <c r="A266" t="str">
        <f t="shared" ref="A266:B266" si="203">A265</f>
        <v>英語</v>
      </c>
      <c r="B266">
        <f t="shared" si="203"/>
        <v>3</v>
      </c>
      <c r="C266">
        <f t="shared" si="186"/>
        <v>43</v>
      </c>
      <c r="D266">
        <v>0</v>
      </c>
      <c r="E266" t="str">
        <f>VLOOKUP(D266,name!A:B,2,1)</f>
        <v>Player</v>
      </c>
      <c r="F266" t="str">
        <f>F232</f>
        <v>Yes.</v>
      </c>
      <c r="G266" t="str">
        <f t="shared" si="183"/>
        <v>q</v>
      </c>
      <c r="H266" t="str">
        <f>VLOOKUP(D266,name!A:C,3,1)</f>
        <v>assets/icons/image326.png</v>
      </c>
      <c r="I266" t="str">
        <f>IF(A266="","",VLOOKUP(A266,lng!A:B,2,0))</f>
        <v>en-GB</v>
      </c>
    </row>
    <row r="267" spans="1:9" x14ac:dyDescent="0.15">
      <c r="A267" t="str">
        <f t="shared" ref="A267:B267" si="204">A266</f>
        <v>英語</v>
      </c>
      <c r="B267">
        <f t="shared" si="204"/>
        <v>3</v>
      </c>
      <c r="C267">
        <f t="shared" si="186"/>
        <v>44</v>
      </c>
      <c r="D267">
        <f>D233</f>
        <v>32</v>
      </c>
      <c r="E267" t="str">
        <f>VLOOKUP(D267,name!A:B,2,1)</f>
        <v>Asha</v>
      </c>
      <c r="F267" t="str">
        <f>F233</f>
        <v>私はアシャ。</v>
      </c>
      <c r="G267" t="str">
        <f t="shared" si="183"/>
        <v>a</v>
      </c>
      <c r="H267" t="str">
        <f>VLOOKUP(D267,name!A:C,3,1)</f>
        <v>assets/icons/image235.png</v>
      </c>
      <c r="I267" t="s">
        <v>402</v>
      </c>
    </row>
    <row r="268" spans="1:9" x14ac:dyDescent="0.15">
      <c r="A268" t="str">
        <f t="shared" ref="A268:B268" si="205">A267</f>
        <v>英語</v>
      </c>
      <c r="B268">
        <f t="shared" si="205"/>
        <v>3</v>
      </c>
      <c r="C268">
        <f t="shared" si="186"/>
        <v>45</v>
      </c>
      <c r="D268">
        <f>D234</f>
        <v>32</v>
      </c>
      <c r="E268" t="str">
        <f>VLOOKUP(D268,name!A:B,2,1)</f>
        <v>Asha</v>
      </c>
      <c r="F268" t="str">
        <f>F234</f>
        <v>I'm Asha.</v>
      </c>
      <c r="G268" t="str">
        <f t="shared" si="183"/>
        <v>a</v>
      </c>
      <c r="H268" t="str">
        <f>VLOOKUP(D268,name!A:C,3,1)</f>
        <v>assets/icons/image235.png</v>
      </c>
      <c r="I268" t="str">
        <f>IF(A268="","",VLOOKUP(A268,lng!A:B,2,0))</f>
        <v>en-GB</v>
      </c>
    </row>
    <row r="269" spans="1:9" x14ac:dyDescent="0.15">
      <c r="A269" t="str">
        <f t="shared" ref="A269:B269" si="206">A268</f>
        <v>英語</v>
      </c>
      <c r="B269">
        <f t="shared" si="206"/>
        <v>3</v>
      </c>
      <c r="C269">
        <f t="shared" si="186"/>
        <v>46</v>
      </c>
      <c r="D269">
        <v>0</v>
      </c>
      <c r="E269" t="str">
        <f>VLOOKUP(D269,name!A:B,2,1)</f>
        <v>Player</v>
      </c>
      <c r="F269" t="str">
        <f>F234</f>
        <v>I'm Asha.</v>
      </c>
      <c r="G269" t="str">
        <f t="shared" si="183"/>
        <v>q</v>
      </c>
      <c r="H269" t="str">
        <f>VLOOKUP(D269,name!A:C,3,1)</f>
        <v>assets/icons/image326.png</v>
      </c>
      <c r="I269" t="str">
        <f>IF(A269="","",VLOOKUP(A269,lng!A:B,2,0))</f>
        <v>en-GB</v>
      </c>
    </row>
    <row r="270" spans="1:9" x14ac:dyDescent="0.15">
      <c r="A270" t="str">
        <f t="shared" ref="A270:B270" si="207">A269</f>
        <v>英語</v>
      </c>
      <c r="B270">
        <f t="shared" si="207"/>
        <v>3</v>
      </c>
      <c r="C270">
        <f t="shared" si="186"/>
        <v>47</v>
      </c>
      <c r="D270">
        <f>D235</f>
        <v>32</v>
      </c>
      <c r="E270" t="str">
        <f>VLOOKUP(D270,name!A:B,2,1)</f>
        <v>Asha</v>
      </c>
      <c r="F270" t="str">
        <f>F235</f>
        <v>インド人かと聞かれる前に言うけれど、</v>
      </c>
      <c r="G270" t="str">
        <f t="shared" si="183"/>
        <v>a</v>
      </c>
      <c r="H270" t="str">
        <f>VLOOKUP(D270,name!A:C,3,1)</f>
        <v>assets/icons/image235.png</v>
      </c>
      <c r="I270" t="s">
        <v>402</v>
      </c>
    </row>
    <row r="271" spans="1:9" x14ac:dyDescent="0.15">
      <c r="A271" t="str">
        <f t="shared" ref="A271:B271" si="208">A270</f>
        <v>英語</v>
      </c>
      <c r="B271">
        <f t="shared" si="208"/>
        <v>3</v>
      </c>
      <c r="C271">
        <f t="shared" si="186"/>
        <v>48</v>
      </c>
      <c r="D271">
        <f>D236</f>
        <v>32</v>
      </c>
      <c r="E271" t="str">
        <f>VLOOKUP(D271,name!A:B,2,1)</f>
        <v>Asha</v>
      </c>
      <c r="F271" t="str">
        <f>F236</f>
        <v>And before you ask me if I'm Indian,</v>
      </c>
      <c r="G271" t="str">
        <f t="shared" si="183"/>
        <v>a</v>
      </c>
      <c r="H271" t="str">
        <f>VLOOKUP(D271,name!A:C,3,1)</f>
        <v>assets/icons/image235.png</v>
      </c>
      <c r="I271" t="str">
        <f>IF(A271="","",VLOOKUP(A271,lng!A:B,2,0))</f>
        <v>en-GB</v>
      </c>
    </row>
    <row r="272" spans="1:9" x14ac:dyDescent="0.15">
      <c r="A272" t="str">
        <f t="shared" ref="A272:B272" si="209">A271</f>
        <v>英語</v>
      </c>
      <c r="B272">
        <f t="shared" si="209"/>
        <v>3</v>
      </c>
      <c r="C272">
        <f t="shared" si="186"/>
        <v>49</v>
      </c>
      <c r="D272">
        <v>0</v>
      </c>
      <c r="E272" t="str">
        <f>VLOOKUP(D272,name!A:B,2,1)</f>
        <v>Player</v>
      </c>
      <c r="F272" t="str">
        <f>F236</f>
        <v>And before you ask me if I'm Indian,</v>
      </c>
      <c r="G272" t="str">
        <f t="shared" si="183"/>
        <v>q</v>
      </c>
      <c r="H272" t="str">
        <f>VLOOKUP(D272,name!A:C,3,1)</f>
        <v>assets/icons/image326.png</v>
      </c>
      <c r="I272" t="str">
        <f>IF(A272="","",VLOOKUP(A272,lng!A:B,2,0))</f>
        <v>en-GB</v>
      </c>
    </row>
    <row r="273" spans="1:9" x14ac:dyDescent="0.15">
      <c r="A273" t="str">
        <f t="shared" ref="A273:B273" si="210">A272</f>
        <v>英語</v>
      </c>
      <c r="B273">
        <f t="shared" si="210"/>
        <v>3</v>
      </c>
      <c r="C273">
        <f t="shared" si="186"/>
        <v>50</v>
      </c>
      <c r="D273">
        <f>D237</f>
        <v>32</v>
      </c>
      <c r="E273" t="str">
        <f>VLOOKUP(D273,name!A:B,2,1)</f>
        <v>Asha</v>
      </c>
      <c r="F273" t="str">
        <f>F237</f>
        <v>私はバングラデシュのダカ出身。</v>
      </c>
      <c r="G273" t="str">
        <f t="shared" si="183"/>
        <v>a</v>
      </c>
      <c r="H273" t="str">
        <f>VLOOKUP(D273,name!A:C,3,1)</f>
        <v>assets/icons/image235.png</v>
      </c>
      <c r="I273" t="s">
        <v>402</v>
      </c>
    </row>
    <row r="274" spans="1:9" x14ac:dyDescent="0.15">
      <c r="A274" t="str">
        <f t="shared" ref="A274:B274" si="211">A273</f>
        <v>英語</v>
      </c>
      <c r="B274">
        <f t="shared" si="211"/>
        <v>3</v>
      </c>
      <c r="C274">
        <f t="shared" si="186"/>
        <v>51</v>
      </c>
      <c r="D274">
        <f>D238</f>
        <v>32</v>
      </c>
      <c r="E274" t="str">
        <f>VLOOKUP(D274,name!A:B,2,1)</f>
        <v>Asha</v>
      </c>
      <c r="F274" t="str">
        <f>F238</f>
        <v>I'm from Dhaka in Bangladesh.</v>
      </c>
      <c r="G274" t="str">
        <f t="shared" si="183"/>
        <v>a</v>
      </c>
      <c r="H274" t="str">
        <f>VLOOKUP(D274,name!A:C,3,1)</f>
        <v>assets/icons/image235.png</v>
      </c>
      <c r="I274" t="str">
        <f>IF(A274="","",VLOOKUP(A274,lng!A:B,2,0))</f>
        <v>en-GB</v>
      </c>
    </row>
    <row r="275" spans="1:9" x14ac:dyDescent="0.15">
      <c r="A275" t="str">
        <f t="shared" ref="A275:B275" si="212">A274</f>
        <v>英語</v>
      </c>
      <c r="B275">
        <f t="shared" si="212"/>
        <v>3</v>
      </c>
      <c r="C275">
        <f t="shared" si="186"/>
        <v>52</v>
      </c>
      <c r="D275">
        <v>0</v>
      </c>
      <c r="E275" t="str">
        <f>VLOOKUP(D275,name!A:B,2,1)</f>
        <v>Player</v>
      </c>
      <c r="F275" t="str">
        <f>F238</f>
        <v>I'm from Dhaka in Bangladesh.</v>
      </c>
      <c r="G275" t="str">
        <f t="shared" si="183"/>
        <v>q</v>
      </c>
      <c r="H275" t="str">
        <f>VLOOKUP(D275,name!A:C,3,1)</f>
        <v>assets/icons/image326.png</v>
      </c>
      <c r="I275" t="str">
        <f>IF(A275="","",VLOOKUP(A275,lng!A:B,2,0))</f>
        <v>en-GB</v>
      </c>
    </row>
    <row r="276" spans="1:9" x14ac:dyDescent="0.15">
      <c r="A276" t="str">
        <f t="shared" ref="A276:B276" si="213">A275</f>
        <v>英語</v>
      </c>
      <c r="B276">
        <f t="shared" si="213"/>
        <v>3</v>
      </c>
      <c r="C276">
        <f t="shared" si="186"/>
        <v>53</v>
      </c>
      <c r="D276">
        <f>D239</f>
        <v>29</v>
      </c>
      <c r="E276" t="str">
        <f>VLOOKUP(D276,name!A:B,2,1)</f>
        <v>Eri</v>
      </c>
      <c r="F276" t="str">
        <f>F239</f>
        <v>東京からきた高木エリ。</v>
      </c>
      <c r="G276" t="str">
        <f t="shared" si="183"/>
        <v>a</v>
      </c>
      <c r="H276" t="str">
        <f>VLOOKUP(D276,name!A:C,3,1)</f>
        <v>assets/icons/image209.png</v>
      </c>
      <c r="I276" t="s">
        <v>402</v>
      </c>
    </row>
    <row r="277" spans="1:9" x14ac:dyDescent="0.15">
      <c r="A277" t="str">
        <f t="shared" ref="A277:B277" si="214">A276</f>
        <v>英語</v>
      </c>
      <c r="B277">
        <f t="shared" si="214"/>
        <v>3</v>
      </c>
      <c r="C277">
        <f t="shared" si="186"/>
        <v>54</v>
      </c>
      <c r="D277">
        <f>D240</f>
        <v>29</v>
      </c>
      <c r="E277" t="str">
        <f>VLOOKUP(D277,name!A:B,2,1)</f>
        <v>Eri</v>
      </c>
      <c r="F277" t="str">
        <f>F240</f>
        <v xml:space="preserve">Eri Takagi, from Tokyo. </v>
      </c>
      <c r="G277" t="str">
        <f t="shared" si="183"/>
        <v>a</v>
      </c>
      <c r="H277" t="str">
        <f>VLOOKUP(D277,name!A:C,3,1)</f>
        <v>assets/icons/image209.png</v>
      </c>
      <c r="I277" t="str">
        <f>IF(A277="","",VLOOKUP(A277,lng!A:B,2,0))</f>
        <v>en-GB</v>
      </c>
    </row>
    <row r="278" spans="1:9" x14ac:dyDescent="0.15">
      <c r="A278" t="str">
        <f t="shared" ref="A278:B278" si="215">A277</f>
        <v>英語</v>
      </c>
      <c r="B278">
        <f t="shared" si="215"/>
        <v>3</v>
      </c>
      <c r="C278">
        <f t="shared" si="186"/>
        <v>55</v>
      </c>
      <c r="D278">
        <v>0</v>
      </c>
      <c r="E278" t="str">
        <f>VLOOKUP(D278,name!A:B,2,1)</f>
        <v>Player</v>
      </c>
      <c r="F278" t="str">
        <f>F240</f>
        <v xml:space="preserve">Eri Takagi, from Tokyo. </v>
      </c>
      <c r="G278" t="str">
        <f t="shared" si="183"/>
        <v>q</v>
      </c>
      <c r="H278" t="str">
        <f>VLOOKUP(D278,name!A:C,3,1)</f>
        <v>assets/icons/image326.png</v>
      </c>
      <c r="I278" t="str">
        <f>IF(A278="","",VLOOKUP(A278,lng!A:B,2,0))</f>
        <v>en-GB</v>
      </c>
    </row>
    <row r="279" spans="1:9" x14ac:dyDescent="0.15">
      <c r="A279" t="str">
        <f t="shared" ref="A279:B279" si="216">A278</f>
        <v>英語</v>
      </c>
      <c r="B279">
        <f t="shared" si="216"/>
        <v>3</v>
      </c>
      <c r="C279">
        <f t="shared" si="186"/>
        <v>56</v>
      </c>
      <c r="D279">
        <f>D241</f>
        <v>29</v>
      </c>
      <c r="E279" t="str">
        <f>VLOOKUP(D279,name!A:B,2,1)</f>
        <v>Eri</v>
      </c>
      <c r="F279" t="str">
        <f>F241</f>
        <v>ごめんなさい、私はバングラデシュのことはあまりよく知らないんだ。</v>
      </c>
      <c r="G279" t="str">
        <f t="shared" si="183"/>
        <v>a</v>
      </c>
      <c r="H279" t="str">
        <f>VLOOKUP(D279,name!A:C,3,1)</f>
        <v>assets/icons/image209.png</v>
      </c>
      <c r="I279" t="s">
        <v>402</v>
      </c>
    </row>
    <row r="280" spans="1:9" x14ac:dyDescent="0.15">
      <c r="A280" t="str">
        <f t="shared" ref="A280:B280" si="217">A279</f>
        <v>英語</v>
      </c>
      <c r="B280">
        <f t="shared" si="217"/>
        <v>3</v>
      </c>
      <c r="C280">
        <f t="shared" si="186"/>
        <v>57</v>
      </c>
      <c r="D280">
        <f>D242</f>
        <v>29</v>
      </c>
      <c r="E280" t="str">
        <f>VLOOKUP(D280,name!A:B,2,1)</f>
        <v>Eri</v>
      </c>
      <c r="F280" t="str">
        <f>F242</f>
        <v xml:space="preserve"> I'm afraid I don't know much about Bangladesh.</v>
      </c>
      <c r="G280" t="str">
        <f t="shared" si="183"/>
        <v>a</v>
      </c>
      <c r="H280" t="str">
        <f>VLOOKUP(D280,name!A:C,3,1)</f>
        <v>assets/icons/image209.png</v>
      </c>
      <c r="I280" t="str">
        <f>IF(A280="","",VLOOKUP(A280,lng!A:B,2,0))</f>
        <v>en-GB</v>
      </c>
    </row>
    <row r="281" spans="1:9" x14ac:dyDescent="0.15">
      <c r="A281" t="str">
        <f t="shared" ref="A281:B281" si="218">A280</f>
        <v>英語</v>
      </c>
      <c r="B281">
        <f t="shared" si="218"/>
        <v>3</v>
      </c>
      <c r="C281">
        <f t="shared" si="186"/>
        <v>58</v>
      </c>
      <c r="D281">
        <v>0</v>
      </c>
      <c r="E281" t="str">
        <f>VLOOKUP(D281,name!A:B,2,1)</f>
        <v>Player</v>
      </c>
      <c r="F281" t="str">
        <f>F242</f>
        <v xml:space="preserve"> I'm afraid I don't know much about Bangladesh.</v>
      </c>
      <c r="G281" t="str">
        <f t="shared" si="183"/>
        <v>q</v>
      </c>
      <c r="H281" t="str">
        <f>VLOOKUP(D281,name!A:C,3,1)</f>
        <v>assets/icons/image326.png</v>
      </c>
      <c r="I281" t="str">
        <f>IF(A281="","",VLOOKUP(A281,lng!A:B,2,0))</f>
        <v>en-GB</v>
      </c>
    </row>
    <row r="282" spans="1:9" x14ac:dyDescent="0.15">
      <c r="A282" t="str">
        <f t="shared" ref="A282:B282" si="219">A281</f>
        <v>英語</v>
      </c>
      <c r="B282">
        <f t="shared" si="219"/>
        <v>3</v>
      </c>
      <c r="C282">
        <f t="shared" si="186"/>
        <v>59</v>
      </c>
      <c r="D282">
        <f>D243</f>
        <v>32</v>
      </c>
      <c r="E282" t="str">
        <f>VLOOKUP(D282,name!A:B,2,1)</f>
        <v>Asha</v>
      </c>
      <c r="F282" t="str">
        <f>F243</f>
        <v>まあ、バングラデシュ出身なんだけど、</v>
      </c>
      <c r="G282" t="str">
        <f t="shared" si="183"/>
        <v>a</v>
      </c>
      <c r="H282" t="str">
        <f>VLOOKUP(D282,name!A:C,3,1)</f>
        <v>assets/icons/image235.png</v>
      </c>
      <c r="I282" t="s">
        <v>402</v>
      </c>
    </row>
    <row r="283" spans="1:9" x14ac:dyDescent="0.15">
      <c r="A283" t="str">
        <f t="shared" ref="A283:B283" si="220">A282</f>
        <v>英語</v>
      </c>
      <c r="B283">
        <f t="shared" si="220"/>
        <v>3</v>
      </c>
      <c r="C283">
        <f t="shared" si="186"/>
        <v>60</v>
      </c>
      <c r="D283">
        <f>D244</f>
        <v>32</v>
      </c>
      <c r="E283" t="str">
        <f>VLOOKUP(D283,name!A:B,2,1)</f>
        <v>Asha</v>
      </c>
      <c r="F283" t="str">
        <f>F244</f>
        <v>Well, I'm from there,</v>
      </c>
      <c r="G283" t="str">
        <f t="shared" si="183"/>
        <v>a</v>
      </c>
      <c r="H283" t="str">
        <f>VLOOKUP(D283,name!A:C,3,1)</f>
        <v>assets/icons/image235.png</v>
      </c>
      <c r="I283" t="str">
        <f>IF(A283="","",VLOOKUP(A283,lng!A:B,2,0))</f>
        <v>en-GB</v>
      </c>
    </row>
    <row r="284" spans="1:9" x14ac:dyDescent="0.15">
      <c r="A284" t="str">
        <f t="shared" ref="A284:B284" si="221">A283</f>
        <v>英語</v>
      </c>
      <c r="B284">
        <f t="shared" si="221"/>
        <v>3</v>
      </c>
      <c r="C284">
        <f t="shared" si="186"/>
        <v>61</v>
      </c>
      <c r="D284">
        <v>0</v>
      </c>
      <c r="E284" t="str">
        <f>VLOOKUP(D284,name!A:B,2,1)</f>
        <v>Player</v>
      </c>
      <c r="F284" t="str">
        <f>F244</f>
        <v>Well, I'm from there,</v>
      </c>
      <c r="G284" t="str">
        <f t="shared" si="183"/>
        <v>q</v>
      </c>
      <c r="H284" t="str">
        <f>VLOOKUP(D284,name!A:C,3,1)</f>
        <v>assets/icons/image326.png</v>
      </c>
      <c r="I284" t="str">
        <f>IF(A284="","",VLOOKUP(A284,lng!A:B,2,0))</f>
        <v>en-GB</v>
      </c>
    </row>
    <row r="285" spans="1:9" x14ac:dyDescent="0.15">
      <c r="A285" t="str">
        <f t="shared" ref="A285:B285" si="222">A284</f>
        <v>英語</v>
      </c>
      <c r="B285">
        <f t="shared" si="222"/>
        <v>3</v>
      </c>
      <c r="C285">
        <f t="shared" si="186"/>
        <v>62</v>
      </c>
      <c r="D285">
        <f>D245</f>
        <v>32</v>
      </c>
      <c r="E285" t="str">
        <f>VLOOKUP(D285,name!A:B,2,1)</f>
        <v>Asha</v>
      </c>
      <c r="F285" t="str">
        <f>F245</f>
        <v>ここバーミンガムにもたくさん親戚がいるの。</v>
      </c>
      <c r="G285" t="str">
        <f t="shared" si="183"/>
        <v>a</v>
      </c>
      <c r="H285" t="str">
        <f>VLOOKUP(D285,name!A:C,3,1)</f>
        <v>assets/icons/image235.png</v>
      </c>
      <c r="I285" t="s">
        <v>402</v>
      </c>
    </row>
    <row r="286" spans="1:9" x14ac:dyDescent="0.15">
      <c r="A286" t="str">
        <f t="shared" ref="A286:B286" si="223">A285</f>
        <v>英語</v>
      </c>
      <c r="B286">
        <f t="shared" si="223"/>
        <v>3</v>
      </c>
      <c r="C286">
        <f t="shared" si="186"/>
        <v>63</v>
      </c>
      <c r="D286">
        <f>D246</f>
        <v>32</v>
      </c>
      <c r="E286" t="str">
        <f>VLOOKUP(D286,name!A:B,2,1)</f>
        <v>Asha</v>
      </c>
      <c r="F286" t="str">
        <f>F246</f>
        <v xml:space="preserve"> but I have a lot of relatives here in Birmingham, too.</v>
      </c>
      <c r="G286" t="str">
        <f t="shared" ref="G286:G349" si="224">IF(B286&lt;&gt;B287,"e",IF(D286=0,"q","a"))</f>
        <v>a</v>
      </c>
      <c r="H286" t="str">
        <f>VLOOKUP(D286,name!A:C,3,1)</f>
        <v>assets/icons/image235.png</v>
      </c>
      <c r="I286" t="str">
        <f>IF(A286="","",VLOOKUP(A286,lng!A:B,2,0))</f>
        <v>en-GB</v>
      </c>
    </row>
    <row r="287" spans="1:9" x14ac:dyDescent="0.15">
      <c r="A287" t="str">
        <f t="shared" ref="A287:B287" si="225">A286</f>
        <v>英語</v>
      </c>
      <c r="B287">
        <f t="shared" si="225"/>
        <v>3</v>
      </c>
      <c r="C287">
        <f t="shared" si="186"/>
        <v>64</v>
      </c>
      <c r="D287">
        <v>0</v>
      </c>
      <c r="E287" t="str">
        <f>VLOOKUP(D287,name!A:B,2,1)</f>
        <v>Player</v>
      </c>
      <c r="F287" t="str">
        <f>F246</f>
        <v xml:space="preserve"> but I have a lot of relatives here in Birmingham, too.</v>
      </c>
      <c r="G287" t="str">
        <f t="shared" si="224"/>
        <v>q</v>
      </c>
      <c r="H287" t="str">
        <f>VLOOKUP(D287,name!A:C,3,1)</f>
        <v>assets/icons/image326.png</v>
      </c>
      <c r="I287" t="str">
        <f>IF(A287="","",VLOOKUP(A287,lng!A:B,2,0))</f>
        <v>en-GB</v>
      </c>
    </row>
    <row r="288" spans="1:9" x14ac:dyDescent="0.15">
      <c r="A288" t="str">
        <f t="shared" ref="A288:B288" si="226">A287</f>
        <v>英語</v>
      </c>
      <c r="B288">
        <f t="shared" si="226"/>
        <v>3</v>
      </c>
      <c r="C288">
        <f t="shared" si="186"/>
        <v>65</v>
      </c>
      <c r="D288">
        <f>D247</f>
        <v>29</v>
      </c>
      <c r="E288" t="str">
        <f>VLOOKUP(D288,name!A:B,2,1)</f>
        <v>Eri</v>
      </c>
      <c r="F288" t="str">
        <f>F247</f>
        <v>うらやましい。</v>
      </c>
      <c r="G288" t="str">
        <f t="shared" si="224"/>
        <v>a</v>
      </c>
      <c r="H288" t="str">
        <f>VLOOKUP(D288,name!A:C,3,1)</f>
        <v>assets/icons/image209.png</v>
      </c>
      <c r="I288" t="s">
        <v>402</v>
      </c>
    </row>
    <row r="289" spans="1:9" x14ac:dyDescent="0.15">
      <c r="A289" t="str">
        <f t="shared" ref="A289:B289" si="227">A288</f>
        <v>英語</v>
      </c>
      <c r="B289">
        <f t="shared" si="227"/>
        <v>3</v>
      </c>
      <c r="C289">
        <f t="shared" si="186"/>
        <v>66</v>
      </c>
      <c r="D289">
        <f>D248</f>
        <v>29</v>
      </c>
      <c r="E289" t="str">
        <f>VLOOKUP(D289,name!A:B,2,1)</f>
        <v>Eri</v>
      </c>
      <c r="F289" t="str">
        <f>F248</f>
        <v xml:space="preserve">I envy you. </v>
      </c>
      <c r="G289" t="str">
        <f t="shared" si="224"/>
        <v>a</v>
      </c>
      <c r="H289" t="str">
        <f>VLOOKUP(D289,name!A:C,3,1)</f>
        <v>assets/icons/image209.png</v>
      </c>
      <c r="I289" t="str">
        <f>IF(A289="","",VLOOKUP(A289,lng!A:B,2,0))</f>
        <v>en-GB</v>
      </c>
    </row>
    <row r="290" spans="1:9" x14ac:dyDescent="0.15">
      <c r="A290" t="str">
        <f t="shared" ref="A290:B290" si="228">A289</f>
        <v>英語</v>
      </c>
      <c r="B290">
        <f t="shared" si="228"/>
        <v>3</v>
      </c>
      <c r="C290">
        <f t="shared" ref="C290:C334" si="229">C289+1</f>
        <v>67</v>
      </c>
      <c r="D290">
        <v>0</v>
      </c>
      <c r="E290" t="str">
        <f>VLOOKUP(D290,name!A:B,2,1)</f>
        <v>Player</v>
      </c>
      <c r="F290" t="str">
        <f>F248</f>
        <v xml:space="preserve">I envy you. </v>
      </c>
      <c r="G290" t="str">
        <f t="shared" si="224"/>
        <v>q</v>
      </c>
      <c r="H290" t="str">
        <f>VLOOKUP(D290,name!A:C,3,1)</f>
        <v>assets/icons/image326.png</v>
      </c>
      <c r="I290" t="str">
        <f>IF(A290="","",VLOOKUP(A290,lng!A:B,2,0))</f>
        <v>en-GB</v>
      </c>
    </row>
    <row r="291" spans="1:9" x14ac:dyDescent="0.15">
      <c r="A291" t="str">
        <f t="shared" ref="A291:B291" si="230">A290</f>
        <v>英語</v>
      </c>
      <c r="B291">
        <f t="shared" si="230"/>
        <v>3</v>
      </c>
      <c r="C291">
        <f t="shared" si="229"/>
        <v>68</v>
      </c>
      <c r="D291">
        <f>D249</f>
        <v>29</v>
      </c>
      <c r="E291" t="str">
        <f>VLOOKUP(D291,name!A:B,2,1)</f>
        <v>Eri</v>
      </c>
      <c r="F291" t="str">
        <f>F249</f>
        <v>私は思っていた以上に日本食が恋しくなって。</v>
      </c>
      <c r="G291" t="str">
        <f t="shared" si="224"/>
        <v>a</v>
      </c>
      <c r="H291" t="str">
        <f>VLOOKUP(D291,name!A:C,3,1)</f>
        <v>assets/icons/image209.png</v>
      </c>
      <c r="I291" t="s">
        <v>402</v>
      </c>
    </row>
    <row r="292" spans="1:9" x14ac:dyDescent="0.15">
      <c r="A292" t="str">
        <f t="shared" ref="A292:B292" si="231">A291</f>
        <v>英語</v>
      </c>
      <c r="B292">
        <f t="shared" si="231"/>
        <v>3</v>
      </c>
      <c r="C292">
        <f t="shared" si="229"/>
        <v>69</v>
      </c>
      <c r="D292">
        <f>D250</f>
        <v>29</v>
      </c>
      <c r="E292" t="str">
        <f>VLOOKUP(D292,name!A:B,2,1)</f>
        <v>Eri</v>
      </c>
      <c r="F292" t="str">
        <f>F250</f>
        <v xml:space="preserve"> I really miss Japanese food more than I expected.</v>
      </c>
      <c r="G292" t="str">
        <f t="shared" si="224"/>
        <v>a</v>
      </c>
      <c r="H292" t="str">
        <f>VLOOKUP(D292,name!A:C,3,1)</f>
        <v>assets/icons/image209.png</v>
      </c>
      <c r="I292" t="str">
        <f>IF(A292="","",VLOOKUP(A292,lng!A:B,2,0))</f>
        <v>en-GB</v>
      </c>
    </row>
    <row r="293" spans="1:9" x14ac:dyDescent="0.15">
      <c r="A293" t="str">
        <f t="shared" ref="A293:B293" si="232">A292</f>
        <v>英語</v>
      </c>
      <c r="B293">
        <f t="shared" si="232"/>
        <v>3</v>
      </c>
      <c r="C293">
        <f t="shared" si="229"/>
        <v>70</v>
      </c>
      <c r="D293">
        <v>0</v>
      </c>
      <c r="E293" t="str">
        <f>VLOOKUP(D293,name!A:B,2,1)</f>
        <v>Player</v>
      </c>
      <c r="F293" t="str">
        <f>F250</f>
        <v xml:space="preserve"> I really miss Japanese food more than I expected.</v>
      </c>
      <c r="G293" t="str">
        <f t="shared" si="224"/>
        <v>q</v>
      </c>
      <c r="H293" t="str">
        <f>VLOOKUP(D293,name!A:C,3,1)</f>
        <v>assets/icons/image326.png</v>
      </c>
      <c r="I293" t="str">
        <f>IF(A293="","",VLOOKUP(A293,lng!A:B,2,0))</f>
        <v>en-GB</v>
      </c>
    </row>
    <row r="294" spans="1:9" x14ac:dyDescent="0.15">
      <c r="A294" t="str">
        <f t="shared" ref="A294:B294" si="233">A293</f>
        <v>英語</v>
      </c>
      <c r="B294">
        <f t="shared" si="233"/>
        <v>3</v>
      </c>
      <c r="C294">
        <f t="shared" si="229"/>
        <v>71</v>
      </c>
      <c r="D294">
        <f>D251</f>
        <v>32</v>
      </c>
      <c r="E294" t="str">
        <f>VLOOKUP(D294,name!A:B,2,1)</f>
        <v>Asha</v>
      </c>
      <c r="F294" t="str">
        <f>F251</f>
        <v>あとで夕食に行きましょう</v>
      </c>
      <c r="G294" t="str">
        <f t="shared" si="224"/>
        <v>a</v>
      </c>
      <c r="H294" t="str">
        <f>VLOOKUP(D294,name!A:C,3,1)</f>
        <v>assets/icons/image235.png</v>
      </c>
      <c r="I294" t="s">
        <v>402</v>
      </c>
    </row>
    <row r="295" spans="1:9" x14ac:dyDescent="0.15">
      <c r="A295" t="str">
        <f t="shared" ref="A295:B295" si="234">A294</f>
        <v>英語</v>
      </c>
      <c r="B295">
        <f t="shared" si="234"/>
        <v>3</v>
      </c>
      <c r="C295">
        <f t="shared" si="229"/>
        <v>72</v>
      </c>
      <c r="D295">
        <f>D252</f>
        <v>32</v>
      </c>
      <c r="E295" t="str">
        <f>VLOOKUP(D295,name!A:B,2,1)</f>
        <v>Asha</v>
      </c>
      <c r="F295" t="str">
        <f>F252</f>
        <v>Let's have dinner together later.</v>
      </c>
      <c r="G295" t="str">
        <f t="shared" si="224"/>
        <v>a</v>
      </c>
      <c r="H295" t="str">
        <f>VLOOKUP(D295,name!A:C,3,1)</f>
        <v>assets/icons/image235.png</v>
      </c>
      <c r="I295" t="str">
        <f>IF(A295="","",VLOOKUP(A295,lng!A:B,2,0))</f>
        <v>en-GB</v>
      </c>
    </row>
    <row r="296" spans="1:9" x14ac:dyDescent="0.15">
      <c r="A296" t="str">
        <f t="shared" ref="A296:B296" si="235">A295</f>
        <v>英語</v>
      </c>
      <c r="B296">
        <f t="shared" si="235"/>
        <v>3</v>
      </c>
      <c r="C296">
        <f t="shared" si="229"/>
        <v>73</v>
      </c>
      <c r="D296">
        <v>0</v>
      </c>
      <c r="E296" t="str">
        <f>VLOOKUP(D296,name!A:B,2,1)</f>
        <v>Player</v>
      </c>
      <c r="F296" t="str">
        <f>F252</f>
        <v>Let's have dinner together later.</v>
      </c>
      <c r="G296" t="str">
        <f t="shared" si="224"/>
        <v>q</v>
      </c>
      <c r="H296" t="str">
        <f>VLOOKUP(D296,name!A:C,3,1)</f>
        <v>assets/icons/image326.png</v>
      </c>
      <c r="I296" t="str">
        <f>IF(A296="","",VLOOKUP(A296,lng!A:B,2,0))</f>
        <v>en-GB</v>
      </c>
    </row>
    <row r="297" spans="1:9" x14ac:dyDescent="0.15">
      <c r="A297" t="str">
        <f t="shared" ref="A297:B297" si="236">A296</f>
        <v>英語</v>
      </c>
      <c r="B297">
        <f t="shared" si="236"/>
        <v>3</v>
      </c>
      <c r="C297">
        <f t="shared" si="229"/>
        <v>74</v>
      </c>
      <c r="D297">
        <f>D253</f>
        <v>32</v>
      </c>
      <c r="E297" t="str">
        <f>VLOOKUP(D297,name!A:B,2,1)</f>
        <v>Asha</v>
      </c>
      <c r="F297" t="str">
        <f>F253</f>
        <v>有名なバルティ トライアングルを紹介させて</v>
      </c>
      <c r="G297" t="str">
        <f t="shared" si="224"/>
        <v>a</v>
      </c>
      <c r="H297" t="str">
        <f>VLOOKUP(D297,name!A:C,3,1)</f>
        <v>assets/icons/image235.png</v>
      </c>
      <c r="I297" t="s">
        <v>402</v>
      </c>
    </row>
    <row r="298" spans="1:9" x14ac:dyDescent="0.15">
      <c r="A298" t="str">
        <f t="shared" ref="A298:B298" si="237">A297</f>
        <v>英語</v>
      </c>
      <c r="B298">
        <f t="shared" si="237"/>
        <v>3</v>
      </c>
      <c r="C298">
        <f t="shared" si="229"/>
        <v>75</v>
      </c>
      <c r="D298">
        <f>D254</f>
        <v>32</v>
      </c>
      <c r="E298" t="str">
        <f>VLOOKUP(D298,name!A:B,2,1)</f>
        <v>Asha</v>
      </c>
      <c r="F298" t="str">
        <f>F254</f>
        <v>You must let me introduce you to the famous Balti Triangle</v>
      </c>
      <c r="G298" t="str">
        <f t="shared" si="224"/>
        <v>a</v>
      </c>
      <c r="H298" t="str">
        <f>VLOOKUP(D298,name!A:C,3,1)</f>
        <v>assets/icons/image235.png</v>
      </c>
      <c r="I298" t="str">
        <f>IF(A298="","",VLOOKUP(A298,lng!A:B,2,0))</f>
        <v>en-GB</v>
      </c>
    </row>
    <row r="299" spans="1:9" x14ac:dyDescent="0.15">
      <c r="A299" t="str">
        <f t="shared" ref="A299:B299" si="238">A298</f>
        <v>英語</v>
      </c>
      <c r="B299">
        <f t="shared" si="238"/>
        <v>3</v>
      </c>
      <c r="C299">
        <f t="shared" si="229"/>
        <v>76</v>
      </c>
      <c r="D299">
        <v>0</v>
      </c>
      <c r="E299" t="str">
        <f>VLOOKUP(D299,name!A:B,2,1)</f>
        <v>Player</v>
      </c>
      <c r="F299" t="str">
        <f>F254</f>
        <v>You must let me introduce you to the famous Balti Triangle</v>
      </c>
      <c r="G299" t="str">
        <f t="shared" si="224"/>
        <v>q</v>
      </c>
      <c r="H299" t="str">
        <f>VLOOKUP(D299,name!A:C,3,1)</f>
        <v>assets/icons/image326.png</v>
      </c>
      <c r="I299" t="str">
        <f>IF(A299="","",VLOOKUP(A299,lng!A:B,2,0))</f>
        <v>en-GB</v>
      </c>
    </row>
    <row r="300" spans="1:9" x14ac:dyDescent="0.15">
      <c r="A300" t="str">
        <f t="shared" ref="A300:B300" si="239">A299</f>
        <v>英語</v>
      </c>
      <c r="B300">
        <f t="shared" si="239"/>
        <v>3</v>
      </c>
      <c r="C300">
        <f t="shared" si="229"/>
        <v>77</v>
      </c>
      <c r="D300">
        <f>D255</f>
        <v>32</v>
      </c>
      <c r="E300" t="str">
        <f>VLOOKUP(D300,name!A:B,2,1)</f>
        <v>Asha</v>
      </c>
      <c r="F300" t="str">
        <f>F255</f>
        <v xml:space="preserve"> 「英国のカレーの中心地」 だから。</v>
      </c>
      <c r="G300" t="str">
        <f t="shared" si="224"/>
        <v>a</v>
      </c>
      <c r="H300" t="str">
        <f>VLOOKUP(D300,name!A:C,3,1)</f>
        <v>assets/icons/image235.png</v>
      </c>
      <c r="I300" t="s">
        <v>402</v>
      </c>
    </row>
    <row r="301" spans="1:9" x14ac:dyDescent="0.15">
      <c r="A301" t="str">
        <f t="shared" ref="A301:B301" si="240">A300</f>
        <v>英語</v>
      </c>
      <c r="B301">
        <f t="shared" si="240"/>
        <v>3</v>
      </c>
      <c r="C301">
        <f t="shared" si="229"/>
        <v>78</v>
      </c>
      <c r="D301">
        <f>D256</f>
        <v>32</v>
      </c>
      <c r="E301" t="str">
        <f>VLOOKUP(D301,name!A:B,2,1)</f>
        <v>Asha</v>
      </c>
      <c r="F301" t="str">
        <f>F256</f>
        <v xml:space="preserve">the reason Birmingham's the 'curry capital of the nation'. </v>
      </c>
      <c r="G301" t="str">
        <f t="shared" si="224"/>
        <v>a</v>
      </c>
      <c r="H301" t="str">
        <f>VLOOKUP(D301,name!A:C,3,1)</f>
        <v>assets/icons/image235.png</v>
      </c>
      <c r="I301" t="str">
        <f>IF(A301="","",VLOOKUP(A301,lng!A:B,2,0))</f>
        <v>en-GB</v>
      </c>
    </row>
    <row r="302" spans="1:9" x14ac:dyDescent="0.15">
      <c r="A302" t="str">
        <f t="shared" ref="A302:B302" si="241">A301</f>
        <v>英語</v>
      </c>
      <c r="B302">
        <f t="shared" si="241"/>
        <v>3</v>
      </c>
      <c r="C302">
        <f t="shared" si="229"/>
        <v>79</v>
      </c>
      <c r="D302">
        <v>0</v>
      </c>
      <c r="E302" t="str">
        <f>VLOOKUP(D302,name!A:B,2,1)</f>
        <v>Player</v>
      </c>
      <c r="F302" t="str">
        <f>F256</f>
        <v xml:space="preserve">the reason Birmingham's the 'curry capital of the nation'. </v>
      </c>
      <c r="G302" t="str">
        <f t="shared" si="224"/>
        <v>q</v>
      </c>
      <c r="H302" t="str">
        <f>VLOOKUP(D302,name!A:C,3,1)</f>
        <v>assets/icons/image326.png</v>
      </c>
      <c r="I302" t="str">
        <f>IF(A302="","",VLOOKUP(A302,lng!A:B,2,0))</f>
        <v>en-GB</v>
      </c>
    </row>
    <row r="303" spans="1:9" x14ac:dyDescent="0.15">
      <c r="A303" t="str">
        <f t="shared" ref="A303:B303" si="242">A302</f>
        <v>英語</v>
      </c>
      <c r="B303">
        <f t="shared" si="242"/>
        <v>3</v>
      </c>
      <c r="C303">
        <f t="shared" si="229"/>
        <v>80</v>
      </c>
      <c r="D303">
        <v>1</v>
      </c>
      <c r="E303" t="str">
        <f>VLOOKUP(D303,name!A:B,2,1)</f>
        <v>Navigator</v>
      </c>
      <c r="F303" t="str">
        <f>"次の日本語を"&amp;A303&amp;"に訳して答えてね！"</f>
        <v>次の日本語を英語に訳して答えてね！</v>
      </c>
      <c r="G303" t="str">
        <f t="shared" si="224"/>
        <v>a</v>
      </c>
      <c r="H303" t="str">
        <f>VLOOKUP(D303,name!A:C,3,1)</f>
        <v>assets/icons/image014.png</v>
      </c>
      <c r="I303" t="s">
        <v>402</v>
      </c>
    </row>
    <row r="304" spans="1:9" x14ac:dyDescent="0.15">
      <c r="A304" t="str">
        <f t="shared" ref="A304:B304" si="243">A303</f>
        <v>英語</v>
      </c>
      <c r="B304">
        <f t="shared" si="243"/>
        <v>3</v>
      </c>
      <c r="C304">
        <f t="shared" si="229"/>
        <v>81</v>
      </c>
      <c r="D304">
        <f>D227</f>
        <v>29</v>
      </c>
      <c r="E304" t="str">
        <f>VLOOKUP(D304,name!A:B,2,1)</f>
        <v>Eri</v>
      </c>
      <c r="F304" t="str">
        <f t="shared" ref="F304:F333" si="244">F227</f>
        <v>こんにちは。</v>
      </c>
      <c r="G304" t="str">
        <f t="shared" si="224"/>
        <v>a</v>
      </c>
      <c r="H304" t="str">
        <f>VLOOKUP(D304,name!A:C,3,1)</f>
        <v>assets/icons/image209.png</v>
      </c>
      <c r="I304" t="s">
        <v>402</v>
      </c>
    </row>
    <row r="305" spans="1:9" x14ac:dyDescent="0.15">
      <c r="A305" t="str">
        <f t="shared" ref="A305:B305" si="245">A304</f>
        <v>英語</v>
      </c>
      <c r="B305">
        <f t="shared" si="245"/>
        <v>3</v>
      </c>
      <c r="C305">
        <f t="shared" si="229"/>
        <v>82</v>
      </c>
      <c r="D305">
        <v>0</v>
      </c>
      <c r="E305" t="str">
        <f>VLOOKUP(D305,name!A:B,2,1)</f>
        <v>Player</v>
      </c>
      <c r="F305" t="str">
        <f t="shared" si="244"/>
        <v>Hello.</v>
      </c>
      <c r="G305" t="str">
        <f t="shared" si="224"/>
        <v>q</v>
      </c>
      <c r="H305" t="str">
        <f>VLOOKUP(D305,name!A:C,3,1)</f>
        <v>assets/icons/image326.png</v>
      </c>
      <c r="I305" t="str">
        <f>IF(A305="","",VLOOKUP(A305,lng!A:B,2,0))</f>
        <v>en-GB</v>
      </c>
    </row>
    <row r="306" spans="1:9" x14ac:dyDescent="0.15">
      <c r="A306" t="str">
        <f t="shared" ref="A306:B306" si="246">A305</f>
        <v>英語</v>
      </c>
      <c r="B306">
        <f t="shared" si="246"/>
        <v>3</v>
      </c>
      <c r="C306">
        <f t="shared" si="229"/>
        <v>83</v>
      </c>
      <c r="D306">
        <f>D229</f>
        <v>29</v>
      </c>
      <c r="E306" t="str">
        <f>VLOOKUP(D306,name!A:B,2,1)</f>
        <v>Eri</v>
      </c>
      <c r="F306" t="str">
        <f t="shared" si="244"/>
        <v xml:space="preserve"> レン・サットン先生の授業を待っているの?</v>
      </c>
      <c r="G306" t="str">
        <f t="shared" si="224"/>
        <v>a</v>
      </c>
      <c r="H306" t="str">
        <f>VLOOKUP(D306,name!A:C,3,1)</f>
        <v>assets/icons/image209.png</v>
      </c>
      <c r="I306" t="s">
        <v>402</v>
      </c>
    </row>
    <row r="307" spans="1:9" x14ac:dyDescent="0.15">
      <c r="A307" t="str">
        <f t="shared" ref="A307:B307" si="247">A306</f>
        <v>英語</v>
      </c>
      <c r="B307">
        <f t="shared" si="247"/>
        <v>3</v>
      </c>
      <c r="C307">
        <f t="shared" si="229"/>
        <v>84</v>
      </c>
      <c r="D307">
        <v>0</v>
      </c>
      <c r="E307" t="str">
        <f>VLOOKUP(D307,name!A:B,2,1)</f>
        <v>Player</v>
      </c>
      <c r="F307" t="str">
        <f t="shared" si="244"/>
        <v>Are you waiting for Len Sutton's class?</v>
      </c>
      <c r="G307" t="str">
        <f t="shared" si="224"/>
        <v>q</v>
      </c>
      <c r="H307" t="str">
        <f>VLOOKUP(D307,name!A:C,3,1)</f>
        <v>assets/icons/image326.png</v>
      </c>
      <c r="I307" t="str">
        <f>IF(A307="","",VLOOKUP(A307,lng!A:B,2,0))</f>
        <v>en-GB</v>
      </c>
    </row>
    <row r="308" spans="1:9" x14ac:dyDescent="0.15">
      <c r="A308" t="str">
        <f t="shared" ref="A308:B308" si="248">A307</f>
        <v>英語</v>
      </c>
      <c r="B308">
        <f t="shared" si="248"/>
        <v>3</v>
      </c>
      <c r="C308">
        <f t="shared" si="229"/>
        <v>85</v>
      </c>
      <c r="D308">
        <f>D231</f>
        <v>32</v>
      </c>
      <c r="E308" t="str">
        <f>VLOOKUP(D308,name!A:B,2,1)</f>
        <v>Asha</v>
      </c>
      <c r="F308" t="str">
        <f t="shared" si="244"/>
        <v>はい。</v>
      </c>
      <c r="G308" t="str">
        <f t="shared" si="224"/>
        <v>a</v>
      </c>
      <c r="H308" t="str">
        <f>VLOOKUP(D308,name!A:C,3,1)</f>
        <v>assets/icons/image235.png</v>
      </c>
      <c r="I308" t="s">
        <v>402</v>
      </c>
    </row>
    <row r="309" spans="1:9" x14ac:dyDescent="0.15">
      <c r="A309" t="str">
        <f t="shared" ref="A309:B309" si="249">A308</f>
        <v>英語</v>
      </c>
      <c r="B309">
        <f t="shared" si="249"/>
        <v>3</v>
      </c>
      <c r="C309">
        <f t="shared" si="229"/>
        <v>86</v>
      </c>
      <c r="D309">
        <v>0</v>
      </c>
      <c r="E309" t="str">
        <f>VLOOKUP(D309,name!A:B,2,1)</f>
        <v>Player</v>
      </c>
      <c r="F309" t="str">
        <f t="shared" si="244"/>
        <v>Yes.</v>
      </c>
      <c r="G309" t="str">
        <f t="shared" si="224"/>
        <v>q</v>
      </c>
      <c r="H309" t="str">
        <f>VLOOKUP(D309,name!A:C,3,1)</f>
        <v>assets/icons/image326.png</v>
      </c>
      <c r="I309" t="str">
        <f>IF(A309="","",VLOOKUP(A309,lng!A:B,2,0))</f>
        <v>en-GB</v>
      </c>
    </row>
    <row r="310" spans="1:9" x14ac:dyDescent="0.15">
      <c r="A310" t="str">
        <f t="shared" ref="A310:B310" si="250">A309</f>
        <v>英語</v>
      </c>
      <c r="B310">
        <f t="shared" si="250"/>
        <v>3</v>
      </c>
      <c r="C310">
        <f t="shared" si="229"/>
        <v>87</v>
      </c>
      <c r="D310">
        <f>D233</f>
        <v>32</v>
      </c>
      <c r="E310" t="str">
        <f>VLOOKUP(D310,name!A:B,2,1)</f>
        <v>Asha</v>
      </c>
      <c r="F310" t="str">
        <f t="shared" si="244"/>
        <v>私はアシャ。</v>
      </c>
      <c r="G310" t="str">
        <f t="shared" si="224"/>
        <v>a</v>
      </c>
      <c r="H310" t="str">
        <f>VLOOKUP(D310,name!A:C,3,1)</f>
        <v>assets/icons/image235.png</v>
      </c>
      <c r="I310" t="s">
        <v>402</v>
      </c>
    </row>
    <row r="311" spans="1:9" x14ac:dyDescent="0.15">
      <c r="A311" t="str">
        <f t="shared" ref="A311:B311" si="251">A310</f>
        <v>英語</v>
      </c>
      <c r="B311">
        <f t="shared" si="251"/>
        <v>3</v>
      </c>
      <c r="C311">
        <f t="shared" si="229"/>
        <v>88</v>
      </c>
      <c r="D311">
        <v>0</v>
      </c>
      <c r="E311" t="str">
        <f>VLOOKUP(D311,name!A:B,2,1)</f>
        <v>Player</v>
      </c>
      <c r="F311" t="str">
        <f t="shared" si="244"/>
        <v>I'm Asha.</v>
      </c>
      <c r="G311" t="str">
        <f t="shared" si="224"/>
        <v>q</v>
      </c>
      <c r="H311" t="str">
        <f>VLOOKUP(D311,name!A:C,3,1)</f>
        <v>assets/icons/image326.png</v>
      </c>
      <c r="I311" t="str">
        <f>IF(A311="","",VLOOKUP(A311,lng!A:B,2,0))</f>
        <v>en-GB</v>
      </c>
    </row>
    <row r="312" spans="1:9" x14ac:dyDescent="0.15">
      <c r="A312" t="str">
        <f t="shared" ref="A312:B312" si="252">A311</f>
        <v>英語</v>
      </c>
      <c r="B312">
        <f t="shared" si="252"/>
        <v>3</v>
      </c>
      <c r="C312">
        <f t="shared" si="229"/>
        <v>89</v>
      </c>
      <c r="D312">
        <f>D235</f>
        <v>32</v>
      </c>
      <c r="E312" t="str">
        <f>VLOOKUP(D312,name!A:B,2,1)</f>
        <v>Asha</v>
      </c>
      <c r="F312" t="str">
        <f t="shared" si="244"/>
        <v>インド人かと聞かれる前に言うけれど、</v>
      </c>
      <c r="G312" t="str">
        <f t="shared" si="224"/>
        <v>a</v>
      </c>
      <c r="H312" t="str">
        <f>VLOOKUP(D312,name!A:C,3,1)</f>
        <v>assets/icons/image235.png</v>
      </c>
      <c r="I312" t="s">
        <v>402</v>
      </c>
    </row>
    <row r="313" spans="1:9" x14ac:dyDescent="0.15">
      <c r="A313" t="str">
        <f t="shared" ref="A313:B313" si="253">A312</f>
        <v>英語</v>
      </c>
      <c r="B313">
        <f t="shared" si="253"/>
        <v>3</v>
      </c>
      <c r="C313">
        <f t="shared" si="229"/>
        <v>90</v>
      </c>
      <c r="D313">
        <v>0</v>
      </c>
      <c r="E313" t="str">
        <f>VLOOKUP(D313,name!A:B,2,1)</f>
        <v>Player</v>
      </c>
      <c r="F313" t="str">
        <f t="shared" si="244"/>
        <v>And before you ask me if I'm Indian,</v>
      </c>
      <c r="G313" t="str">
        <f t="shared" si="224"/>
        <v>q</v>
      </c>
      <c r="H313" t="str">
        <f>VLOOKUP(D313,name!A:C,3,1)</f>
        <v>assets/icons/image326.png</v>
      </c>
      <c r="I313" t="str">
        <f>IF(A313="","",VLOOKUP(A313,lng!A:B,2,0))</f>
        <v>en-GB</v>
      </c>
    </row>
    <row r="314" spans="1:9" x14ac:dyDescent="0.15">
      <c r="A314" t="str">
        <f t="shared" ref="A314:B314" si="254">A313</f>
        <v>英語</v>
      </c>
      <c r="B314">
        <f t="shared" si="254"/>
        <v>3</v>
      </c>
      <c r="C314">
        <f t="shared" si="229"/>
        <v>91</v>
      </c>
      <c r="D314">
        <f>D237</f>
        <v>32</v>
      </c>
      <c r="E314" t="str">
        <f>VLOOKUP(D314,name!A:B,2,1)</f>
        <v>Asha</v>
      </c>
      <c r="F314" t="str">
        <f t="shared" si="244"/>
        <v>私はバングラデシュのダカ出身。</v>
      </c>
      <c r="G314" t="str">
        <f t="shared" si="224"/>
        <v>a</v>
      </c>
      <c r="H314" t="str">
        <f>VLOOKUP(D314,name!A:C,3,1)</f>
        <v>assets/icons/image235.png</v>
      </c>
      <c r="I314" t="s">
        <v>402</v>
      </c>
    </row>
    <row r="315" spans="1:9" x14ac:dyDescent="0.15">
      <c r="A315" t="str">
        <f t="shared" ref="A315:B315" si="255">A314</f>
        <v>英語</v>
      </c>
      <c r="B315">
        <f t="shared" si="255"/>
        <v>3</v>
      </c>
      <c r="C315">
        <f t="shared" si="229"/>
        <v>92</v>
      </c>
      <c r="D315">
        <v>0</v>
      </c>
      <c r="E315" t="str">
        <f>VLOOKUP(D315,name!A:B,2,1)</f>
        <v>Player</v>
      </c>
      <c r="F315" t="str">
        <f t="shared" si="244"/>
        <v>I'm from Dhaka in Bangladesh.</v>
      </c>
      <c r="G315" t="str">
        <f t="shared" si="224"/>
        <v>q</v>
      </c>
      <c r="H315" t="str">
        <f>VLOOKUP(D315,name!A:C,3,1)</f>
        <v>assets/icons/image326.png</v>
      </c>
      <c r="I315" t="str">
        <f>IF(A315="","",VLOOKUP(A315,lng!A:B,2,0))</f>
        <v>en-GB</v>
      </c>
    </row>
    <row r="316" spans="1:9" x14ac:dyDescent="0.15">
      <c r="A316" t="str">
        <f t="shared" ref="A316:B316" si="256">A315</f>
        <v>英語</v>
      </c>
      <c r="B316">
        <f t="shared" si="256"/>
        <v>3</v>
      </c>
      <c r="C316">
        <f t="shared" si="229"/>
        <v>93</v>
      </c>
      <c r="D316">
        <f>D239</f>
        <v>29</v>
      </c>
      <c r="E316" t="str">
        <f>VLOOKUP(D316,name!A:B,2,1)</f>
        <v>Eri</v>
      </c>
      <c r="F316" t="str">
        <f t="shared" si="244"/>
        <v>東京からきた高木エリ。</v>
      </c>
      <c r="G316" t="str">
        <f t="shared" si="224"/>
        <v>a</v>
      </c>
      <c r="H316" t="str">
        <f>VLOOKUP(D316,name!A:C,3,1)</f>
        <v>assets/icons/image209.png</v>
      </c>
      <c r="I316" t="s">
        <v>402</v>
      </c>
    </row>
    <row r="317" spans="1:9" x14ac:dyDescent="0.15">
      <c r="A317" t="str">
        <f t="shared" ref="A317:B317" si="257">A316</f>
        <v>英語</v>
      </c>
      <c r="B317">
        <f t="shared" si="257"/>
        <v>3</v>
      </c>
      <c r="C317">
        <f t="shared" si="229"/>
        <v>94</v>
      </c>
      <c r="D317">
        <v>0</v>
      </c>
      <c r="E317" t="str">
        <f>VLOOKUP(D317,name!A:B,2,1)</f>
        <v>Player</v>
      </c>
      <c r="F317" t="str">
        <f t="shared" si="244"/>
        <v xml:space="preserve">Eri Takagi, from Tokyo. </v>
      </c>
      <c r="G317" t="str">
        <f t="shared" si="224"/>
        <v>q</v>
      </c>
      <c r="H317" t="str">
        <f>VLOOKUP(D317,name!A:C,3,1)</f>
        <v>assets/icons/image326.png</v>
      </c>
      <c r="I317" t="str">
        <f>IF(A317="","",VLOOKUP(A317,lng!A:B,2,0))</f>
        <v>en-GB</v>
      </c>
    </row>
    <row r="318" spans="1:9" x14ac:dyDescent="0.15">
      <c r="A318" t="str">
        <f t="shared" ref="A318:B318" si="258">A317</f>
        <v>英語</v>
      </c>
      <c r="B318">
        <f t="shared" si="258"/>
        <v>3</v>
      </c>
      <c r="C318">
        <f t="shared" si="229"/>
        <v>95</v>
      </c>
      <c r="D318">
        <f>D241</f>
        <v>29</v>
      </c>
      <c r="E318" t="str">
        <f>VLOOKUP(D318,name!A:B,2,1)</f>
        <v>Eri</v>
      </c>
      <c r="F318" t="str">
        <f t="shared" si="244"/>
        <v>ごめんなさい、私はバングラデシュのことはあまりよく知らないんだ。</v>
      </c>
      <c r="G318" t="str">
        <f t="shared" si="224"/>
        <v>a</v>
      </c>
      <c r="H318" t="str">
        <f>VLOOKUP(D318,name!A:C,3,1)</f>
        <v>assets/icons/image209.png</v>
      </c>
      <c r="I318" t="s">
        <v>402</v>
      </c>
    </row>
    <row r="319" spans="1:9" x14ac:dyDescent="0.15">
      <c r="A319" t="str">
        <f t="shared" ref="A319:B319" si="259">A318</f>
        <v>英語</v>
      </c>
      <c r="B319">
        <f t="shared" si="259"/>
        <v>3</v>
      </c>
      <c r="C319">
        <f t="shared" si="229"/>
        <v>96</v>
      </c>
      <c r="D319">
        <v>0</v>
      </c>
      <c r="E319" t="str">
        <f>VLOOKUP(D319,name!A:B,2,1)</f>
        <v>Player</v>
      </c>
      <c r="F319" t="str">
        <f t="shared" si="244"/>
        <v xml:space="preserve"> I'm afraid I don't know much about Bangladesh.</v>
      </c>
      <c r="G319" t="str">
        <f t="shared" si="224"/>
        <v>q</v>
      </c>
      <c r="H319" t="str">
        <f>VLOOKUP(D319,name!A:C,3,1)</f>
        <v>assets/icons/image326.png</v>
      </c>
      <c r="I319" t="str">
        <f>IF(A319="","",VLOOKUP(A319,lng!A:B,2,0))</f>
        <v>en-GB</v>
      </c>
    </row>
    <row r="320" spans="1:9" x14ac:dyDescent="0.15">
      <c r="A320" t="str">
        <f t="shared" ref="A320:B320" si="260">A319</f>
        <v>英語</v>
      </c>
      <c r="B320">
        <f t="shared" si="260"/>
        <v>3</v>
      </c>
      <c r="C320">
        <f t="shared" si="229"/>
        <v>97</v>
      </c>
      <c r="D320">
        <f>D243</f>
        <v>32</v>
      </c>
      <c r="E320" t="str">
        <f>VLOOKUP(D320,name!A:B,2,1)</f>
        <v>Asha</v>
      </c>
      <c r="F320" t="str">
        <f t="shared" si="244"/>
        <v>まあ、バングラデシュ出身なんだけど、</v>
      </c>
      <c r="G320" t="str">
        <f t="shared" si="224"/>
        <v>a</v>
      </c>
      <c r="H320" t="str">
        <f>VLOOKUP(D320,name!A:C,3,1)</f>
        <v>assets/icons/image235.png</v>
      </c>
      <c r="I320" t="s">
        <v>402</v>
      </c>
    </row>
    <row r="321" spans="1:9" x14ac:dyDescent="0.15">
      <c r="A321" t="str">
        <f t="shared" ref="A321:B321" si="261">A320</f>
        <v>英語</v>
      </c>
      <c r="B321">
        <f t="shared" si="261"/>
        <v>3</v>
      </c>
      <c r="C321">
        <f t="shared" si="229"/>
        <v>98</v>
      </c>
      <c r="D321">
        <v>0</v>
      </c>
      <c r="E321" t="str">
        <f>VLOOKUP(D321,name!A:B,2,1)</f>
        <v>Player</v>
      </c>
      <c r="F321" t="str">
        <f t="shared" si="244"/>
        <v>Well, I'm from there,</v>
      </c>
      <c r="G321" t="str">
        <f t="shared" si="224"/>
        <v>q</v>
      </c>
      <c r="H321" t="str">
        <f>VLOOKUP(D321,name!A:C,3,1)</f>
        <v>assets/icons/image326.png</v>
      </c>
      <c r="I321" t="str">
        <f>IF(A321="","",VLOOKUP(A321,lng!A:B,2,0))</f>
        <v>en-GB</v>
      </c>
    </row>
    <row r="322" spans="1:9" x14ac:dyDescent="0.15">
      <c r="A322" t="str">
        <f t="shared" ref="A322:B322" si="262">A321</f>
        <v>英語</v>
      </c>
      <c r="B322">
        <f t="shared" si="262"/>
        <v>3</v>
      </c>
      <c r="C322">
        <f t="shared" si="229"/>
        <v>99</v>
      </c>
      <c r="D322">
        <f>D245</f>
        <v>32</v>
      </c>
      <c r="E322" t="str">
        <f>VLOOKUP(D322,name!A:B,2,1)</f>
        <v>Asha</v>
      </c>
      <c r="F322" t="str">
        <f t="shared" si="244"/>
        <v>ここバーミンガムにもたくさん親戚がいるの。</v>
      </c>
      <c r="G322" t="str">
        <f t="shared" si="224"/>
        <v>a</v>
      </c>
      <c r="H322" t="str">
        <f>VLOOKUP(D322,name!A:C,3,1)</f>
        <v>assets/icons/image235.png</v>
      </c>
      <c r="I322" t="s">
        <v>402</v>
      </c>
    </row>
    <row r="323" spans="1:9" x14ac:dyDescent="0.15">
      <c r="A323" t="str">
        <f t="shared" ref="A323:B323" si="263">A322</f>
        <v>英語</v>
      </c>
      <c r="B323">
        <f t="shared" si="263"/>
        <v>3</v>
      </c>
      <c r="C323">
        <f t="shared" si="229"/>
        <v>100</v>
      </c>
      <c r="D323">
        <v>0</v>
      </c>
      <c r="E323" t="str">
        <f>VLOOKUP(D323,name!A:B,2,1)</f>
        <v>Player</v>
      </c>
      <c r="F323" t="str">
        <f t="shared" si="244"/>
        <v xml:space="preserve"> but I have a lot of relatives here in Birmingham, too.</v>
      </c>
      <c r="G323" t="str">
        <f t="shared" si="224"/>
        <v>q</v>
      </c>
      <c r="H323" t="str">
        <f>VLOOKUP(D323,name!A:C,3,1)</f>
        <v>assets/icons/image326.png</v>
      </c>
      <c r="I323" t="str">
        <f>IF(A323="","",VLOOKUP(A323,lng!A:B,2,0))</f>
        <v>en-GB</v>
      </c>
    </row>
    <row r="324" spans="1:9" x14ac:dyDescent="0.15">
      <c r="A324" t="str">
        <f t="shared" ref="A324:B324" si="264">A323</f>
        <v>英語</v>
      </c>
      <c r="B324">
        <f t="shared" si="264"/>
        <v>3</v>
      </c>
      <c r="C324">
        <f t="shared" si="229"/>
        <v>101</v>
      </c>
      <c r="D324">
        <f>D247</f>
        <v>29</v>
      </c>
      <c r="E324" t="str">
        <f>VLOOKUP(D324,name!A:B,2,1)</f>
        <v>Eri</v>
      </c>
      <c r="F324" t="str">
        <f t="shared" si="244"/>
        <v>うらやましい。</v>
      </c>
      <c r="G324" t="str">
        <f t="shared" si="224"/>
        <v>a</v>
      </c>
      <c r="H324" t="str">
        <f>VLOOKUP(D324,name!A:C,3,1)</f>
        <v>assets/icons/image209.png</v>
      </c>
      <c r="I324" t="s">
        <v>402</v>
      </c>
    </row>
    <row r="325" spans="1:9" x14ac:dyDescent="0.15">
      <c r="A325" t="str">
        <f t="shared" ref="A325:B325" si="265">A324</f>
        <v>英語</v>
      </c>
      <c r="B325">
        <f t="shared" si="265"/>
        <v>3</v>
      </c>
      <c r="C325">
        <f t="shared" si="229"/>
        <v>102</v>
      </c>
      <c r="D325">
        <v>0</v>
      </c>
      <c r="E325" t="str">
        <f>VLOOKUP(D325,name!A:B,2,1)</f>
        <v>Player</v>
      </c>
      <c r="F325" t="str">
        <f t="shared" si="244"/>
        <v xml:space="preserve">I envy you. </v>
      </c>
      <c r="G325" t="str">
        <f t="shared" si="224"/>
        <v>q</v>
      </c>
      <c r="H325" t="str">
        <f>VLOOKUP(D325,name!A:C,3,1)</f>
        <v>assets/icons/image326.png</v>
      </c>
      <c r="I325" t="str">
        <f>IF(A325="","",VLOOKUP(A325,lng!A:B,2,0))</f>
        <v>en-GB</v>
      </c>
    </row>
    <row r="326" spans="1:9" x14ac:dyDescent="0.15">
      <c r="A326" t="str">
        <f t="shared" ref="A326:B326" si="266">A325</f>
        <v>英語</v>
      </c>
      <c r="B326">
        <f t="shared" si="266"/>
        <v>3</v>
      </c>
      <c r="C326">
        <f t="shared" si="229"/>
        <v>103</v>
      </c>
      <c r="D326">
        <f>D249</f>
        <v>29</v>
      </c>
      <c r="E326" t="str">
        <f>VLOOKUP(D326,name!A:B,2,1)</f>
        <v>Eri</v>
      </c>
      <c r="F326" t="str">
        <f t="shared" si="244"/>
        <v>私は思っていた以上に日本食が恋しくなって。</v>
      </c>
      <c r="G326" t="str">
        <f t="shared" si="224"/>
        <v>a</v>
      </c>
      <c r="H326" t="str">
        <f>VLOOKUP(D326,name!A:C,3,1)</f>
        <v>assets/icons/image209.png</v>
      </c>
      <c r="I326" t="s">
        <v>402</v>
      </c>
    </row>
    <row r="327" spans="1:9" x14ac:dyDescent="0.15">
      <c r="A327" t="str">
        <f t="shared" ref="A327:B327" si="267">A326</f>
        <v>英語</v>
      </c>
      <c r="B327">
        <f t="shared" si="267"/>
        <v>3</v>
      </c>
      <c r="C327">
        <f t="shared" si="229"/>
        <v>104</v>
      </c>
      <c r="D327">
        <v>0</v>
      </c>
      <c r="E327" t="str">
        <f>VLOOKUP(D327,name!A:B,2,1)</f>
        <v>Player</v>
      </c>
      <c r="F327" t="str">
        <f t="shared" si="244"/>
        <v xml:space="preserve"> I really miss Japanese food more than I expected.</v>
      </c>
      <c r="G327" t="str">
        <f t="shared" si="224"/>
        <v>q</v>
      </c>
      <c r="H327" t="str">
        <f>VLOOKUP(D327,name!A:C,3,1)</f>
        <v>assets/icons/image326.png</v>
      </c>
      <c r="I327" t="str">
        <f>IF(A327="","",VLOOKUP(A327,lng!A:B,2,0))</f>
        <v>en-GB</v>
      </c>
    </row>
    <row r="328" spans="1:9" x14ac:dyDescent="0.15">
      <c r="A328" t="str">
        <f t="shared" ref="A328:B328" si="268">A327</f>
        <v>英語</v>
      </c>
      <c r="B328">
        <f t="shared" si="268"/>
        <v>3</v>
      </c>
      <c r="C328">
        <f t="shared" si="229"/>
        <v>105</v>
      </c>
      <c r="D328">
        <f>D251</f>
        <v>32</v>
      </c>
      <c r="E328" t="str">
        <f>VLOOKUP(D328,name!A:B,2,1)</f>
        <v>Asha</v>
      </c>
      <c r="F328" t="str">
        <f t="shared" si="244"/>
        <v>あとで夕食に行きましょう</v>
      </c>
      <c r="G328" t="str">
        <f t="shared" si="224"/>
        <v>a</v>
      </c>
      <c r="H328" t="str">
        <f>VLOOKUP(D328,name!A:C,3,1)</f>
        <v>assets/icons/image235.png</v>
      </c>
      <c r="I328" t="s">
        <v>402</v>
      </c>
    </row>
    <row r="329" spans="1:9" x14ac:dyDescent="0.15">
      <c r="A329" t="str">
        <f t="shared" ref="A329:B329" si="269">A328</f>
        <v>英語</v>
      </c>
      <c r="B329">
        <f t="shared" si="269"/>
        <v>3</v>
      </c>
      <c r="C329">
        <f t="shared" si="229"/>
        <v>106</v>
      </c>
      <c r="D329">
        <v>0</v>
      </c>
      <c r="E329" t="str">
        <f>VLOOKUP(D329,name!A:B,2,1)</f>
        <v>Player</v>
      </c>
      <c r="F329" t="str">
        <f t="shared" si="244"/>
        <v>Let's have dinner together later.</v>
      </c>
      <c r="G329" t="str">
        <f t="shared" si="224"/>
        <v>q</v>
      </c>
      <c r="H329" t="str">
        <f>VLOOKUP(D329,name!A:C,3,1)</f>
        <v>assets/icons/image326.png</v>
      </c>
      <c r="I329" t="str">
        <f>IF(A329="","",VLOOKUP(A329,lng!A:B,2,0))</f>
        <v>en-GB</v>
      </c>
    </row>
    <row r="330" spans="1:9" x14ac:dyDescent="0.15">
      <c r="A330" t="str">
        <f t="shared" ref="A330:B330" si="270">A329</f>
        <v>英語</v>
      </c>
      <c r="B330">
        <f t="shared" si="270"/>
        <v>3</v>
      </c>
      <c r="C330">
        <f t="shared" si="229"/>
        <v>107</v>
      </c>
      <c r="D330">
        <f>D253</f>
        <v>32</v>
      </c>
      <c r="E330" t="str">
        <f>VLOOKUP(D330,name!A:B,2,1)</f>
        <v>Asha</v>
      </c>
      <c r="F330" t="str">
        <f t="shared" si="244"/>
        <v>有名なバルティ トライアングルを紹介させて</v>
      </c>
      <c r="G330" t="str">
        <f t="shared" si="224"/>
        <v>a</v>
      </c>
      <c r="H330" t="str">
        <f>VLOOKUP(D330,name!A:C,3,1)</f>
        <v>assets/icons/image235.png</v>
      </c>
      <c r="I330" t="s">
        <v>402</v>
      </c>
    </row>
    <row r="331" spans="1:9" x14ac:dyDescent="0.15">
      <c r="A331" t="str">
        <f t="shared" ref="A331:B331" si="271">A330</f>
        <v>英語</v>
      </c>
      <c r="B331">
        <f t="shared" si="271"/>
        <v>3</v>
      </c>
      <c r="C331">
        <f t="shared" si="229"/>
        <v>108</v>
      </c>
      <c r="D331">
        <v>0</v>
      </c>
      <c r="E331" t="str">
        <f>VLOOKUP(D331,name!A:B,2,1)</f>
        <v>Player</v>
      </c>
      <c r="F331" t="str">
        <f t="shared" si="244"/>
        <v>You must let me introduce you to the famous Balti Triangle</v>
      </c>
      <c r="G331" t="str">
        <f t="shared" si="224"/>
        <v>q</v>
      </c>
      <c r="H331" t="str">
        <f>VLOOKUP(D331,name!A:C,3,1)</f>
        <v>assets/icons/image326.png</v>
      </c>
      <c r="I331" t="str">
        <f>IF(A331="","",VLOOKUP(A331,lng!A:B,2,0))</f>
        <v>en-GB</v>
      </c>
    </row>
    <row r="332" spans="1:9" x14ac:dyDescent="0.15">
      <c r="A332" t="str">
        <f t="shared" ref="A332:B332" si="272">A331</f>
        <v>英語</v>
      </c>
      <c r="B332">
        <f t="shared" si="272"/>
        <v>3</v>
      </c>
      <c r="C332">
        <f t="shared" si="229"/>
        <v>109</v>
      </c>
      <c r="D332">
        <f>D255</f>
        <v>32</v>
      </c>
      <c r="E332" t="str">
        <f>VLOOKUP(D332,name!A:B,2,1)</f>
        <v>Asha</v>
      </c>
      <c r="F332" t="str">
        <f t="shared" si="244"/>
        <v xml:space="preserve"> 「英国のカレーの中心地」 だから。</v>
      </c>
      <c r="G332" t="str">
        <f t="shared" si="224"/>
        <v>a</v>
      </c>
      <c r="H332" t="str">
        <f>VLOOKUP(D332,name!A:C,3,1)</f>
        <v>assets/icons/image235.png</v>
      </c>
      <c r="I332" t="s">
        <v>402</v>
      </c>
    </row>
    <row r="333" spans="1:9" x14ac:dyDescent="0.15">
      <c r="A333" t="str">
        <f t="shared" ref="A333:B333" si="273">A332</f>
        <v>英語</v>
      </c>
      <c r="B333">
        <f t="shared" si="273"/>
        <v>3</v>
      </c>
      <c r="C333">
        <f t="shared" si="229"/>
        <v>110</v>
      </c>
      <c r="D333">
        <v>0</v>
      </c>
      <c r="E333" t="str">
        <f>VLOOKUP(D333,name!A:B,2,1)</f>
        <v>Player</v>
      </c>
      <c r="F333" t="str">
        <f t="shared" si="244"/>
        <v xml:space="preserve">the reason Birmingham's the 'curry capital of the nation'. </v>
      </c>
      <c r="G333" t="str">
        <f t="shared" si="224"/>
        <v>q</v>
      </c>
      <c r="H333" t="str">
        <f>VLOOKUP(D333,name!A:C,3,1)</f>
        <v>assets/icons/image326.png</v>
      </c>
      <c r="I333" t="str">
        <f>IF(A333="","",VLOOKUP(A333,lng!A:B,2,0))</f>
        <v>en-GB</v>
      </c>
    </row>
    <row r="334" spans="1:9" x14ac:dyDescent="0.15">
      <c r="A334" t="str">
        <f t="shared" ref="A334:B334" si="274">A333</f>
        <v>英語</v>
      </c>
      <c r="B334">
        <f t="shared" si="274"/>
        <v>3</v>
      </c>
      <c r="C334">
        <f t="shared" si="229"/>
        <v>111</v>
      </c>
      <c r="D334">
        <v>1</v>
      </c>
      <c r="E334" t="str">
        <f>VLOOKUP(D334,name!A:B,2,1)</f>
        <v>Navigator</v>
      </c>
      <c r="F334" t="str">
        <f>"とても良くできました。レッスン"&amp;B334&amp;"はこれで終了です。"</f>
        <v>とても良くできました。レッスン3はこれで終了です。</v>
      </c>
      <c r="G334" t="str">
        <f t="shared" si="224"/>
        <v>e</v>
      </c>
      <c r="H334" t="str">
        <f>VLOOKUP(D334,name!A:C,3,1)</f>
        <v>assets/icons/image014.png</v>
      </c>
      <c r="I334" t="s">
        <v>402</v>
      </c>
    </row>
    <row r="335" spans="1:9" x14ac:dyDescent="0.15">
      <c r="A335" t="str">
        <f>A334</f>
        <v>英語</v>
      </c>
      <c r="B335">
        <f>B334+1</f>
        <v>4</v>
      </c>
      <c r="C335">
        <v>1</v>
      </c>
      <c r="D335">
        <v>1</v>
      </c>
      <c r="E335" t="str">
        <f>VLOOKUP(D335,name!A:B,2,1)</f>
        <v>Navigator</v>
      </c>
      <c r="F335" t="s">
        <v>545</v>
      </c>
      <c r="G335" t="str">
        <f t="shared" si="224"/>
        <v>a</v>
      </c>
      <c r="H335" t="str">
        <f>VLOOKUP(D335,name!A:C,3,1)</f>
        <v>assets/icons/image014.png</v>
      </c>
      <c r="I335" t="str">
        <f>IF(A335="","",VLOOKUP(A335,lng!A:B,2,0))</f>
        <v>en-GB</v>
      </c>
    </row>
    <row r="336" spans="1:9" x14ac:dyDescent="0.15">
      <c r="A336" t="str">
        <f t="shared" ref="A336:B351" si="275">A335</f>
        <v>英語</v>
      </c>
      <c r="B336">
        <f>B335</f>
        <v>4</v>
      </c>
      <c r="C336">
        <f>C335+1</f>
        <v>2</v>
      </c>
      <c r="D336">
        <v>1</v>
      </c>
      <c r="E336" t="str">
        <f>VLOOKUP(D336,name!A:B,2,1)</f>
        <v>Navigator</v>
      </c>
      <c r="F336" t="str">
        <f>"レッスン"&amp;B336</f>
        <v>レッスン4</v>
      </c>
      <c r="G336" t="str">
        <f t="shared" si="224"/>
        <v>a</v>
      </c>
      <c r="H336" t="str">
        <f>VLOOKUP(D336,name!A:C,3,1)</f>
        <v>assets/icons/image014.png</v>
      </c>
      <c r="I336" t="s">
        <v>402</v>
      </c>
    </row>
    <row r="337" spans="1:12" ht="40.5" x14ac:dyDescent="0.15">
      <c r="A337" t="str">
        <f t="shared" si="275"/>
        <v>英語</v>
      </c>
      <c r="B337">
        <f t="shared" si="275"/>
        <v>4</v>
      </c>
      <c r="C337">
        <f t="shared" ref="C337:C400" si="276">C336+1</f>
        <v>3</v>
      </c>
      <c r="D337">
        <v>1</v>
      </c>
      <c r="E337" t="str">
        <f>VLOOKUP(D337,name!A:B,2,1)</f>
        <v>Navigator</v>
      </c>
      <c r="F337" s="1" t="str">
        <f>"まずは対話文を流します。その後に、日本語と"&amp;A337&amp;"を一文ずつ流すので"&amp;A337&amp;"を真似して下さい。最後に日本語のみを流すので、"&amp;A337&amp;"で答えてください。"</f>
        <v>まずは対話文を流します。その後に、日本語と英語を一文ずつ流すので英語を真似して下さい。最後に日本語のみを流すので、英語で答えてください。</v>
      </c>
      <c r="G337" t="str">
        <f t="shared" si="224"/>
        <v>a</v>
      </c>
      <c r="H337" t="str">
        <f>VLOOKUP(D337,name!A:C,3,1)</f>
        <v>assets/icons/image014.png</v>
      </c>
      <c r="I337" t="s">
        <v>402</v>
      </c>
      <c r="L337" s="1"/>
    </row>
    <row r="338" spans="1:12" x14ac:dyDescent="0.15">
      <c r="A338" t="str">
        <f t="shared" si="275"/>
        <v>英語</v>
      </c>
      <c r="B338">
        <f t="shared" si="275"/>
        <v>4</v>
      </c>
      <c r="C338">
        <f t="shared" si="276"/>
        <v>4</v>
      </c>
      <c r="D338">
        <f>D339</f>
        <v>32</v>
      </c>
      <c r="E338" t="str">
        <f>VLOOKUP(D338,name!A:B,2,1)</f>
        <v>Asha</v>
      </c>
      <c r="F338" t="s">
        <v>563</v>
      </c>
      <c r="G338" t="str">
        <f t="shared" si="224"/>
        <v>a</v>
      </c>
      <c r="H338" t="str">
        <f>VLOOKUP(D338,name!A:C,3,1)</f>
        <v>assets/icons/image235.png</v>
      </c>
      <c r="I338" t="s">
        <v>402</v>
      </c>
    </row>
    <row r="339" spans="1:12" x14ac:dyDescent="0.15">
      <c r="A339" t="str">
        <f t="shared" si="275"/>
        <v>英語</v>
      </c>
      <c r="B339">
        <f t="shared" si="275"/>
        <v>4</v>
      </c>
      <c r="C339">
        <f t="shared" si="276"/>
        <v>5</v>
      </c>
      <c r="D339">
        <f t="shared" ref="D339:D372" si="277">D340</f>
        <v>32</v>
      </c>
      <c r="E339" t="str">
        <f>VLOOKUP(D339,name!A:B,2,1)</f>
        <v>Asha</v>
      </c>
      <c r="F339" t="s">
        <v>546</v>
      </c>
      <c r="G339" t="str">
        <f t="shared" si="224"/>
        <v>a</v>
      </c>
      <c r="H339" t="str">
        <f>VLOOKUP(D339,name!A:C,3,1)</f>
        <v>assets/icons/image235.png</v>
      </c>
      <c r="I339" t="str">
        <f>IF(A339="","",VLOOKUP(A339,lng!A:B,2,0))</f>
        <v>en-GB</v>
      </c>
    </row>
    <row r="340" spans="1:12" x14ac:dyDescent="0.15">
      <c r="A340" t="str">
        <f t="shared" si="275"/>
        <v>英語</v>
      </c>
      <c r="B340">
        <f t="shared" si="275"/>
        <v>4</v>
      </c>
      <c r="C340">
        <f t="shared" si="276"/>
        <v>6</v>
      </c>
      <c r="D340">
        <f t="shared" si="277"/>
        <v>32</v>
      </c>
      <c r="E340" t="str">
        <f>VLOOKUP(D340,name!A:B,2,1)</f>
        <v>Asha</v>
      </c>
      <c r="F340" t="s">
        <v>564</v>
      </c>
      <c r="G340" t="str">
        <f t="shared" si="224"/>
        <v>a</v>
      </c>
      <c r="H340" t="str">
        <f>VLOOKUP(D340,name!A:C,3,1)</f>
        <v>assets/icons/image235.png</v>
      </c>
      <c r="I340" t="s">
        <v>402</v>
      </c>
    </row>
    <row r="341" spans="1:12" x14ac:dyDescent="0.15">
      <c r="A341" t="str">
        <f t="shared" si="275"/>
        <v>英語</v>
      </c>
      <c r="B341">
        <f t="shared" si="275"/>
        <v>4</v>
      </c>
      <c r="C341">
        <f t="shared" si="276"/>
        <v>7</v>
      </c>
      <c r="D341">
        <v>32</v>
      </c>
      <c r="E341" t="str">
        <f>VLOOKUP(D341,name!A:B,2,1)</f>
        <v>Asha</v>
      </c>
      <c r="F341" t="s">
        <v>547</v>
      </c>
      <c r="G341" t="str">
        <f t="shared" si="224"/>
        <v>a</v>
      </c>
      <c r="H341" t="str">
        <f>VLOOKUP(D341,name!A:C,3,1)</f>
        <v>assets/icons/image235.png</v>
      </c>
      <c r="I341" t="str">
        <f>IF(A341="","",VLOOKUP(A341,lng!A:B,2,0))</f>
        <v>en-GB</v>
      </c>
    </row>
    <row r="342" spans="1:12" x14ac:dyDescent="0.15">
      <c r="A342" t="str">
        <f t="shared" si="275"/>
        <v>英語</v>
      </c>
      <c r="B342">
        <f t="shared" si="275"/>
        <v>4</v>
      </c>
      <c r="C342">
        <f t="shared" si="276"/>
        <v>8</v>
      </c>
      <c r="D342">
        <f t="shared" si="277"/>
        <v>29</v>
      </c>
      <c r="E342" t="str">
        <f>VLOOKUP(D342,name!A:B,2,1)</f>
        <v>Eri</v>
      </c>
      <c r="F342" t="s">
        <v>565</v>
      </c>
      <c r="G342" t="str">
        <f t="shared" si="224"/>
        <v>a</v>
      </c>
      <c r="H342" t="str">
        <f>VLOOKUP(D342,name!A:C,3,1)</f>
        <v>assets/icons/image209.png</v>
      </c>
      <c r="I342" t="s">
        <v>402</v>
      </c>
    </row>
    <row r="343" spans="1:12" x14ac:dyDescent="0.15">
      <c r="A343" t="str">
        <f t="shared" si="275"/>
        <v>英語</v>
      </c>
      <c r="B343">
        <f t="shared" si="275"/>
        <v>4</v>
      </c>
      <c r="C343">
        <f t="shared" si="276"/>
        <v>9</v>
      </c>
      <c r="D343">
        <f t="shared" si="277"/>
        <v>29</v>
      </c>
      <c r="E343" t="str">
        <f>VLOOKUP(D343,name!A:B,2,1)</f>
        <v>Eri</v>
      </c>
      <c r="F343" t="s">
        <v>548</v>
      </c>
      <c r="G343" t="str">
        <f t="shared" si="224"/>
        <v>a</v>
      </c>
      <c r="H343" t="str">
        <f>VLOOKUP(D343,name!A:C,3,1)</f>
        <v>assets/icons/image209.png</v>
      </c>
      <c r="I343" t="str">
        <f>IF(A343="","",VLOOKUP(A343,lng!A:B,2,0))</f>
        <v>en-GB</v>
      </c>
    </row>
    <row r="344" spans="1:12" x14ac:dyDescent="0.15">
      <c r="A344" t="str">
        <f t="shared" si="275"/>
        <v>英語</v>
      </c>
      <c r="B344">
        <f t="shared" si="275"/>
        <v>4</v>
      </c>
      <c r="C344">
        <f t="shared" si="276"/>
        <v>10</v>
      </c>
      <c r="D344">
        <f t="shared" si="277"/>
        <v>29</v>
      </c>
      <c r="E344" t="str">
        <f>VLOOKUP(D344,name!A:B,2,1)</f>
        <v>Eri</v>
      </c>
      <c r="F344" t="s">
        <v>566</v>
      </c>
      <c r="G344" t="str">
        <f t="shared" si="224"/>
        <v>a</v>
      </c>
      <c r="H344" t="str">
        <f>VLOOKUP(D344,name!A:C,3,1)</f>
        <v>assets/icons/image209.png</v>
      </c>
      <c r="I344" t="s">
        <v>402</v>
      </c>
    </row>
    <row r="345" spans="1:12" x14ac:dyDescent="0.15">
      <c r="A345" t="str">
        <f t="shared" si="275"/>
        <v>英語</v>
      </c>
      <c r="B345">
        <f t="shared" si="275"/>
        <v>4</v>
      </c>
      <c r="C345">
        <f t="shared" si="276"/>
        <v>11</v>
      </c>
      <c r="D345">
        <f t="shared" si="277"/>
        <v>29</v>
      </c>
      <c r="E345" t="str">
        <f>VLOOKUP(D345,name!A:B,2,1)</f>
        <v>Eri</v>
      </c>
      <c r="F345" t="s">
        <v>549</v>
      </c>
      <c r="G345" t="str">
        <f t="shared" si="224"/>
        <v>a</v>
      </c>
      <c r="H345" t="str">
        <f>VLOOKUP(D345,name!A:C,3,1)</f>
        <v>assets/icons/image209.png</v>
      </c>
      <c r="I345" t="str">
        <f>IF(A345="","",VLOOKUP(A345,lng!A:B,2,0))</f>
        <v>en-GB</v>
      </c>
    </row>
    <row r="346" spans="1:12" x14ac:dyDescent="0.15">
      <c r="A346" t="str">
        <f t="shared" si="275"/>
        <v>英語</v>
      </c>
      <c r="B346">
        <f t="shared" si="275"/>
        <v>4</v>
      </c>
      <c r="C346">
        <f t="shared" si="276"/>
        <v>12</v>
      </c>
      <c r="D346">
        <f t="shared" si="277"/>
        <v>29</v>
      </c>
      <c r="E346" t="str">
        <f>VLOOKUP(D346,name!A:B,2,1)</f>
        <v>Eri</v>
      </c>
      <c r="F346" t="s">
        <v>567</v>
      </c>
      <c r="G346" t="str">
        <f t="shared" si="224"/>
        <v>a</v>
      </c>
      <c r="H346" t="str">
        <f>VLOOKUP(D346,name!A:C,3,1)</f>
        <v>assets/icons/image209.png</v>
      </c>
      <c r="I346" t="s">
        <v>402</v>
      </c>
    </row>
    <row r="347" spans="1:12" x14ac:dyDescent="0.15">
      <c r="A347" t="str">
        <f t="shared" si="275"/>
        <v>英語</v>
      </c>
      <c r="B347">
        <f t="shared" si="275"/>
        <v>4</v>
      </c>
      <c r="C347">
        <f t="shared" si="276"/>
        <v>13</v>
      </c>
      <c r="D347">
        <v>29</v>
      </c>
      <c r="E347" t="str">
        <f>VLOOKUP(D347,name!A:B,2,1)</f>
        <v>Eri</v>
      </c>
      <c r="F347" t="s">
        <v>550</v>
      </c>
      <c r="G347" t="str">
        <f t="shared" si="224"/>
        <v>a</v>
      </c>
      <c r="H347" t="str">
        <f>VLOOKUP(D347,name!A:C,3,1)</f>
        <v>assets/icons/image209.png</v>
      </c>
      <c r="I347" t="str">
        <f>IF(A347="","",VLOOKUP(A347,lng!A:B,2,0))</f>
        <v>en-GB</v>
      </c>
    </row>
    <row r="348" spans="1:12" x14ac:dyDescent="0.15">
      <c r="A348" t="str">
        <f t="shared" si="275"/>
        <v>英語</v>
      </c>
      <c r="B348">
        <f t="shared" si="275"/>
        <v>4</v>
      </c>
      <c r="C348">
        <f t="shared" si="276"/>
        <v>14</v>
      </c>
      <c r="D348">
        <f t="shared" si="277"/>
        <v>32</v>
      </c>
      <c r="E348" t="str">
        <f>VLOOKUP(D348,name!A:B,2,1)</f>
        <v>Asha</v>
      </c>
      <c r="F348" t="s">
        <v>568</v>
      </c>
      <c r="G348" t="str">
        <f t="shared" si="224"/>
        <v>a</v>
      </c>
      <c r="H348" t="str">
        <f>VLOOKUP(D348,name!A:C,3,1)</f>
        <v>assets/icons/image235.png</v>
      </c>
      <c r="I348" t="s">
        <v>402</v>
      </c>
    </row>
    <row r="349" spans="1:12" x14ac:dyDescent="0.15">
      <c r="A349" t="str">
        <f t="shared" si="275"/>
        <v>英語</v>
      </c>
      <c r="B349">
        <f t="shared" si="275"/>
        <v>4</v>
      </c>
      <c r="C349">
        <f t="shared" si="276"/>
        <v>15</v>
      </c>
      <c r="D349">
        <f t="shared" si="277"/>
        <v>32</v>
      </c>
      <c r="E349" t="str">
        <f>VLOOKUP(D349,name!A:B,2,1)</f>
        <v>Asha</v>
      </c>
      <c r="F349" t="s">
        <v>551</v>
      </c>
      <c r="G349" t="str">
        <f t="shared" si="224"/>
        <v>a</v>
      </c>
      <c r="H349" t="str">
        <f>VLOOKUP(D349,name!A:C,3,1)</f>
        <v>assets/icons/image235.png</v>
      </c>
      <c r="I349" t="str">
        <f>IF(A349="","",VLOOKUP(A349,lng!A:B,2,0))</f>
        <v>en-GB</v>
      </c>
    </row>
    <row r="350" spans="1:12" x14ac:dyDescent="0.15">
      <c r="A350" t="str">
        <f t="shared" si="275"/>
        <v>英語</v>
      </c>
      <c r="B350">
        <f t="shared" si="275"/>
        <v>4</v>
      </c>
      <c r="C350">
        <f t="shared" si="276"/>
        <v>16</v>
      </c>
      <c r="D350">
        <f t="shared" si="277"/>
        <v>32</v>
      </c>
      <c r="E350" t="str">
        <f>VLOOKUP(D350,name!A:B,2,1)</f>
        <v>Asha</v>
      </c>
      <c r="F350" t="s">
        <v>569</v>
      </c>
      <c r="G350" t="str">
        <f t="shared" ref="G350:G413" si="278">IF(B350&lt;&gt;B351,"e",IF(D350=0,"q","a"))</f>
        <v>a</v>
      </c>
      <c r="H350" t="str">
        <f>VLOOKUP(D350,name!A:C,3,1)</f>
        <v>assets/icons/image235.png</v>
      </c>
      <c r="I350" t="s">
        <v>402</v>
      </c>
    </row>
    <row r="351" spans="1:12" x14ac:dyDescent="0.15">
      <c r="A351" t="str">
        <f t="shared" si="275"/>
        <v>英語</v>
      </c>
      <c r="B351">
        <f t="shared" si="275"/>
        <v>4</v>
      </c>
      <c r="C351">
        <f t="shared" si="276"/>
        <v>17</v>
      </c>
      <c r="D351">
        <v>32</v>
      </c>
      <c r="E351" t="str">
        <f>VLOOKUP(D351,name!A:B,2,1)</f>
        <v>Asha</v>
      </c>
      <c r="F351" t="s">
        <v>552</v>
      </c>
      <c r="G351" t="str">
        <f t="shared" si="278"/>
        <v>a</v>
      </c>
      <c r="H351" t="str">
        <f>VLOOKUP(D351,name!A:C,3,1)</f>
        <v>assets/icons/image235.png</v>
      </c>
      <c r="I351" t="str">
        <f>IF(A351="","",VLOOKUP(A351,lng!A:B,2,0))</f>
        <v>en-GB</v>
      </c>
    </row>
    <row r="352" spans="1:12" x14ac:dyDescent="0.15">
      <c r="A352" t="str">
        <f t="shared" ref="A352:B365" si="279">A351</f>
        <v>英語</v>
      </c>
      <c r="B352">
        <f t="shared" si="279"/>
        <v>4</v>
      </c>
      <c r="C352">
        <f t="shared" si="276"/>
        <v>18</v>
      </c>
      <c r="D352">
        <f t="shared" si="277"/>
        <v>29</v>
      </c>
      <c r="E352" t="str">
        <f>VLOOKUP(D352,name!A:B,2,1)</f>
        <v>Eri</v>
      </c>
      <c r="F352" t="s">
        <v>570</v>
      </c>
      <c r="G352" t="str">
        <f t="shared" si="278"/>
        <v>a</v>
      </c>
      <c r="H352" t="str">
        <f>VLOOKUP(D352,name!A:C,3,1)</f>
        <v>assets/icons/image209.png</v>
      </c>
      <c r="I352" t="s">
        <v>402</v>
      </c>
    </row>
    <row r="353" spans="1:9" x14ac:dyDescent="0.15">
      <c r="A353" t="str">
        <f t="shared" si="279"/>
        <v>英語</v>
      </c>
      <c r="B353">
        <f t="shared" si="279"/>
        <v>4</v>
      </c>
      <c r="C353">
        <f t="shared" si="276"/>
        <v>19</v>
      </c>
      <c r="D353">
        <f t="shared" si="277"/>
        <v>29</v>
      </c>
      <c r="E353" t="str">
        <f>VLOOKUP(D353,name!A:B,2,1)</f>
        <v>Eri</v>
      </c>
      <c r="F353" t="s">
        <v>553</v>
      </c>
      <c r="G353" t="str">
        <f t="shared" si="278"/>
        <v>a</v>
      </c>
      <c r="H353" t="str">
        <f>VLOOKUP(D353,name!A:C,3,1)</f>
        <v>assets/icons/image209.png</v>
      </c>
      <c r="I353" t="str">
        <f>IF(A353="","",VLOOKUP(A353,lng!A:B,2,0))</f>
        <v>en-GB</v>
      </c>
    </row>
    <row r="354" spans="1:9" x14ac:dyDescent="0.15">
      <c r="A354" t="str">
        <f t="shared" si="279"/>
        <v>英語</v>
      </c>
      <c r="B354">
        <f t="shared" si="279"/>
        <v>4</v>
      </c>
      <c r="C354">
        <f t="shared" si="276"/>
        <v>20</v>
      </c>
      <c r="D354">
        <f t="shared" si="277"/>
        <v>29</v>
      </c>
      <c r="E354" t="str">
        <f>VLOOKUP(D354,name!A:B,2,1)</f>
        <v>Eri</v>
      </c>
      <c r="F354" t="s">
        <v>572</v>
      </c>
      <c r="G354" t="str">
        <f t="shared" si="278"/>
        <v>a</v>
      </c>
      <c r="H354" t="str">
        <f>VLOOKUP(D354,name!A:C,3,1)</f>
        <v>assets/icons/image209.png</v>
      </c>
      <c r="I354" t="s">
        <v>402</v>
      </c>
    </row>
    <row r="355" spans="1:9" x14ac:dyDescent="0.15">
      <c r="A355" t="str">
        <f t="shared" si="279"/>
        <v>英語</v>
      </c>
      <c r="B355">
        <f t="shared" si="279"/>
        <v>4</v>
      </c>
      <c r="C355">
        <f t="shared" si="276"/>
        <v>21</v>
      </c>
      <c r="D355">
        <f t="shared" si="277"/>
        <v>29</v>
      </c>
      <c r="E355" t="str">
        <f>VLOOKUP(D355,name!A:B,2,1)</f>
        <v>Eri</v>
      </c>
      <c r="F355" t="s">
        <v>554</v>
      </c>
      <c r="G355" t="str">
        <f t="shared" si="278"/>
        <v>a</v>
      </c>
      <c r="H355" t="str">
        <f>VLOOKUP(D355,name!A:C,3,1)</f>
        <v>assets/icons/image209.png</v>
      </c>
      <c r="I355" t="str">
        <f>IF(A355="","",VLOOKUP(A355,lng!A:B,2,0))</f>
        <v>en-GB</v>
      </c>
    </row>
    <row r="356" spans="1:9" x14ac:dyDescent="0.15">
      <c r="A356" t="str">
        <f t="shared" si="279"/>
        <v>英語</v>
      </c>
      <c r="B356">
        <f t="shared" si="279"/>
        <v>4</v>
      </c>
      <c r="C356">
        <f t="shared" si="276"/>
        <v>22</v>
      </c>
      <c r="D356">
        <f t="shared" si="277"/>
        <v>29</v>
      </c>
      <c r="E356" t="str">
        <f>VLOOKUP(D356,name!A:B,2,1)</f>
        <v>Eri</v>
      </c>
      <c r="F356" t="s">
        <v>571</v>
      </c>
      <c r="G356" t="str">
        <f t="shared" si="278"/>
        <v>a</v>
      </c>
      <c r="H356" t="str">
        <f>VLOOKUP(D356,name!A:C,3,1)</f>
        <v>assets/icons/image209.png</v>
      </c>
      <c r="I356" t="s">
        <v>402</v>
      </c>
    </row>
    <row r="357" spans="1:9" x14ac:dyDescent="0.15">
      <c r="A357" t="str">
        <f t="shared" si="279"/>
        <v>英語</v>
      </c>
      <c r="B357">
        <f t="shared" si="279"/>
        <v>4</v>
      </c>
      <c r="C357">
        <f t="shared" si="276"/>
        <v>23</v>
      </c>
      <c r="D357">
        <v>29</v>
      </c>
      <c r="E357" t="str">
        <f>VLOOKUP(D357,name!A:B,2,1)</f>
        <v>Eri</v>
      </c>
      <c r="F357" t="s">
        <v>555</v>
      </c>
      <c r="G357" t="str">
        <f t="shared" si="278"/>
        <v>a</v>
      </c>
      <c r="H357" t="str">
        <f>VLOOKUP(D357,name!A:C,3,1)</f>
        <v>assets/icons/image209.png</v>
      </c>
      <c r="I357" t="str">
        <f>IF(A357="","",VLOOKUP(A357,lng!A:B,2,0))</f>
        <v>en-GB</v>
      </c>
    </row>
    <row r="358" spans="1:9" x14ac:dyDescent="0.15">
      <c r="A358" t="str">
        <f t="shared" si="279"/>
        <v>英語</v>
      </c>
      <c r="B358">
        <f t="shared" si="279"/>
        <v>4</v>
      </c>
      <c r="C358">
        <f t="shared" si="276"/>
        <v>24</v>
      </c>
      <c r="D358">
        <f t="shared" si="277"/>
        <v>32</v>
      </c>
      <c r="E358" t="str">
        <f>VLOOKUP(D358,name!A:B,2,1)</f>
        <v>Asha</v>
      </c>
      <c r="F358" t="s">
        <v>573</v>
      </c>
      <c r="G358" t="str">
        <f t="shared" si="278"/>
        <v>a</v>
      </c>
      <c r="H358" t="str">
        <f>VLOOKUP(D358,name!A:C,3,1)</f>
        <v>assets/icons/image235.png</v>
      </c>
      <c r="I358" t="s">
        <v>402</v>
      </c>
    </row>
    <row r="359" spans="1:9" x14ac:dyDescent="0.15">
      <c r="A359" t="str">
        <f t="shared" si="279"/>
        <v>英語</v>
      </c>
      <c r="B359">
        <f t="shared" si="279"/>
        <v>4</v>
      </c>
      <c r="C359">
        <f t="shared" si="276"/>
        <v>25</v>
      </c>
      <c r="D359">
        <f t="shared" si="277"/>
        <v>32</v>
      </c>
      <c r="E359" t="str">
        <f>VLOOKUP(D359,name!A:B,2,1)</f>
        <v>Asha</v>
      </c>
      <c r="F359" t="s">
        <v>516</v>
      </c>
      <c r="G359" t="str">
        <f t="shared" si="278"/>
        <v>a</v>
      </c>
      <c r="H359" t="str">
        <f>VLOOKUP(D359,name!A:C,3,1)</f>
        <v>assets/icons/image235.png</v>
      </c>
      <c r="I359" t="str">
        <f>IF(A359="","",VLOOKUP(A359,lng!A:B,2,0))</f>
        <v>en-GB</v>
      </c>
    </row>
    <row r="360" spans="1:9" x14ac:dyDescent="0.15">
      <c r="A360" t="str">
        <f t="shared" si="279"/>
        <v>英語</v>
      </c>
      <c r="B360">
        <f t="shared" si="279"/>
        <v>4</v>
      </c>
      <c r="C360">
        <f t="shared" si="276"/>
        <v>26</v>
      </c>
      <c r="D360">
        <f t="shared" si="277"/>
        <v>32</v>
      </c>
      <c r="E360" t="str">
        <f>VLOOKUP(D360,name!A:B,2,1)</f>
        <v>Asha</v>
      </c>
      <c r="F360" t="s">
        <v>574</v>
      </c>
      <c r="G360" t="str">
        <f t="shared" si="278"/>
        <v>a</v>
      </c>
      <c r="H360" t="str">
        <f>VLOOKUP(D360,name!A:C,3,1)</f>
        <v>assets/icons/image235.png</v>
      </c>
      <c r="I360" t="s">
        <v>402</v>
      </c>
    </row>
    <row r="361" spans="1:9" x14ac:dyDescent="0.15">
      <c r="A361" t="str">
        <f t="shared" si="279"/>
        <v>英語</v>
      </c>
      <c r="B361">
        <f t="shared" si="279"/>
        <v>4</v>
      </c>
      <c r="C361">
        <f t="shared" si="276"/>
        <v>27</v>
      </c>
      <c r="D361">
        <f t="shared" si="277"/>
        <v>32</v>
      </c>
      <c r="E361" t="str">
        <f>VLOOKUP(D361,name!A:B,2,1)</f>
        <v>Asha</v>
      </c>
      <c r="F361" t="s">
        <v>556</v>
      </c>
      <c r="G361" t="str">
        <f t="shared" si="278"/>
        <v>a</v>
      </c>
      <c r="H361" t="str">
        <f>VLOOKUP(D361,name!A:C,3,1)</f>
        <v>assets/icons/image235.png</v>
      </c>
      <c r="I361" t="str">
        <f>IF(A361="","",VLOOKUP(A361,lng!A:B,2,0))</f>
        <v>en-GB</v>
      </c>
    </row>
    <row r="362" spans="1:9" x14ac:dyDescent="0.15">
      <c r="A362" t="str">
        <f t="shared" si="279"/>
        <v>英語</v>
      </c>
      <c r="B362">
        <f t="shared" si="279"/>
        <v>4</v>
      </c>
      <c r="C362">
        <f t="shared" si="276"/>
        <v>28</v>
      </c>
      <c r="D362">
        <f t="shared" si="277"/>
        <v>32</v>
      </c>
      <c r="E362" t="str">
        <f>VLOOKUP(D362,name!A:B,2,1)</f>
        <v>Asha</v>
      </c>
      <c r="F362" t="s">
        <v>575</v>
      </c>
      <c r="G362" t="str">
        <f t="shared" si="278"/>
        <v>a</v>
      </c>
      <c r="H362" t="str">
        <f>VLOOKUP(D362,name!A:C,3,1)</f>
        <v>assets/icons/image235.png</v>
      </c>
      <c r="I362" t="s">
        <v>402</v>
      </c>
    </row>
    <row r="363" spans="1:9" x14ac:dyDescent="0.15">
      <c r="A363" t="str">
        <f t="shared" si="279"/>
        <v>英語</v>
      </c>
      <c r="B363">
        <f t="shared" si="279"/>
        <v>4</v>
      </c>
      <c r="C363">
        <f t="shared" si="276"/>
        <v>29</v>
      </c>
      <c r="D363">
        <v>32</v>
      </c>
      <c r="E363" t="str">
        <f>VLOOKUP(D363,name!A:B,2,1)</f>
        <v>Asha</v>
      </c>
      <c r="F363" t="s">
        <v>557</v>
      </c>
      <c r="G363" t="str">
        <f t="shared" si="278"/>
        <v>a</v>
      </c>
      <c r="H363" t="str">
        <f>VLOOKUP(D363,name!A:C,3,1)</f>
        <v>assets/icons/image235.png</v>
      </c>
      <c r="I363" t="str">
        <f>IF(A363="","",VLOOKUP(A363,lng!A:B,2,0))</f>
        <v>en-GB</v>
      </c>
    </row>
    <row r="364" spans="1:9" x14ac:dyDescent="0.15">
      <c r="A364" t="str">
        <f t="shared" si="279"/>
        <v>英語</v>
      </c>
      <c r="B364">
        <f t="shared" si="279"/>
        <v>4</v>
      </c>
      <c r="C364">
        <f t="shared" si="276"/>
        <v>30</v>
      </c>
      <c r="D364">
        <f t="shared" si="277"/>
        <v>32</v>
      </c>
      <c r="E364" t="str">
        <f>VLOOKUP(D364,name!A:B,2,1)</f>
        <v>Asha</v>
      </c>
      <c r="F364" t="s">
        <v>576</v>
      </c>
      <c r="G364" t="str">
        <f t="shared" si="278"/>
        <v>a</v>
      </c>
      <c r="H364" t="str">
        <f>VLOOKUP(D364,name!A:C,3,1)</f>
        <v>assets/icons/image235.png</v>
      </c>
      <c r="I364" t="s">
        <v>402</v>
      </c>
    </row>
    <row r="365" spans="1:9" x14ac:dyDescent="0.15">
      <c r="A365" t="str">
        <f t="shared" si="279"/>
        <v>英語</v>
      </c>
      <c r="B365">
        <f t="shared" si="279"/>
        <v>4</v>
      </c>
      <c r="C365">
        <f t="shared" si="276"/>
        <v>31</v>
      </c>
      <c r="D365">
        <v>32</v>
      </c>
      <c r="E365" t="str">
        <f>VLOOKUP(D365,name!A:B,2,1)</f>
        <v>Asha</v>
      </c>
      <c r="F365" t="s">
        <v>558</v>
      </c>
      <c r="G365" t="str">
        <f t="shared" si="278"/>
        <v>a</v>
      </c>
      <c r="H365" t="str">
        <f>VLOOKUP(D365,name!A:C,3,1)</f>
        <v>assets/icons/image235.png</v>
      </c>
      <c r="I365" t="str">
        <f>IF(A365="","",VLOOKUP(A365,lng!A:B,2,0))</f>
        <v>en-GB</v>
      </c>
    </row>
    <row r="366" spans="1:9" x14ac:dyDescent="0.15">
      <c r="A366" t="str">
        <f t="shared" ref="A366:B366" si="280">A365</f>
        <v>英語</v>
      </c>
      <c r="B366">
        <f t="shared" si="280"/>
        <v>4</v>
      </c>
      <c r="C366">
        <f t="shared" si="276"/>
        <v>32</v>
      </c>
      <c r="D366">
        <f t="shared" si="277"/>
        <v>29</v>
      </c>
      <c r="E366" t="str">
        <f>VLOOKUP(D366,name!A:B,2,1)</f>
        <v>Eri</v>
      </c>
      <c r="F366" t="s">
        <v>577</v>
      </c>
      <c r="G366" t="str">
        <f t="shared" si="278"/>
        <v>a</v>
      </c>
      <c r="H366" t="str">
        <f>VLOOKUP(D366,name!A:C,3,1)</f>
        <v>assets/icons/image209.png</v>
      </c>
      <c r="I366" t="s">
        <v>402</v>
      </c>
    </row>
    <row r="367" spans="1:9" x14ac:dyDescent="0.15">
      <c r="A367" t="str">
        <f t="shared" ref="A367:B367" si="281">A366</f>
        <v>英語</v>
      </c>
      <c r="B367">
        <f t="shared" si="281"/>
        <v>4</v>
      </c>
      <c r="C367">
        <f t="shared" si="276"/>
        <v>33</v>
      </c>
      <c r="D367">
        <v>29</v>
      </c>
      <c r="E367" t="str">
        <f>VLOOKUP(D367,name!A:B,2,1)</f>
        <v>Eri</v>
      </c>
      <c r="F367" t="s">
        <v>559</v>
      </c>
      <c r="G367" t="str">
        <f t="shared" si="278"/>
        <v>a</v>
      </c>
      <c r="H367" t="str">
        <f>VLOOKUP(D367,name!A:C,3,1)</f>
        <v>assets/icons/image209.png</v>
      </c>
      <c r="I367" t="str">
        <f>IF(A367="","",VLOOKUP(A367,lng!A:B,2,0))</f>
        <v>en-GB</v>
      </c>
    </row>
    <row r="368" spans="1:9" x14ac:dyDescent="0.15">
      <c r="A368" t="str">
        <f t="shared" ref="A368:B368" si="282">A367</f>
        <v>英語</v>
      </c>
      <c r="B368">
        <f t="shared" si="282"/>
        <v>4</v>
      </c>
      <c r="C368">
        <f t="shared" si="276"/>
        <v>34</v>
      </c>
      <c r="D368">
        <f t="shared" si="277"/>
        <v>32</v>
      </c>
      <c r="E368" t="str">
        <f>VLOOKUP(D368,name!A:B,2,1)</f>
        <v>Asha</v>
      </c>
      <c r="F368" t="s">
        <v>578</v>
      </c>
      <c r="G368" t="str">
        <f t="shared" si="278"/>
        <v>a</v>
      </c>
      <c r="H368" t="str">
        <f>VLOOKUP(D368,name!A:C,3,1)</f>
        <v>assets/icons/image235.png</v>
      </c>
      <c r="I368" t="s">
        <v>402</v>
      </c>
    </row>
    <row r="369" spans="1:9" x14ac:dyDescent="0.15">
      <c r="A369" t="str">
        <f t="shared" ref="A369:B369" si="283">A368</f>
        <v>英語</v>
      </c>
      <c r="B369">
        <f t="shared" si="283"/>
        <v>4</v>
      </c>
      <c r="C369">
        <f t="shared" si="276"/>
        <v>35</v>
      </c>
      <c r="D369">
        <f t="shared" si="277"/>
        <v>32</v>
      </c>
      <c r="E369" t="str">
        <f>VLOOKUP(D369,name!A:B,2,1)</f>
        <v>Asha</v>
      </c>
      <c r="F369" t="s">
        <v>562</v>
      </c>
      <c r="G369" t="str">
        <f t="shared" si="278"/>
        <v>a</v>
      </c>
      <c r="H369" t="str">
        <f>VLOOKUP(D369,name!A:C,3,1)</f>
        <v>assets/icons/image235.png</v>
      </c>
      <c r="I369" t="str">
        <f>IF(A369="","",VLOOKUP(A369,lng!A:B,2,0))</f>
        <v>en-GB</v>
      </c>
    </row>
    <row r="370" spans="1:9" x14ac:dyDescent="0.15">
      <c r="A370" t="str">
        <f t="shared" ref="A370:B370" si="284">A369</f>
        <v>英語</v>
      </c>
      <c r="B370">
        <f t="shared" si="284"/>
        <v>4</v>
      </c>
      <c r="C370">
        <f t="shared" si="276"/>
        <v>36</v>
      </c>
      <c r="D370">
        <f t="shared" si="277"/>
        <v>32</v>
      </c>
      <c r="E370" t="str">
        <f>VLOOKUP(D370,name!A:B,2,1)</f>
        <v>Asha</v>
      </c>
      <c r="F370" t="s">
        <v>579</v>
      </c>
      <c r="G370" t="str">
        <f t="shared" si="278"/>
        <v>a</v>
      </c>
      <c r="H370" t="str">
        <f>VLOOKUP(D370,name!A:C,3,1)</f>
        <v>assets/icons/image235.png</v>
      </c>
      <c r="I370" t="s">
        <v>402</v>
      </c>
    </row>
    <row r="371" spans="1:9" x14ac:dyDescent="0.15">
      <c r="A371" t="str">
        <f t="shared" ref="A371:B371" si="285">A370</f>
        <v>英語</v>
      </c>
      <c r="B371">
        <f t="shared" si="285"/>
        <v>4</v>
      </c>
      <c r="C371">
        <f t="shared" si="276"/>
        <v>37</v>
      </c>
      <c r="D371">
        <f t="shared" si="277"/>
        <v>32</v>
      </c>
      <c r="E371" t="str">
        <f>VLOOKUP(D371,name!A:B,2,1)</f>
        <v>Asha</v>
      </c>
      <c r="F371" t="s">
        <v>560</v>
      </c>
      <c r="G371" t="str">
        <f t="shared" si="278"/>
        <v>a</v>
      </c>
      <c r="H371" t="str">
        <f>VLOOKUP(D371,name!A:C,3,1)</f>
        <v>assets/icons/image235.png</v>
      </c>
      <c r="I371" t="str">
        <f>IF(A371="","",VLOOKUP(A371,lng!A:B,2,0))</f>
        <v>en-GB</v>
      </c>
    </row>
    <row r="372" spans="1:9" x14ac:dyDescent="0.15">
      <c r="A372" t="str">
        <f t="shared" ref="A372:B372" si="286">A371</f>
        <v>英語</v>
      </c>
      <c r="B372">
        <f t="shared" si="286"/>
        <v>4</v>
      </c>
      <c r="C372">
        <f t="shared" si="276"/>
        <v>38</v>
      </c>
      <c r="D372">
        <f t="shared" si="277"/>
        <v>32</v>
      </c>
      <c r="E372" t="str">
        <f>VLOOKUP(D372,name!A:B,2,1)</f>
        <v>Asha</v>
      </c>
      <c r="F372" t="s">
        <v>580</v>
      </c>
      <c r="G372" t="str">
        <f t="shared" si="278"/>
        <v>a</v>
      </c>
      <c r="H372" t="str">
        <f>VLOOKUP(D372,name!A:C,3,1)</f>
        <v>assets/icons/image235.png</v>
      </c>
      <c r="I372" t="s">
        <v>402</v>
      </c>
    </row>
    <row r="373" spans="1:9" x14ac:dyDescent="0.15">
      <c r="A373" t="str">
        <f t="shared" ref="A373:B373" si="287">A372</f>
        <v>英語</v>
      </c>
      <c r="B373">
        <f t="shared" si="287"/>
        <v>4</v>
      </c>
      <c r="C373">
        <f t="shared" si="276"/>
        <v>39</v>
      </c>
      <c r="D373">
        <v>32</v>
      </c>
      <c r="E373" t="str">
        <f>VLOOKUP(D373,name!A:B,2,1)</f>
        <v>Asha</v>
      </c>
      <c r="F373" t="s">
        <v>561</v>
      </c>
      <c r="G373" t="str">
        <f t="shared" si="278"/>
        <v>a</v>
      </c>
      <c r="H373" t="str">
        <f>VLOOKUP(D373,name!A:C,3,1)</f>
        <v>assets/icons/image235.png</v>
      </c>
      <c r="I373" t="str">
        <f>IF(A373="","",VLOOKUP(A373,lng!A:B,2,0))</f>
        <v>en-GB</v>
      </c>
    </row>
    <row r="374" spans="1:9" x14ac:dyDescent="0.15">
      <c r="A374" t="str">
        <f t="shared" ref="A374:B374" si="288">A373</f>
        <v>英語</v>
      </c>
      <c r="B374">
        <f t="shared" si="288"/>
        <v>4</v>
      </c>
      <c r="C374">
        <f t="shared" si="276"/>
        <v>40</v>
      </c>
      <c r="D374">
        <v>1</v>
      </c>
      <c r="E374" t="str">
        <f>VLOOKUP(D374,name!A:B,2,1)</f>
        <v>Navigator</v>
      </c>
      <c r="F374" t="str">
        <f>"次の"&amp;A374&amp;"を真似してね！"</f>
        <v>次の英語を真似してね！</v>
      </c>
      <c r="G374" t="str">
        <f t="shared" si="278"/>
        <v>a</v>
      </c>
      <c r="H374" t="str">
        <f>VLOOKUP(D374,name!A:C,3,1)</f>
        <v>assets/icons/image014.png</v>
      </c>
      <c r="I374" t="s">
        <v>402</v>
      </c>
    </row>
    <row r="375" spans="1:9" x14ac:dyDescent="0.15">
      <c r="A375" t="str">
        <f t="shared" ref="A375:B375" si="289">A374</f>
        <v>英語</v>
      </c>
      <c r="B375">
        <f t="shared" si="289"/>
        <v>4</v>
      </c>
      <c r="C375">
        <f t="shared" si="276"/>
        <v>41</v>
      </c>
      <c r="D375">
        <f>D338</f>
        <v>32</v>
      </c>
      <c r="E375" t="str">
        <f>VLOOKUP(D375,name!A:B,2,1)</f>
        <v>Asha</v>
      </c>
      <c r="F375" t="str">
        <f>F338</f>
        <v>こんにちは、エリ！</v>
      </c>
      <c r="G375" t="str">
        <f t="shared" si="278"/>
        <v>a</v>
      </c>
      <c r="H375" t="str">
        <f>VLOOKUP(D375,name!A:C,3,1)</f>
        <v>assets/icons/image235.png</v>
      </c>
      <c r="I375" t="s">
        <v>402</v>
      </c>
    </row>
    <row r="376" spans="1:9" x14ac:dyDescent="0.15">
      <c r="A376" t="str">
        <f t="shared" ref="A376:B376" si="290">A375</f>
        <v>英語</v>
      </c>
      <c r="B376">
        <f t="shared" si="290"/>
        <v>4</v>
      </c>
      <c r="C376">
        <f t="shared" si="276"/>
        <v>42</v>
      </c>
      <c r="D376">
        <f>D339</f>
        <v>32</v>
      </c>
      <c r="E376" t="str">
        <f>VLOOKUP(D376,name!A:B,2,1)</f>
        <v>Asha</v>
      </c>
      <c r="F376" t="str">
        <f>F339</f>
        <v>Hi, Eri!</v>
      </c>
      <c r="G376" t="str">
        <f t="shared" si="278"/>
        <v>a</v>
      </c>
      <c r="H376" t="str">
        <f>VLOOKUP(D376,name!A:C,3,1)</f>
        <v>assets/icons/image235.png</v>
      </c>
      <c r="I376" t="str">
        <f>IF(A376="","",VLOOKUP(A376,lng!A:B,2,0))</f>
        <v>en-GB</v>
      </c>
    </row>
    <row r="377" spans="1:9" x14ac:dyDescent="0.15">
      <c r="A377" t="str">
        <f t="shared" ref="A377:B377" si="291">A376</f>
        <v>英語</v>
      </c>
      <c r="B377">
        <f t="shared" si="291"/>
        <v>4</v>
      </c>
      <c r="C377">
        <f t="shared" si="276"/>
        <v>43</v>
      </c>
      <c r="D377">
        <v>0</v>
      </c>
      <c r="E377" t="str">
        <f>VLOOKUP(D377,name!A:B,2,1)</f>
        <v>Player</v>
      </c>
      <c r="F377" t="str">
        <f>F339</f>
        <v>Hi, Eri!</v>
      </c>
      <c r="G377" t="str">
        <f t="shared" si="278"/>
        <v>q</v>
      </c>
      <c r="H377" t="str">
        <f>VLOOKUP(D377,name!A:C,3,1)</f>
        <v>assets/icons/image326.png</v>
      </c>
      <c r="I377" t="str">
        <f>IF(A377="","",VLOOKUP(A377,lng!A:B,2,0))</f>
        <v>en-GB</v>
      </c>
    </row>
    <row r="378" spans="1:9" x14ac:dyDescent="0.15">
      <c r="A378" t="str">
        <f t="shared" ref="A378:B378" si="292">A377</f>
        <v>英語</v>
      </c>
      <c r="B378">
        <f t="shared" si="292"/>
        <v>4</v>
      </c>
      <c r="C378">
        <f t="shared" si="276"/>
        <v>44</v>
      </c>
      <c r="D378">
        <f>D340</f>
        <v>32</v>
      </c>
      <c r="E378" t="str">
        <f>VLOOKUP(D378,name!A:B,2,1)</f>
        <v>Asha</v>
      </c>
      <c r="F378" t="str">
        <f>F340</f>
        <v>ご一緒してもいい？</v>
      </c>
      <c r="G378" t="str">
        <f t="shared" si="278"/>
        <v>a</v>
      </c>
      <c r="H378" t="str">
        <f>VLOOKUP(D378,name!A:C,3,1)</f>
        <v>assets/icons/image235.png</v>
      </c>
      <c r="I378" t="s">
        <v>402</v>
      </c>
    </row>
    <row r="379" spans="1:9" x14ac:dyDescent="0.15">
      <c r="A379" t="str">
        <f t="shared" ref="A379:B379" si="293">A378</f>
        <v>英語</v>
      </c>
      <c r="B379">
        <f t="shared" si="293"/>
        <v>4</v>
      </c>
      <c r="C379">
        <f t="shared" si="276"/>
        <v>45</v>
      </c>
      <c r="D379">
        <f>D341</f>
        <v>32</v>
      </c>
      <c r="E379" t="str">
        <f>VLOOKUP(D379,name!A:B,2,1)</f>
        <v>Asha</v>
      </c>
      <c r="F379" t="str">
        <f>F341</f>
        <v>Do you mind if I join you?</v>
      </c>
      <c r="G379" t="str">
        <f t="shared" si="278"/>
        <v>a</v>
      </c>
      <c r="H379" t="str">
        <f>VLOOKUP(D379,name!A:C,3,1)</f>
        <v>assets/icons/image235.png</v>
      </c>
      <c r="I379" t="str">
        <f>IF(A379="","",VLOOKUP(A379,lng!A:B,2,0))</f>
        <v>en-GB</v>
      </c>
    </row>
    <row r="380" spans="1:9" x14ac:dyDescent="0.15">
      <c r="A380" t="str">
        <f t="shared" ref="A380:B380" si="294">A379</f>
        <v>英語</v>
      </c>
      <c r="B380">
        <f t="shared" si="294"/>
        <v>4</v>
      </c>
      <c r="C380">
        <f t="shared" si="276"/>
        <v>46</v>
      </c>
      <c r="D380">
        <v>0</v>
      </c>
      <c r="E380" t="str">
        <f>VLOOKUP(D380,name!A:B,2,1)</f>
        <v>Player</v>
      </c>
      <c r="F380" t="str">
        <f>F341</f>
        <v>Do you mind if I join you?</v>
      </c>
      <c r="G380" t="str">
        <f t="shared" si="278"/>
        <v>q</v>
      </c>
      <c r="H380" t="str">
        <f>VLOOKUP(D380,name!A:C,3,1)</f>
        <v>assets/icons/image326.png</v>
      </c>
      <c r="I380" t="str">
        <f>IF(A380="","",VLOOKUP(A380,lng!A:B,2,0))</f>
        <v>en-GB</v>
      </c>
    </row>
    <row r="381" spans="1:9" x14ac:dyDescent="0.15">
      <c r="A381" t="str">
        <f t="shared" ref="A381:B381" si="295">A380</f>
        <v>英語</v>
      </c>
      <c r="B381">
        <f t="shared" si="295"/>
        <v>4</v>
      </c>
      <c r="C381">
        <f t="shared" si="276"/>
        <v>47</v>
      </c>
      <c r="D381">
        <f>D342</f>
        <v>29</v>
      </c>
      <c r="E381" t="str">
        <f>VLOOKUP(D381,name!A:B,2,1)</f>
        <v>Eri</v>
      </c>
      <c r="F381" t="str">
        <f>F342</f>
        <v>もちろん</v>
      </c>
      <c r="G381" t="str">
        <f t="shared" si="278"/>
        <v>a</v>
      </c>
      <c r="H381" t="str">
        <f>VLOOKUP(D381,name!A:C,3,1)</f>
        <v>assets/icons/image209.png</v>
      </c>
      <c r="I381" t="s">
        <v>402</v>
      </c>
    </row>
    <row r="382" spans="1:9" x14ac:dyDescent="0.15">
      <c r="A382" t="str">
        <f t="shared" ref="A382:B382" si="296">A381</f>
        <v>英語</v>
      </c>
      <c r="B382">
        <f t="shared" si="296"/>
        <v>4</v>
      </c>
      <c r="C382">
        <f t="shared" si="276"/>
        <v>48</v>
      </c>
      <c r="D382">
        <f>D343</f>
        <v>29</v>
      </c>
      <c r="E382" t="str">
        <f>VLOOKUP(D382,name!A:B,2,1)</f>
        <v>Eri</v>
      </c>
      <c r="F382" t="str">
        <f>F343</f>
        <v>Not at all.</v>
      </c>
      <c r="G382" t="str">
        <f t="shared" si="278"/>
        <v>a</v>
      </c>
      <c r="H382" t="str">
        <f>VLOOKUP(D382,name!A:C,3,1)</f>
        <v>assets/icons/image209.png</v>
      </c>
      <c r="I382" t="str">
        <f>IF(A382="","",VLOOKUP(A382,lng!A:B,2,0))</f>
        <v>en-GB</v>
      </c>
    </row>
    <row r="383" spans="1:9" x14ac:dyDescent="0.15">
      <c r="A383" t="str">
        <f t="shared" ref="A383:B383" si="297">A382</f>
        <v>英語</v>
      </c>
      <c r="B383">
        <f t="shared" si="297"/>
        <v>4</v>
      </c>
      <c r="C383">
        <f t="shared" si="276"/>
        <v>49</v>
      </c>
      <c r="D383">
        <v>0</v>
      </c>
      <c r="E383" t="str">
        <f>VLOOKUP(D383,name!A:B,2,1)</f>
        <v>Player</v>
      </c>
      <c r="F383" t="str">
        <f>F343</f>
        <v>Not at all.</v>
      </c>
      <c r="G383" t="str">
        <f t="shared" si="278"/>
        <v>q</v>
      </c>
      <c r="H383" t="str">
        <f>VLOOKUP(D383,name!A:C,3,1)</f>
        <v>assets/icons/image326.png</v>
      </c>
      <c r="I383" t="str">
        <f>IF(A383="","",VLOOKUP(A383,lng!A:B,2,0))</f>
        <v>en-GB</v>
      </c>
    </row>
    <row r="384" spans="1:9" x14ac:dyDescent="0.15">
      <c r="A384" t="str">
        <f t="shared" ref="A384:B384" si="298">A383</f>
        <v>英語</v>
      </c>
      <c r="B384">
        <f t="shared" si="298"/>
        <v>4</v>
      </c>
      <c r="C384">
        <f t="shared" si="276"/>
        <v>50</v>
      </c>
      <c r="D384">
        <f>D344</f>
        <v>29</v>
      </c>
      <c r="E384" t="str">
        <f>VLOOKUP(D384,name!A:B,2,1)</f>
        <v>Eri</v>
      </c>
      <c r="F384" t="str">
        <f>F344</f>
        <v>どうぞ。</v>
      </c>
      <c r="G384" t="str">
        <f t="shared" si="278"/>
        <v>a</v>
      </c>
      <c r="H384" t="str">
        <f>VLOOKUP(D384,name!A:C,3,1)</f>
        <v>assets/icons/image209.png</v>
      </c>
      <c r="I384" t="s">
        <v>402</v>
      </c>
    </row>
    <row r="385" spans="1:9" x14ac:dyDescent="0.15">
      <c r="A385" t="str">
        <f t="shared" ref="A385:B385" si="299">A384</f>
        <v>英語</v>
      </c>
      <c r="B385">
        <f t="shared" si="299"/>
        <v>4</v>
      </c>
      <c r="C385">
        <f t="shared" si="276"/>
        <v>51</v>
      </c>
      <c r="D385">
        <f>D345</f>
        <v>29</v>
      </c>
      <c r="E385" t="str">
        <f>VLOOKUP(D385,name!A:B,2,1)</f>
        <v>Eri</v>
      </c>
      <c r="F385" t="str">
        <f>F345</f>
        <v>Go ahead.</v>
      </c>
      <c r="G385" t="str">
        <f t="shared" si="278"/>
        <v>a</v>
      </c>
      <c r="H385" t="str">
        <f>VLOOKUP(D385,name!A:C,3,1)</f>
        <v>assets/icons/image209.png</v>
      </c>
      <c r="I385" t="str">
        <f>IF(A385="","",VLOOKUP(A385,lng!A:B,2,0))</f>
        <v>en-GB</v>
      </c>
    </row>
    <row r="386" spans="1:9" x14ac:dyDescent="0.15">
      <c r="A386" t="str">
        <f t="shared" ref="A386:B386" si="300">A385</f>
        <v>英語</v>
      </c>
      <c r="B386">
        <f t="shared" si="300"/>
        <v>4</v>
      </c>
      <c r="C386">
        <f t="shared" si="276"/>
        <v>52</v>
      </c>
      <c r="D386">
        <v>0</v>
      </c>
      <c r="E386" t="str">
        <f>VLOOKUP(D386,name!A:B,2,1)</f>
        <v>Player</v>
      </c>
      <c r="F386" t="str">
        <f>F345</f>
        <v>Go ahead.</v>
      </c>
      <c r="G386" t="str">
        <f t="shared" si="278"/>
        <v>q</v>
      </c>
      <c r="H386" t="str">
        <f>VLOOKUP(D386,name!A:C,3,1)</f>
        <v>assets/icons/image326.png</v>
      </c>
      <c r="I386" t="str">
        <f>IF(A386="","",VLOOKUP(A386,lng!A:B,2,0))</f>
        <v>en-GB</v>
      </c>
    </row>
    <row r="387" spans="1:9" x14ac:dyDescent="0.15">
      <c r="A387" t="str">
        <f t="shared" ref="A387:B387" si="301">A386</f>
        <v>英語</v>
      </c>
      <c r="B387">
        <f t="shared" si="301"/>
        <v>4</v>
      </c>
      <c r="C387">
        <f t="shared" si="276"/>
        <v>53</v>
      </c>
      <c r="D387">
        <f>D346</f>
        <v>29</v>
      </c>
      <c r="E387" t="str">
        <f>VLOOKUP(D387,name!A:B,2,1)</f>
        <v>Eri</v>
      </c>
      <c r="F387" t="str">
        <f>F346</f>
        <v>レン先生から出された宿題をやっていたの</v>
      </c>
      <c r="G387" t="str">
        <f t="shared" si="278"/>
        <v>a</v>
      </c>
      <c r="H387" t="str">
        <f>VLOOKUP(D387,name!A:C,3,1)</f>
        <v>assets/icons/image209.png</v>
      </c>
      <c r="I387" t="s">
        <v>402</v>
      </c>
    </row>
    <row r="388" spans="1:9" x14ac:dyDescent="0.15">
      <c r="A388" t="str">
        <f t="shared" ref="A388:B388" si="302">A387</f>
        <v>英語</v>
      </c>
      <c r="B388">
        <f t="shared" si="302"/>
        <v>4</v>
      </c>
      <c r="C388">
        <f t="shared" si="276"/>
        <v>54</v>
      </c>
      <c r="D388">
        <f>D347</f>
        <v>29</v>
      </c>
      <c r="E388" t="str">
        <f>VLOOKUP(D388,name!A:B,2,1)</f>
        <v>Eri</v>
      </c>
      <c r="F388" t="str">
        <f>F347</f>
        <v>I was just looking at the homework Len gave us.</v>
      </c>
      <c r="G388" t="str">
        <f t="shared" si="278"/>
        <v>a</v>
      </c>
      <c r="H388" t="str">
        <f>VLOOKUP(D388,name!A:C,3,1)</f>
        <v>assets/icons/image209.png</v>
      </c>
      <c r="I388" t="str">
        <f>IF(A388="","",VLOOKUP(A388,lng!A:B,2,0))</f>
        <v>en-GB</v>
      </c>
    </row>
    <row r="389" spans="1:9" x14ac:dyDescent="0.15">
      <c r="A389" t="str">
        <f t="shared" ref="A389:B389" si="303">A388</f>
        <v>英語</v>
      </c>
      <c r="B389">
        <f t="shared" si="303"/>
        <v>4</v>
      </c>
      <c r="C389">
        <f t="shared" si="276"/>
        <v>55</v>
      </c>
      <c r="D389">
        <v>0</v>
      </c>
      <c r="E389" t="str">
        <f>VLOOKUP(D389,name!A:B,2,1)</f>
        <v>Player</v>
      </c>
      <c r="F389" t="str">
        <f>F347</f>
        <v>I was just looking at the homework Len gave us.</v>
      </c>
      <c r="G389" t="str">
        <f t="shared" si="278"/>
        <v>q</v>
      </c>
      <c r="H389" t="str">
        <f>VLOOKUP(D389,name!A:C,3,1)</f>
        <v>assets/icons/image326.png</v>
      </c>
      <c r="I389" t="str">
        <f>IF(A389="","",VLOOKUP(A389,lng!A:B,2,0))</f>
        <v>en-GB</v>
      </c>
    </row>
    <row r="390" spans="1:9" x14ac:dyDescent="0.15">
      <c r="A390" t="str">
        <f t="shared" ref="A390:B390" si="304">A389</f>
        <v>英語</v>
      </c>
      <c r="B390">
        <f t="shared" si="304"/>
        <v>4</v>
      </c>
      <c r="C390">
        <f t="shared" si="276"/>
        <v>56</v>
      </c>
      <c r="D390">
        <f>D348</f>
        <v>32</v>
      </c>
      <c r="E390" t="str">
        <f>VLOOKUP(D390,name!A:B,2,1)</f>
        <v>Asha</v>
      </c>
      <c r="F390" t="str">
        <f>F348</f>
        <v>でも今日は「パンケーキの日」</v>
      </c>
      <c r="G390" t="str">
        <f t="shared" si="278"/>
        <v>a</v>
      </c>
      <c r="H390" t="str">
        <f>VLOOKUP(D390,name!A:C,3,1)</f>
        <v>assets/icons/image235.png</v>
      </c>
      <c r="I390" t="s">
        <v>402</v>
      </c>
    </row>
    <row r="391" spans="1:9" x14ac:dyDescent="0.15">
      <c r="A391" t="str">
        <f t="shared" ref="A391:B391" si="305">A390</f>
        <v>英語</v>
      </c>
      <c r="B391">
        <f t="shared" si="305"/>
        <v>4</v>
      </c>
      <c r="C391">
        <f t="shared" si="276"/>
        <v>57</v>
      </c>
      <c r="D391">
        <f>D349</f>
        <v>32</v>
      </c>
      <c r="E391" t="str">
        <f>VLOOKUP(D391,name!A:B,2,1)</f>
        <v>Asha</v>
      </c>
      <c r="F391" t="str">
        <f>F349</f>
        <v>But today's Pancake Day</v>
      </c>
      <c r="G391" t="str">
        <f t="shared" si="278"/>
        <v>a</v>
      </c>
      <c r="H391" t="str">
        <f>VLOOKUP(D391,name!A:C,3,1)</f>
        <v>assets/icons/image235.png</v>
      </c>
      <c r="I391" t="str">
        <f>IF(A391="","",VLOOKUP(A391,lng!A:B,2,0))</f>
        <v>en-GB</v>
      </c>
    </row>
    <row r="392" spans="1:9" x14ac:dyDescent="0.15">
      <c r="A392" t="str">
        <f t="shared" ref="A392:B392" si="306">A391</f>
        <v>英語</v>
      </c>
      <c r="B392">
        <f t="shared" si="306"/>
        <v>4</v>
      </c>
      <c r="C392">
        <f t="shared" si="276"/>
        <v>58</v>
      </c>
      <c r="D392">
        <v>0</v>
      </c>
      <c r="E392" t="str">
        <f>VLOOKUP(D392,name!A:B,2,1)</f>
        <v>Player</v>
      </c>
      <c r="F392" t="str">
        <f>F349</f>
        <v>But today's Pancake Day</v>
      </c>
      <c r="G392" t="str">
        <f t="shared" si="278"/>
        <v>q</v>
      </c>
      <c r="H392" t="str">
        <f>VLOOKUP(D392,name!A:C,3,1)</f>
        <v>assets/icons/image326.png</v>
      </c>
      <c r="I392" t="str">
        <f>IF(A392="","",VLOOKUP(A392,lng!A:B,2,0))</f>
        <v>en-GB</v>
      </c>
    </row>
    <row r="393" spans="1:9" x14ac:dyDescent="0.15">
      <c r="A393" t="str">
        <f t="shared" ref="A393:B393" si="307">A392</f>
        <v>英語</v>
      </c>
      <c r="B393">
        <f t="shared" si="307"/>
        <v>4</v>
      </c>
      <c r="C393">
        <f t="shared" si="276"/>
        <v>59</v>
      </c>
      <c r="D393">
        <f>D350</f>
        <v>32</v>
      </c>
      <c r="E393" t="str">
        <f>VLOOKUP(D393,name!A:B,2,1)</f>
        <v>Asha</v>
      </c>
      <c r="F393" t="str">
        <f>F350</f>
        <v>今日は、何に対してもそんなに真面目にならなくてもいいの。</v>
      </c>
      <c r="G393" t="str">
        <f t="shared" si="278"/>
        <v>a</v>
      </c>
      <c r="H393" t="str">
        <f>VLOOKUP(D393,name!A:C,3,1)</f>
        <v>assets/icons/image235.png</v>
      </c>
      <c r="I393" t="s">
        <v>402</v>
      </c>
    </row>
    <row r="394" spans="1:9" x14ac:dyDescent="0.15">
      <c r="A394" t="str">
        <f t="shared" ref="A394:B394" si="308">A393</f>
        <v>英語</v>
      </c>
      <c r="B394">
        <f t="shared" si="308"/>
        <v>4</v>
      </c>
      <c r="C394">
        <f t="shared" si="276"/>
        <v>60</v>
      </c>
      <c r="D394">
        <f>D351</f>
        <v>32</v>
      </c>
      <c r="E394" t="str">
        <f>VLOOKUP(D394,name!A:B,2,1)</f>
        <v>Asha</v>
      </c>
      <c r="F394" t="str">
        <f>F351</f>
        <v>you can't do anything so serious today!</v>
      </c>
      <c r="G394" t="str">
        <f t="shared" si="278"/>
        <v>a</v>
      </c>
      <c r="H394" t="str">
        <f>VLOOKUP(D394,name!A:C,3,1)</f>
        <v>assets/icons/image235.png</v>
      </c>
      <c r="I394" t="str">
        <f>IF(A394="","",VLOOKUP(A394,lng!A:B,2,0))</f>
        <v>en-GB</v>
      </c>
    </row>
    <row r="395" spans="1:9" x14ac:dyDescent="0.15">
      <c r="A395" t="str">
        <f t="shared" ref="A395:B395" si="309">A394</f>
        <v>英語</v>
      </c>
      <c r="B395">
        <f t="shared" si="309"/>
        <v>4</v>
      </c>
      <c r="C395">
        <f t="shared" si="276"/>
        <v>61</v>
      </c>
      <c r="D395">
        <v>0</v>
      </c>
      <c r="E395" t="str">
        <f>VLOOKUP(D395,name!A:B,2,1)</f>
        <v>Player</v>
      </c>
      <c r="F395" t="str">
        <f>F351</f>
        <v>you can't do anything so serious today!</v>
      </c>
      <c r="G395" t="str">
        <f t="shared" si="278"/>
        <v>q</v>
      </c>
      <c r="H395" t="str">
        <f>VLOOKUP(D395,name!A:C,3,1)</f>
        <v>assets/icons/image326.png</v>
      </c>
      <c r="I395" t="str">
        <f>IF(A395="","",VLOOKUP(A395,lng!A:B,2,0))</f>
        <v>en-GB</v>
      </c>
    </row>
    <row r="396" spans="1:9" x14ac:dyDescent="0.15">
      <c r="A396" t="str">
        <f t="shared" ref="A396:B396" si="310">A395</f>
        <v>英語</v>
      </c>
      <c r="B396">
        <f t="shared" si="310"/>
        <v>4</v>
      </c>
      <c r="C396">
        <f t="shared" si="276"/>
        <v>62</v>
      </c>
      <c r="D396">
        <f>D352</f>
        <v>29</v>
      </c>
      <c r="E396" t="str">
        <f>VLOOKUP(D396,name!A:B,2,1)</f>
        <v>Eri</v>
      </c>
      <c r="F396" t="str">
        <f>F352</f>
        <v>:「パンケーキの日」？</v>
      </c>
      <c r="G396" t="str">
        <f t="shared" si="278"/>
        <v>a</v>
      </c>
      <c r="H396" t="str">
        <f>VLOOKUP(D396,name!A:C,3,1)</f>
        <v>assets/icons/image209.png</v>
      </c>
      <c r="I396" t="s">
        <v>402</v>
      </c>
    </row>
    <row r="397" spans="1:9" x14ac:dyDescent="0.15">
      <c r="A397" t="str">
        <f t="shared" ref="A397:B397" si="311">A396</f>
        <v>英語</v>
      </c>
      <c r="B397">
        <f t="shared" si="311"/>
        <v>4</v>
      </c>
      <c r="C397">
        <f t="shared" si="276"/>
        <v>63</v>
      </c>
      <c r="D397">
        <f>D353</f>
        <v>29</v>
      </c>
      <c r="E397" t="str">
        <f>VLOOKUP(D397,name!A:B,2,1)</f>
        <v>Eri</v>
      </c>
      <c r="F397" t="str">
        <f>F353</f>
        <v>Pancake Day?</v>
      </c>
      <c r="G397" t="str">
        <f t="shared" si="278"/>
        <v>a</v>
      </c>
      <c r="H397" t="str">
        <f>VLOOKUP(D397,name!A:C,3,1)</f>
        <v>assets/icons/image209.png</v>
      </c>
      <c r="I397" t="str">
        <f>IF(A397="","",VLOOKUP(A397,lng!A:B,2,0))</f>
        <v>en-GB</v>
      </c>
    </row>
    <row r="398" spans="1:9" x14ac:dyDescent="0.15">
      <c r="A398" t="str">
        <f t="shared" ref="A398:B398" si="312">A397</f>
        <v>英語</v>
      </c>
      <c r="B398">
        <f t="shared" si="312"/>
        <v>4</v>
      </c>
      <c r="C398">
        <f t="shared" si="276"/>
        <v>64</v>
      </c>
      <c r="D398">
        <v>0</v>
      </c>
      <c r="E398" t="str">
        <f>VLOOKUP(D398,name!A:B,2,1)</f>
        <v>Player</v>
      </c>
      <c r="F398" t="str">
        <f>F353</f>
        <v>Pancake Day?</v>
      </c>
      <c r="G398" t="str">
        <f t="shared" si="278"/>
        <v>q</v>
      </c>
      <c r="H398" t="str">
        <f>VLOOKUP(D398,name!A:C,3,1)</f>
        <v>assets/icons/image326.png</v>
      </c>
      <c r="I398" t="str">
        <f>IF(A398="","",VLOOKUP(A398,lng!A:B,2,0))</f>
        <v>en-GB</v>
      </c>
    </row>
    <row r="399" spans="1:9" x14ac:dyDescent="0.15">
      <c r="A399" t="str">
        <f t="shared" ref="A399:B399" si="313">A398</f>
        <v>英語</v>
      </c>
      <c r="B399">
        <f t="shared" si="313"/>
        <v>4</v>
      </c>
      <c r="C399">
        <f t="shared" si="276"/>
        <v>65</v>
      </c>
      <c r="D399">
        <f>D354</f>
        <v>29</v>
      </c>
      <c r="E399" t="str">
        <f>VLOOKUP(D399,name!A:B,2,1)</f>
        <v>Eri</v>
      </c>
      <c r="F399" t="str">
        <f>F354</f>
        <v>何をするの?</v>
      </c>
      <c r="G399" t="str">
        <f t="shared" si="278"/>
        <v>a</v>
      </c>
      <c r="H399" t="str">
        <f>VLOOKUP(D399,name!A:C,3,1)</f>
        <v>assets/icons/image209.png</v>
      </c>
      <c r="I399" t="s">
        <v>402</v>
      </c>
    </row>
    <row r="400" spans="1:9" x14ac:dyDescent="0.15">
      <c r="A400" t="str">
        <f t="shared" ref="A400:B400" si="314">A399</f>
        <v>英語</v>
      </c>
      <c r="B400">
        <f t="shared" si="314"/>
        <v>4</v>
      </c>
      <c r="C400">
        <f t="shared" si="276"/>
        <v>66</v>
      </c>
      <c r="D400">
        <f>D355</f>
        <v>29</v>
      </c>
      <c r="E400" t="str">
        <f>VLOOKUP(D400,name!A:B,2,1)</f>
        <v>Eri</v>
      </c>
      <c r="F400" t="str">
        <f>F355</f>
        <v>What are you supposed to do?</v>
      </c>
      <c r="G400" t="str">
        <f t="shared" si="278"/>
        <v>a</v>
      </c>
      <c r="H400" t="str">
        <f>VLOOKUP(D400,name!A:C,3,1)</f>
        <v>assets/icons/image209.png</v>
      </c>
      <c r="I400" t="str">
        <f>IF(A400="","",VLOOKUP(A400,lng!A:B,2,0))</f>
        <v>en-GB</v>
      </c>
    </row>
    <row r="401" spans="1:9" x14ac:dyDescent="0.15">
      <c r="A401" t="str">
        <f t="shared" ref="A401:B401" si="315">A400</f>
        <v>英語</v>
      </c>
      <c r="B401">
        <f t="shared" si="315"/>
        <v>4</v>
      </c>
      <c r="C401">
        <f t="shared" ref="C401:C464" si="316">C400+1</f>
        <v>67</v>
      </c>
      <c r="D401">
        <v>0</v>
      </c>
      <c r="E401" t="str">
        <f>VLOOKUP(D401,name!A:B,2,1)</f>
        <v>Player</v>
      </c>
      <c r="F401" t="str">
        <f>F355</f>
        <v>What are you supposed to do?</v>
      </c>
      <c r="G401" t="str">
        <f t="shared" si="278"/>
        <v>q</v>
      </c>
      <c r="H401" t="str">
        <f>VLOOKUP(D401,name!A:C,3,1)</f>
        <v>assets/icons/image326.png</v>
      </c>
      <c r="I401" t="str">
        <f>IF(A401="","",VLOOKUP(A401,lng!A:B,2,0))</f>
        <v>en-GB</v>
      </c>
    </row>
    <row r="402" spans="1:9" x14ac:dyDescent="0.15">
      <c r="A402" t="str">
        <f t="shared" ref="A402:B402" si="317">A401</f>
        <v>英語</v>
      </c>
      <c r="B402">
        <f t="shared" si="317"/>
        <v>4</v>
      </c>
      <c r="C402">
        <f t="shared" si="316"/>
        <v>68</v>
      </c>
      <c r="D402">
        <f>D356</f>
        <v>29</v>
      </c>
      <c r="E402" t="str">
        <f>VLOOKUP(D402,name!A:B,2,1)</f>
        <v>Eri</v>
      </c>
      <c r="F402" t="str">
        <f>F356</f>
        <v>何をするわけ?</v>
      </c>
      <c r="G402" t="str">
        <f t="shared" si="278"/>
        <v>a</v>
      </c>
      <c r="H402" t="str">
        <f>VLOOKUP(D402,name!A:C,3,1)</f>
        <v>assets/icons/image209.png</v>
      </c>
      <c r="I402" t="s">
        <v>402</v>
      </c>
    </row>
    <row r="403" spans="1:9" x14ac:dyDescent="0.15">
      <c r="A403" t="str">
        <f t="shared" ref="A403:B403" si="318">A402</f>
        <v>英語</v>
      </c>
      <c r="B403">
        <f t="shared" si="318"/>
        <v>4</v>
      </c>
      <c r="C403">
        <f t="shared" si="316"/>
        <v>69</v>
      </c>
      <c r="D403">
        <f>D357</f>
        <v>29</v>
      </c>
      <c r="E403" t="str">
        <f>VLOOKUP(D403,name!A:B,2,1)</f>
        <v>Eri</v>
      </c>
      <c r="F403" t="str">
        <f>F357</f>
        <v>Eat pancakes?</v>
      </c>
      <c r="G403" t="str">
        <f t="shared" si="278"/>
        <v>a</v>
      </c>
      <c r="H403" t="str">
        <f>VLOOKUP(D403,name!A:C,3,1)</f>
        <v>assets/icons/image209.png</v>
      </c>
      <c r="I403" t="str">
        <f>IF(A403="","",VLOOKUP(A403,lng!A:B,2,0))</f>
        <v>en-GB</v>
      </c>
    </row>
    <row r="404" spans="1:9" x14ac:dyDescent="0.15">
      <c r="A404" t="str">
        <f t="shared" ref="A404:B404" si="319">A403</f>
        <v>英語</v>
      </c>
      <c r="B404">
        <f t="shared" si="319"/>
        <v>4</v>
      </c>
      <c r="C404">
        <f t="shared" si="316"/>
        <v>70</v>
      </c>
      <c r="D404">
        <v>0</v>
      </c>
      <c r="E404" t="str">
        <f>VLOOKUP(D404,name!A:B,2,1)</f>
        <v>Player</v>
      </c>
      <c r="F404" t="str">
        <f>F357</f>
        <v>Eat pancakes?</v>
      </c>
      <c r="G404" t="str">
        <f t="shared" si="278"/>
        <v>q</v>
      </c>
      <c r="H404" t="str">
        <f>VLOOKUP(D404,name!A:C,3,1)</f>
        <v>assets/icons/image326.png</v>
      </c>
      <c r="I404" t="str">
        <f>IF(A404="","",VLOOKUP(A404,lng!A:B,2,0))</f>
        <v>en-GB</v>
      </c>
    </row>
    <row r="405" spans="1:9" x14ac:dyDescent="0.15">
      <c r="A405" t="str">
        <f t="shared" ref="A405:B405" si="320">A404</f>
        <v>英語</v>
      </c>
      <c r="B405">
        <f t="shared" si="320"/>
        <v>4</v>
      </c>
      <c r="C405">
        <f t="shared" si="316"/>
        <v>71</v>
      </c>
      <c r="D405">
        <f>D358</f>
        <v>32</v>
      </c>
      <c r="E405" t="str">
        <f>VLOOKUP(D405,name!A:B,2,1)</f>
        <v>Asha</v>
      </c>
      <c r="F405" t="str">
        <f>F358</f>
        <v>ええ。</v>
      </c>
      <c r="G405" t="str">
        <f t="shared" si="278"/>
        <v>a</v>
      </c>
      <c r="H405" t="str">
        <f>VLOOKUP(D405,name!A:C,3,1)</f>
        <v>assets/icons/image235.png</v>
      </c>
      <c r="I405" t="s">
        <v>402</v>
      </c>
    </row>
    <row r="406" spans="1:9" x14ac:dyDescent="0.15">
      <c r="A406" t="str">
        <f t="shared" ref="A406:B406" si="321">A405</f>
        <v>英語</v>
      </c>
      <c r="B406">
        <f t="shared" si="321"/>
        <v>4</v>
      </c>
      <c r="C406">
        <f t="shared" si="316"/>
        <v>72</v>
      </c>
      <c r="D406">
        <f>D359</f>
        <v>32</v>
      </c>
      <c r="E406" t="str">
        <f>VLOOKUP(D406,name!A:B,2,1)</f>
        <v>Asha</v>
      </c>
      <c r="F406" t="str">
        <f>F359</f>
        <v>Yes.</v>
      </c>
      <c r="G406" t="str">
        <f t="shared" si="278"/>
        <v>a</v>
      </c>
      <c r="H406" t="str">
        <f>VLOOKUP(D406,name!A:C,3,1)</f>
        <v>assets/icons/image235.png</v>
      </c>
      <c r="I406" t="str">
        <f>IF(A406="","",VLOOKUP(A406,lng!A:B,2,0))</f>
        <v>en-GB</v>
      </c>
    </row>
    <row r="407" spans="1:9" x14ac:dyDescent="0.15">
      <c r="A407" t="str">
        <f t="shared" ref="A407:B407" si="322">A406</f>
        <v>英語</v>
      </c>
      <c r="B407">
        <f t="shared" si="322"/>
        <v>4</v>
      </c>
      <c r="C407">
        <f t="shared" si="316"/>
        <v>73</v>
      </c>
      <c r="D407">
        <v>0</v>
      </c>
      <c r="E407" t="str">
        <f>VLOOKUP(D407,name!A:B,2,1)</f>
        <v>Player</v>
      </c>
      <c r="F407" t="str">
        <f>F359</f>
        <v>Yes.</v>
      </c>
      <c r="G407" t="str">
        <f t="shared" si="278"/>
        <v>q</v>
      </c>
      <c r="H407" t="str">
        <f>VLOOKUP(D407,name!A:C,3,1)</f>
        <v>assets/icons/image326.png</v>
      </c>
      <c r="I407" t="str">
        <f>IF(A407="","",VLOOKUP(A407,lng!A:B,2,0))</f>
        <v>en-GB</v>
      </c>
    </row>
    <row r="408" spans="1:9" x14ac:dyDescent="0.15">
      <c r="A408" t="str">
        <f t="shared" ref="A408:B408" si="323">A407</f>
        <v>英語</v>
      </c>
      <c r="B408">
        <f t="shared" si="323"/>
        <v>4</v>
      </c>
      <c r="C408">
        <f t="shared" si="316"/>
        <v>74</v>
      </c>
      <c r="D408">
        <f>D360</f>
        <v>32</v>
      </c>
      <c r="E408" t="str">
        <f>VLOOKUP(D408,name!A:B,2,1)</f>
        <v>Asha</v>
      </c>
      <c r="F408" t="str">
        <f>F360</f>
        <v>イングランドの伝統では、四旬節が始まる前にご馳走を食べるの。</v>
      </c>
      <c r="G408" t="str">
        <f t="shared" si="278"/>
        <v>a</v>
      </c>
      <c r="H408" t="str">
        <f>VLOOKUP(D408,name!A:C,3,1)</f>
        <v>assets/icons/image235.png</v>
      </c>
      <c r="I408" t="s">
        <v>402</v>
      </c>
    </row>
    <row r="409" spans="1:9" x14ac:dyDescent="0.15">
      <c r="A409" t="str">
        <f t="shared" ref="A409:B409" si="324">A408</f>
        <v>英語</v>
      </c>
      <c r="B409">
        <f t="shared" si="324"/>
        <v>4</v>
      </c>
      <c r="C409">
        <f t="shared" si="316"/>
        <v>75</v>
      </c>
      <c r="D409">
        <f>D361</f>
        <v>32</v>
      </c>
      <c r="E409" t="str">
        <f>VLOOKUP(D409,name!A:B,2,1)</f>
        <v>Asha</v>
      </c>
      <c r="F409" t="str">
        <f>F361</f>
        <v xml:space="preserve">It's a tradition in England to have a feast before the start of Lent. </v>
      </c>
      <c r="G409" t="str">
        <f t="shared" si="278"/>
        <v>a</v>
      </c>
      <c r="H409" t="str">
        <f>VLOOKUP(D409,name!A:C,3,1)</f>
        <v>assets/icons/image235.png</v>
      </c>
      <c r="I409" t="str">
        <f>IF(A409="","",VLOOKUP(A409,lng!A:B,2,0))</f>
        <v>en-GB</v>
      </c>
    </row>
    <row r="410" spans="1:9" x14ac:dyDescent="0.15">
      <c r="A410" t="str">
        <f t="shared" ref="A410:B410" si="325">A409</f>
        <v>英語</v>
      </c>
      <c r="B410">
        <f t="shared" si="325"/>
        <v>4</v>
      </c>
      <c r="C410">
        <f t="shared" si="316"/>
        <v>76</v>
      </c>
      <c r="D410">
        <v>0</v>
      </c>
      <c r="E410" t="str">
        <f>VLOOKUP(D410,name!A:B,2,1)</f>
        <v>Player</v>
      </c>
      <c r="F410" t="str">
        <f>F361</f>
        <v xml:space="preserve">It's a tradition in England to have a feast before the start of Lent. </v>
      </c>
      <c r="G410" t="str">
        <f t="shared" si="278"/>
        <v>q</v>
      </c>
      <c r="H410" t="str">
        <f>VLOOKUP(D410,name!A:C,3,1)</f>
        <v>assets/icons/image326.png</v>
      </c>
      <c r="I410" t="str">
        <f>IF(A410="","",VLOOKUP(A410,lng!A:B,2,0))</f>
        <v>en-GB</v>
      </c>
    </row>
    <row r="411" spans="1:9" x14ac:dyDescent="0.15">
      <c r="A411" t="str">
        <f t="shared" ref="A411:B411" si="326">A410</f>
        <v>英語</v>
      </c>
      <c r="B411">
        <f t="shared" si="326"/>
        <v>4</v>
      </c>
      <c r="C411">
        <f t="shared" si="316"/>
        <v>77</v>
      </c>
      <c r="D411">
        <f>D362</f>
        <v>32</v>
      </c>
      <c r="E411" t="str">
        <f>VLOOKUP(D411,name!A:B,2,1)</f>
        <v>Asha</v>
      </c>
      <c r="F411" t="str">
        <f>F362</f>
        <v>私の家で大きなパンケーキ・パーティをやるの。</v>
      </c>
      <c r="G411" t="str">
        <f t="shared" si="278"/>
        <v>a</v>
      </c>
      <c r="H411" t="str">
        <f>VLOOKUP(D411,name!A:C,3,1)</f>
        <v>assets/icons/image235.png</v>
      </c>
      <c r="I411" t="s">
        <v>402</v>
      </c>
    </row>
    <row r="412" spans="1:9" x14ac:dyDescent="0.15">
      <c r="A412" t="str">
        <f t="shared" ref="A412:B412" si="327">A411</f>
        <v>英語</v>
      </c>
      <c r="B412">
        <f t="shared" si="327"/>
        <v>4</v>
      </c>
      <c r="C412">
        <f t="shared" si="316"/>
        <v>78</v>
      </c>
      <c r="D412">
        <f>D363</f>
        <v>32</v>
      </c>
      <c r="E412" t="str">
        <f>VLOOKUP(D412,name!A:B,2,1)</f>
        <v>Asha</v>
      </c>
      <c r="F412" t="str">
        <f>F363</f>
        <v>We're having a big pancake party in my house.</v>
      </c>
      <c r="G412" t="str">
        <f t="shared" si="278"/>
        <v>a</v>
      </c>
      <c r="H412" t="str">
        <f>VLOOKUP(D412,name!A:C,3,1)</f>
        <v>assets/icons/image235.png</v>
      </c>
      <c r="I412" t="str">
        <f>IF(A412="","",VLOOKUP(A412,lng!A:B,2,0))</f>
        <v>en-GB</v>
      </c>
    </row>
    <row r="413" spans="1:9" x14ac:dyDescent="0.15">
      <c r="A413" t="str">
        <f t="shared" ref="A413:B413" si="328">A412</f>
        <v>英語</v>
      </c>
      <c r="B413">
        <f t="shared" si="328"/>
        <v>4</v>
      </c>
      <c r="C413">
        <f t="shared" si="316"/>
        <v>79</v>
      </c>
      <c r="D413">
        <v>0</v>
      </c>
      <c r="E413" t="str">
        <f>VLOOKUP(D413,name!A:B,2,1)</f>
        <v>Player</v>
      </c>
      <c r="F413" t="str">
        <f>F363</f>
        <v>We're having a big pancake party in my house.</v>
      </c>
      <c r="G413" t="str">
        <f t="shared" si="278"/>
        <v>q</v>
      </c>
      <c r="H413" t="str">
        <f>VLOOKUP(D413,name!A:C,3,1)</f>
        <v>assets/icons/image326.png</v>
      </c>
      <c r="I413" t="str">
        <f>IF(A413="","",VLOOKUP(A413,lng!A:B,2,0))</f>
        <v>en-GB</v>
      </c>
    </row>
    <row r="414" spans="1:9" x14ac:dyDescent="0.15">
      <c r="A414" t="str">
        <f t="shared" ref="A414:B414" si="329">A413</f>
        <v>英語</v>
      </c>
      <c r="B414">
        <f t="shared" si="329"/>
        <v>4</v>
      </c>
      <c r="C414">
        <f t="shared" si="316"/>
        <v>80</v>
      </c>
      <c r="D414">
        <f>D364</f>
        <v>32</v>
      </c>
      <c r="E414" t="str">
        <f>VLOOKUP(D414,name!A:B,2,1)</f>
        <v>Asha</v>
      </c>
      <c r="F414" t="str">
        <f>F364</f>
        <v>ぜひいらっしゃい。</v>
      </c>
      <c r="G414" t="str">
        <f t="shared" ref="G414:G477" si="330">IF(B414&lt;&gt;B415,"e",IF(D414=0,"q","a"))</f>
        <v>a</v>
      </c>
      <c r="H414" t="str">
        <f>VLOOKUP(D414,name!A:C,3,1)</f>
        <v>assets/icons/image235.png</v>
      </c>
      <c r="I414" t="s">
        <v>402</v>
      </c>
    </row>
    <row r="415" spans="1:9" x14ac:dyDescent="0.15">
      <c r="A415" t="str">
        <f t="shared" ref="A415:B415" si="331">A414</f>
        <v>英語</v>
      </c>
      <c r="B415">
        <f t="shared" si="331"/>
        <v>4</v>
      </c>
      <c r="C415">
        <f t="shared" si="316"/>
        <v>81</v>
      </c>
      <c r="D415">
        <f>D365</f>
        <v>32</v>
      </c>
      <c r="E415" t="str">
        <f>VLOOKUP(D415,name!A:B,2,1)</f>
        <v>Asha</v>
      </c>
      <c r="F415" t="str">
        <f>F365</f>
        <v>Come and join us.</v>
      </c>
      <c r="G415" t="str">
        <f t="shared" si="330"/>
        <v>a</v>
      </c>
      <c r="H415" t="str">
        <f>VLOOKUP(D415,name!A:C,3,1)</f>
        <v>assets/icons/image235.png</v>
      </c>
      <c r="I415" t="str">
        <f>IF(A415="","",VLOOKUP(A415,lng!A:B,2,0))</f>
        <v>en-GB</v>
      </c>
    </row>
    <row r="416" spans="1:9" x14ac:dyDescent="0.15">
      <c r="A416" t="str">
        <f t="shared" ref="A416:B416" si="332">A415</f>
        <v>英語</v>
      </c>
      <c r="B416">
        <f t="shared" si="332"/>
        <v>4</v>
      </c>
      <c r="C416">
        <f t="shared" si="316"/>
        <v>82</v>
      </c>
      <c r="D416">
        <v>0</v>
      </c>
      <c r="E416" t="str">
        <f>VLOOKUP(D416,name!A:B,2,1)</f>
        <v>Player</v>
      </c>
      <c r="F416" t="str">
        <f>F365</f>
        <v>Come and join us.</v>
      </c>
      <c r="G416" t="str">
        <f t="shared" si="330"/>
        <v>q</v>
      </c>
      <c r="H416" t="str">
        <f>VLOOKUP(D416,name!A:C,3,1)</f>
        <v>assets/icons/image326.png</v>
      </c>
      <c r="I416" t="str">
        <f>IF(A416="","",VLOOKUP(A416,lng!A:B,2,0))</f>
        <v>en-GB</v>
      </c>
    </row>
    <row r="417" spans="1:9" x14ac:dyDescent="0.15">
      <c r="A417" t="str">
        <f t="shared" ref="A417:B417" si="333">A416</f>
        <v>英語</v>
      </c>
      <c r="B417">
        <f t="shared" si="333"/>
        <v>4</v>
      </c>
      <c r="C417">
        <f t="shared" si="316"/>
        <v>83</v>
      </c>
      <c r="D417">
        <f>D366</f>
        <v>29</v>
      </c>
      <c r="E417" t="str">
        <f>VLOOKUP(D417,name!A:B,2,1)</f>
        <v>Eri</v>
      </c>
      <c r="F417" t="str">
        <f>F366</f>
        <v>どんなパンケーキを作るの?</v>
      </c>
      <c r="G417" t="str">
        <f t="shared" si="330"/>
        <v>a</v>
      </c>
      <c r="H417" t="str">
        <f>VLOOKUP(D417,name!A:C,3,1)</f>
        <v>assets/icons/image209.png</v>
      </c>
      <c r="I417" t="s">
        <v>402</v>
      </c>
    </row>
    <row r="418" spans="1:9" x14ac:dyDescent="0.15">
      <c r="A418" t="str">
        <f t="shared" ref="A418:B418" si="334">A417</f>
        <v>英語</v>
      </c>
      <c r="B418">
        <f t="shared" si="334"/>
        <v>4</v>
      </c>
      <c r="C418">
        <f t="shared" si="316"/>
        <v>84</v>
      </c>
      <c r="D418">
        <f>D367</f>
        <v>29</v>
      </c>
      <c r="E418" t="str">
        <f>VLOOKUP(D418,name!A:B,2,1)</f>
        <v>Eri</v>
      </c>
      <c r="F418" t="str">
        <f>F367</f>
        <v>What kind of pancakes do you make?</v>
      </c>
      <c r="G418" t="str">
        <f t="shared" si="330"/>
        <v>a</v>
      </c>
      <c r="H418" t="str">
        <f>VLOOKUP(D418,name!A:C,3,1)</f>
        <v>assets/icons/image209.png</v>
      </c>
      <c r="I418" t="str">
        <f>IF(A418="","",VLOOKUP(A418,lng!A:B,2,0))</f>
        <v>en-GB</v>
      </c>
    </row>
    <row r="419" spans="1:9" x14ac:dyDescent="0.15">
      <c r="A419" t="str">
        <f t="shared" ref="A419:B419" si="335">A418</f>
        <v>英語</v>
      </c>
      <c r="B419">
        <f t="shared" si="335"/>
        <v>4</v>
      </c>
      <c r="C419">
        <f t="shared" si="316"/>
        <v>85</v>
      </c>
      <c r="D419">
        <v>0</v>
      </c>
      <c r="E419" t="str">
        <f>VLOOKUP(D419,name!A:B,2,1)</f>
        <v>Player</v>
      </c>
      <c r="F419" t="str">
        <f>F367</f>
        <v>What kind of pancakes do you make?</v>
      </c>
      <c r="G419" t="str">
        <f t="shared" si="330"/>
        <v>q</v>
      </c>
      <c r="H419" t="str">
        <f>VLOOKUP(D419,name!A:C,3,1)</f>
        <v>assets/icons/image326.png</v>
      </c>
      <c r="I419" t="str">
        <f>IF(A419="","",VLOOKUP(A419,lng!A:B,2,0))</f>
        <v>en-GB</v>
      </c>
    </row>
    <row r="420" spans="1:9" x14ac:dyDescent="0.15">
      <c r="A420" t="str">
        <f t="shared" ref="A420:B420" si="336">A419</f>
        <v>英語</v>
      </c>
      <c r="B420">
        <f t="shared" si="336"/>
        <v>4</v>
      </c>
      <c r="C420">
        <f t="shared" si="316"/>
        <v>86</v>
      </c>
      <c r="D420">
        <f>D368</f>
        <v>32</v>
      </c>
      <c r="E420" t="str">
        <f>VLOOKUP(D420,name!A:B,2,1)</f>
        <v>Asha</v>
      </c>
      <c r="F420" t="str">
        <f>F368</f>
        <v>イギリス人はたいていレモン汁と砂糖をかけて食べる</v>
      </c>
      <c r="G420" t="str">
        <f t="shared" si="330"/>
        <v>a</v>
      </c>
      <c r="H420" t="str">
        <f>VLOOKUP(D420,name!A:C,3,1)</f>
        <v>assets/icons/image235.png</v>
      </c>
      <c r="I420" t="s">
        <v>402</v>
      </c>
    </row>
    <row r="421" spans="1:9" x14ac:dyDescent="0.15">
      <c r="A421" t="str">
        <f t="shared" ref="A421:B421" si="337">A420</f>
        <v>英語</v>
      </c>
      <c r="B421">
        <f t="shared" si="337"/>
        <v>4</v>
      </c>
      <c r="C421">
        <f t="shared" si="316"/>
        <v>87</v>
      </c>
      <c r="D421">
        <f>D369</f>
        <v>32</v>
      </c>
      <c r="E421" t="str">
        <f>VLOOKUP(D421,name!A:B,2,1)</f>
        <v>Asha</v>
      </c>
      <c r="F421" t="str">
        <f>F369</f>
        <v>English people usually eat them with lemon juice and sugar,</v>
      </c>
      <c r="G421" t="str">
        <f t="shared" si="330"/>
        <v>a</v>
      </c>
      <c r="H421" t="str">
        <f>VLOOKUP(D421,name!A:C,3,1)</f>
        <v>assets/icons/image235.png</v>
      </c>
      <c r="I421" t="str">
        <f>IF(A421="","",VLOOKUP(A421,lng!A:B,2,0))</f>
        <v>en-GB</v>
      </c>
    </row>
    <row r="422" spans="1:9" x14ac:dyDescent="0.15">
      <c r="A422" t="str">
        <f t="shared" ref="A422:B422" si="338">A421</f>
        <v>英語</v>
      </c>
      <c r="B422">
        <f t="shared" si="338"/>
        <v>4</v>
      </c>
      <c r="C422">
        <f t="shared" si="316"/>
        <v>88</v>
      </c>
      <c r="D422">
        <v>0</v>
      </c>
      <c r="E422" t="str">
        <f>VLOOKUP(D422,name!A:B,2,1)</f>
        <v>Player</v>
      </c>
      <c r="F422" t="str">
        <f>F369</f>
        <v>English people usually eat them with lemon juice and sugar,</v>
      </c>
      <c r="G422" t="str">
        <f t="shared" si="330"/>
        <v>q</v>
      </c>
      <c r="H422" t="str">
        <f>VLOOKUP(D422,name!A:C,3,1)</f>
        <v>assets/icons/image326.png</v>
      </c>
      <c r="I422" t="str">
        <f>IF(A422="","",VLOOKUP(A422,lng!A:B,2,0))</f>
        <v>en-GB</v>
      </c>
    </row>
    <row r="423" spans="1:9" x14ac:dyDescent="0.15">
      <c r="A423" t="str">
        <f t="shared" ref="A423:B423" si="339">A422</f>
        <v>英語</v>
      </c>
      <c r="B423">
        <f t="shared" si="339"/>
        <v>4</v>
      </c>
      <c r="C423">
        <f t="shared" si="316"/>
        <v>89</v>
      </c>
      <c r="D423">
        <f>D370</f>
        <v>32</v>
      </c>
      <c r="E423" t="str">
        <f>VLOOKUP(D423,name!A:B,2,1)</f>
        <v>Asha</v>
      </c>
      <c r="F423" t="str">
        <f>F370</f>
        <v>けど、 うちのハウスメートにはフランス人がいるの</v>
      </c>
      <c r="G423" t="str">
        <f t="shared" si="330"/>
        <v>a</v>
      </c>
      <c r="H423" t="str">
        <f>VLOOKUP(D423,name!A:C,3,1)</f>
        <v>assets/icons/image235.png</v>
      </c>
      <c r="I423" t="s">
        <v>402</v>
      </c>
    </row>
    <row r="424" spans="1:9" x14ac:dyDescent="0.15">
      <c r="A424" t="str">
        <f t="shared" ref="A424:B424" si="340">A423</f>
        <v>英語</v>
      </c>
      <c r="B424">
        <f t="shared" si="340"/>
        <v>4</v>
      </c>
      <c r="C424">
        <f t="shared" si="316"/>
        <v>90</v>
      </c>
      <c r="D424">
        <f>D371</f>
        <v>32</v>
      </c>
      <c r="E424" t="str">
        <f>VLOOKUP(D424,name!A:B,2,1)</f>
        <v>Asha</v>
      </c>
      <c r="F424" t="str">
        <f>F371</f>
        <v>but one of my housemates is French</v>
      </c>
      <c r="G424" t="str">
        <f t="shared" si="330"/>
        <v>a</v>
      </c>
      <c r="H424" t="str">
        <f>VLOOKUP(D424,name!A:C,3,1)</f>
        <v>assets/icons/image235.png</v>
      </c>
      <c r="I424" t="str">
        <f>IF(A424="","",VLOOKUP(A424,lng!A:B,2,0))</f>
        <v>en-GB</v>
      </c>
    </row>
    <row r="425" spans="1:9" x14ac:dyDescent="0.15">
      <c r="A425" t="str">
        <f t="shared" ref="A425:B425" si="341">A424</f>
        <v>英語</v>
      </c>
      <c r="B425">
        <f t="shared" si="341"/>
        <v>4</v>
      </c>
      <c r="C425">
        <f t="shared" si="316"/>
        <v>91</v>
      </c>
      <c r="D425">
        <v>0</v>
      </c>
      <c r="E425" t="str">
        <f>VLOOKUP(D425,name!A:B,2,1)</f>
        <v>Player</v>
      </c>
      <c r="F425" t="str">
        <f>F371</f>
        <v>but one of my housemates is French</v>
      </c>
      <c r="G425" t="str">
        <f t="shared" si="330"/>
        <v>q</v>
      </c>
      <c r="H425" t="str">
        <f>VLOOKUP(D425,name!A:C,3,1)</f>
        <v>assets/icons/image326.png</v>
      </c>
      <c r="I425" t="str">
        <f>IF(A425="","",VLOOKUP(A425,lng!A:B,2,0))</f>
        <v>en-GB</v>
      </c>
    </row>
    <row r="426" spans="1:9" x14ac:dyDescent="0.15">
      <c r="A426" t="str">
        <f t="shared" ref="A426:B426" si="342">A425</f>
        <v>英語</v>
      </c>
      <c r="B426">
        <f t="shared" si="342"/>
        <v>4</v>
      </c>
      <c r="C426">
        <f t="shared" si="316"/>
        <v>92</v>
      </c>
      <c r="D426">
        <f>D372</f>
        <v>32</v>
      </c>
      <c r="E426" t="str">
        <f>VLOOKUP(D426,name!A:B,2,1)</f>
        <v>Asha</v>
      </c>
      <c r="F426" t="str">
        <f>F372</f>
        <v>それで、 彼女がラタトゥイユといっしょにおいしいものを作ってくれる予定。</v>
      </c>
      <c r="G426" t="str">
        <f t="shared" si="330"/>
        <v>a</v>
      </c>
      <c r="H426" t="str">
        <f>VLOOKUP(D426,name!A:C,3,1)</f>
        <v>assets/icons/image235.png</v>
      </c>
      <c r="I426" t="s">
        <v>402</v>
      </c>
    </row>
    <row r="427" spans="1:9" x14ac:dyDescent="0.15">
      <c r="A427" t="str">
        <f t="shared" ref="A427:B427" si="343">A426</f>
        <v>英語</v>
      </c>
      <c r="B427">
        <f t="shared" si="343"/>
        <v>4</v>
      </c>
      <c r="C427">
        <f t="shared" si="316"/>
        <v>93</v>
      </c>
      <c r="D427">
        <f>D373</f>
        <v>32</v>
      </c>
      <c r="E427" t="str">
        <f>VLOOKUP(D427,name!A:B,2,1)</f>
        <v>Asha</v>
      </c>
      <c r="F427" t="str">
        <f>F373</f>
        <v>and she's planning to make savoury ones, with ratatouille, too.</v>
      </c>
      <c r="G427" t="str">
        <f t="shared" si="330"/>
        <v>a</v>
      </c>
      <c r="H427" t="str">
        <f>VLOOKUP(D427,name!A:C,3,1)</f>
        <v>assets/icons/image235.png</v>
      </c>
      <c r="I427" t="str">
        <f>IF(A427="","",VLOOKUP(A427,lng!A:B,2,0))</f>
        <v>en-GB</v>
      </c>
    </row>
    <row r="428" spans="1:9" x14ac:dyDescent="0.15">
      <c r="A428" t="str">
        <f t="shared" ref="A428:B428" si="344">A427</f>
        <v>英語</v>
      </c>
      <c r="B428">
        <f t="shared" si="344"/>
        <v>4</v>
      </c>
      <c r="C428">
        <f t="shared" si="316"/>
        <v>94</v>
      </c>
      <c r="D428">
        <v>0</v>
      </c>
      <c r="E428" t="str">
        <f>VLOOKUP(D428,name!A:B,2,1)</f>
        <v>Player</v>
      </c>
      <c r="F428" t="str">
        <f>F373</f>
        <v>and she's planning to make savoury ones, with ratatouille, too.</v>
      </c>
      <c r="G428" t="str">
        <f t="shared" si="330"/>
        <v>q</v>
      </c>
      <c r="H428" t="str">
        <f>VLOOKUP(D428,name!A:C,3,1)</f>
        <v>assets/icons/image326.png</v>
      </c>
      <c r="I428" t="str">
        <f>IF(A428="","",VLOOKUP(A428,lng!A:B,2,0))</f>
        <v>en-GB</v>
      </c>
    </row>
    <row r="429" spans="1:9" x14ac:dyDescent="0.15">
      <c r="A429" t="str">
        <f t="shared" ref="A429:B429" si="345">A428</f>
        <v>英語</v>
      </c>
      <c r="B429">
        <f t="shared" si="345"/>
        <v>4</v>
      </c>
      <c r="C429">
        <f t="shared" si="316"/>
        <v>95</v>
      </c>
      <c r="D429">
        <v>1</v>
      </c>
      <c r="E429" t="str">
        <f>VLOOKUP(D429,name!A:B,2,1)</f>
        <v>Navigator</v>
      </c>
      <c r="F429" t="str">
        <f>"次の日本語を"&amp;A429&amp;"に訳して答えてね！"</f>
        <v>次の日本語を英語に訳して答えてね！</v>
      </c>
      <c r="G429" t="str">
        <f t="shared" si="330"/>
        <v>a</v>
      </c>
      <c r="H429" t="str">
        <f>VLOOKUP(D429,name!A:C,3,1)</f>
        <v>assets/icons/image014.png</v>
      </c>
      <c r="I429" t="s">
        <v>402</v>
      </c>
    </row>
    <row r="430" spans="1:9" x14ac:dyDescent="0.15">
      <c r="A430" t="str">
        <f t="shared" ref="A430:B430" si="346">A429</f>
        <v>英語</v>
      </c>
      <c r="B430">
        <f t="shared" si="346"/>
        <v>4</v>
      </c>
      <c r="C430">
        <f t="shared" si="316"/>
        <v>96</v>
      </c>
      <c r="D430">
        <f>D338</f>
        <v>32</v>
      </c>
      <c r="E430" t="str">
        <f>VLOOKUP(D430,name!A:B,2,1)</f>
        <v>Asha</v>
      </c>
      <c r="F430" t="str">
        <f t="shared" ref="F430:F465" si="347">F338</f>
        <v>こんにちは、エリ！</v>
      </c>
      <c r="G430" t="str">
        <f t="shared" si="330"/>
        <v>a</v>
      </c>
      <c r="H430" t="str">
        <f>VLOOKUP(D430,name!A:C,3,1)</f>
        <v>assets/icons/image235.png</v>
      </c>
      <c r="I430" t="s">
        <v>402</v>
      </c>
    </row>
    <row r="431" spans="1:9" x14ac:dyDescent="0.15">
      <c r="A431" t="str">
        <f t="shared" ref="A431:B431" si="348">A430</f>
        <v>英語</v>
      </c>
      <c r="B431">
        <f t="shared" si="348"/>
        <v>4</v>
      </c>
      <c r="C431">
        <f t="shared" si="316"/>
        <v>97</v>
      </c>
      <c r="D431">
        <v>0</v>
      </c>
      <c r="E431" t="str">
        <f>VLOOKUP(D431,name!A:B,2,1)</f>
        <v>Player</v>
      </c>
      <c r="F431" t="str">
        <f t="shared" si="347"/>
        <v>Hi, Eri!</v>
      </c>
      <c r="G431" t="str">
        <f t="shared" si="330"/>
        <v>q</v>
      </c>
      <c r="H431" t="str">
        <f>VLOOKUP(D431,name!A:C,3,1)</f>
        <v>assets/icons/image326.png</v>
      </c>
      <c r="I431" t="str">
        <f>IF(A431="","",VLOOKUP(A431,lng!A:B,2,0))</f>
        <v>en-GB</v>
      </c>
    </row>
    <row r="432" spans="1:9" x14ac:dyDescent="0.15">
      <c r="A432" t="str">
        <f t="shared" ref="A432:B432" si="349">A431</f>
        <v>英語</v>
      </c>
      <c r="B432">
        <f t="shared" si="349"/>
        <v>4</v>
      </c>
      <c r="C432">
        <f t="shared" si="316"/>
        <v>98</v>
      </c>
      <c r="D432">
        <f>D340</f>
        <v>32</v>
      </c>
      <c r="E432" t="str">
        <f>VLOOKUP(D432,name!A:B,2,1)</f>
        <v>Asha</v>
      </c>
      <c r="F432" t="str">
        <f t="shared" si="347"/>
        <v>ご一緒してもいい？</v>
      </c>
      <c r="G432" t="str">
        <f t="shared" si="330"/>
        <v>a</v>
      </c>
      <c r="H432" t="str">
        <f>VLOOKUP(D432,name!A:C,3,1)</f>
        <v>assets/icons/image235.png</v>
      </c>
      <c r="I432" t="s">
        <v>402</v>
      </c>
    </row>
    <row r="433" spans="1:9" x14ac:dyDescent="0.15">
      <c r="A433" t="str">
        <f t="shared" ref="A433:B433" si="350">A432</f>
        <v>英語</v>
      </c>
      <c r="B433">
        <f t="shared" si="350"/>
        <v>4</v>
      </c>
      <c r="C433">
        <f t="shared" si="316"/>
        <v>99</v>
      </c>
      <c r="D433">
        <v>0</v>
      </c>
      <c r="E433" t="str">
        <f>VLOOKUP(D433,name!A:B,2,1)</f>
        <v>Player</v>
      </c>
      <c r="F433" t="str">
        <f t="shared" si="347"/>
        <v>Do you mind if I join you?</v>
      </c>
      <c r="G433" t="str">
        <f t="shared" si="330"/>
        <v>q</v>
      </c>
      <c r="H433" t="str">
        <f>VLOOKUP(D433,name!A:C,3,1)</f>
        <v>assets/icons/image326.png</v>
      </c>
      <c r="I433" t="str">
        <f>IF(A433="","",VLOOKUP(A433,lng!A:B,2,0))</f>
        <v>en-GB</v>
      </c>
    </row>
    <row r="434" spans="1:9" x14ac:dyDescent="0.15">
      <c r="A434" t="str">
        <f t="shared" ref="A434:B434" si="351">A433</f>
        <v>英語</v>
      </c>
      <c r="B434">
        <f t="shared" si="351"/>
        <v>4</v>
      </c>
      <c r="C434">
        <f t="shared" si="316"/>
        <v>100</v>
      </c>
      <c r="D434">
        <f>D342</f>
        <v>29</v>
      </c>
      <c r="E434" t="str">
        <f>VLOOKUP(D434,name!A:B,2,1)</f>
        <v>Eri</v>
      </c>
      <c r="F434" t="str">
        <f t="shared" si="347"/>
        <v>もちろん</v>
      </c>
      <c r="G434" t="str">
        <f t="shared" si="330"/>
        <v>a</v>
      </c>
      <c r="H434" t="str">
        <f>VLOOKUP(D434,name!A:C,3,1)</f>
        <v>assets/icons/image209.png</v>
      </c>
      <c r="I434" t="s">
        <v>402</v>
      </c>
    </row>
    <row r="435" spans="1:9" x14ac:dyDescent="0.15">
      <c r="A435" t="str">
        <f t="shared" ref="A435:B435" si="352">A434</f>
        <v>英語</v>
      </c>
      <c r="B435">
        <f t="shared" si="352"/>
        <v>4</v>
      </c>
      <c r="C435">
        <f t="shared" si="316"/>
        <v>101</v>
      </c>
      <c r="D435">
        <v>0</v>
      </c>
      <c r="E435" t="str">
        <f>VLOOKUP(D435,name!A:B,2,1)</f>
        <v>Player</v>
      </c>
      <c r="F435" t="str">
        <f t="shared" si="347"/>
        <v>Not at all.</v>
      </c>
      <c r="G435" t="str">
        <f t="shared" si="330"/>
        <v>q</v>
      </c>
      <c r="H435" t="str">
        <f>VLOOKUP(D435,name!A:C,3,1)</f>
        <v>assets/icons/image326.png</v>
      </c>
      <c r="I435" t="str">
        <f>IF(A435="","",VLOOKUP(A435,lng!A:B,2,0))</f>
        <v>en-GB</v>
      </c>
    </row>
    <row r="436" spans="1:9" x14ac:dyDescent="0.15">
      <c r="A436" t="str">
        <f t="shared" ref="A436:B436" si="353">A435</f>
        <v>英語</v>
      </c>
      <c r="B436">
        <f t="shared" si="353"/>
        <v>4</v>
      </c>
      <c r="C436">
        <f t="shared" si="316"/>
        <v>102</v>
      </c>
      <c r="D436">
        <f>D344</f>
        <v>29</v>
      </c>
      <c r="E436" t="str">
        <f>VLOOKUP(D436,name!A:B,2,1)</f>
        <v>Eri</v>
      </c>
      <c r="F436" t="str">
        <f t="shared" si="347"/>
        <v>どうぞ。</v>
      </c>
      <c r="G436" t="str">
        <f t="shared" si="330"/>
        <v>a</v>
      </c>
      <c r="H436" t="str">
        <f>VLOOKUP(D436,name!A:C,3,1)</f>
        <v>assets/icons/image209.png</v>
      </c>
      <c r="I436" t="s">
        <v>402</v>
      </c>
    </row>
    <row r="437" spans="1:9" x14ac:dyDescent="0.15">
      <c r="A437" t="str">
        <f t="shared" ref="A437:B437" si="354">A436</f>
        <v>英語</v>
      </c>
      <c r="B437">
        <f t="shared" si="354"/>
        <v>4</v>
      </c>
      <c r="C437">
        <f t="shared" si="316"/>
        <v>103</v>
      </c>
      <c r="D437">
        <v>0</v>
      </c>
      <c r="E437" t="str">
        <f>VLOOKUP(D437,name!A:B,2,1)</f>
        <v>Player</v>
      </c>
      <c r="F437" t="str">
        <f t="shared" si="347"/>
        <v>Go ahead.</v>
      </c>
      <c r="G437" t="str">
        <f t="shared" si="330"/>
        <v>q</v>
      </c>
      <c r="H437" t="str">
        <f>VLOOKUP(D437,name!A:C,3,1)</f>
        <v>assets/icons/image326.png</v>
      </c>
      <c r="I437" t="str">
        <f>IF(A437="","",VLOOKUP(A437,lng!A:B,2,0))</f>
        <v>en-GB</v>
      </c>
    </row>
    <row r="438" spans="1:9" x14ac:dyDescent="0.15">
      <c r="A438" t="str">
        <f t="shared" ref="A438:B438" si="355">A437</f>
        <v>英語</v>
      </c>
      <c r="B438">
        <f t="shared" si="355"/>
        <v>4</v>
      </c>
      <c r="C438">
        <f t="shared" si="316"/>
        <v>104</v>
      </c>
      <c r="D438">
        <f>D346</f>
        <v>29</v>
      </c>
      <c r="E438" t="str">
        <f>VLOOKUP(D438,name!A:B,2,1)</f>
        <v>Eri</v>
      </c>
      <c r="F438" t="str">
        <f t="shared" si="347"/>
        <v>レン先生から出された宿題をやっていたの</v>
      </c>
      <c r="G438" t="str">
        <f t="shared" si="330"/>
        <v>a</v>
      </c>
      <c r="H438" t="str">
        <f>VLOOKUP(D438,name!A:C,3,1)</f>
        <v>assets/icons/image209.png</v>
      </c>
      <c r="I438" t="s">
        <v>402</v>
      </c>
    </row>
    <row r="439" spans="1:9" x14ac:dyDescent="0.15">
      <c r="A439" t="str">
        <f t="shared" ref="A439:B439" si="356">A438</f>
        <v>英語</v>
      </c>
      <c r="B439">
        <f t="shared" si="356"/>
        <v>4</v>
      </c>
      <c r="C439">
        <f t="shared" si="316"/>
        <v>105</v>
      </c>
      <c r="D439">
        <v>0</v>
      </c>
      <c r="E439" t="str">
        <f>VLOOKUP(D439,name!A:B,2,1)</f>
        <v>Player</v>
      </c>
      <c r="F439" t="str">
        <f t="shared" si="347"/>
        <v>I was just looking at the homework Len gave us.</v>
      </c>
      <c r="G439" t="str">
        <f t="shared" si="330"/>
        <v>q</v>
      </c>
      <c r="H439" t="str">
        <f>VLOOKUP(D439,name!A:C,3,1)</f>
        <v>assets/icons/image326.png</v>
      </c>
      <c r="I439" t="str">
        <f>IF(A439="","",VLOOKUP(A439,lng!A:B,2,0))</f>
        <v>en-GB</v>
      </c>
    </row>
    <row r="440" spans="1:9" x14ac:dyDescent="0.15">
      <c r="A440" t="str">
        <f t="shared" ref="A440:B440" si="357">A439</f>
        <v>英語</v>
      </c>
      <c r="B440">
        <f t="shared" si="357"/>
        <v>4</v>
      </c>
      <c r="C440">
        <f t="shared" si="316"/>
        <v>106</v>
      </c>
      <c r="D440">
        <f>D348</f>
        <v>32</v>
      </c>
      <c r="E440" t="str">
        <f>VLOOKUP(D440,name!A:B,2,1)</f>
        <v>Asha</v>
      </c>
      <c r="F440" t="str">
        <f t="shared" si="347"/>
        <v>でも今日は「パンケーキの日」</v>
      </c>
      <c r="G440" t="str">
        <f t="shared" si="330"/>
        <v>a</v>
      </c>
      <c r="H440" t="str">
        <f>VLOOKUP(D440,name!A:C,3,1)</f>
        <v>assets/icons/image235.png</v>
      </c>
      <c r="I440" t="s">
        <v>402</v>
      </c>
    </row>
    <row r="441" spans="1:9" x14ac:dyDescent="0.15">
      <c r="A441" t="str">
        <f t="shared" ref="A441:B441" si="358">A440</f>
        <v>英語</v>
      </c>
      <c r="B441">
        <f t="shared" si="358"/>
        <v>4</v>
      </c>
      <c r="C441">
        <f t="shared" si="316"/>
        <v>107</v>
      </c>
      <c r="D441">
        <v>0</v>
      </c>
      <c r="E441" t="str">
        <f>VLOOKUP(D441,name!A:B,2,1)</f>
        <v>Player</v>
      </c>
      <c r="F441" t="str">
        <f t="shared" si="347"/>
        <v>But today's Pancake Day</v>
      </c>
      <c r="G441" t="str">
        <f t="shared" si="330"/>
        <v>q</v>
      </c>
      <c r="H441" t="str">
        <f>VLOOKUP(D441,name!A:C,3,1)</f>
        <v>assets/icons/image326.png</v>
      </c>
      <c r="I441" t="str">
        <f>IF(A441="","",VLOOKUP(A441,lng!A:B,2,0))</f>
        <v>en-GB</v>
      </c>
    </row>
    <row r="442" spans="1:9" x14ac:dyDescent="0.15">
      <c r="A442" t="str">
        <f t="shared" ref="A442:B442" si="359">A441</f>
        <v>英語</v>
      </c>
      <c r="B442">
        <f t="shared" si="359"/>
        <v>4</v>
      </c>
      <c r="C442">
        <f t="shared" si="316"/>
        <v>108</v>
      </c>
      <c r="D442">
        <f>D350</f>
        <v>32</v>
      </c>
      <c r="E442" t="str">
        <f>VLOOKUP(D442,name!A:B,2,1)</f>
        <v>Asha</v>
      </c>
      <c r="F442" t="str">
        <f t="shared" si="347"/>
        <v>今日は、何に対してもそんなに真面目にならなくてもいいの。</v>
      </c>
      <c r="G442" t="str">
        <f t="shared" si="330"/>
        <v>a</v>
      </c>
      <c r="H442" t="str">
        <f>VLOOKUP(D442,name!A:C,3,1)</f>
        <v>assets/icons/image235.png</v>
      </c>
      <c r="I442" t="s">
        <v>402</v>
      </c>
    </row>
    <row r="443" spans="1:9" x14ac:dyDescent="0.15">
      <c r="A443" t="str">
        <f t="shared" ref="A443:B443" si="360">A442</f>
        <v>英語</v>
      </c>
      <c r="B443">
        <f t="shared" si="360"/>
        <v>4</v>
      </c>
      <c r="C443">
        <f t="shared" si="316"/>
        <v>109</v>
      </c>
      <c r="D443">
        <v>0</v>
      </c>
      <c r="E443" t="str">
        <f>VLOOKUP(D443,name!A:B,2,1)</f>
        <v>Player</v>
      </c>
      <c r="F443" t="str">
        <f t="shared" si="347"/>
        <v>you can't do anything so serious today!</v>
      </c>
      <c r="G443" t="str">
        <f t="shared" si="330"/>
        <v>q</v>
      </c>
      <c r="H443" t="str">
        <f>VLOOKUP(D443,name!A:C,3,1)</f>
        <v>assets/icons/image326.png</v>
      </c>
      <c r="I443" t="str">
        <f>IF(A443="","",VLOOKUP(A443,lng!A:B,2,0))</f>
        <v>en-GB</v>
      </c>
    </row>
    <row r="444" spans="1:9" x14ac:dyDescent="0.15">
      <c r="A444" t="str">
        <f t="shared" ref="A444:B444" si="361">A443</f>
        <v>英語</v>
      </c>
      <c r="B444">
        <f t="shared" si="361"/>
        <v>4</v>
      </c>
      <c r="C444">
        <f t="shared" si="316"/>
        <v>110</v>
      </c>
      <c r="D444">
        <f>D352</f>
        <v>29</v>
      </c>
      <c r="E444" t="str">
        <f>VLOOKUP(D444,name!A:B,2,1)</f>
        <v>Eri</v>
      </c>
      <c r="F444" t="str">
        <f t="shared" si="347"/>
        <v>:「パンケーキの日」？</v>
      </c>
      <c r="G444" t="str">
        <f t="shared" si="330"/>
        <v>a</v>
      </c>
      <c r="H444" t="str">
        <f>VLOOKUP(D444,name!A:C,3,1)</f>
        <v>assets/icons/image209.png</v>
      </c>
      <c r="I444" t="s">
        <v>402</v>
      </c>
    </row>
    <row r="445" spans="1:9" x14ac:dyDescent="0.15">
      <c r="A445" t="str">
        <f t="shared" ref="A445:B445" si="362">A444</f>
        <v>英語</v>
      </c>
      <c r="B445">
        <f t="shared" si="362"/>
        <v>4</v>
      </c>
      <c r="C445">
        <f t="shared" si="316"/>
        <v>111</v>
      </c>
      <c r="D445">
        <v>0</v>
      </c>
      <c r="E445" t="str">
        <f>VLOOKUP(D445,name!A:B,2,1)</f>
        <v>Player</v>
      </c>
      <c r="F445" t="str">
        <f t="shared" si="347"/>
        <v>Pancake Day?</v>
      </c>
      <c r="G445" t="str">
        <f t="shared" si="330"/>
        <v>q</v>
      </c>
      <c r="H445" t="str">
        <f>VLOOKUP(D445,name!A:C,3,1)</f>
        <v>assets/icons/image326.png</v>
      </c>
      <c r="I445" t="str">
        <f>IF(A445="","",VLOOKUP(A445,lng!A:B,2,0))</f>
        <v>en-GB</v>
      </c>
    </row>
    <row r="446" spans="1:9" x14ac:dyDescent="0.15">
      <c r="A446" t="str">
        <f t="shared" ref="A446:B446" si="363">A445</f>
        <v>英語</v>
      </c>
      <c r="B446">
        <f t="shared" si="363"/>
        <v>4</v>
      </c>
      <c r="C446">
        <f t="shared" si="316"/>
        <v>112</v>
      </c>
      <c r="D446">
        <f>D354</f>
        <v>29</v>
      </c>
      <c r="E446" t="str">
        <f>VLOOKUP(D446,name!A:B,2,1)</f>
        <v>Eri</v>
      </c>
      <c r="F446" t="str">
        <f t="shared" si="347"/>
        <v>何をするの?</v>
      </c>
      <c r="G446" t="str">
        <f t="shared" si="330"/>
        <v>a</v>
      </c>
      <c r="H446" t="str">
        <f>VLOOKUP(D446,name!A:C,3,1)</f>
        <v>assets/icons/image209.png</v>
      </c>
      <c r="I446" t="s">
        <v>402</v>
      </c>
    </row>
    <row r="447" spans="1:9" x14ac:dyDescent="0.15">
      <c r="A447" t="str">
        <f t="shared" ref="A447:B447" si="364">A446</f>
        <v>英語</v>
      </c>
      <c r="B447">
        <f t="shared" si="364"/>
        <v>4</v>
      </c>
      <c r="C447">
        <f t="shared" si="316"/>
        <v>113</v>
      </c>
      <c r="D447">
        <v>0</v>
      </c>
      <c r="E447" t="str">
        <f>VLOOKUP(D447,name!A:B,2,1)</f>
        <v>Player</v>
      </c>
      <c r="F447" t="str">
        <f t="shared" si="347"/>
        <v>What are you supposed to do?</v>
      </c>
      <c r="G447" t="str">
        <f t="shared" si="330"/>
        <v>q</v>
      </c>
      <c r="H447" t="str">
        <f>VLOOKUP(D447,name!A:C,3,1)</f>
        <v>assets/icons/image326.png</v>
      </c>
      <c r="I447" t="str">
        <f>IF(A447="","",VLOOKUP(A447,lng!A:B,2,0))</f>
        <v>en-GB</v>
      </c>
    </row>
    <row r="448" spans="1:9" x14ac:dyDescent="0.15">
      <c r="A448" t="str">
        <f t="shared" ref="A448:B448" si="365">A447</f>
        <v>英語</v>
      </c>
      <c r="B448">
        <f t="shared" si="365"/>
        <v>4</v>
      </c>
      <c r="C448">
        <f t="shared" si="316"/>
        <v>114</v>
      </c>
      <c r="D448">
        <f>D356</f>
        <v>29</v>
      </c>
      <c r="E448" t="str">
        <f>VLOOKUP(D448,name!A:B,2,1)</f>
        <v>Eri</v>
      </c>
      <c r="F448" t="str">
        <f t="shared" si="347"/>
        <v>何をするわけ?</v>
      </c>
      <c r="G448" t="str">
        <f t="shared" si="330"/>
        <v>a</v>
      </c>
      <c r="H448" t="str">
        <f>VLOOKUP(D448,name!A:C,3,1)</f>
        <v>assets/icons/image209.png</v>
      </c>
      <c r="I448" t="s">
        <v>402</v>
      </c>
    </row>
    <row r="449" spans="1:9" x14ac:dyDescent="0.15">
      <c r="A449" t="str">
        <f t="shared" ref="A449:B449" si="366">A448</f>
        <v>英語</v>
      </c>
      <c r="B449">
        <f t="shared" si="366"/>
        <v>4</v>
      </c>
      <c r="C449">
        <f t="shared" si="316"/>
        <v>115</v>
      </c>
      <c r="D449">
        <v>0</v>
      </c>
      <c r="E449" t="str">
        <f>VLOOKUP(D449,name!A:B,2,1)</f>
        <v>Player</v>
      </c>
      <c r="F449" t="str">
        <f t="shared" si="347"/>
        <v>Eat pancakes?</v>
      </c>
      <c r="G449" t="str">
        <f t="shared" si="330"/>
        <v>q</v>
      </c>
      <c r="H449" t="str">
        <f>VLOOKUP(D449,name!A:C,3,1)</f>
        <v>assets/icons/image326.png</v>
      </c>
      <c r="I449" t="str">
        <f>IF(A449="","",VLOOKUP(A449,lng!A:B,2,0))</f>
        <v>en-GB</v>
      </c>
    </row>
    <row r="450" spans="1:9" x14ac:dyDescent="0.15">
      <c r="A450" t="str">
        <f t="shared" ref="A450:B450" si="367">A449</f>
        <v>英語</v>
      </c>
      <c r="B450">
        <f t="shared" si="367"/>
        <v>4</v>
      </c>
      <c r="C450">
        <f t="shared" si="316"/>
        <v>116</v>
      </c>
      <c r="D450">
        <f>D358</f>
        <v>32</v>
      </c>
      <c r="E450" t="str">
        <f>VLOOKUP(D450,name!A:B,2,1)</f>
        <v>Asha</v>
      </c>
      <c r="F450" t="str">
        <f t="shared" si="347"/>
        <v>ええ。</v>
      </c>
      <c r="G450" t="str">
        <f t="shared" si="330"/>
        <v>a</v>
      </c>
      <c r="H450" t="str">
        <f>VLOOKUP(D450,name!A:C,3,1)</f>
        <v>assets/icons/image235.png</v>
      </c>
      <c r="I450" t="s">
        <v>402</v>
      </c>
    </row>
    <row r="451" spans="1:9" x14ac:dyDescent="0.15">
      <c r="A451" t="str">
        <f t="shared" ref="A451:B451" si="368">A450</f>
        <v>英語</v>
      </c>
      <c r="B451">
        <f t="shared" si="368"/>
        <v>4</v>
      </c>
      <c r="C451">
        <f t="shared" si="316"/>
        <v>117</v>
      </c>
      <c r="D451">
        <v>0</v>
      </c>
      <c r="E451" t="str">
        <f>VLOOKUP(D451,name!A:B,2,1)</f>
        <v>Player</v>
      </c>
      <c r="F451" t="str">
        <f t="shared" si="347"/>
        <v>Yes.</v>
      </c>
      <c r="G451" t="str">
        <f t="shared" si="330"/>
        <v>q</v>
      </c>
      <c r="H451" t="str">
        <f>VLOOKUP(D451,name!A:C,3,1)</f>
        <v>assets/icons/image326.png</v>
      </c>
      <c r="I451" t="str">
        <f>IF(A451="","",VLOOKUP(A451,lng!A:B,2,0))</f>
        <v>en-GB</v>
      </c>
    </row>
    <row r="452" spans="1:9" x14ac:dyDescent="0.15">
      <c r="A452" t="str">
        <f t="shared" ref="A452:B452" si="369">A451</f>
        <v>英語</v>
      </c>
      <c r="B452">
        <f t="shared" si="369"/>
        <v>4</v>
      </c>
      <c r="C452">
        <f t="shared" si="316"/>
        <v>118</v>
      </c>
      <c r="D452">
        <f>D360</f>
        <v>32</v>
      </c>
      <c r="E452" t="str">
        <f>VLOOKUP(D452,name!A:B,2,1)</f>
        <v>Asha</v>
      </c>
      <c r="F452" t="str">
        <f t="shared" si="347"/>
        <v>イングランドの伝統では、四旬節が始まる前にご馳走を食べるの。</v>
      </c>
      <c r="G452" t="str">
        <f t="shared" si="330"/>
        <v>a</v>
      </c>
      <c r="H452" t="str">
        <f>VLOOKUP(D452,name!A:C,3,1)</f>
        <v>assets/icons/image235.png</v>
      </c>
      <c r="I452" t="s">
        <v>402</v>
      </c>
    </row>
    <row r="453" spans="1:9" x14ac:dyDescent="0.15">
      <c r="A453" t="str">
        <f t="shared" ref="A453:B453" si="370">A452</f>
        <v>英語</v>
      </c>
      <c r="B453">
        <f t="shared" si="370"/>
        <v>4</v>
      </c>
      <c r="C453">
        <f t="shared" si="316"/>
        <v>119</v>
      </c>
      <c r="D453">
        <v>0</v>
      </c>
      <c r="E453" t="str">
        <f>VLOOKUP(D453,name!A:B,2,1)</f>
        <v>Player</v>
      </c>
      <c r="F453" t="str">
        <f t="shared" si="347"/>
        <v xml:space="preserve">It's a tradition in England to have a feast before the start of Lent. </v>
      </c>
      <c r="G453" t="str">
        <f t="shared" si="330"/>
        <v>q</v>
      </c>
      <c r="H453" t="str">
        <f>VLOOKUP(D453,name!A:C,3,1)</f>
        <v>assets/icons/image326.png</v>
      </c>
      <c r="I453" t="str">
        <f>IF(A453="","",VLOOKUP(A453,lng!A:B,2,0))</f>
        <v>en-GB</v>
      </c>
    </row>
    <row r="454" spans="1:9" x14ac:dyDescent="0.15">
      <c r="A454" t="str">
        <f t="shared" ref="A454:B454" si="371">A453</f>
        <v>英語</v>
      </c>
      <c r="B454">
        <f t="shared" si="371"/>
        <v>4</v>
      </c>
      <c r="C454">
        <f t="shared" si="316"/>
        <v>120</v>
      </c>
      <c r="D454">
        <f>D362</f>
        <v>32</v>
      </c>
      <c r="E454" t="str">
        <f>VLOOKUP(D454,name!A:B,2,1)</f>
        <v>Asha</v>
      </c>
      <c r="F454" t="str">
        <f t="shared" si="347"/>
        <v>私の家で大きなパンケーキ・パーティをやるの。</v>
      </c>
      <c r="G454" t="str">
        <f t="shared" si="330"/>
        <v>a</v>
      </c>
      <c r="H454" t="str">
        <f>VLOOKUP(D454,name!A:C,3,1)</f>
        <v>assets/icons/image235.png</v>
      </c>
      <c r="I454" t="s">
        <v>402</v>
      </c>
    </row>
    <row r="455" spans="1:9" x14ac:dyDescent="0.15">
      <c r="A455" t="str">
        <f t="shared" ref="A455:B455" si="372">A454</f>
        <v>英語</v>
      </c>
      <c r="B455">
        <f t="shared" si="372"/>
        <v>4</v>
      </c>
      <c r="C455">
        <f t="shared" si="316"/>
        <v>121</v>
      </c>
      <c r="D455">
        <v>0</v>
      </c>
      <c r="E455" t="str">
        <f>VLOOKUP(D455,name!A:B,2,1)</f>
        <v>Player</v>
      </c>
      <c r="F455" t="str">
        <f t="shared" si="347"/>
        <v>We're having a big pancake party in my house.</v>
      </c>
      <c r="G455" t="str">
        <f t="shared" si="330"/>
        <v>q</v>
      </c>
      <c r="H455" t="str">
        <f>VLOOKUP(D455,name!A:C,3,1)</f>
        <v>assets/icons/image326.png</v>
      </c>
      <c r="I455" t="str">
        <f>IF(A455="","",VLOOKUP(A455,lng!A:B,2,0))</f>
        <v>en-GB</v>
      </c>
    </row>
    <row r="456" spans="1:9" x14ac:dyDescent="0.15">
      <c r="A456" t="str">
        <f t="shared" ref="A456:B456" si="373">A455</f>
        <v>英語</v>
      </c>
      <c r="B456">
        <f t="shared" si="373"/>
        <v>4</v>
      </c>
      <c r="C456">
        <f t="shared" si="316"/>
        <v>122</v>
      </c>
      <c r="D456">
        <f>D364</f>
        <v>32</v>
      </c>
      <c r="E456" t="str">
        <f>VLOOKUP(D456,name!A:B,2,1)</f>
        <v>Asha</v>
      </c>
      <c r="F456" t="str">
        <f t="shared" si="347"/>
        <v>ぜひいらっしゃい。</v>
      </c>
      <c r="G456" t="str">
        <f t="shared" si="330"/>
        <v>a</v>
      </c>
      <c r="H456" t="str">
        <f>VLOOKUP(D456,name!A:C,3,1)</f>
        <v>assets/icons/image235.png</v>
      </c>
      <c r="I456" t="s">
        <v>402</v>
      </c>
    </row>
    <row r="457" spans="1:9" x14ac:dyDescent="0.15">
      <c r="A457" t="str">
        <f t="shared" ref="A457:B457" si="374">A456</f>
        <v>英語</v>
      </c>
      <c r="B457">
        <f t="shared" si="374"/>
        <v>4</v>
      </c>
      <c r="C457">
        <f t="shared" si="316"/>
        <v>123</v>
      </c>
      <c r="D457">
        <v>0</v>
      </c>
      <c r="E457" t="str">
        <f>VLOOKUP(D457,name!A:B,2,1)</f>
        <v>Player</v>
      </c>
      <c r="F457" t="str">
        <f t="shared" si="347"/>
        <v>Come and join us.</v>
      </c>
      <c r="G457" t="str">
        <f t="shared" si="330"/>
        <v>q</v>
      </c>
      <c r="H457" t="str">
        <f>VLOOKUP(D457,name!A:C,3,1)</f>
        <v>assets/icons/image326.png</v>
      </c>
      <c r="I457" t="str">
        <f>IF(A457="","",VLOOKUP(A457,lng!A:B,2,0))</f>
        <v>en-GB</v>
      </c>
    </row>
    <row r="458" spans="1:9" x14ac:dyDescent="0.15">
      <c r="A458" t="str">
        <f t="shared" ref="A458:B458" si="375">A457</f>
        <v>英語</v>
      </c>
      <c r="B458">
        <f t="shared" si="375"/>
        <v>4</v>
      </c>
      <c r="C458">
        <f t="shared" si="316"/>
        <v>124</v>
      </c>
      <c r="D458">
        <f>D366</f>
        <v>29</v>
      </c>
      <c r="E458" t="str">
        <f>VLOOKUP(D458,name!A:B,2,1)</f>
        <v>Eri</v>
      </c>
      <c r="F458" t="str">
        <f t="shared" si="347"/>
        <v>どんなパンケーキを作るの?</v>
      </c>
      <c r="G458" t="str">
        <f t="shared" si="330"/>
        <v>a</v>
      </c>
      <c r="H458" t="str">
        <f>VLOOKUP(D458,name!A:C,3,1)</f>
        <v>assets/icons/image209.png</v>
      </c>
      <c r="I458" t="s">
        <v>402</v>
      </c>
    </row>
    <row r="459" spans="1:9" x14ac:dyDescent="0.15">
      <c r="A459" t="str">
        <f t="shared" ref="A459:B459" si="376">A458</f>
        <v>英語</v>
      </c>
      <c r="B459">
        <f t="shared" si="376"/>
        <v>4</v>
      </c>
      <c r="C459">
        <f t="shared" si="316"/>
        <v>125</v>
      </c>
      <c r="D459">
        <v>0</v>
      </c>
      <c r="E459" t="str">
        <f>VLOOKUP(D459,name!A:B,2,1)</f>
        <v>Player</v>
      </c>
      <c r="F459" t="str">
        <f t="shared" si="347"/>
        <v>What kind of pancakes do you make?</v>
      </c>
      <c r="G459" t="str">
        <f t="shared" si="330"/>
        <v>q</v>
      </c>
      <c r="H459" t="str">
        <f>VLOOKUP(D459,name!A:C,3,1)</f>
        <v>assets/icons/image326.png</v>
      </c>
      <c r="I459" t="str">
        <f>IF(A459="","",VLOOKUP(A459,lng!A:B,2,0))</f>
        <v>en-GB</v>
      </c>
    </row>
    <row r="460" spans="1:9" x14ac:dyDescent="0.15">
      <c r="A460" t="str">
        <f t="shared" ref="A460:B460" si="377">A459</f>
        <v>英語</v>
      </c>
      <c r="B460">
        <f t="shared" si="377"/>
        <v>4</v>
      </c>
      <c r="C460">
        <f t="shared" si="316"/>
        <v>126</v>
      </c>
      <c r="D460">
        <f>D368</f>
        <v>32</v>
      </c>
      <c r="E460" t="str">
        <f>VLOOKUP(D460,name!A:B,2,1)</f>
        <v>Asha</v>
      </c>
      <c r="F460" t="str">
        <f t="shared" si="347"/>
        <v>イギリス人はたいていレモン汁と砂糖をかけて食べる</v>
      </c>
      <c r="G460" t="str">
        <f t="shared" si="330"/>
        <v>a</v>
      </c>
      <c r="H460" t="str">
        <f>VLOOKUP(D460,name!A:C,3,1)</f>
        <v>assets/icons/image235.png</v>
      </c>
      <c r="I460" t="s">
        <v>402</v>
      </c>
    </row>
    <row r="461" spans="1:9" x14ac:dyDescent="0.15">
      <c r="A461" t="str">
        <f t="shared" ref="A461:B461" si="378">A460</f>
        <v>英語</v>
      </c>
      <c r="B461">
        <f t="shared" si="378"/>
        <v>4</v>
      </c>
      <c r="C461">
        <f t="shared" si="316"/>
        <v>127</v>
      </c>
      <c r="D461">
        <v>0</v>
      </c>
      <c r="E461" t="str">
        <f>VLOOKUP(D461,name!A:B,2,1)</f>
        <v>Player</v>
      </c>
      <c r="F461" t="str">
        <f t="shared" si="347"/>
        <v>English people usually eat them with lemon juice and sugar,</v>
      </c>
      <c r="G461" t="str">
        <f t="shared" si="330"/>
        <v>q</v>
      </c>
      <c r="H461" t="str">
        <f>VLOOKUP(D461,name!A:C,3,1)</f>
        <v>assets/icons/image326.png</v>
      </c>
      <c r="I461" t="str">
        <f>IF(A461="","",VLOOKUP(A461,lng!A:B,2,0))</f>
        <v>en-GB</v>
      </c>
    </row>
    <row r="462" spans="1:9" x14ac:dyDescent="0.15">
      <c r="A462" t="str">
        <f t="shared" ref="A462:B462" si="379">A461</f>
        <v>英語</v>
      </c>
      <c r="B462">
        <f t="shared" si="379"/>
        <v>4</v>
      </c>
      <c r="C462">
        <f t="shared" si="316"/>
        <v>128</v>
      </c>
      <c r="D462">
        <f>D370</f>
        <v>32</v>
      </c>
      <c r="E462" t="str">
        <f>VLOOKUP(D462,name!A:B,2,1)</f>
        <v>Asha</v>
      </c>
      <c r="F462" t="str">
        <f t="shared" si="347"/>
        <v>けど、 うちのハウスメートにはフランス人がいるの</v>
      </c>
      <c r="G462" t="str">
        <f t="shared" si="330"/>
        <v>a</v>
      </c>
      <c r="H462" t="str">
        <f>VLOOKUP(D462,name!A:C,3,1)</f>
        <v>assets/icons/image235.png</v>
      </c>
      <c r="I462" t="s">
        <v>402</v>
      </c>
    </row>
    <row r="463" spans="1:9" x14ac:dyDescent="0.15">
      <c r="A463" t="str">
        <f t="shared" ref="A463:B463" si="380">A462</f>
        <v>英語</v>
      </c>
      <c r="B463">
        <f t="shared" si="380"/>
        <v>4</v>
      </c>
      <c r="C463">
        <f t="shared" si="316"/>
        <v>129</v>
      </c>
      <c r="D463">
        <v>0</v>
      </c>
      <c r="E463" t="str">
        <f>VLOOKUP(D463,name!A:B,2,1)</f>
        <v>Player</v>
      </c>
      <c r="F463" t="str">
        <f t="shared" si="347"/>
        <v>but one of my housemates is French</v>
      </c>
      <c r="G463" t="str">
        <f t="shared" si="330"/>
        <v>q</v>
      </c>
      <c r="H463" t="str">
        <f>VLOOKUP(D463,name!A:C,3,1)</f>
        <v>assets/icons/image326.png</v>
      </c>
      <c r="I463" t="str">
        <f>IF(A463="","",VLOOKUP(A463,lng!A:B,2,0))</f>
        <v>en-GB</v>
      </c>
    </row>
    <row r="464" spans="1:9" x14ac:dyDescent="0.15">
      <c r="A464" t="str">
        <f t="shared" ref="A464:B464" si="381">A463</f>
        <v>英語</v>
      </c>
      <c r="B464">
        <f t="shared" si="381"/>
        <v>4</v>
      </c>
      <c r="C464">
        <f t="shared" si="316"/>
        <v>130</v>
      </c>
      <c r="D464">
        <f>D372</f>
        <v>32</v>
      </c>
      <c r="E464" t="str">
        <f>VLOOKUP(D464,name!A:B,2,1)</f>
        <v>Asha</v>
      </c>
      <c r="F464" t="str">
        <f t="shared" si="347"/>
        <v>それで、 彼女がラタトゥイユといっしょにおいしいものを作ってくれる予定。</v>
      </c>
      <c r="G464" t="str">
        <f t="shared" si="330"/>
        <v>a</v>
      </c>
      <c r="H464" t="str">
        <f>VLOOKUP(D464,name!A:C,3,1)</f>
        <v>assets/icons/image235.png</v>
      </c>
      <c r="I464" t="s">
        <v>402</v>
      </c>
    </row>
    <row r="465" spans="1:12" x14ac:dyDescent="0.15">
      <c r="A465" t="str">
        <f t="shared" ref="A465:B465" si="382">A464</f>
        <v>英語</v>
      </c>
      <c r="B465">
        <f t="shared" si="382"/>
        <v>4</v>
      </c>
      <c r="C465">
        <f t="shared" ref="C465:C466" si="383">C464+1</f>
        <v>131</v>
      </c>
      <c r="D465">
        <v>0</v>
      </c>
      <c r="E465" t="str">
        <f>VLOOKUP(D465,name!A:B,2,1)</f>
        <v>Player</v>
      </c>
      <c r="F465" t="str">
        <f t="shared" si="347"/>
        <v>and she's planning to make savoury ones, with ratatouille, too.</v>
      </c>
      <c r="G465" t="str">
        <f t="shared" si="330"/>
        <v>q</v>
      </c>
      <c r="H465" t="str">
        <f>VLOOKUP(D465,name!A:C,3,1)</f>
        <v>assets/icons/image326.png</v>
      </c>
      <c r="I465" t="str">
        <f>IF(A465="","",VLOOKUP(A465,lng!A:B,2,0))</f>
        <v>en-GB</v>
      </c>
    </row>
    <row r="466" spans="1:12" x14ac:dyDescent="0.15">
      <c r="A466" t="str">
        <f t="shared" ref="A466:B466" si="384">A465</f>
        <v>英語</v>
      </c>
      <c r="B466">
        <f t="shared" si="384"/>
        <v>4</v>
      </c>
      <c r="C466">
        <f t="shared" si="383"/>
        <v>132</v>
      </c>
      <c r="D466">
        <v>1</v>
      </c>
      <c r="E466" t="str">
        <f>VLOOKUP(D466,name!A:B,2,1)</f>
        <v>Navigator</v>
      </c>
      <c r="F466" t="str">
        <f>"とても良くできました。レッスン"&amp;B466&amp;"はこれで終了です。"</f>
        <v>とても良くできました。レッスン4はこれで終了です。</v>
      </c>
      <c r="G466" t="str">
        <f t="shared" si="330"/>
        <v>e</v>
      </c>
      <c r="H466" t="str">
        <f>VLOOKUP(D466,name!A:C,3,1)</f>
        <v>assets/icons/image014.png</v>
      </c>
      <c r="I466" t="s">
        <v>402</v>
      </c>
    </row>
    <row r="467" spans="1:12" x14ac:dyDescent="0.15">
      <c r="A467" t="str">
        <f>A466</f>
        <v>英語</v>
      </c>
      <c r="B467">
        <f>B466+1</f>
        <v>5</v>
      </c>
      <c r="C467">
        <v>1</v>
      </c>
      <c r="D467">
        <v>1</v>
      </c>
      <c r="E467" t="str">
        <f>VLOOKUP(D467,name!A:B,2,1)</f>
        <v>Navigator</v>
      </c>
      <c r="F467" t="s">
        <v>581</v>
      </c>
      <c r="G467" t="str">
        <f t="shared" si="330"/>
        <v>a</v>
      </c>
      <c r="H467" t="str">
        <f>VLOOKUP(D467,name!A:C,3,1)</f>
        <v>assets/icons/image014.png</v>
      </c>
      <c r="I467" t="str">
        <f>IF(A467="","",VLOOKUP(A467,lng!A:B,2,0))</f>
        <v>en-GB</v>
      </c>
    </row>
    <row r="468" spans="1:12" x14ac:dyDescent="0.15">
      <c r="A468" t="str">
        <f t="shared" ref="A468:B483" si="385">A467</f>
        <v>英語</v>
      </c>
      <c r="B468">
        <f>B467</f>
        <v>5</v>
      </c>
      <c r="C468">
        <f>C467+1</f>
        <v>2</v>
      </c>
      <c r="D468">
        <v>1</v>
      </c>
      <c r="E468" t="str">
        <f>VLOOKUP(D468,name!A:B,2,1)</f>
        <v>Navigator</v>
      </c>
      <c r="F468" t="str">
        <f>"レッスン"&amp;B468</f>
        <v>レッスン5</v>
      </c>
      <c r="G468" t="str">
        <f t="shared" si="330"/>
        <v>a</v>
      </c>
      <c r="H468" t="str">
        <f>VLOOKUP(D468,name!A:C,3,1)</f>
        <v>assets/icons/image014.png</v>
      </c>
      <c r="I468" t="s">
        <v>402</v>
      </c>
    </row>
    <row r="469" spans="1:12" ht="40.5" x14ac:dyDescent="0.15">
      <c r="A469" t="str">
        <f t="shared" si="385"/>
        <v>英語</v>
      </c>
      <c r="B469">
        <f t="shared" si="385"/>
        <v>5</v>
      </c>
      <c r="C469">
        <f t="shared" ref="C469:C532" si="386">C468+1</f>
        <v>3</v>
      </c>
      <c r="D469">
        <v>1</v>
      </c>
      <c r="E469" t="str">
        <f>VLOOKUP(D469,name!A:B,2,1)</f>
        <v>Navigator</v>
      </c>
      <c r="F469" s="1" t="str">
        <f>"まずは対話文を流します。その後に、日本語と"&amp;A469&amp;"を一文ずつ流すので"&amp;A469&amp;"を真似して下さい。最後に日本語のみを流すので、"&amp;A469&amp;"で答えてください。"</f>
        <v>まずは対話文を流します。その後に、日本語と英語を一文ずつ流すので英語を真似して下さい。最後に日本語のみを流すので、英語で答えてください。</v>
      </c>
      <c r="G469" t="str">
        <f t="shared" si="330"/>
        <v>a</v>
      </c>
      <c r="H469" t="str">
        <f>VLOOKUP(D469,name!A:C,3,1)</f>
        <v>assets/icons/image014.png</v>
      </c>
      <c r="I469" t="s">
        <v>402</v>
      </c>
      <c r="L469" s="1"/>
    </row>
    <row r="470" spans="1:12" x14ac:dyDescent="0.15">
      <c r="A470" t="str">
        <f t="shared" si="385"/>
        <v>英語</v>
      </c>
      <c r="B470">
        <f t="shared" si="385"/>
        <v>5</v>
      </c>
      <c r="C470">
        <f t="shared" si="386"/>
        <v>4</v>
      </c>
      <c r="D470">
        <f>D471</f>
        <v>29</v>
      </c>
      <c r="E470" t="str">
        <f>VLOOKUP(D470,name!A:B,2,1)</f>
        <v>Eri</v>
      </c>
      <c r="F470" t="s">
        <v>602</v>
      </c>
      <c r="G470" t="str">
        <f t="shared" si="330"/>
        <v>a</v>
      </c>
      <c r="H470" t="str">
        <f>VLOOKUP(D470,name!A:C,3,1)</f>
        <v>assets/icons/image209.png</v>
      </c>
      <c r="I470" t="s">
        <v>402</v>
      </c>
    </row>
    <row r="471" spans="1:12" x14ac:dyDescent="0.15">
      <c r="A471" t="str">
        <f t="shared" si="385"/>
        <v>英語</v>
      </c>
      <c r="B471">
        <f t="shared" si="385"/>
        <v>5</v>
      </c>
      <c r="C471">
        <f t="shared" si="386"/>
        <v>5</v>
      </c>
      <c r="D471">
        <f t="shared" ref="D471:D504" si="387">D472</f>
        <v>29</v>
      </c>
      <c r="E471" t="str">
        <f>VLOOKUP(D471,name!A:B,2,1)</f>
        <v>Eri</v>
      </c>
      <c r="F471" t="s">
        <v>582</v>
      </c>
      <c r="G471" t="str">
        <f t="shared" si="330"/>
        <v>a</v>
      </c>
      <c r="H471" t="str">
        <f>VLOOKUP(D471,name!A:C,3,1)</f>
        <v>assets/icons/image209.png</v>
      </c>
      <c r="I471" t="str">
        <f>IF(A471="","",VLOOKUP(A471,lng!A:B,2,0))</f>
        <v>en-GB</v>
      </c>
    </row>
    <row r="472" spans="1:12" x14ac:dyDescent="0.15">
      <c r="A472" t="str">
        <f t="shared" si="385"/>
        <v>英語</v>
      </c>
      <c r="B472">
        <f t="shared" si="385"/>
        <v>5</v>
      </c>
      <c r="C472">
        <f t="shared" si="386"/>
        <v>6</v>
      </c>
      <c r="D472">
        <f t="shared" si="387"/>
        <v>29</v>
      </c>
      <c r="E472" t="str">
        <f>VLOOKUP(D472,name!A:B,2,1)</f>
        <v>Eri</v>
      </c>
      <c r="F472" t="s">
        <v>603</v>
      </c>
      <c r="G472" t="str">
        <f t="shared" si="330"/>
        <v>a</v>
      </c>
      <c r="H472" t="str">
        <f>VLOOKUP(D472,name!A:C,3,1)</f>
        <v>assets/icons/image209.png</v>
      </c>
      <c r="I472" t="s">
        <v>402</v>
      </c>
    </row>
    <row r="473" spans="1:12" x14ac:dyDescent="0.15">
      <c r="A473" t="str">
        <f t="shared" si="385"/>
        <v>英語</v>
      </c>
      <c r="B473">
        <f t="shared" si="385"/>
        <v>5</v>
      </c>
      <c r="C473">
        <f t="shared" si="386"/>
        <v>7</v>
      </c>
      <c r="D473">
        <f t="shared" si="387"/>
        <v>29</v>
      </c>
      <c r="E473" t="str">
        <f>VLOOKUP(D473,name!A:B,2,1)</f>
        <v>Eri</v>
      </c>
      <c r="F473" t="s">
        <v>583</v>
      </c>
      <c r="G473" t="str">
        <f t="shared" si="330"/>
        <v>a</v>
      </c>
      <c r="H473" t="str">
        <f>VLOOKUP(D473,name!A:C,3,1)</f>
        <v>assets/icons/image209.png</v>
      </c>
      <c r="I473" t="str">
        <f>IF(A473="","",VLOOKUP(A473,lng!A:B,2,0))</f>
        <v>en-GB</v>
      </c>
    </row>
    <row r="474" spans="1:12" x14ac:dyDescent="0.15">
      <c r="A474" t="str">
        <f t="shared" si="385"/>
        <v>英語</v>
      </c>
      <c r="B474">
        <f t="shared" si="385"/>
        <v>5</v>
      </c>
      <c r="C474">
        <f t="shared" si="386"/>
        <v>8</v>
      </c>
      <c r="D474">
        <f t="shared" si="387"/>
        <v>29</v>
      </c>
      <c r="E474" t="str">
        <f>VLOOKUP(D474,name!A:B,2,1)</f>
        <v>Eri</v>
      </c>
      <c r="F474" t="s">
        <v>604</v>
      </c>
      <c r="G474" t="str">
        <f t="shared" si="330"/>
        <v>a</v>
      </c>
      <c r="H474" t="str">
        <f>VLOOKUP(D474,name!A:C,3,1)</f>
        <v>assets/icons/image209.png</v>
      </c>
      <c r="I474" t="s">
        <v>402</v>
      </c>
    </row>
    <row r="475" spans="1:12" x14ac:dyDescent="0.15">
      <c r="A475" t="str">
        <f t="shared" si="385"/>
        <v>英語</v>
      </c>
      <c r="B475">
        <f t="shared" si="385"/>
        <v>5</v>
      </c>
      <c r="C475">
        <f t="shared" si="386"/>
        <v>9</v>
      </c>
      <c r="D475">
        <f t="shared" si="387"/>
        <v>29</v>
      </c>
      <c r="E475" t="str">
        <f>VLOOKUP(D475,name!A:B,2,1)</f>
        <v>Eri</v>
      </c>
      <c r="F475" t="s">
        <v>584</v>
      </c>
      <c r="G475" t="str">
        <f t="shared" si="330"/>
        <v>a</v>
      </c>
      <c r="H475" t="str">
        <f>VLOOKUP(D475,name!A:C,3,1)</f>
        <v>assets/icons/image209.png</v>
      </c>
      <c r="I475" t="str">
        <f>IF(A475="","",VLOOKUP(A475,lng!A:B,2,0))</f>
        <v>en-GB</v>
      </c>
    </row>
    <row r="476" spans="1:12" x14ac:dyDescent="0.15">
      <c r="A476" t="str">
        <f t="shared" si="385"/>
        <v>英語</v>
      </c>
      <c r="B476">
        <f t="shared" si="385"/>
        <v>5</v>
      </c>
      <c r="C476">
        <f t="shared" si="386"/>
        <v>10</v>
      </c>
      <c r="D476">
        <f t="shared" si="387"/>
        <v>29</v>
      </c>
      <c r="E476" t="str">
        <f>VLOOKUP(D476,name!A:B,2,1)</f>
        <v>Eri</v>
      </c>
      <c r="F476" t="s">
        <v>606</v>
      </c>
      <c r="G476" t="str">
        <f t="shared" si="330"/>
        <v>a</v>
      </c>
      <c r="H476" t="str">
        <f>VLOOKUP(D476,name!A:C,3,1)</f>
        <v>assets/icons/image209.png</v>
      </c>
      <c r="I476" t="s">
        <v>402</v>
      </c>
    </row>
    <row r="477" spans="1:12" x14ac:dyDescent="0.15">
      <c r="A477" t="str">
        <f t="shared" si="385"/>
        <v>英語</v>
      </c>
      <c r="B477">
        <f t="shared" si="385"/>
        <v>5</v>
      </c>
      <c r="C477">
        <f t="shared" si="386"/>
        <v>11</v>
      </c>
      <c r="D477">
        <v>29</v>
      </c>
      <c r="E477" t="str">
        <f>VLOOKUP(D477,name!A:B,2,1)</f>
        <v>Eri</v>
      </c>
      <c r="F477" t="s">
        <v>585</v>
      </c>
      <c r="G477" t="str">
        <f t="shared" si="330"/>
        <v>a</v>
      </c>
      <c r="H477" t="str">
        <f>VLOOKUP(D477,name!A:C,3,1)</f>
        <v>assets/icons/image209.png</v>
      </c>
      <c r="I477" t="str">
        <f>IF(A477="","",VLOOKUP(A477,lng!A:B,2,0))</f>
        <v>en-GB</v>
      </c>
    </row>
    <row r="478" spans="1:12" x14ac:dyDescent="0.15">
      <c r="A478" t="str">
        <f t="shared" si="385"/>
        <v>英語</v>
      </c>
      <c r="B478">
        <f t="shared" si="385"/>
        <v>5</v>
      </c>
      <c r="C478">
        <f t="shared" si="386"/>
        <v>12</v>
      </c>
      <c r="D478">
        <f t="shared" si="387"/>
        <v>33</v>
      </c>
      <c r="E478" t="str">
        <f>VLOOKUP(D478,name!A:B,2,1)</f>
        <v>Simon</v>
      </c>
      <c r="F478" t="s">
        <v>605</v>
      </c>
      <c r="G478" t="str">
        <f t="shared" ref="G478:G541" si="388">IF(B478&lt;&gt;B479,"e",IF(D478=0,"q","a"))</f>
        <v>a</v>
      </c>
      <c r="H478" t="str">
        <f>VLOOKUP(D478,name!A:C,3,1)</f>
        <v>assets/icons/image250.png</v>
      </c>
      <c r="I478" t="s">
        <v>402</v>
      </c>
    </row>
    <row r="479" spans="1:12" x14ac:dyDescent="0.15">
      <c r="A479" t="str">
        <f t="shared" si="385"/>
        <v>英語</v>
      </c>
      <c r="B479">
        <f t="shared" si="385"/>
        <v>5</v>
      </c>
      <c r="C479">
        <f t="shared" si="386"/>
        <v>13</v>
      </c>
      <c r="D479">
        <f t="shared" si="387"/>
        <v>33</v>
      </c>
      <c r="E479" t="str">
        <f>VLOOKUP(D479,name!A:B,2,1)</f>
        <v>Simon</v>
      </c>
      <c r="F479" t="s">
        <v>588</v>
      </c>
      <c r="G479" t="str">
        <f t="shared" si="388"/>
        <v>a</v>
      </c>
      <c r="H479" t="str">
        <f>VLOOKUP(D479,name!A:C,3,1)</f>
        <v>assets/icons/image250.png</v>
      </c>
      <c r="I479" t="str">
        <f>IF(A479="","",VLOOKUP(A479,lng!A:B,2,0))</f>
        <v>en-GB</v>
      </c>
    </row>
    <row r="480" spans="1:12" x14ac:dyDescent="0.15">
      <c r="A480" t="str">
        <f t="shared" si="385"/>
        <v>英語</v>
      </c>
      <c r="B480">
        <f t="shared" si="385"/>
        <v>5</v>
      </c>
      <c r="C480">
        <f t="shared" si="386"/>
        <v>14</v>
      </c>
      <c r="D480">
        <f t="shared" si="387"/>
        <v>33</v>
      </c>
      <c r="E480" t="str">
        <f>VLOOKUP(D480,name!A:B,2,1)</f>
        <v>Simon</v>
      </c>
      <c r="F480" t="s">
        <v>607</v>
      </c>
      <c r="G480" t="str">
        <f t="shared" si="388"/>
        <v>a</v>
      </c>
      <c r="H480" t="str">
        <f>VLOOKUP(D480,name!A:C,3,1)</f>
        <v>assets/icons/image250.png</v>
      </c>
      <c r="I480" t="s">
        <v>402</v>
      </c>
    </row>
    <row r="481" spans="1:9" x14ac:dyDescent="0.15">
      <c r="A481" t="str">
        <f t="shared" si="385"/>
        <v>英語</v>
      </c>
      <c r="B481">
        <f t="shared" si="385"/>
        <v>5</v>
      </c>
      <c r="C481">
        <f t="shared" si="386"/>
        <v>15</v>
      </c>
      <c r="D481">
        <f t="shared" si="387"/>
        <v>33</v>
      </c>
      <c r="E481" t="str">
        <f>VLOOKUP(D481,name!A:B,2,1)</f>
        <v>Simon</v>
      </c>
      <c r="F481" t="s">
        <v>589</v>
      </c>
      <c r="G481" t="str">
        <f t="shared" si="388"/>
        <v>a</v>
      </c>
      <c r="H481" t="str">
        <f>VLOOKUP(D481,name!A:C,3,1)</f>
        <v>assets/icons/image250.png</v>
      </c>
      <c r="I481" t="str">
        <f>IF(A481="","",VLOOKUP(A481,lng!A:B,2,0))</f>
        <v>en-GB</v>
      </c>
    </row>
    <row r="482" spans="1:9" x14ac:dyDescent="0.15">
      <c r="A482" t="str">
        <f t="shared" si="385"/>
        <v>英語</v>
      </c>
      <c r="B482">
        <f t="shared" si="385"/>
        <v>5</v>
      </c>
      <c r="C482">
        <f t="shared" si="386"/>
        <v>16</v>
      </c>
      <c r="D482">
        <f t="shared" si="387"/>
        <v>33</v>
      </c>
      <c r="E482" t="str">
        <f>VLOOKUP(D482,name!A:B,2,1)</f>
        <v>Simon</v>
      </c>
      <c r="F482" t="s">
        <v>608</v>
      </c>
      <c r="G482" t="str">
        <f t="shared" si="388"/>
        <v>a</v>
      </c>
      <c r="H482" t="str">
        <f>VLOOKUP(D482,name!A:C,3,1)</f>
        <v>assets/icons/image250.png</v>
      </c>
      <c r="I482" t="s">
        <v>402</v>
      </c>
    </row>
    <row r="483" spans="1:9" x14ac:dyDescent="0.15">
      <c r="A483" t="str">
        <f t="shared" si="385"/>
        <v>英語</v>
      </c>
      <c r="B483">
        <f t="shared" si="385"/>
        <v>5</v>
      </c>
      <c r="C483">
        <f t="shared" si="386"/>
        <v>17</v>
      </c>
      <c r="D483">
        <v>33</v>
      </c>
      <c r="E483" t="str">
        <f>VLOOKUP(D483,name!A:B,2,1)</f>
        <v>Simon</v>
      </c>
      <c r="F483" t="s">
        <v>590</v>
      </c>
      <c r="G483" t="str">
        <f t="shared" si="388"/>
        <v>a</v>
      </c>
      <c r="H483" t="str">
        <f>VLOOKUP(D483,name!A:C,3,1)</f>
        <v>assets/icons/image250.png</v>
      </c>
      <c r="I483" t="str">
        <f>IF(A483="","",VLOOKUP(A483,lng!A:B,2,0))</f>
        <v>en-GB</v>
      </c>
    </row>
    <row r="484" spans="1:9" x14ac:dyDescent="0.15">
      <c r="A484" t="str">
        <f t="shared" ref="A484:B499" si="389">A483</f>
        <v>英語</v>
      </c>
      <c r="B484">
        <f t="shared" si="389"/>
        <v>5</v>
      </c>
      <c r="C484">
        <f t="shared" si="386"/>
        <v>18</v>
      </c>
      <c r="D484">
        <f t="shared" si="387"/>
        <v>33</v>
      </c>
      <c r="E484" t="str">
        <f>VLOOKUP(D484,name!A:B,2,1)</f>
        <v>Simon</v>
      </c>
      <c r="F484" t="s">
        <v>609</v>
      </c>
      <c r="G484" t="str">
        <f t="shared" si="388"/>
        <v>a</v>
      </c>
      <c r="H484" t="str">
        <f>VLOOKUP(D484,name!A:C,3,1)</f>
        <v>assets/icons/image250.png</v>
      </c>
      <c r="I484" t="s">
        <v>402</v>
      </c>
    </row>
    <row r="485" spans="1:9" x14ac:dyDescent="0.15">
      <c r="A485" t="str">
        <f t="shared" si="389"/>
        <v>英語</v>
      </c>
      <c r="B485">
        <f t="shared" si="389"/>
        <v>5</v>
      </c>
      <c r="C485">
        <f t="shared" si="386"/>
        <v>19</v>
      </c>
      <c r="D485">
        <f t="shared" si="387"/>
        <v>33</v>
      </c>
      <c r="E485" t="str">
        <f>VLOOKUP(D485,name!A:B,2,1)</f>
        <v>Simon</v>
      </c>
      <c r="F485" t="s">
        <v>591</v>
      </c>
      <c r="G485" t="str">
        <f t="shared" si="388"/>
        <v>a</v>
      </c>
      <c r="H485" t="str">
        <f>VLOOKUP(D485,name!A:C,3,1)</f>
        <v>assets/icons/image250.png</v>
      </c>
      <c r="I485" t="str">
        <f>IF(A485="","",VLOOKUP(A485,lng!A:B,2,0))</f>
        <v>en-GB</v>
      </c>
    </row>
    <row r="486" spans="1:9" x14ac:dyDescent="0.15">
      <c r="A486" t="str">
        <f t="shared" si="389"/>
        <v>英語</v>
      </c>
      <c r="B486">
        <f t="shared" si="389"/>
        <v>5</v>
      </c>
      <c r="C486">
        <f t="shared" si="386"/>
        <v>20</v>
      </c>
      <c r="D486">
        <f t="shared" si="387"/>
        <v>33</v>
      </c>
      <c r="E486" t="str">
        <f>VLOOKUP(D486,name!A:B,2,1)</f>
        <v>Simon</v>
      </c>
      <c r="F486" t="s">
        <v>610</v>
      </c>
      <c r="G486" t="str">
        <f t="shared" si="388"/>
        <v>a</v>
      </c>
      <c r="H486" t="str">
        <f>VLOOKUP(D486,name!A:C,3,1)</f>
        <v>assets/icons/image250.png</v>
      </c>
      <c r="I486" t="s">
        <v>402</v>
      </c>
    </row>
    <row r="487" spans="1:9" x14ac:dyDescent="0.15">
      <c r="A487" t="str">
        <f t="shared" si="389"/>
        <v>英語</v>
      </c>
      <c r="B487">
        <f t="shared" si="389"/>
        <v>5</v>
      </c>
      <c r="C487">
        <f t="shared" si="386"/>
        <v>21</v>
      </c>
      <c r="D487">
        <f t="shared" si="387"/>
        <v>33</v>
      </c>
      <c r="E487" t="str">
        <f>VLOOKUP(D487,name!A:B,2,1)</f>
        <v>Simon</v>
      </c>
      <c r="F487" t="s">
        <v>593</v>
      </c>
      <c r="G487" t="str">
        <f t="shared" si="388"/>
        <v>a</v>
      </c>
      <c r="H487" t="str">
        <f>VLOOKUP(D487,name!A:C,3,1)</f>
        <v>assets/icons/image250.png</v>
      </c>
      <c r="I487" t="str">
        <f>IF(A487="","",VLOOKUP(A487,lng!A:B,2,0))</f>
        <v>en-GB</v>
      </c>
    </row>
    <row r="488" spans="1:9" x14ac:dyDescent="0.15">
      <c r="A488" t="str">
        <f t="shared" si="389"/>
        <v>英語</v>
      </c>
      <c r="B488">
        <f t="shared" si="389"/>
        <v>5</v>
      </c>
      <c r="C488">
        <f t="shared" si="386"/>
        <v>22</v>
      </c>
      <c r="D488">
        <f t="shared" si="387"/>
        <v>33</v>
      </c>
      <c r="E488" t="str">
        <f>VLOOKUP(D488,name!A:B,2,1)</f>
        <v>Simon</v>
      </c>
      <c r="F488" t="s">
        <v>611</v>
      </c>
      <c r="G488" t="str">
        <f t="shared" si="388"/>
        <v>a</v>
      </c>
      <c r="H488" t="str">
        <f>VLOOKUP(D488,name!A:C,3,1)</f>
        <v>assets/icons/image250.png</v>
      </c>
      <c r="I488" t="s">
        <v>402</v>
      </c>
    </row>
    <row r="489" spans="1:9" x14ac:dyDescent="0.15">
      <c r="A489" t="str">
        <f t="shared" si="389"/>
        <v>英語</v>
      </c>
      <c r="B489">
        <f t="shared" si="389"/>
        <v>5</v>
      </c>
      <c r="C489">
        <f t="shared" si="386"/>
        <v>23</v>
      </c>
      <c r="D489">
        <v>33</v>
      </c>
      <c r="E489" t="str">
        <f>VLOOKUP(D489,name!A:B,2,1)</f>
        <v>Simon</v>
      </c>
      <c r="F489" t="s">
        <v>592</v>
      </c>
      <c r="G489" t="str">
        <f t="shared" si="388"/>
        <v>a</v>
      </c>
      <c r="H489" t="str">
        <f>VLOOKUP(D489,name!A:C,3,1)</f>
        <v>assets/icons/image250.png</v>
      </c>
      <c r="I489" t="str">
        <f>IF(A489="","",VLOOKUP(A489,lng!A:B,2,0))</f>
        <v>en-GB</v>
      </c>
    </row>
    <row r="490" spans="1:9" x14ac:dyDescent="0.15">
      <c r="A490" t="str">
        <f t="shared" si="389"/>
        <v>英語</v>
      </c>
      <c r="B490">
        <f t="shared" si="389"/>
        <v>5</v>
      </c>
      <c r="C490">
        <f t="shared" si="386"/>
        <v>24</v>
      </c>
      <c r="D490">
        <f t="shared" si="387"/>
        <v>29</v>
      </c>
      <c r="E490" t="str">
        <f>VLOOKUP(D490,name!A:B,2,1)</f>
        <v>Eri</v>
      </c>
      <c r="F490" t="s">
        <v>612</v>
      </c>
      <c r="G490" t="str">
        <f t="shared" si="388"/>
        <v>a</v>
      </c>
      <c r="H490" t="str">
        <f>VLOOKUP(D490,name!A:C,3,1)</f>
        <v>assets/icons/image209.png</v>
      </c>
      <c r="I490" t="s">
        <v>402</v>
      </c>
    </row>
    <row r="491" spans="1:9" x14ac:dyDescent="0.15">
      <c r="A491" t="str">
        <f t="shared" si="389"/>
        <v>英語</v>
      </c>
      <c r="B491">
        <f t="shared" si="389"/>
        <v>5</v>
      </c>
      <c r="C491">
        <f t="shared" si="386"/>
        <v>25</v>
      </c>
      <c r="D491">
        <f t="shared" si="387"/>
        <v>29</v>
      </c>
      <c r="E491" t="str">
        <f>VLOOKUP(D491,name!A:B,2,1)</f>
        <v>Eri</v>
      </c>
      <c r="F491" t="s">
        <v>594</v>
      </c>
      <c r="G491" t="str">
        <f t="shared" si="388"/>
        <v>a</v>
      </c>
      <c r="H491" t="str">
        <f>VLOOKUP(D491,name!A:C,3,1)</f>
        <v>assets/icons/image209.png</v>
      </c>
      <c r="I491" t="str">
        <f>IF(A491="","",VLOOKUP(A491,lng!A:B,2,0))</f>
        <v>en-GB</v>
      </c>
    </row>
    <row r="492" spans="1:9" x14ac:dyDescent="0.15">
      <c r="A492" t="str">
        <f t="shared" si="389"/>
        <v>英語</v>
      </c>
      <c r="B492">
        <f t="shared" si="389"/>
        <v>5</v>
      </c>
      <c r="C492">
        <f t="shared" si="386"/>
        <v>26</v>
      </c>
      <c r="D492">
        <f t="shared" si="387"/>
        <v>29</v>
      </c>
      <c r="E492" t="str">
        <f>VLOOKUP(D492,name!A:B,2,1)</f>
        <v>Eri</v>
      </c>
      <c r="F492" t="s">
        <v>613</v>
      </c>
      <c r="G492" t="str">
        <f t="shared" si="388"/>
        <v>a</v>
      </c>
      <c r="H492" t="str">
        <f>VLOOKUP(D492,name!A:C,3,1)</f>
        <v>assets/icons/image209.png</v>
      </c>
      <c r="I492" t="s">
        <v>402</v>
      </c>
    </row>
    <row r="493" spans="1:9" x14ac:dyDescent="0.15">
      <c r="A493" t="str">
        <f t="shared" si="389"/>
        <v>英語</v>
      </c>
      <c r="B493">
        <f t="shared" si="389"/>
        <v>5</v>
      </c>
      <c r="C493">
        <f t="shared" si="386"/>
        <v>27</v>
      </c>
      <c r="D493">
        <f t="shared" si="387"/>
        <v>29</v>
      </c>
      <c r="E493" t="str">
        <f>VLOOKUP(D493,name!A:B,2,1)</f>
        <v>Eri</v>
      </c>
      <c r="F493" t="s">
        <v>595</v>
      </c>
      <c r="G493" t="str">
        <f t="shared" si="388"/>
        <v>a</v>
      </c>
      <c r="H493" t="str">
        <f>VLOOKUP(D493,name!A:C,3,1)</f>
        <v>assets/icons/image209.png</v>
      </c>
      <c r="I493" t="str">
        <f>IF(A493="","",VLOOKUP(A493,lng!A:B,2,0))</f>
        <v>en-GB</v>
      </c>
    </row>
    <row r="494" spans="1:9" x14ac:dyDescent="0.15">
      <c r="A494" t="str">
        <f t="shared" si="389"/>
        <v>英語</v>
      </c>
      <c r="B494">
        <f t="shared" si="389"/>
        <v>5</v>
      </c>
      <c r="C494">
        <f t="shared" si="386"/>
        <v>28</v>
      </c>
      <c r="D494">
        <f t="shared" si="387"/>
        <v>29</v>
      </c>
      <c r="E494" t="str">
        <f>VLOOKUP(D494,name!A:B,2,1)</f>
        <v>Eri</v>
      </c>
      <c r="F494" t="s">
        <v>614</v>
      </c>
      <c r="G494" t="str">
        <f t="shared" si="388"/>
        <v>a</v>
      </c>
      <c r="H494" t="str">
        <f>VLOOKUP(D494,name!A:C,3,1)</f>
        <v>assets/icons/image209.png</v>
      </c>
      <c r="I494" t="s">
        <v>402</v>
      </c>
    </row>
    <row r="495" spans="1:9" x14ac:dyDescent="0.15">
      <c r="A495" t="str">
        <f t="shared" si="389"/>
        <v>英語</v>
      </c>
      <c r="B495">
        <f t="shared" si="389"/>
        <v>5</v>
      </c>
      <c r="C495">
        <f t="shared" si="386"/>
        <v>29</v>
      </c>
      <c r="D495">
        <f t="shared" si="387"/>
        <v>29</v>
      </c>
      <c r="E495" t="str">
        <f>VLOOKUP(D495,name!A:B,2,1)</f>
        <v>Eri</v>
      </c>
      <c r="F495" t="s">
        <v>596</v>
      </c>
      <c r="G495" t="str">
        <f t="shared" si="388"/>
        <v>a</v>
      </c>
      <c r="H495" t="str">
        <f>VLOOKUP(D495,name!A:C,3,1)</f>
        <v>assets/icons/image209.png</v>
      </c>
      <c r="I495" t="str">
        <f>IF(A495="","",VLOOKUP(A495,lng!A:B,2,0))</f>
        <v>en-GB</v>
      </c>
    </row>
    <row r="496" spans="1:9" x14ac:dyDescent="0.15">
      <c r="A496" t="str">
        <f t="shared" si="389"/>
        <v>英語</v>
      </c>
      <c r="B496">
        <f t="shared" si="389"/>
        <v>5</v>
      </c>
      <c r="C496">
        <f t="shared" si="386"/>
        <v>30</v>
      </c>
      <c r="D496">
        <f t="shared" si="387"/>
        <v>29</v>
      </c>
      <c r="E496" t="str">
        <f>VLOOKUP(D496,name!A:B,2,1)</f>
        <v>Eri</v>
      </c>
      <c r="F496" t="s">
        <v>615</v>
      </c>
      <c r="G496" t="str">
        <f t="shared" si="388"/>
        <v>a</v>
      </c>
      <c r="H496" t="str">
        <f>VLOOKUP(D496,name!A:C,3,1)</f>
        <v>assets/icons/image209.png</v>
      </c>
      <c r="I496" t="s">
        <v>402</v>
      </c>
    </row>
    <row r="497" spans="1:9" x14ac:dyDescent="0.15">
      <c r="A497" t="str">
        <f t="shared" si="389"/>
        <v>英語</v>
      </c>
      <c r="B497">
        <f t="shared" si="389"/>
        <v>5</v>
      </c>
      <c r="C497">
        <f t="shared" si="386"/>
        <v>31</v>
      </c>
      <c r="D497">
        <v>29</v>
      </c>
      <c r="E497" t="str">
        <f>VLOOKUP(D497,name!A:B,2,1)</f>
        <v>Eri</v>
      </c>
      <c r="F497" t="s">
        <v>597</v>
      </c>
      <c r="G497" t="str">
        <f t="shared" si="388"/>
        <v>a</v>
      </c>
      <c r="H497" t="str">
        <f>VLOOKUP(D497,name!A:C,3,1)</f>
        <v>assets/icons/image209.png</v>
      </c>
      <c r="I497" t="str">
        <f>IF(A497="","",VLOOKUP(A497,lng!A:B,2,0))</f>
        <v>en-GB</v>
      </c>
    </row>
    <row r="498" spans="1:9" x14ac:dyDescent="0.15">
      <c r="A498" t="str">
        <f t="shared" si="389"/>
        <v>英語</v>
      </c>
      <c r="B498">
        <f t="shared" si="389"/>
        <v>5</v>
      </c>
      <c r="C498">
        <f t="shared" si="386"/>
        <v>32</v>
      </c>
      <c r="D498">
        <f t="shared" si="387"/>
        <v>33</v>
      </c>
      <c r="E498" t="str">
        <f>VLOOKUP(D498,name!A:B,2,1)</f>
        <v>Simon</v>
      </c>
      <c r="F498" t="s">
        <v>616</v>
      </c>
      <c r="G498" t="str">
        <f t="shared" si="388"/>
        <v>a</v>
      </c>
      <c r="H498" t="str">
        <f>VLOOKUP(D498,name!A:C,3,1)</f>
        <v>assets/icons/image250.png</v>
      </c>
      <c r="I498" t="s">
        <v>402</v>
      </c>
    </row>
    <row r="499" spans="1:9" x14ac:dyDescent="0.15">
      <c r="A499" t="str">
        <f t="shared" si="389"/>
        <v>英語</v>
      </c>
      <c r="B499">
        <f t="shared" si="389"/>
        <v>5</v>
      </c>
      <c r="C499">
        <f t="shared" si="386"/>
        <v>33</v>
      </c>
      <c r="D499">
        <f t="shared" si="387"/>
        <v>33</v>
      </c>
      <c r="E499" t="str">
        <f>VLOOKUP(D499,name!A:B,2,1)</f>
        <v>Simon</v>
      </c>
      <c r="F499" t="s">
        <v>598</v>
      </c>
      <c r="G499" t="str">
        <f t="shared" si="388"/>
        <v>a</v>
      </c>
      <c r="H499" t="str">
        <f>VLOOKUP(D499,name!A:C,3,1)</f>
        <v>assets/icons/image250.png</v>
      </c>
      <c r="I499" t="str">
        <f>IF(A499="","",VLOOKUP(A499,lng!A:B,2,0))</f>
        <v>en-GB</v>
      </c>
    </row>
    <row r="500" spans="1:9" x14ac:dyDescent="0.15">
      <c r="A500" t="str">
        <f t="shared" ref="A500:B504" si="390">A499</f>
        <v>英語</v>
      </c>
      <c r="B500">
        <f t="shared" si="390"/>
        <v>5</v>
      </c>
      <c r="C500">
        <f t="shared" si="386"/>
        <v>34</v>
      </c>
      <c r="D500">
        <f t="shared" si="387"/>
        <v>33</v>
      </c>
      <c r="E500" t="str">
        <f>VLOOKUP(D500,name!A:B,2,1)</f>
        <v>Simon</v>
      </c>
      <c r="F500" t="s">
        <v>617</v>
      </c>
      <c r="G500" t="str">
        <f t="shared" si="388"/>
        <v>a</v>
      </c>
      <c r="H500" t="str">
        <f>VLOOKUP(D500,name!A:C,3,1)</f>
        <v>assets/icons/image250.png</v>
      </c>
      <c r="I500" t="s">
        <v>402</v>
      </c>
    </row>
    <row r="501" spans="1:9" x14ac:dyDescent="0.15">
      <c r="A501" t="str">
        <f t="shared" si="390"/>
        <v>英語</v>
      </c>
      <c r="B501">
        <f t="shared" si="390"/>
        <v>5</v>
      </c>
      <c r="C501">
        <f t="shared" si="386"/>
        <v>35</v>
      </c>
      <c r="D501">
        <f t="shared" si="387"/>
        <v>33</v>
      </c>
      <c r="E501" t="str">
        <f>VLOOKUP(D501,name!A:B,2,1)</f>
        <v>Simon</v>
      </c>
      <c r="F501" t="s">
        <v>599</v>
      </c>
      <c r="G501" t="str">
        <f t="shared" si="388"/>
        <v>a</v>
      </c>
      <c r="H501" t="str">
        <f>VLOOKUP(D501,name!A:C,3,1)</f>
        <v>assets/icons/image250.png</v>
      </c>
      <c r="I501" t="str">
        <f>IF(A501="","",VLOOKUP(A501,lng!A:B,2,0))</f>
        <v>en-GB</v>
      </c>
    </row>
    <row r="502" spans="1:9" x14ac:dyDescent="0.15">
      <c r="A502" t="str">
        <f t="shared" si="390"/>
        <v>英語</v>
      </c>
      <c r="B502">
        <f t="shared" si="390"/>
        <v>5</v>
      </c>
      <c r="C502">
        <f t="shared" si="386"/>
        <v>36</v>
      </c>
      <c r="D502">
        <f t="shared" si="387"/>
        <v>33</v>
      </c>
      <c r="E502" t="str">
        <f>VLOOKUP(D502,name!A:B,2,1)</f>
        <v>Simon</v>
      </c>
      <c r="F502" t="s">
        <v>618</v>
      </c>
      <c r="G502" t="str">
        <f t="shared" si="388"/>
        <v>a</v>
      </c>
      <c r="H502" t="str">
        <f>VLOOKUP(D502,name!A:C,3,1)</f>
        <v>assets/icons/image250.png</v>
      </c>
      <c r="I502" t="s">
        <v>402</v>
      </c>
    </row>
    <row r="503" spans="1:9" x14ac:dyDescent="0.15">
      <c r="A503" t="str">
        <f t="shared" si="390"/>
        <v>英語</v>
      </c>
      <c r="B503">
        <f t="shared" si="390"/>
        <v>5</v>
      </c>
      <c r="C503">
        <f t="shared" si="386"/>
        <v>37</v>
      </c>
      <c r="D503">
        <f t="shared" si="387"/>
        <v>33</v>
      </c>
      <c r="E503" t="str">
        <f>VLOOKUP(D503,name!A:B,2,1)</f>
        <v>Simon</v>
      </c>
      <c r="F503" t="s">
        <v>601</v>
      </c>
      <c r="G503" t="str">
        <f t="shared" si="388"/>
        <v>a</v>
      </c>
      <c r="H503" t="str">
        <f>VLOOKUP(D503,name!A:C,3,1)</f>
        <v>assets/icons/image250.png</v>
      </c>
      <c r="I503" t="str">
        <f>IF(A503="","",VLOOKUP(A503,lng!A:B,2,0))</f>
        <v>en-GB</v>
      </c>
    </row>
    <row r="504" spans="1:9" x14ac:dyDescent="0.15">
      <c r="A504" t="str">
        <f t="shared" si="390"/>
        <v>英語</v>
      </c>
      <c r="B504">
        <f t="shared" si="390"/>
        <v>5</v>
      </c>
      <c r="C504">
        <f t="shared" si="386"/>
        <v>38</v>
      </c>
      <c r="D504">
        <f t="shared" si="387"/>
        <v>33</v>
      </c>
      <c r="E504" t="str">
        <f>VLOOKUP(D504,name!A:B,2,1)</f>
        <v>Simon</v>
      </c>
      <c r="F504" t="s">
        <v>619</v>
      </c>
      <c r="G504" t="str">
        <f t="shared" si="388"/>
        <v>a</v>
      </c>
      <c r="H504" t="str">
        <f>VLOOKUP(D504,name!A:C,3,1)</f>
        <v>assets/icons/image250.png</v>
      </c>
      <c r="I504" t="s">
        <v>402</v>
      </c>
    </row>
    <row r="505" spans="1:9" x14ac:dyDescent="0.15">
      <c r="A505" t="str">
        <f t="shared" ref="A505:B505" si="391">A504</f>
        <v>英語</v>
      </c>
      <c r="B505">
        <f t="shared" si="391"/>
        <v>5</v>
      </c>
      <c r="C505">
        <f t="shared" si="386"/>
        <v>39</v>
      </c>
      <c r="D505">
        <v>33</v>
      </c>
      <c r="E505" t="str">
        <f>VLOOKUP(D505,name!A:B,2,1)</f>
        <v>Simon</v>
      </c>
      <c r="F505" t="s">
        <v>600</v>
      </c>
      <c r="G505" t="str">
        <f t="shared" si="388"/>
        <v>a</v>
      </c>
      <c r="H505" t="str">
        <f>VLOOKUP(D505,name!A:C,3,1)</f>
        <v>assets/icons/image250.png</v>
      </c>
      <c r="I505" t="str">
        <f>IF(A505="","",VLOOKUP(A505,lng!A:B,2,0))</f>
        <v>en-GB</v>
      </c>
    </row>
    <row r="506" spans="1:9" x14ac:dyDescent="0.15">
      <c r="A506" t="str">
        <f t="shared" ref="A506:B506" si="392">A505</f>
        <v>英語</v>
      </c>
      <c r="B506">
        <f t="shared" si="392"/>
        <v>5</v>
      </c>
      <c r="C506">
        <f t="shared" si="386"/>
        <v>40</v>
      </c>
      <c r="D506">
        <v>1</v>
      </c>
      <c r="E506" t="str">
        <f>VLOOKUP(D506,name!A:B,2,1)</f>
        <v>Navigator</v>
      </c>
      <c r="F506" t="str">
        <f>"次の"&amp;A506&amp;"を真似してね！"</f>
        <v>次の英語を真似してね！</v>
      </c>
      <c r="G506" t="str">
        <f t="shared" si="388"/>
        <v>a</v>
      </c>
      <c r="H506" t="str">
        <f>VLOOKUP(D506,name!A:C,3,1)</f>
        <v>assets/icons/image014.png</v>
      </c>
      <c r="I506" t="s">
        <v>402</v>
      </c>
    </row>
    <row r="507" spans="1:9" x14ac:dyDescent="0.15">
      <c r="A507" t="str">
        <f t="shared" ref="A507:B507" si="393">A506</f>
        <v>英語</v>
      </c>
      <c r="B507">
        <f t="shared" si="393"/>
        <v>5</v>
      </c>
      <c r="C507">
        <f t="shared" si="386"/>
        <v>41</v>
      </c>
      <c r="D507">
        <f>D470</f>
        <v>29</v>
      </c>
      <c r="E507" t="str">
        <f>VLOOKUP(D507,name!A:B,2,1)</f>
        <v>Eri</v>
      </c>
      <c r="F507" t="str">
        <f>F470</f>
        <v>(息切れ) すみません、遅くなりました。</v>
      </c>
      <c r="G507" t="str">
        <f t="shared" si="388"/>
        <v>a</v>
      </c>
      <c r="H507" t="str">
        <f>VLOOKUP(D507,name!A:C,3,1)</f>
        <v>assets/icons/image209.png</v>
      </c>
      <c r="I507" t="s">
        <v>402</v>
      </c>
    </row>
    <row r="508" spans="1:9" x14ac:dyDescent="0.15">
      <c r="A508" t="str">
        <f t="shared" ref="A508:B508" si="394">A507</f>
        <v>英語</v>
      </c>
      <c r="B508">
        <f t="shared" si="394"/>
        <v>5</v>
      </c>
      <c r="C508">
        <f t="shared" si="386"/>
        <v>42</v>
      </c>
      <c r="D508">
        <f>D471</f>
        <v>29</v>
      </c>
      <c r="E508" t="str">
        <f>VLOOKUP(D508,name!A:B,2,1)</f>
        <v>Eri</v>
      </c>
      <c r="F508" t="str">
        <f>F471</f>
        <v>(Panting) Sorry, I'm late.</v>
      </c>
      <c r="G508" t="str">
        <f t="shared" si="388"/>
        <v>a</v>
      </c>
      <c r="H508" t="str">
        <f>VLOOKUP(D508,name!A:C,3,1)</f>
        <v>assets/icons/image209.png</v>
      </c>
      <c r="I508" t="str">
        <f>IF(A508="","",VLOOKUP(A508,lng!A:B,2,0))</f>
        <v>en-GB</v>
      </c>
    </row>
    <row r="509" spans="1:9" x14ac:dyDescent="0.15">
      <c r="A509" t="str">
        <f t="shared" ref="A509:B509" si="395">A508</f>
        <v>英語</v>
      </c>
      <c r="B509">
        <f t="shared" si="395"/>
        <v>5</v>
      </c>
      <c r="C509">
        <f t="shared" si="386"/>
        <v>43</v>
      </c>
      <c r="D509">
        <v>0</v>
      </c>
      <c r="E509" t="str">
        <f>VLOOKUP(D509,name!A:B,2,1)</f>
        <v>Player</v>
      </c>
      <c r="F509" t="str">
        <f>F471</f>
        <v>(Panting) Sorry, I'm late.</v>
      </c>
      <c r="G509" t="str">
        <f t="shared" si="388"/>
        <v>q</v>
      </c>
      <c r="H509" t="str">
        <f>VLOOKUP(D509,name!A:C,3,1)</f>
        <v>assets/icons/image326.png</v>
      </c>
      <c r="I509" t="str">
        <f>IF(A509="","",VLOOKUP(A509,lng!A:B,2,0))</f>
        <v>en-GB</v>
      </c>
    </row>
    <row r="510" spans="1:9" x14ac:dyDescent="0.15">
      <c r="A510" t="str">
        <f t="shared" ref="A510:B510" si="396">A509</f>
        <v>英語</v>
      </c>
      <c r="B510">
        <f t="shared" si="396"/>
        <v>5</v>
      </c>
      <c r="C510">
        <f t="shared" si="386"/>
        <v>44</v>
      </c>
      <c r="D510">
        <f>D472</f>
        <v>29</v>
      </c>
      <c r="E510" t="str">
        <f>VLOOKUP(D510,name!A:B,2,1)</f>
        <v>Eri</v>
      </c>
      <c r="F510" t="str">
        <f>F472</f>
        <v>今日でサマータイムに変わるなんて知らなかった。</v>
      </c>
      <c r="G510" t="str">
        <f t="shared" si="388"/>
        <v>a</v>
      </c>
      <c r="H510" t="str">
        <f>VLOOKUP(D510,name!A:C,3,1)</f>
        <v>assets/icons/image209.png</v>
      </c>
      <c r="I510" t="s">
        <v>402</v>
      </c>
    </row>
    <row r="511" spans="1:9" x14ac:dyDescent="0.15">
      <c r="A511" t="str">
        <f t="shared" ref="A511:B511" si="397">A510</f>
        <v>英語</v>
      </c>
      <c r="B511">
        <f t="shared" si="397"/>
        <v>5</v>
      </c>
      <c r="C511">
        <f t="shared" si="386"/>
        <v>45</v>
      </c>
      <c r="D511">
        <f>D473</f>
        <v>29</v>
      </c>
      <c r="E511" t="str">
        <f>VLOOKUP(D511,name!A:B,2,1)</f>
        <v>Eri</v>
      </c>
      <c r="F511" t="str">
        <f>F473</f>
        <v>I didn't know about changing to summer time today.</v>
      </c>
      <c r="G511" t="str">
        <f t="shared" si="388"/>
        <v>a</v>
      </c>
      <c r="H511" t="str">
        <f>VLOOKUP(D511,name!A:C,3,1)</f>
        <v>assets/icons/image209.png</v>
      </c>
      <c r="I511" t="str">
        <f>IF(A511="","",VLOOKUP(A511,lng!A:B,2,0))</f>
        <v>en-GB</v>
      </c>
    </row>
    <row r="512" spans="1:9" x14ac:dyDescent="0.15">
      <c r="A512" t="str">
        <f t="shared" ref="A512:B512" si="398">A511</f>
        <v>英語</v>
      </c>
      <c r="B512">
        <f t="shared" si="398"/>
        <v>5</v>
      </c>
      <c r="C512">
        <f t="shared" si="386"/>
        <v>46</v>
      </c>
      <c r="D512">
        <v>0</v>
      </c>
      <c r="E512" t="str">
        <f>VLOOKUP(D512,name!A:B,2,1)</f>
        <v>Player</v>
      </c>
      <c r="F512" t="str">
        <f>F473</f>
        <v>I didn't know about changing to summer time today.</v>
      </c>
      <c r="G512" t="str">
        <f t="shared" si="388"/>
        <v>q</v>
      </c>
      <c r="H512" t="str">
        <f>VLOOKUP(D512,name!A:C,3,1)</f>
        <v>assets/icons/image326.png</v>
      </c>
      <c r="I512" t="str">
        <f>IF(A512="","",VLOOKUP(A512,lng!A:B,2,0))</f>
        <v>en-GB</v>
      </c>
    </row>
    <row r="513" spans="1:9" x14ac:dyDescent="0.15">
      <c r="A513" t="str">
        <f t="shared" ref="A513:B513" si="399">A512</f>
        <v>英語</v>
      </c>
      <c r="B513">
        <f t="shared" si="399"/>
        <v>5</v>
      </c>
      <c r="C513">
        <f t="shared" si="386"/>
        <v>47</v>
      </c>
      <c r="D513">
        <f>D474</f>
        <v>29</v>
      </c>
      <c r="E513" t="str">
        <f>VLOOKUP(D513,name!A:B,2,1)</f>
        <v>Eri</v>
      </c>
      <c r="F513" t="str">
        <f>F474</f>
        <v>夏とは思えない！</v>
      </c>
      <c r="G513" t="str">
        <f t="shared" si="388"/>
        <v>a</v>
      </c>
      <c r="H513" t="str">
        <f>VLOOKUP(D513,name!A:C,3,1)</f>
        <v>assets/icons/image209.png</v>
      </c>
      <c r="I513" t="s">
        <v>402</v>
      </c>
    </row>
    <row r="514" spans="1:9" x14ac:dyDescent="0.15">
      <c r="A514" t="str">
        <f t="shared" ref="A514:B514" si="400">A513</f>
        <v>英語</v>
      </c>
      <c r="B514">
        <f t="shared" si="400"/>
        <v>5</v>
      </c>
      <c r="C514">
        <f t="shared" si="386"/>
        <v>48</v>
      </c>
      <c r="D514">
        <f>D475</f>
        <v>29</v>
      </c>
      <c r="E514" t="str">
        <f>VLOOKUP(D514,name!A:B,2,1)</f>
        <v>Eri</v>
      </c>
      <c r="F514" t="str">
        <f>F475</f>
        <v>It doesn't feel like summer to me!</v>
      </c>
      <c r="G514" t="str">
        <f t="shared" si="388"/>
        <v>a</v>
      </c>
      <c r="H514" t="str">
        <f>VLOOKUP(D514,name!A:C,3,1)</f>
        <v>assets/icons/image209.png</v>
      </c>
      <c r="I514" t="str">
        <f>IF(A514="","",VLOOKUP(A514,lng!A:B,2,0))</f>
        <v>en-GB</v>
      </c>
    </row>
    <row r="515" spans="1:9" x14ac:dyDescent="0.15">
      <c r="A515" t="str">
        <f t="shared" ref="A515:B515" si="401">A514</f>
        <v>英語</v>
      </c>
      <c r="B515">
        <f t="shared" si="401"/>
        <v>5</v>
      </c>
      <c r="C515">
        <f t="shared" si="386"/>
        <v>49</v>
      </c>
      <c r="D515">
        <v>0</v>
      </c>
      <c r="E515" t="str">
        <f>VLOOKUP(D515,name!A:B,2,1)</f>
        <v>Player</v>
      </c>
      <c r="F515" t="str">
        <f>F475</f>
        <v>It doesn't feel like summer to me!</v>
      </c>
      <c r="G515" t="str">
        <f t="shared" si="388"/>
        <v>q</v>
      </c>
      <c r="H515" t="str">
        <f>VLOOKUP(D515,name!A:C,3,1)</f>
        <v>assets/icons/image326.png</v>
      </c>
      <c r="I515" t="str">
        <f>IF(A515="","",VLOOKUP(A515,lng!A:B,2,0))</f>
        <v>en-GB</v>
      </c>
    </row>
    <row r="516" spans="1:9" x14ac:dyDescent="0.15">
      <c r="A516" t="str">
        <f t="shared" ref="A516:B516" si="402">A515</f>
        <v>英語</v>
      </c>
      <c r="B516">
        <f t="shared" si="402"/>
        <v>5</v>
      </c>
      <c r="C516">
        <f t="shared" si="386"/>
        <v>50</v>
      </c>
      <c r="D516">
        <f>D476</f>
        <v>29</v>
      </c>
      <c r="E516" t="str">
        <f>VLOOKUP(D516,name!A:B,2,1)</f>
        <v>Eri</v>
      </c>
      <c r="F516" t="str">
        <f>F476</f>
        <v>すごく寒い。</v>
      </c>
      <c r="G516" t="str">
        <f t="shared" si="388"/>
        <v>a</v>
      </c>
      <c r="H516" t="str">
        <f>VLOOKUP(D516,name!A:C,3,1)</f>
        <v>assets/icons/image209.png</v>
      </c>
      <c r="I516" t="s">
        <v>402</v>
      </c>
    </row>
    <row r="517" spans="1:9" x14ac:dyDescent="0.15">
      <c r="A517" t="str">
        <f t="shared" ref="A517:B517" si="403">A516</f>
        <v>英語</v>
      </c>
      <c r="B517">
        <f t="shared" si="403"/>
        <v>5</v>
      </c>
      <c r="C517">
        <f t="shared" si="386"/>
        <v>51</v>
      </c>
      <c r="D517">
        <f>D477</f>
        <v>29</v>
      </c>
      <c r="E517" t="str">
        <f>VLOOKUP(D517,name!A:B,2,1)</f>
        <v>Eri</v>
      </c>
      <c r="F517" t="str">
        <f>F477</f>
        <v>It's freezing.</v>
      </c>
      <c r="G517" t="str">
        <f t="shared" si="388"/>
        <v>a</v>
      </c>
      <c r="H517" t="str">
        <f>VLOOKUP(D517,name!A:C,3,1)</f>
        <v>assets/icons/image209.png</v>
      </c>
      <c r="I517" t="str">
        <f>IF(A517="","",VLOOKUP(A517,lng!A:B,2,0))</f>
        <v>en-GB</v>
      </c>
    </row>
    <row r="518" spans="1:9" x14ac:dyDescent="0.15">
      <c r="A518" t="str">
        <f t="shared" ref="A518:B518" si="404">A517</f>
        <v>英語</v>
      </c>
      <c r="B518">
        <f t="shared" si="404"/>
        <v>5</v>
      </c>
      <c r="C518">
        <f t="shared" si="386"/>
        <v>52</v>
      </c>
      <c r="D518">
        <v>0</v>
      </c>
      <c r="E518" t="str">
        <f>VLOOKUP(D518,name!A:B,2,1)</f>
        <v>Player</v>
      </c>
      <c r="F518" t="str">
        <f>F477</f>
        <v>It's freezing.</v>
      </c>
      <c r="G518" t="str">
        <f t="shared" si="388"/>
        <v>q</v>
      </c>
      <c r="H518" t="str">
        <f>VLOOKUP(D518,name!A:C,3,1)</f>
        <v>assets/icons/image326.png</v>
      </c>
      <c r="I518" t="str">
        <f>IF(A518="","",VLOOKUP(A518,lng!A:B,2,0))</f>
        <v>en-GB</v>
      </c>
    </row>
    <row r="519" spans="1:9" x14ac:dyDescent="0.15">
      <c r="A519" t="str">
        <f t="shared" ref="A519:B519" si="405">A518</f>
        <v>英語</v>
      </c>
      <c r="B519">
        <f t="shared" si="405"/>
        <v>5</v>
      </c>
      <c r="C519">
        <f t="shared" si="386"/>
        <v>53</v>
      </c>
      <c r="D519">
        <f>D478</f>
        <v>33</v>
      </c>
      <c r="E519" t="str">
        <f>VLOOKUP(D519,name!A:B,2,1)</f>
        <v>Simon</v>
      </c>
      <c r="F519" t="str">
        <f>F478</f>
        <v>本当に私のせいだと思います。</v>
      </c>
      <c r="G519" t="str">
        <f t="shared" si="388"/>
        <v>a</v>
      </c>
      <c r="H519" t="str">
        <f>VLOOKUP(D519,name!A:C,3,1)</f>
        <v>assets/icons/image250.png</v>
      </c>
      <c r="I519" t="s">
        <v>402</v>
      </c>
    </row>
    <row r="520" spans="1:9" x14ac:dyDescent="0.15">
      <c r="A520" t="str">
        <f t="shared" ref="A520:B520" si="406">A519</f>
        <v>英語</v>
      </c>
      <c r="B520">
        <f t="shared" si="406"/>
        <v>5</v>
      </c>
      <c r="C520">
        <f t="shared" si="386"/>
        <v>54</v>
      </c>
      <c r="D520">
        <f>D479</f>
        <v>33</v>
      </c>
      <c r="E520" t="str">
        <f>VLOOKUP(D520,name!A:B,2,1)</f>
        <v>Simon</v>
      </c>
      <c r="F520" t="str">
        <f>F479</f>
        <v xml:space="preserve"> I suppose it's my fault really. </v>
      </c>
      <c r="G520" t="str">
        <f t="shared" si="388"/>
        <v>a</v>
      </c>
      <c r="H520" t="str">
        <f>VLOOKUP(D520,name!A:C,3,1)</f>
        <v>assets/icons/image250.png</v>
      </c>
      <c r="I520" t="str">
        <f>IF(A520="","",VLOOKUP(A520,lng!A:B,2,0))</f>
        <v>en-GB</v>
      </c>
    </row>
    <row r="521" spans="1:9" x14ac:dyDescent="0.15">
      <c r="A521" t="str">
        <f t="shared" ref="A521:B521" si="407">A520</f>
        <v>英語</v>
      </c>
      <c r="B521">
        <f t="shared" si="407"/>
        <v>5</v>
      </c>
      <c r="C521">
        <f t="shared" si="386"/>
        <v>55</v>
      </c>
      <c r="D521">
        <v>0</v>
      </c>
      <c r="E521" t="str">
        <f>VLOOKUP(D521,name!A:B,2,1)</f>
        <v>Player</v>
      </c>
      <c r="F521" t="str">
        <f>F479</f>
        <v xml:space="preserve"> I suppose it's my fault really. </v>
      </c>
      <c r="G521" t="str">
        <f t="shared" si="388"/>
        <v>q</v>
      </c>
      <c r="H521" t="str">
        <f>VLOOKUP(D521,name!A:C,3,1)</f>
        <v>assets/icons/image326.png</v>
      </c>
      <c r="I521" t="str">
        <f>IF(A521="","",VLOOKUP(A521,lng!A:B,2,0))</f>
        <v>en-GB</v>
      </c>
    </row>
    <row r="522" spans="1:9" x14ac:dyDescent="0.15">
      <c r="A522" t="str">
        <f t="shared" ref="A522:B522" si="408">A521</f>
        <v>英語</v>
      </c>
      <c r="B522">
        <f t="shared" si="408"/>
        <v>5</v>
      </c>
      <c r="C522">
        <f t="shared" si="386"/>
        <v>56</v>
      </c>
      <c r="D522">
        <f>D480</f>
        <v>33</v>
      </c>
      <c r="E522" t="str">
        <f>VLOOKUP(D522,name!A:B,2,1)</f>
        <v>Simon</v>
      </c>
      <c r="F522" t="str">
        <f>F480</f>
        <v>伝えておけばよかった</v>
      </c>
      <c r="G522" t="str">
        <f t="shared" si="388"/>
        <v>a</v>
      </c>
      <c r="H522" t="str">
        <f>VLOOKUP(D522,name!A:C,3,1)</f>
        <v>assets/icons/image250.png</v>
      </c>
      <c r="I522" t="s">
        <v>402</v>
      </c>
    </row>
    <row r="523" spans="1:9" x14ac:dyDescent="0.15">
      <c r="A523" t="str">
        <f t="shared" ref="A523:B523" si="409">A522</f>
        <v>英語</v>
      </c>
      <c r="B523">
        <f t="shared" si="409"/>
        <v>5</v>
      </c>
      <c r="C523">
        <f t="shared" si="386"/>
        <v>57</v>
      </c>
      <c r="D523">
        <f>D481</f>
        <v>33</v>
      </c>
      <c r="E523" t="str">
        <f>VLOOKUP(D523,name!A:B,2,1)</f>
        <v>Simon</v>
      </c>
      <c r="F523" t="str">
        <f>F481</f>
        <v xml:space="preserve"> I should have told you.</v>
      </c>
      <c r="G523" t="str">
        <f t="shared" si="388"/>
        <v>a</v>
      </c>
      <c r="H523" t="str">
        <f>VLOOKUP(D523,name!A:C,3,1)</f>
        <v>assets/icons/image250.png</v>
      </c>
      <c r="I523" t="str">
        <f>IF(A523="","",VLOOKUP(A523,lng!A:B,2,0))</f>
        <v>en-GB</v>
      </c>
    </row>
    <row r="524" spans="1:9" x14ac:dyDescent="0.15">
      <c r="A524" t="str">
        <f t="shared" ref="A524:B524" si="410">A523</f>
        <v>英語</v>
      </c>
      <c r="B524">
        <f t="shared" si="410"/>
        <v>5</v>
      </c>
      <c r="C524">
        <f t="shared" si="386"/>
        <v>58</v>
      </c>
      <c r="D524">
        <v>0</v>
      </c>
      <c r="E524" t="str">
        <f>VLOOKUP(D524,name!A:B,2,1)</f>
        <v>Player</v>
      </c>
      <c r="F524" t="str">
        <f>F481</f>
        <v xml:space="preserve"> I should have told you.</v>
      </c>
      <c r="G524" t="str">
        <f t="shared" si="388"/>
        <v>q</v>
      </c>
      <c r="H524" t="str">
        <f>VLOOKUP(D524,name!A:C,3,1)</f>
        <v>assets/icons/image326.png</v>
      </c>
      <c r="I524" t="str">
        <f>IF(A524="","",VLOOKUP(A524,lng!A:B,2,0))</f>
        <v>en-GB</v>
      </c>
    </row>
    <row r="525" spans="1:9" x14ac:dyDescent="0.15">
      <c r="A525" t="str">
        <f t="shared" ref="A525:B525" si="411">A524</f>
        <v>英語</v>
      </c>
      <c r="B525">
        <f t="shared" si="411"/>
        <v>5</v>
      </c>
      <c r="C525">
        <f t="shared" si="386"/>
        <v>59</v>
      </c>
      <c r="D525">
        <f>D482</f>
        <v>33</v>
      </c>
      <c r="E525" t="str">
        <f>VLOOKUP(D525,name!A:B,2,1)</f>
        <v>Simon</v>
      </c>
      <c r="F525" t="str">
        <f>F482</f>
        <v>でも来てくれてよかった。</v>
      </c>
      <c r="G525" t="str">
        <f t="shared" si="388"/>
        <v>a</v>
      </c>
      <c r="H525" t="str">
        <f>VLOOKUP(D525,name!A:C,3,1)</f>
        <v>assets/icons/image250.png</v>
      </c>
      <c r="I525" t="s">
        <v>402</v>
      </c>
    </row>
    <row r="526" spans="1:9" x14ac:dyDescent="0.15">
      <c r="A526" t="str">
        <f t="shared" ref="A526:B526" si="412">A525</f>
        <v>英語</v>
      </c>
      <c r="B526">
        <f t="shared" si="412"/>
        <v>5</v>
      </c>
      <c r="C526">
        <f t="shared" si="386"/>
        <v>60</v>
      </c>
      <c r="D526">
        <f>D483</f>
        <v>33</v>
      </c>
      <c r="E526" t="str">
        <f>VLOOKUP(D526,name!A:B,2,1)</f>
        <v>Simon</v>
      </c>
      <c r="F526" t="str">
        <f>F483</f>
        <v>Anyway, it's a good job you've come now.</v>
      </c>
      <c r="G526" t="str">
        <f t="shared" si="388"/>
        <v>a</v>
      </c>
      <c r="H526" t="str">
        <f>VLOOKUP(D526,name!A:C,3,1)</f>
        <v>assets/icons/image250.png</v>
      </c>
      <c r="I526" t="str">
        <f>IF(A526="","",VLOOKUP(A526,lng!A:B,2,0))</f>
        <v>en-GB</v>
      </c>
    </row>
    <row r="527" spans="1:9" x14ac:dyDescent="0.15">
      <c r="A527" t="str">
        <f t="shared" ref="A527:B527" si="413">A526</f>
        <v>英語</v>
      </c>
      <c r="B527">
        <f t="shared" si="413"/>
        <v>5</v>
      </c>
      <c r="C527">
        <f t="shared" si="386"/>
        <v>61</v>
      </c>
      <c r="D527">
        <v>0</v>
      </c>
      <c r="E527" t="str">
        <f>VLOOKUP(D527,name!A:B,2,1)</f>
        <v>Player</v>
      </c>
      <c r="F527" t="str">
        <f>F483</f>
        <v>Anyway, it's a good job you've come now.</v>
      </c>
      <c r="G527" t="str">
        <f t="shared" si="388"/>
        <v>q</v>
      </c>
      <c r="H527" t="str">
        <f>VLOOKUP(D527,name!A:C,3,1)</f>
        <v>assets/icons/image326.png</v>
      </c>
      <c r="I527" t="str">
        <f>IF(A527="","",VLOOKUP(A527,lng!A:B,2,0))</f>
        <v>en-GB</v>
      </c>
    </row>
    <row r="528" spans="1:9" x14ac:dyDescent="0.15">
      <c r="A528" t="str">
        <f t="shared" ref="A528:B528" si="414">A527</f>
        <v>英語</v>
      </c>
      <c r="B528">
        <f t="shared" si="414"/>
        <v>5</v>
      </c>
      <c r="C528">
        <f t="shared" si="386"/>
        <v>62</v>
      </c>
      <c r="D528">
        <f>D484</f>
        <v>33</v>
      </c>
      <c r="E528" t="str">
        <f>VLOOKUP(D528,name!A:B,2,1)</f>
        <v>Simon</v>
      </c>
      <c r="F528" t="str">
        <f>F484</f>
        <v>あと5分遅れていたら、</v>
      </c>
      <c r="G528" t="str">
        <f t="shared" si="388"/>
        <v>a</v>
      </c>
      <c r="H528" t="str">
        <f>VLOOKUP(D528,name!A:C,3,1)</f>
        <v>assets/icons/image250.png</v>
      </c>
      <c r="I528" t="s">
        <v>402</v>
      </c>
    </row>
    <row r="529" spans="1:9" x14ac:dyDescent="0.15">
      <c r="A529" t="str">
        <f t="shared" ref="A529:B529" si="415">A528</f>
        <v>英語</v>
      </c>
      <c r="B529">
        <f t="shared" si="415"/>
        <v>5</v>
      </c>
      <c r="C529">
        <f t="shared" si="386"/>
        <v>63</v>
      </c>
      <c r="D529">
        <f>D485</f>
        <v>33</v>
      </c>
      <c r="E529" t="str">
        <f>VLOOKUP(D529,name!A:B,2,1)</f>
        <v>Simon</v>
      </c>
      <c r="F529" t="str">
        <f>F485</f>
        <v>Another five minutes</v>
      </c>
      <c r="G529" t="str">
        <f t="shared" si="388"/>
        <v>a</v>
      </c>
      <c r="H529" t="str">
        <f>VLOOKUP(D529,name!A:C,3,1)</f>
        <v>assets/icons/image250.png</v>
      </c>
      <c r="I529" t="str">
        <f>IF(A529="","",VLOOKUP(A529,lng!A:B,2,0))</f>
        <v>en-GB</v>
      </c>
    </row>
    <row r="530" spans="1:9" x14ac:dyDescent="0.15">
      <c r="A530" t="str">
        <f t="shared" ref="A530:B530" si="416">A529</f>
        <v>英語</v>
      </c>
      <c r="B530">
        <f t="shared" si="416"/>
        <v>5</v>
      </c>
      <c r="C530">
        <f t="shared" si="386"/>
        <v>64</v>
      </c>
      <c r="D530">
        <v>0</v>
      </c>
      <c r="E530" t="str">
        <f>VLOOKUP(D530,name!A:B,2,1)</f>
        <v>Player</v>
      </c>
      <c r="F530" t="str">
        <f>F485</f>
        <v>Another five minutes</v>
      </c>
      <c r="G530" t="str">
        <f t="shared" si="388"/>
        <v>q</v>
      </c>
      <c r="H530" t="str">
        <f>VLOOKUP(D530,name!A:C,3,1)</f>
        <v>assets/icons/image326.png</v>
      </c>
      <c r="I530" t="str">
        <f>IF(A530="","",VLOOKUP(A530,lng!A:B,2,0))</f>
        <v>en-GB</v>
      </c>
    </row>
    <row r="531" spans="1:9" x14ac:dyDescent="0.15">
      <c r="A531" t="str">
        <f t="shared" ref="A531:B531" si="417">A530</f>
        <v>英語</v>
      </c>
      <c r="B531">
        <f t="shared" si="417"/>
        <v>5</v>
      </c>
      <c r="C531">
        <f t="shared" si="386"/>
        <v>65</v>
      </c>
      <c r="D531">
        <f>D486</f>
        <v>33</v>
      </c>
      <c r="E531" t="str">
        <f>VLOOKUP(D531,name!A:B,2,1)</f>
        <v>Simon</v>
      </c>
      <c r="F531" t="str">
        <f>F486</f>
        <v>あきらめて</v>
      </c>
      <c r="G531" t="str">
        <f t="shared" si="388"/>
        <v>a</v>
      </c>
      <c r="H531" t="str">
        <f>VLOOKUP(D531,name!A:C,3,1)</f>
        <v>assets/icons/image250.png</v>
      </c>
      <c r="I531" t="s">
        <v>402</v>
      </c>
    </row>
    <row r="532" spans="1:9" x14ac:dyDescent="0.15">
      <c r="A532" t="str">
        <f t="shared" ref="A532:B532" si="418">A531</f>
        <v>英語</v>
      </c>
      <c r="B532">
        <f t="shared" si="418"/>
        <v>5</v>
      </c>
      <c r="C532">
        <f t="shared" si="386"/>
        <v>66</v>
      </c>
      <c r="D532">
        <f>D487</f>
        <v>33</v>
      </c>
      <c r="E532" t="str">
        <f>VLOOKUP(D532,name!A:B,2,1)</f>
        <v>Simon</v>
      </c>
      <c r="F532" t="str">
        <f>F487</f>
        <v>and I'd have thrown in the towel</v>
      </c>
      <c r="G532" t="str">
        <f t="shared" si="388"/>
        <v>a</v>
      </c>
      <c r="H532" t="str">
        <f>VLOOKUP(D532,name!A:C,3,1)</f>
        <v>assets/icons/image250.png</v>
      </c>
      <c r="I532" t="str">
        <f>IF(A532="","",VLOOKUP(A532,lng!A:B,2,0))</f>
        <v>en-GB</v>
      </c>
    </row>
    <row r="533" spans="1:9" x14ac:dyDescent="0.15">
      <c r="A533" t="str">
        <f t="shared" ref="A533:B533" si="419">A532</f>
        <v>英語</v>
      </c>
      <c r="B533">
        <f t="shared" si="419"/>
        <v>5</v>
      </c>
      <c r="C533">
        <f t="shared" ref="C533:C596" si="420">C532+1</f>
        <v>67</v>
      </c>
      <c r="D533">
        <v>0</v>
      </c>
      <c r="E533" t="str">
        <f>VLOOKUP(D533,name!A:B,2,1)</f>
        <v>Player</v>
      </c>
      <c r="F533" t="str">
        <f>F487</f>
        <v>and I'd have thrown in the towel</v>
      </c>
      <c r="G533" t="str">
        <f t="shared" si="388"/>
        <v>q</v>
      </c>
      <c r="H533" t="str">
        <f>VLOOKUP(D533,name!A:C,3,1)</f>
        <v>assets/icons/image326.png</v>
      </c>
      <c r="I533" t="str">
        <f>IF(A533="","",VLOOKUP(A533,lng!A:B,2,0))</f>
        <v>en-GB</v>
      </c>
    </row>
    <row r="534" spans="1:9" x14ac:dyDescent="0.15">
      <c r="A534" t="str">
        <f t="shared" ref="A534:B534" si="421">A533</f>
        <v>英語</v>
      </c>
      <c r="B534">
        <f t="shared" si="421"/>
        <v>5</v>
      </c>
      <c r="C534">
        <f t="shared" si="420"/>
        <v>68</v>
      </c>
      <c r="D534">
        <f>D488</f>
        <v>33</v>
      </c>
      <c r="E534" t="str">
        <f>VLOOKUP(D534,name!A:B,2,1)</f>
        <v>Simon</v>
      </c>
      <c r="F534" t="str">
        <f>F488</f>
        <v>君を置いて行っていたから。</v>
      </c>
      <c r="G534" t="str">
        <f t="shared" si="388"/>
        <v>a</v>
      </c>
      <c r="H534" t="str">
        <f>VLOOKUP(D534,name!A:C,3,1)</f>
        <v>assets/icons/image250.png</v>
      </c>
      <c r="I534" t="s">
        <v>402</v>
      </c>
    </row>
    <row r="535" spans="1:9" x14ac:dyDescent="0.15">
      <c r="A535" t="str">
        <f t="shared" ref="A535:B535" si="422">A534</f>
        <v>英語</v>
      </c>
      <c r="B535">
        <f t="shared" si="422"/>
        <v>5</v>
      </c>
      <c r="C535">
        <f t="shared" si="420"/>
        <v>69</v>
      </c>
      <c r="D535">
        <f>D489</f>
        <v>33</v>
      </c>
      <c r="E535" t="str">
        <f>VLOOKUP(D535,name!A:B,2,1)</f>
        <v>Simon</v>
      </c>
      <c r="F535" t="str">
        <f>F489</f>
        <v>and left without you.</v>
      </c>
      <c r="G535" t="str">
        <f t="shared" si="388"/>
        <v>a</v>
      </c>
      <c r="H535" t="str">
        <f>VLOOKUP(D535,name!A:C,3,1)</f>
        <v>assets/icons/image250.png</v>
      </c>
      <c r="I535" t="str">
        <f>IF(A535="","",VLOOKUP(A535,lng!A:B,2,0))</f>
        <v>en-GB</v>
      </c>
    </row>
    <row r="536" spans="1:9" x14ac:dyDescent="0.15">
      <c r="A536" t="str">
        <f t="shared" ref="A536:B536" si="423">A535</f>
        <v>英語</v>
      </c>
      <c r="B536">
        <f t="shared" si="423"/>
        <v>5</v>
      </c>
      <c r="C536">
        <f t="shared" si="420"/>
        <v>70</v>
      </c>
      <c r="D536">
        <v>0</v>
      </c>
      <c r="E536" t="str">
        <f>VLOOKUP(D536,name!A:B,2,1)</f>
        <v>Player</v>
      </c>
      <c r="F536" t="str">
        <f>F489</f>
        <v>and left without you.</v>
      </c>
      <c r="G536" t="str">
        <f t="shared" si="388"/>
        <v>q</v>
      </c>
      <c r="H536" t="str">
        <f>VLOOKUP(D536,name!A:C,3,1)</f>
        <v>assets/icons/image326.png</v>
      </c>
      <c r="I536" t="str">
        <f>IF(A536="","",VLOOKUP(A536,lng!A:B,2,0))</f>
        <v>en-GB</v>
      </c>
    </row>
    <row r="537" spans="1:9" x14ac:dyDescent="0.15">
      <c r="A537" t="str">
        <f t="shared" ref="A537:B537" si="424">A536</f>
        <v>英語</v>
      </c>
      <c r="B537">
        <f t="shared" si="424"/>
        <v>5</v>
      </c>
      <c r="C537">
        <f t="shared" si="420"/>
        <v>71</v>
      </c>
      <c r="D537">
        <f>D490</f>
        <v>29</v>
      </c>
      <c r="E537" t="str">
        <f>VLOOKUP(D537,name!A:B,2,1)</f>
        <v>Eri</v>
      </c>
      <c r="F537" t="str">
        <f>F490</f>
        <v>そんなこと言わないで</v>
      </c>
      <c r="G537" t="str">
        <f t="shared" si="388"/>
        <v>a</v>
      </c>
      <c r="H537" t="str">
        <f>VLOOKUP(D537,name!A:C,3,1)</f>
        <v>assets/icons/image209.png</v>
      </c>
      <c r="I537" t="s">
        <v>402</v>
      </c>
    </row>
    <row r="538" spans="1:9" x14ac:dyDescent="0.15">
      <c r="A538" t="str">
        <f t="shared" ref="A538:B538" si="425">A537</f>
        <v>英語</v>
      </c>
      <c r="B538">
        <f t="shared" si="425"/>
        <v>5</v>
      </c>
      <c r="C538">
        <f t="shared" si="420"/>
        <v>72</v>
      </c>
      <c r="D538">
        <f>D491</f>
        <v>29</v>
      </c>
      <c r="E538" t="str">
        <f>VLOOKUP(D538,name!A:B,2,1)</f>
        <v>Eri</v>
      </c>
      <c r="F538" t="str">
        <f>F491</f>
        <v>Oh, don't say that!</v>
      </c>
      <c r="G538" t="str">
        <f t="shared" si="388"/>
        <v>a</v>
      </c>
      <c r="H538" t="str">
        <f>VLOOKUP(D538,name!A:C,3,1)</f>
        <v>assets/icons/image209.png</v>
      </c>
      <c r="I538" t="str">
        <f>IF(A538="","",VLOOKUP(A538,lng!A:B,2,0))</f>
        <v>en-GB</v>
      </c>
    </row>
    <row r="539" spans="1:9" x14ac:dyDescent="0.15">
      <c r="A539" t="str">
        <f t="shared" ref="A539:B539" si="426">A538</f>
        <v>英語</v>
      </c>
      <c r="B539">
        <f t="shared" si="426"/>
        <v>5</v>
      </c>
      <c r="C539">
        <f t="shared" si="420"/>
        <v>73</v>
      </c>
      <c r="D539">
        <v>0</v>
      </c>
      <c r="E539" t="str">
        <f>VLOOKUP(D539,name!A:B,2,1)</f>
        <v>Player</v>
      </c>
      <c r="F539" t="str">
        <f>F491</f>
        <v>Oh, don't say that!</v>
      </c>
      <c r="G539" t="str">
        <f t="shared" si="388"/>
        <v>q</v>
      </c>
      <c r="H539" t="str">
        <f>VLOOKUP(D539,name!A:C,3,1)</f>
        <v>assets/icons/image326.png</v>
      </c>
      <c r="I539" t="str">
        <f>IF(A539="","",VLOOKUP(A539,lng!A:B,2,0))</f>
        <v>en-GB</v>
      </c>
    </row>
    <row r="540" spans="1:9" x14ac:dyDescent="0.15">
      <c r="A540" t="str">
        <f t="shared" ref="A540:B540" si="427">A539</f>
        <v>英語</v>
      </c>
      <c r="B540">
        <f t="shared" si="427"/>
        <v>5</v>
      </c>
      <c r="C540">
        <f t="shared" si="420"/>
        <v>74</v>
      </c>
      <c r="D540">
        <f>D492</f>
        <v>29</v>
      </c>
      <c r="E540" t="str">
        <f>VLOOKUP(D540,name!A:B,2,1)</f>
        <v>Eri</v>
      </c>
      <c r="F540" t="str">
        <f>F492</f>
        <v>私がどれだけケンブリッジに行くことを楽しみにしていたか知っているでしょ。</v>
      </c>
      <c r="G540" t="str">
        <f t="shared" si="388"/>
        <v>a</v>
      </c>
      <c r="H540" t="str">
        <f>VLOOKUP(D540,name!A:C,3,1)</f>
        <v>assets/icons/image209.png</v>
      </c>
      <c r="I540" t="s">
        <v>402</v>
      </c>
    </row>
    <row r="541" spans="1:9" x14ac:dyDescent="0.15">
      <c r="A541" t="str">
        <f t="shared" ref="A541:B541" si="428">A540</f>
        <v>英語</v>
      </c>
      <c r="B541">
        <f t="shared" si="428"/>
        <v>5</v>
      </c>
      <c r="C541">
        <f t="shared" si="420"/>
        <v>75</v>
      </c>
      <c r="D541">
        <f>D493</f>
        <v>29</v>
      </c>
      <c r="E541" t="str">
        <f>VLOOKUP(D541,name!A:B,2,1)</f>
        <v>Eri</v>
      </c>
      <c r="F541" t="str">
        <f>F493</f>
        <v>You know how much I've been looking forward to going to Cambridge.</v>
      </c>
      <c r="G541" t="str">
        <f t="shared" si="388"/>
        <v>a</v>
      </c>
      <c r="H541" t="str">
        <f>VLOOKUP(D541,name!A:C,3,1)</f>
        <v>assets/icons/image209.png</v>
      </c>
      <c r="I541" t="str">
        <f>IF(A541="","",VLOOKUP(A541,lng!A:B,2,0))</f>
        <v>en-GB</v>
      </c>
    </row>
    <row r="542" spans="1:9" x14ac:dyDescent="0.15">
      <c r="A542" t="str">
        <f t="shared" ref="A542:B542" si="429">A541</f>
        <v>英語</v>
      </c>
      <c r="B542">
        <f t="shared" si="429"/>
        <v>5</v>
      </c>
      <c r="C542">
        <f t="shared" si="420"/>
        <v>76</v>
      </c>
      <c r="D542">
        <v>0</v>
      </c>
      <c r="E542" t="str">
        <f>VLOOKUP(D542,name!A:B,2,1)</f>
        <v>Player</v>
      </c>
      <c r="F542" t="str">
        <f>F493</f>
        <v>You know how much I've been looking forward to going to Cambridge.</v>
      </c>
      <c r="G542" t="str">
        <f t="shared" ref="G542:G605" si="430">IF(B542&lt;&gt;B543,"e",IF(D542=0,"q","a"))</f>
        <v>q</v>
      </c>
      <c r="H542" t="str">
        <f>VLOOKUP(D542,name!A:C,3,1)</f>
        <v>assets/icons/image326.png</v>
      </c>
      <c r="I542" t="str">
        <f>IF(A542="","",VLOOKUP(A542,lng!A:B,2,0))</f>
        <v>en-GB</v>
      </c>
    </row>
    <row r="543" spans="1:9" x14ac:dyDescent="0.15">
      <c r="A543" t="str">
        <f t="shared" ref="A543:B543" si="431">A542</f>
        <v>英語</v>
      </c>
      <c r="B543">
        <f t="shared" si="431"/>
        <v>5</v>
      </c>
      <c r="C543">
        <f t="shared" si="420"/>
        <v>77</v>
      </c>
      <c r="D543">
        <f>D494</f>
        <v>29</v>
      </c>
      <c r="E543" t="str">
        <f>VLOOKUP(D543,name!A:B,2,1)</f>
        <v>Eri</v>
      </c>
      <c r="F543" t="str">
        <f>F494</f>
        <v>どこで切符を急いで買えばいいの？</v>
      </c>
      <c r="G543" t="str">
        <f t="shared" si="430"/>
        <v>a</v>
      </c>
      <c r="H543" t="str">
        <f>VLOOKUP(D543,name!A:C,3,1)</f>
        <v>assets/icons/image209.png</v>
      </c>
      <c r="I543" t="s">
        <v>402</v>
      </c>
    </row>
    <row r="544" spans="1:9" x14ac:dyDescent="0.15">
      <c r="A544" t="str">
        <f t="shared" ref="A544:B544" si="432">A543</f>
        <v>英語</v>
      </c>
      <c r="B544">
        <f t="shared" si="432"/>
        <v>5</v>
      </c>
      <c r="C544">
        <f t="shared" si="420"/>
        <v>78</v>
      </c>
      <c r="D544">
        <f>D495</f>
        <v>29</v>
      </c>
      <c r="E544" t="str">
        <f>VLOOKUP(D544,name!A:B,2,1)</f>
        <v>Eri</v>
      </c>
      <c r="F544" t="str">
        <f>F495</f>
        <v>Where can I get a ticket in a hurry?</v>
      </c>
      <c r="G544" t="str">
        <f t="shared" si="430"/>
        <v>a</v>
      </c>
      <c r="H544" t="str">
        <f>VLOOKUP(D544,name!A:C,3,1)</f>
        <v>assets/icons/image209.png</v>
      </c>
      <c r="I544" t="str">
        <f>IF(A544="","",VLOOKUP(A544,lng!A:B,2,0))</f>
        <v>en-GB</v>
      </c>
    </row>
    <row r="545" spans="1:9" x14ac:dyDescent="0.15">
      <c r="A545" t="str">
        <f t="shared" ref="A545:B545" si="433">A544</f>
        <v>英語</v>
      </c>
      <c r="B545">
        <f t="shared" si="433"/>
        <v>5</v>
      </c>
      <c r="C545">
        <f t="shared" si="420"/>
        <v>79</v>
      </c>
      <c r="D545">
        <v>0</v>
      </c>
      <c r="E545" t="str">
        <f>VLOOKUP(D545,name!A:B,2,1)</f>
        <v>Player</v>
      </c>
      <c r="F545" t="str">
        <f>F495</f>
        <v>Where can I get a ticket in a hurry?</v>
      </c>
      <c r="G545" t="str">
        <f t="shared" si="430"/>
        <v>q</v>
      </c>
      <c r="H545" t="str">
        <f>VLOOKUP(D545,name!A:C,3,1)</f>
        <v>assets/icons/image326.png</v>
      </c>
      <c r="I545" t="str">
        <f>IF(A545="","",VLOOKUP(A545,lng!A:B,2,0))</f>
        <v>en-GB</v>
      </c>
    </row>
    <row r="546" spans="1:9" x14ac:dyDescent="0.15">
      <c r="A546" t="str">
        <f t="shared" ref="A546:B546" si="434">A545</f>
        <v>英語</v>
      </c>
      <c r="B546">
        <f t="shared" si="434"/>
        <v>5</v>
      </c>
      <c r="C546">
        <f t="shared" si="420"/>
        <v>80</v>
      </c>
      <c r="D546">
        <f>D496</f>
        <v>29</v>
      </c>
      <c r="E546" t="str">
        <f>VLOOKUP(D546,name!A:B,2,1)</f>
        <v>Eri</v>
      </c>
      <c r="F546" t="str">
        <f>F496</f>
        <v>この販売機のどれか ?</v>
      </c>
      <c r="G546" t="str">
        <f t="shared" si="430"/>
        <v>a</v>
      </c>
      <c r="H546" t="str">
        <f>VLOOKUP(D546,name!A:C,3,1)</f>
        <v>assets/icons/image209.png</v>
      </c>
      <c r="I546" t="s">
        <v>402</v>
      </c>
    </row>
    <row r="547" spans="1:9" x14ac:dyDescent="0.15">
      <c r="A547" t="str">
        <f t="shared" ref="A547:B547" si="435">A546</f>
        <v>英語</v>
      </c>
      <c r="B547">
        <f t="shared" si="435"/>
        <v>5</v>
      </c>
      <c r="C547">
        <f t="shared" si="420"/>
        <v>81</v>
      </c>
      <c r="D547">
        <f>D497</f>
        <v>29</v>
      </c>
      <c r="E547" t="str">
        <f>VLOOKUP(D547,name!A:B,2,1)</f>
        <v>Eri</v>
      </c>
      <c r="F547" t="str">
        <f>F497</f>
        <v>From one of those machines?</v>
      </c>
      <c r="G547" t="str">
        <f t="shared" si="430"/>
        <v>a</v>
      </c>
      <c r="H547" t="str">
        <f>VLOOKUP(D547,name!A:C,3,1)</f>
        <v>assets/icons/image209.png</v>
      </c>
      <c r="I547" t="str">
        <f>IF(A547="","",VLOOKUP(A547,lng!A:B,2,0))</f>
        <v>en-GB</v>
      </c>
    </row>
    <row r="548" spans="1:9" x14ac:dyDescent="0.15">
      <c r="A548" t="str">
        <f t="shared" ref="A548:B548" si="436">A547</f>
        <v>英語</v>
      </c>
      <c r="B548">
        <f t="shared" si="436"/>
        <v>5</v>
      </c>
      <c r="C548">
        <f t="shared" si="420"/>
        <v>82</v>
      </c>
      <c r="D548">
        <v>0</v>
      </c>
      <c r="E548" t="str">
        <f>VLOOKUP(D548,name!A:B,2,1)</f>
        <v>Player</v>
      </c>
      <c r="F548" t="str">
        <f>F497</f>
        <v>From one of those machines?</v>
      </c>
      <c r="G548" t="str">
        <f t="shared" si="430"/>
        <v>q</v>
      </c>
      <c r="H548" t="str">
        <f>VLOOKUP(D548,name!A:C,3,1)</f>
        <v>assets/icons/image326.png</v>
      </c>
      <c r="I548" t="str">
        <f>IF(A548="","",VLOOKUP(A548,lng!A:B,2,0))</f>
        <v>en-GB</v>
      </c>
    </row>
    <row r="549" spans="1:9" x14ac:dyDescent="0.15">
      <c r="A549" t="str">
        <f t="shared" ref="A549:B549" si="437">A548</f>
        <v>英語</v>
      </c>
      <c r="B549">
        <f t="shared" si="437"/>
        <v>5</v>
      </c>
      <c r="C549">
        <f t="shared" si="420"/>
        <v>83</v>
      </c>
      <c r="D549">
        <f>D498</f>
        <v>33</v>
      </c>
      <c r="E549" t="str">
        <f>VLOOKUP(D549,name!A:B,2,1)</f>
        <v>Simon</v>
      </c>
      <c r="F549" t="str">
        <f>F498</f>
        <v>ふつうは販売機か窓口で買うけど、</v>
      </c>
      <c r="G549" t="str">
        <f t="shared" si="430"/>
        <v>a</v>
      </c>
      <c r="H549" t="str">
        <f>VLOOKUP(D549,name!A:C,3,1)</f>
        <v>assets/icons/image250.png</v>
      </c>
      <c r="I549" t="s">
        <v>402</v>
      </c>
    </row>
    <row r="550" spans="1:9" x14ac:dyDescent="0.15">
      <c r="A550" t="str">
        <f t="shared" ref="A550:B550" si="438">A549</f>
        <v>英語</v>
      </c>
      <c r="B550">
        <f t="shared" si="438"/>
        <v>5</v>
      </c>
      <c r="C550">
        <f t="shared" si="420"/>
        <v>84</v>
      </c>
      <c r="D550">
        <f>D499</f>
        <v>33</v>
      </c>
      <c r="E550" t="str">
        <f>VLOOKUP(D550,name!A:B,2,1)</f>
        <v>Simon</v>
      </c>
      <c r="F550" t="str">
        <f>F499</f>
        <v>Usually you can buy one from a machine, or the ticket window,</v>
      </c>
      <c r="G550" t="str">
        <f t="shared" si="430"/>
        <v>a</v>
      </c>
      <c r="H550" t="str">
        <f>VLOOKUP(D550,name!A:C,3,1)</f>
        <v>assets/icons/image250.png</v>
      </c>
      <c r="I550" t="str">
        <f>IF(A550="","",VLOOKUP(A550,lng!A:B,2,0))</f>
        <v>en-GB</v>
      </c>
    </row>
    <row r="551" spans="1:9" x14ac:dyDescent="0.15">
      <c r="A551" t="str">
        <f t="shared" ref="A551:B551" si="439">A550</f>
        <v>英語</v>
      </c>
      <c r="B551">
        <f t="shared" si="439"/>
        <v>5</v>
      </c>
      <c r="C551">
        <f t="shared" si="420"/>
        <v>85</v>
      </c>
      <c r="D551">
        <v>0</v>
      </c>
      <c r="E551" t="str">
        <f>VLOOKUP(D551,name!A:B,2,1)</f>
        <v>Player</v>
      </c>
      <c r="F551" t="str">
        <f>F499</f>
        <v>Usually you can buy one from a machine, or the ticket window,</v>
      </c>
      <c r="G551" t="str">
        <f t="shared" si="430"/>
        <v>q</v>
      </c>
      <c r="H551" t="str">
        <f>VLOOKUP(D551,name!A:C,3,1)</f>
        <v>assets/icons/image326.png</v>
      </c>
      <c r="I551" t="str">
        <f>IF(A551="","",VLOOKUP(A551,lng!A:B,2,0))</f>
        <v>en-GB</v>
      </c>
    </row>
    <row r="552" spans="1:9" x14ac:dyDescent="0.15">
      <c r="A552" t="str">
        <f t="shared" ref="A552:B552" si="440">A551</f>
        <v>英語</v>
      </c>
      <c r="B552">
        <f t="shared" si="440"/>
        <v>5</v>
      </c>
      <c r="C552">
        <f t="shared" si="420"/>
        <v>86</v>
      </c>
      <c r="D552">
        <f>D500</f>
        <v>33</v>
      </c>
      <c r="E552" t="str">
        <f>VLOOKUP(D552,name!A:B,2,1)</f>
        <v>Simon</v>
      </c>
      <c r="F552" t="str">
        <f>F500</f>
        <v>もう「トレインライン」のウェブサイトで2枚分買っておいた</v>
      </c>
      <c r="G552" t="str">
        <f t="shared" si="430"/>
        <v>a</v>
      </c>
      <c r="H552" t="str">
        <f>VLOOKUP(D552,name!A:C,3,1)</f>
        <v>assets/icons/image250.png</v>
      </c>
      <c r="I552" t="s">
        <v>402</v>
      </c>
    </row>
    <row r="553" spans="1:9" x14ac:dyDescent="0.15">
      <c r="A553" t="str">
        <f t="shared" ref="A553:B553" si="441">A552</f>
        <v>英語</v>
      </c>
      <c r="B553">
        <f t="shared" si="441"/>
        <v>5</v>
      </c>
      <c r="C553">
        <f t="shared" si="420"/>
        <v>87</v>
      </c>
      <c r="D553">
        <f>D501</f>
        <v>33</v>
      </c>
      <c r="E553" t="str">
        <f>VLOOKUP(D553,name!A:B,2,1)</f>
        <v>Simon</v>
      </c>
      <c r="F553" t="str">
        <f>F501</f>
        <v>but I bought both our tickets from the Trainline website;</v>
      </c>
      <c r="G553" t="str">
        <f t="shared" si="430"/>
        <v>a</v>
      </c>
      <c r="H553" t="str">
        <f>VLOOKUP(D553,name!A:C,3,1)</f>
        <v>assets/icons/image250.png</v>
      </c>
      <c r="I553" t="str">
        <f>IF(A553="","",VLOOKUP(A553,lng!A:B,2,0))</f>
        <v>en-GB</v>
      </c>
    </row>
    <row r="554" spans="1:9" x14ac:dyDescent="0.15">
      <c r="A554" t="str">
        <f t="shared" ref="A554:B554" si="442">A553</f>
        <v>英語</v>
      </c>
      <c r="B554">
        <f t="shared" si="442"/>
        <v>5</v>
      </c>
      <c r="C554">
        <f t="shared" si="420"/>
        <v>88</v>
      </c>
      <c r="D554">
        <v>0</v>
      </c>
      <c r="E554" t="str">
        <f>VLOOKUP(D554,name!A:B,2,1)</f>
        <v>Player</v>
      </c>
      <c r="F554" t="str">
        <f>F501</f>
        <v>but I bought both our tickets from the Trainline website;</v>
      </c>
      <c r="G554" t="str">
        <f t="shared" si="430"/>
        <v>q</v>
      </c>
      <c r="H554" t="str">
        <f>VLOOKUP(D554,name!A:C,3,1)</f>
        <v>assets/icons/image326.png</v>
      </c>
      <c r="I554" t="str">
        <f>IF(A554="","",VLOOKUP(A554,lng!A:B,2,0))</f>
        <v>en-GB</v>
      </c>
    </row>
    <row r="555" spans="1:9" x14ac:dyDescent="0.15">
      <c r="A555" t="str">
        <f t="shared" ref="A555:B555" si="443">A554</f>
        <v>英語</v>
      </c>
      <c r="B555">
        <f t="shared" si="443"/>
        <v>5</v>
      </c>
      <c r="C555">
        <f t="shared" si="420"/>
        <v>89</v>
      </c>
      <c r="D555">
        <f>D502</f>
        <v>33</v>
      </c>
      <c r="E555" t="str">
        <f>VLOOKUP(D555,name!A:B,2,1)</f>
        <v>Simon</v>
      </c>
      <c r="F555" t="str">
        <f>F502</f>
        <v>そのほうがずっと安いから。</v>
      </c>
      <c r="G555" t="str">
        <f t="shared" si="430"/>
        <v>a</v>
      </c>
      <c r="H555" t="str">
        <f>VLOOKUP(D555,name!A:C,3,1)</f>
        <v>assets/icons/image250.png</v>
      </c>
      <c r="I555" t="s">
        <v>402</v>
      </c>
    </row>
    <row r="556" spans="1:9" x14ac:dyDescent="0.15">
      <c r="A556" t="str">
        <f t="shared" ref="A556:B556" si="444">A555</f>
        <v>英語</v>
      </c>
      <c r="B556">
        <f t="shared" si="444"/>
        <v>5</v>
      </c>
      <c r="C556">
        <f t="shared" si="420"/>
        <v>90</v>
      </c>
      <c r="D556">
        <f>D503</f>
        <v>33</v>
      </c>
      <c r="E556" t="str">
        <f>VLOOKUP(D556,name!A:B,2,1)</f>
        <v>Simon</v>
      </c>
      <c r="F556" t="str">
        <f>F503</f>
        <v xml:space="preserve">it's much cheaper. </v>
      </c>
      <c r="G556" t="str">
        <f t="shared" si="430"/>
        <v>a</v>
      </c>
      <c r="H556" t="str">
        <f>VLOOKUP(D556,name!A:C,3,1)</f>
        <v>assets/icons/image250.png</v>
      </c>
      <c r="I556" t="str">
        <f>IF(A556="","",VLOOKUP(A556,lng!A:B,2,0))</f>
        <v>en-GB</v>
      </c>
    </row>
    <row r="557" spans="1:9" x14ac:dyDescent="0.15">
      <c r="A557" t="str">
        <f t="shared" ref="A557:B557" si="445">A556</f>
        <v>英語</v>
      </c>
      <c r="B557">
        <f t="shared" si="445"/>
        <v>5</v>
      </c>
      <c r="C557">
        <f t="shared" si="420"/>
        <v>91</v>
      </c>
      <c r="D557">
        <v>0</v>
      </c>
      <c r="E557" t="str">
        <f>VLOOKUP(D557,name!A:B,2,1)</f>
        <v>Player</v>
      </c>
      <c r="F557" t="str">
        <f>F503</f>
        <v xml:space="preserve">it's much cheaper. </v>
      </c>
      <c r="G557" t="str">
        <f t="shared" si="430"/>
        <v>q</v>
      </c>
      <c r="H557" t="str">
        <f>VLOOKUP(D557,name!A:C,3,1)</f>
        <v>assets/icons/image326.png</v>
      </c>
      <c r="I557" t="str">
        <f>IF(A557="","",VLOOKUP(A557,lng!A:B,2,0))</f>
        <v>en-GB</v>
      </c>
    </row>
    <row r="558" spans="1:9" x14ac:dyDescent="0.15">
      <c r="A558" t="str">
        <f t="shared" ref="A558:B558" si="446">A557</f>
        <v>英語</v>
      </c>
      <c r="B558">
        <f t="shared" si="446"/>
        <v>5</v>
      </c>
      <c r="C558">
        <f t="shared" si="420"/>
        <v>92</v>
      </c>
      <c r="D558">
        <f>D504</f>
        <v>33</v>
      </c>
      <c r="E558" t="str">
        <f>VLOOKUP(D558,name!A:B,2,1)</f>
        <v>Simon</v>
      </c>
      <c r="F558" t="str">
        <f>F504</f>
        <v>どうぞ。</v>
      </c>
      <c r="G558" t="str">
        <f t="shared" si="430"/>
        <v>a</v>
      </c>
      <c r="H558" t="str">
        <f>VLOOKUP(D558,name!A:C,3,1)</f>
        <v>assets/icons/image250.png</v>
      </c>
      <c r="I558" t="s">
        <v>402</v>
      </c>
    </row>
    <row r="559" spans="1:9" x14ac:dyDescent="0.15">
      <c r="A559" t="str">
        <f t="shared" ref="A559:B559" si="447">A558</f>
        <v>英語</v>
      </c>
      <c r="B559">
        <f t="shared" si="447"/>
        <v>5</v>
      </c>
      <c r="C559">
        <f t="shared" si="420"/>
        <v>93</v>
      </c>
      <c r="D559">
        <f>D505</f>
        <v>33</v>
      </c>
      <c r="E559" t="str">
        <f>VLOOKUP(D559,name!A:B,2,1)</f>
        <v>Simon</v>
      </c>
      <c r="F559" t="str">
        <f>F505</f>
        <v>Here's yours.</v>
      </c>
      <c r="G559" t="str">
        <f t="shared" si="430"/>
        <v>a</v>
      </c>
      <c r="H559" t="str">
        <f>VLOOKUP(D559,name!A:C,3,1)</f>
        <v>assets/icons/image250.png</v>
      </c>
      <c r="I559" t="str">
        <f>IF(A559="","",VLOOKUP(A559,lng!A:B,2,0))</f>
        <v>en-GB</v>
      </c>
    </row>
    <row r="560" spans="1:9" x14ac:dyDescent="0.15">
      <c r="A560" t="str">
        <f t="shared" ref="A560:B560" si="448">A559</f>
        <v>英語</v>
      </c>
      <c r="B560">
        <f t="shared" si="448"/>
        <v>5</v>
      </c>
      <c r="C560">
        <f t="shared" si="420"/>
        <v>94</v>
      </c>
      <c r="D560">
        <v>0</v>
      </c>
      <c r="E560" t="str">
        <f>VLOOKUP(D560,name!A:B,2,1)</f>
        <v>Player</v>
      </c>
      <c r="F560" t="str">
        <f>F505</f>
        <v>Here's yours.</v>
      </c>
      <c r="G560" t="str">
        <f t="shared" si="430"/>
        <v>q</v>
      </c>
      <c r="H560" t="str">
        <f>VLOOKUP(D560,name!A:C,3,1)</f>
        <v>assets/icons/image326.png</v>
      </c>
      <c r="I560" t="str">
        <f>IF(A560="","",VLOOKUP(A560,lng!A:B,2,0))</f>
        <v>en-GB</v>
      </c>
    </row>
    <row r="561" spans="1:9" x14ac:dyDescent="0.15">
      <c r="A561" t="str">
        <f t="shared" ref="A561:B561" si="449">A560</f>
        <v>英語</v>
      </c>
      <c r="B561">
        <f t="shared" si="449"/>
        <v>5</v>
      </c>
      <c r="C561">
        <f t="shared" si="420"/>
        <v>95</v>
      </c>
      <c r="D561">
        <v>1</v>
      </c>
      <c r="E561" t="str">
        <f>VLOOKUP(D561,name!A:B,2,1)</f>
        <v>Navigator</v>
      </c>
      <c r="F561" t="str">
        <f>"次の日本語を"&amp;A561&amp;"に訳して答えてね！"</f>
        <v>次の日本語を英語に訳して答えてね！</v>
      </c>
      <c r="G561" t="str">
        <f t="shared" si="430"/>
        <v>a</v>
      </c>
      <c r="H561" t="str">
        <f>VLOOKUP(D561,name!A:C,3,1)</f>
        <v>assets/icons/image014.png</v>
      </c>
      <c r="I561" t="s">
        <v>402</v>
      </c>
    </row>
    <row r="562" spans="1:9" x14ac:dyDescent="0.15">
      <c r="A562" t="str">
        <f t="shared" ref="A562:B562" si="450">A561</f>
        <v>英語</v>
      </c>
      <c r="B562">
        <f t="shared" si="450"/>
        <v>5</v>
      </c>
      <c r="C562">
        <f t="shared" si="420"/>
        <v>96</v>
      </c>
      <c r="D562">
        <f>D470</f>
        <v>29</v>
      </c>
      <c r="E562" t="str">
        <f>VLOOKUP(D562,name!A:B,2,1)</f>
        <v>Eri</v>
      </c>
      <c r="F562" t="str">
        <f t="shared" ref="F562:F597" si="451">F470</f>
        <v>(息切れ) すみません、遅くなりました。</v>
      </c>
      <c r="G562" t="str">
        <f t="shared" si="430"/>
        <v>a</v>
      </c>
      <c r="H562" t="str">
        <f>VLOOKUP(D562,name!A:C,3,1)</f>
        <v>assets/icons/image209.png</v>
      </c>
      <c r="I562" t="s">
        <v>402</v>
      </c>
    </row>
    <row r="563" spans="1:9" x14ac:dyDescent="0.15">
      <c r="A563" t="str">
        <f t="shared" ref="A563:B563" si="452">A562</f>
        <v>英語</v>
      </c>
      <c r="B563">
        <f t="shared" si="452"/>
        <v>5</v>
      </c>
      <c r="C563">
        <f t="shared" si="420"/>
        <v>97</v>
      </c>
      <c r="D563">
        <v>0</v>
      </c>
      <c r="E563" t="str">
        <f>VLOOKUP(D563,name!A:B,2,1)</f>
        <v>Player</v>
      </c>
      <c r="F563" t="str">
        <f t="shared" si="451"/>
        <v>(Panting) Sorry, I'm late.</v>
      </c>
      <c r="G563" t="str">
        <f t="shared" si="430"/>
        <v>q</v>
      </c>
      <c r="H563" t="str">
        <f>VLOOKUP(D563,name!A:C,3,1)</f>
        <v>assets/icons/image326.png</v>
      </c>
      <c r="I563" t="str">
        <f>IF(A563="","",VLOOKUP(A563,lng!A:B,2,0))</f>
        <v>en-GB</v>
      </c>
    </row>
    <row r="564" spans="1:9" x14ac:dyDescent="0.15">
      <c r="A564" t="str">
        <f t="shared" ref="A564:B564" si="453">A563</f>
        <v>英語</v>
      </c>
      <c r="B564">
        <f t="shared" si="453"/>
        <v>5</v>
      </c>
      <c r="C564">
        <f t="shared" si="420"/>
        <v>98</v>
      </c>
      <c r="D564">
        <f>D472</f>
        <v>29</v>
      </c>
      <c r="E564" t="str">
        <f>VLOOKUP(D564,name!A:B,2,1)</f>
        <v>Eri</v>
      </c>
      <c r="F564" t="str">
        <f t="shared" si="451"/>
        <v>今日でサマータイムに変わるなんて知らなかった。</v>
      </c>
      <c r="G564" t="str">
        <f t="shared" si="430"/>
        <v>a</v>
      </c>
      <c r="H564" t="str">
        <f>VLOOKUP(D564,name!A:C,3,1)</f>
        <v>assets/icons/image209.png</v>
      </c>
      <c r="I564" t="s">
        <v>402</v>
      </c>
    </row>
    <row r="565" spans="1:9" x14ac:dyDescent="0.15">
      <c r="A565" t="str">
        <f t="shared" ref="A565:B565" si="454">A564</f>
        <v>英語</v>
      </c>
      <c r="B565">
        <f t="shared" si="454"/>
        <v>5</v>
      </c>
      <c r="C565">
        <f t="shared" si="420"/>
        <v>99</v>
      </c>
      <c r="D565">
        <v>0</v>
      </c>
      <c r="E565" t="str">
        <f>VLOOKUP(D565,name!A:B,2,1)</f>
        <v>Player</v>
      </c>
      <c r="F565" t="str">
        <f t="shared" si="451"/>
        <v>I didn't know about changing to summer time today.</v>
      </c>
      <c r="G565" t="str">
        <f t="shared" si="430"/>
        <v>q</v>
      </c>
      <c r="H565" t="str">
        <f>VLOOKUP(D565,name!A:C,3,1)</f>
        <v>assets/icons/image326.png</v>
      </c>
      <c r="I565" t="str">
        <f>IF(A565="","",VLOOKUP(A565,lng!A:B,2,0))</f>
        <v>en-GB</v>
      </c>
    </row>
    <row r="566" spans="1:9" x14ac:dyDescent="0.15">
      <c r="A566" t="str">
        <f t="shared" ref="A566:B566" si="455">A565</f>
        <v>英語</v>
      </c>
      <c r="B566">
        <f t="shared" si="455"/>
        <v>5</v>
      </c>
      <c r="C566">
        <f t="shared" si="420"/>
        <v>100</v>
      </c>
      <c r="D566">
        <f>D474</f>
        <v>29</v>
      </c>
      <c r="E566" t="str">
        <f>VLOOKUP(D566,name!A:B,2,1)</f>
        <v>Eri</v>
      </c>
      <c r="F566" t="str">
        <f t="shared" si="451"/>
        <v>夏とは思えない！</v>
      </c>
      <c r="G566" t="str">
        <f t="shared" si="430"/>
        <v>a</v>
      </c>
      <c r="H566" t="str">
        <f>VLOOKUP(D566,name!A:C,3,1)</f>
        <v>assets/icons/image209.png</v>
      </c>
      <c r="I566" t="s">
        <v>402</v>
      </c>
    </row>
    <row r="567" spans="1:9" x14ac:dyDescent="0.15">
      <c r="A567" t="str">
        <f t="shared" ref="A567:B567" si="456">A566</f>
        <v>英語</v>
      </c>
      <c r="B567">
        <f t="shared" si="456"/>
        <v>5</v>
      </c>
      <c r="C567">
        <f t="shared" si="420"/>
        <v>101</v>
      </c>
      <c r="D567">
        <v>0</v>
      </c>
      <c r="E567" t="str">
        <f>VLOOKUP(D567,name!A:B,2,1)</f>
        <v>Player</v>
      </c>
      <c r="F567" t="str">
        <f t="shared" si="451"/>
        <v>It doesn't feel like summer to me!</v>
      </c>
      <c r="G567" t="str">
        <f t="shared" si="430"/>
        <v>q</v>
      </c>
      <c r="H567" t="str">
        <f>VLOOKUP(D567,name!A:C,3,1)</f>
        <v>assets/icons/image326.png</v>
      </c>
      <c r="I567" t="str">
        <f>IF(A567="","",VLOOKUP(A567,lng!A:B,2,0))</f>
        <v>en-GB</v>
      </c>
    </row>
    <row r="568" spans="1:9" x14ac:dyDescent="0.15">
      <c r="A568" t="str">
        <f t="shared" ref="A568:B568" si="457">A567</f>
        <v>英語</v>
      </c>
      <c r="B568">
        <f t="shared" si="457"/>
        <v>5</v>
      </c>
      <c r="C568">
        <f t="shared" si="420"/>
        <v>102</v>
      </c>
      <c r="D568">
        <f>D476</f>
        <v>29</v>
      </c>
      <c r="E568" t="str">
        <f>VLOOKUP(D568,name!A:B,2,1)</f>
        <v>Eri</v>
      </c>
      <c r="F568" t="str">
        <f t="shared" si="451"/>
        <v>すごく寒い。</v>
      </c>
      <c r="G568" t="str">
        <f t="shared" si="430"/>
        <v>a</v>
      </c>
      <c r="H568" t="str">
        <f>VLOOKUP(D568,name!A:C,3,1)</f>
        <v>assets/icons/image209.png</v>
      </c>
      <c r="I568" t="s">
        <v>402</v>
      </c>
    </row>
    <row r="569" spans="1:9" x14ac:dyDescent="0.15">
      <c r="A569" t="str">
        <f t="shared" ref="A569:B569" si="458">A568</f>
        <v>英語</v>
      </c>
      <c r="B569">
        <f t="shared" si="458"/>
        <v>5</v>
      </c>
      <c r="C569">
        <f t="shared" si="420"/>
        <v>103</v>
      </c>
      <c r="D569">
        <v>0</v>
      </c>
      <c r="E569" t="str">
        <f>VLOOKUP(D569,name!A:B,2,1)</f>
        <v>Player</v>
      </c>
      <c r="F569" t="str">
        <f t="shared" si="451"/>
        <v>It's freezing.</v>
      </c>
      <c r="G569" t="str">
        <f t="shared" si="430"/>
        <v>q</v>
      </c>
      <c r="H569" t="str">
        <f>VLOOKUP(D569,name!A:C,3,1)</f>
        <v>assets/icons/image326.png</v>
      </c>
      <c r="I569" t="str">
        <f>IF(A569="","",VLOOKUP(A569,lng!A:B,2,0))</f>
        <v>en-GB</v>
      </c>
    </row>
    <row r="570" spans="1:9" x14ac:dyDescent="0.15">
      <c r="A570" t="str">
        <f t="shared" ref="A570:B570" si="459">A569</f>
        <v>英語</v>
      </c>
      <c r="B570">
        <f t="shared" si="459"/>
        <v>5</v>
      </c>
      <c r="C570">
        <f t="shared" si="420"/>
        <v>104</v>
      </c>
      <c r="D570">
        <f>D478</f>
        <v>33</v>
      </c>
      <c r="E570" t="str">
        <f>VLOOKUP(D570,name!A:B,2,1)</f>
        <v>Simon</v>
      </c>
      <c r="F570" t="str">
        <f t="shared" si="451"/>
        <v>本当に私のせいだと思います。</v>
      </c>
      <c r="G570" t="str">
        <f t="shared" si="430"/>
        <v>a</v>
      </c>
      <c r="H570" t="str">
        <f>VLOOKUP(D570,name!A:C,3,1)</f>
        <v>assets/icons/image250.png</v>
      </c>
      <c r="I570" t="s">
        <v>402</v>
      </c>
    </row>
    <row r="571" spans="1:9" x14ac:dyDescent="0.15">
      <c r="A571" t="str">
        <f t="shared" ref="A571:B571" si="460">A570</f>
        <v>英語</v>
      </c>
      <c r="B571">
        <f t="shared" si="460"/>
        <v>5</v>
      </c>
      <c r="C571">
        <f t="shared" si="420"/>
        <v>105</v>
      </c>
      <c r="D571">
        <v>0</v>
      </c>
      <c r="E571" t="str">
        <f>VLOOKUP(D571,name!A:B,2,1)</f>
        <v>Player</v>
      </c>
      <c r="F571" t="str">
        <f t="shared" si="451"/>
        <v xml:space="preserve"> I suppose it's my fault really. </v>
      </c>
      <c r="G571" t="str">
        <f t="shared" si="430"/>
        <v>q</v>
      </c>
      <c r="H571" t="str">
        <f>VLOOKUP(D571,name!A:C,3,1)</f>
        <v>assets/icons/image326.png</v>
      </c>
      <c r="I571" t="str">
        <f>IF(A571="","",VLOOKUP(A571,lng!A:B,2,0))</f>
        <v>en-GB</v>
      </c>
    </row>
    <row r="572" spans="1:9" x14ac:dyDescent="0.15">
      <c r="A572" t="str">
        <f t="shared" ref="A572:B572" si="461">A571</f>
        <v>英語</v>
      </c>
      <c r="B572">
        <f t="shared" si="461"/>
        <v>5</v>
      </c>
      <c r="C572">
        <f t="shared" si="420"/>
        <v>106</v>
      </c>
      <c r="D572">
        <f>D480</f>
        <v>33</v>
      </c>
      <c r="E572" t="str">
        <f>VLOOKUP(D572,name!A:B,2,1)</f>
        <v>Simon</v>
      </c>
      <c r="F572" t="str">
        <f t="shared" si="451"/>
        <v>伝えておけばよかった</v>
      </c>
      <c r="G572" t="str">
        <f t="shared" si="430"/>
        <v>a</v>
      </c>
      <c r="H572" t="str">
        <f>VLOOKUP(D572,name!A:C,3,1)</f>
        <v>assets/icons/image250.png</v>
      </c>
      <c r="I572" t="s">
        <v>402</v>
      </c>
    </row>
    <row r="573" spans="1:9" x14ac:dyDescent="0.15">
      <c r="A573" t="str">
        <f t="shared" ref="A573:B573" si="462">A572</f>
        <v>英語</v>
      </c>
      <c r="B573">
        <f t="shared" si="462"/>
        <v>5</v>
      </c>
      <c r="C573">
        <f t="shared" si="420"/>
        <v>107</v>
      </c>
      <c r="D573">
        <v>0</v>
      </c>
      <c r="E573" t="str">
        <f>VLOOKUP(D573,name!A:B,2,1)</f>
        <v>Player</v>
      </c>
      <c r="F573" t="str">
        <f t="shared" si="451"/>
        <v xml:space="preserve"> I should have told you.</v>
      </c>
      <c r="G573" t="str">
        <f t="shared" si="430"/>
        <v>q</v>
      </c>
      <c r="H573" t="str">
        <f>VLOOKUP(D573,name!A:C,3,1)</f>
        <v>assets/icons/image326.png</v>
      </c>
      <c r="I573" t="str">
        <f>IF(A573="","",VLOOKUP(A573,lng!A:B,2,0))</f>
        <v>en-GB</v>
      </c>
    </row>
    <row r="574" spans="1:9" x14ac:dyDescent="0.15">
      <c r="A574" t="str">
        <f t="shared" ref="A574:B574" si="463">A573</f>
        <v>英語</v>
      </c>
      <c r="B574">
        <f t="shared" si="463"/>
        <v>5</v>
      </c>
      <c r="C574">
        <f t="shared" si="420"/>
        <v>108</v>
      </c>
      <c r="D574">
        <f>D482</f>
        <v>33</v>
      </c>
      <c r="E574" t="str">
        <f>VLOOKUP(D574,name!A:B,2,1)</f>
        <v>Simon</v>
      </c>
      <c r="F574" t="str">
        <f t="shared" si="451"/>
        <v>でも来てくれてよかった。</v>
      </c>
      <c r="G574" t="str">
        <f t="shared" si="430"/>
        <v>a</v>
      </c>
      <c r="H574" t="str">
        <f>VLOOKUP(D574,name!A:C,3,1)</f>
        <v>assets/icons/image250.png</v>
      </c>
      <c r="I574" t="s">
        <v>402</v>
      </c>
    </row>
    <row r="575" spans="1:9" x14ac:dyDescent="0.15">
      <c r="A575" t="str">
        <f t="shared" ref="A575:B575" si="464">A574</f>
        <v>英語</v>
      </c>
      <c r="B575">
        <f t="shared" si="464"/>
        <v>5</v>
      </c>
      <c r="C575">
        <f t="shared" si="420"/>
        <v>109</v>
      </c>
      <c r="D575">
        <v>0</v>
      </c>
      <c r="E575" t="str">
        <f>VLOOKUP(D575,name!A:B,2,1)</f>
        <v>Player</v>
      </c>
      <c r="F575" t="str">
        <f t="shared" si="451"/>
        <v>Anyway, it's a good job you've come now.</v>
      </c>
      <c r="G575" t="str">
        <f t="shared" si="430"/>
        <v>q</v>
      </c>
      <c r="H575" t="str">
        <f>VLOOKUP(D575,name!A:C,3,1)</f>
        <v>assets/icons/image326.png</v>
      </c>
      <c r="I575" t="str">
        <f>IF(A575="","",VLOOKUP(A575,lng!A:B,2,0))</f>
        <v>en-GB</v>
      </c>
    </row>
    <row r="576" spans="1:9" x14ac:dyDescent="0.15">
      <c r="A576" t="str">
        <f t="shared" ref="A576:B576" si="465">A575</f>
        <v>英語</v>
      </c>
      <c r="B576">
        <f t="shared" si="465"/>
        <v>5</v>
      </c>
      <c r="C576">
        <f t="shared" si="420"/>
        <v>110</v>
      </c>
      <c r="D576">
        <f>D484</f>
        <v>33</v>
      </c>
      <c r="E576" t="str">
        <f>VLOOKUP(D576,name!A:B,2,1)</f>
        <v>Simon</v>
      </c>
      <c r="F576" t="str">
        <f t="shared" si="451"/>
        <v>あと5分遅れていたら、</v>
      </c>
      <c r="G576" t="str">
        <f t="shared" si="430"/>
        <v>a</v>
      </c>
      <c r="H576" t="str">
        <f>VLOOKUP(D576,name!A:C,3,1)</f>
        <v>assets/icons/image250.png</v>
      </c>
      <c r="I576" t="s">
        <v>402</v>
      </c>
    </row>
    <row r="577" spans="1:9" x14ac:dyDescent="0.15">
      <c r="A577" t="str">
        <f t="shared" ref="A577:B577" si="466">A576</f>
        <v>英語</v>
      </c>
      <c r="B577">
        <f t="shared" si="466"/>
        <v>5</v>
      </c>
      <c r="C577">
        <f t="shared" si="420"/>
        <v>111</v>
      </c>
      <c r="D577">
        <v>0</v>
      </c>
      <c r="E577" t="str">
        <f>VLOOKUP(D577,name!A:B,2,1)</f>
        <v>Player</v>
      </c>
      <c r="F577" t="str">
        <f t="shared" si="451"/>
        <v>Another five minutes</v>
      </c>
      <c r="G577" t="str">
        <f t="shared" si="430"/>
        <v>q</v>
      </c>
      <c r="H577" t="str">
        <f>VLOOKUP(D577,name!A:C,3,1)</f>
        <v>assets/icons/image326.png</v>
      </c>
      <c r="I577" t="str">
        <f>IF(A577="","",VLOOKUP(A577,lng!A:B,2,0))</f>
        <v>en-GB</v>
      </c>
    </row>
    <row r="578" spans="1:9" x14ac:dyDescent="0.15">
      <c r="A578" t="str">
        <f t="shared" ref="A578:B578" si="467">A577</f>
        <v>英語</v>
      </c>
      <c r="B578">
        <f t="shared" si="467"/>
        <v>5</v>
      </c>
      <c r="C578">
        <f t="shared" si="420"/>
        <v>112</v>
      </c>
      <c r="D578">
        <f>D486</f>
        <v>33</v>
      </c>
      <c r="E578" t="str">
        <f>VLOOKUP(D578,name!A:B,2,1)</f>
        <v>Simon</v>
      </c>
      <c r="F578" t="str">
        <f t="shared" si="451"/>
        <v>あきらめて</v>
      </c>
      <c r="G578" t="str">
        <f t="shared" si="430"/>
        <v>a</v>
      </c>
      <c r="H578" t="str">
        <f>VLOOKUP(D578,name!A:C,3,1)</f>
        <v>assets/icons/image250.png</v>
      </c>
      <c r="I578" t="s">
        <v>402</v>
      </c>
    </row>
    <row r="579" spans="1:9" x14ac:dyDescent="0.15">
      <c r="A579" t="str">
        <f t="shared" ref="A579:B579" si="468">A578</f>
        <v>英語</v>
      </c>
      <c r="B579">
        <f t="shared" si="468"/>
        <v>5</v>
      </c>
      <c r="C579">
        <f t="shared" si="420"/>
        <v>113</v>
      </c>
      <c r="D579">
        <v>0</v>
      </c>
      <c r="E579" t="str">
        <f>VLOOKUP(D579,name!A:B,2,1)</f>
        <v>Player</v>
      </c>
      <c r="F579" t="str">
        <f t="shared" si="451"/>
        <v>and I'd have thrown in the towel</v>
      </c>
      <c r="G579" t="str">
        <f t="shared" si="430"/>
        <v>q</v>
      </c>
      <c r="H579" t="str">
        <f>VLOOKUP(D579,name!A:C,3,1)</f>
        <v>assets/icons/image326.png</v>
      </c>
      <c r="I579" t="str">
        <f>IF(A579="","",VLOOKUP(A579,lng!A:B,2,0))</f>
        <v>en-GB</v>
      </c>
    </row>
    <row r="580" spans="1:9" x14ac:dyDescent="0.15">
      <c r="A580" t="str">
        <f t="shared" ref="A580:B580" si="469">A579</f>
        <v>英語</v>
      </c>
      <c r="B580">
        <f t="shared" si="469"/>
        <v>5</v>
      </c>
      <c r="C580">
        <f t="shared" si="420"/>
        <v>114</v>
      </c>
      <c r="D580">
        <f>D488</f>
        <v>33</v>
      </c>
      <c r="E580" t="str">
        <f>VLOOKUP(D580,name!A:B,2,1)</f>
        <v>Simon</v>
      </c>
      <c r="F580" t="str">
        <f t="shared" si="451"/>
        <v>君を置いて行っていたから。</v>
      </c>
      <c r="G580" t="str">
        <f t="shared" si="430"/>
        <v>a</v>
      </c>
      <c r="H580" t="str">
        <f>VLOOKUP(D580,name!A:C,3,1)</f>
        <v>assets/icons/image250.png</v>
      </c>
      <c r="I580" t="s">
        <v>402</v>
      </c>
    </row>
    <row r="581" spans="1:9" x14ac:dyDescent="0.15">
      <c r="A581" t="str">
        <f t="shared" ref="A581:B581" si="470">A580</f>
        <v>英語</v>
      </c>
      <c r="B581">
        <f t="shared" si="470"/>
        <v>5</v>
      </c>
      <c r="C581">
        <f t="shared" si="420"/>
        <v>115</v>
      </c>
      <c r="D581">
        <v>0</v>
      </c>
      <c r="E581" t="str">
        <f>VLOOKUP(D581,name!A:B,2,1)</f>
        <v>Player</v>
      </c>
      <c r="F581" t="str">
        <f t="shared" si="451"/>
        <v>and left without you.</v>
      </c>
      <c r="G581" t="str">
        <f t="shared" si="430"/>
        <v>q</v>
      </c>
      <c r="H581" t="str">
        <f>VLOOKUP(D581,name!A:C,3,1)</f>
        <v>assets/icons/image326.png</v>
      </c>
      <c r="I581" t="str">
        <f>IF(A581="","",VLOOKUP(A581,lng!A:B,2,0))</f>
        <v>en-GB</v>
      </c>
    </row>
    <row r="582" spans="1:9" x14ac:dyDescent="0.15">
      <c r="A582" t="str">
        <f t="shared" ref="A582:B582" si="471">A581</f>
        <v>英語</v>
      </c>
      <c r="B582">
        <f t="shared" si="471"/>
        <v>5</v>
      </c>
      <c r="C582">
        <f t="shared" si="420"/>
        <v>116</v>
      </c>
      <c r="D582">
        <f>D490</f>
        <v>29</v>
      </c>
      <c r="E582" t="str">
        <f>VLOOKUP(D582,name!A:B,2,1)</f>
        <v>Eri</v>
      </c>
      <c r="F582" t="str">
        <f t="shared" si="451"/>
        <v>そんなこと言わないで</v>
      </c>
      <c r="G582" t="str">
        <f t="shared" si="430"/>
        <v>a</v>
      </c>
      <c r="H582" t="str">
        <f>VLOOKUP(D582,name!A:C,3,1)</f>
        <v>assets/icons/image209.png</v>
      </c>
      <c r="I582" t="s">
        <v>402</v>
      </c>
    </row>
    <row r="583" spans="1:9" x14ac:dyDescent="0.15">
      <c r="A583" t="str">
        <f t="shared" ref="A583:B583" si="472">A582</f>
        <v>英語</v>
      </c>
      <c r="B583">
        <f t="shared" si="472"/>
        <v>5</v>
      </c>
      <c r="C583">
        <f t="shared" si="420"/>
        <v>117</v>
      </c>
      <c r="D583">
        <v>0</v>
      </c>
      <c r="E583" t="str">
        <f>VLOOKUP(D583,name!A:B,2,1)</f>
        <v>Player</v>
      </c>
      <c r="F583" t="str">
        <f t="shared" si="451"/>
        <v>Oh, don't say that!</v>
      </c>
      <c r="G583" t="str">
        <f t="shared" si="430"/>
        <v>q</v>
      </c>
      <c r="H583" t="str">
        <f>VLOOKUP(D583,name!A:C,3,1)</f>
        <v>assets/icons/image326.png</v>
      </c>
      <c r="I583" t="str">
        <f>IF(A583="","",VLOOKUP(A583,lng!A:B,2,0))</f>
        <v>en-GB</v>
      </c>
    </row>
    <row r="584" spans="1:9" x14ac:dyDescent="0.15">
      <c r="A584" t="str">
        <f t="shared" ref="A584:B584" si="473">A583</f>
        <v>英語</v>
      </c>
      <c r="B584">
        <f t="shared" si="473"/>
        <v>5</v>
      </c>
      <c r="C584">
        <f t="shared" si="420"/>
        <v>118</v>
      </c>
      <c r="D584">
        <f>D492</f>
        <v>29</v>
      </c>
      <c r="E584" t="str">
        <f>VLOOKUP(D584,name!A:B,2,1)</f>
        <v>Eri</v>
      </c>
      <c r="F584" t="str">
        <f t="shared" si="451"/>
        <v>私がどれだけケンブリッジに行くことを楽しみにしていたか知っているでしょ。</v>
      </c>
      <c r="G584" t="str">
        <f t="shared" si="430"/>
        <v>a</v>
      </c>
      <c r="H584" t="str">
        <f>VLOOKUP(D584,name!A:C,3,1)</f>
        <v>assets/icons/image209.png</v>
      </c>
      <c r="I584" t="s">
        <v>402</v>
      </c>
    </row>
    <row r="585" spans="1:9" x14ac:dyDescent="0.15">
      <c r="A585" t="str">
        <f t="shared" ref="A585:B585" si="474">A584</f>
        <v>英語</v>
      </c>
      <c r="B585">
        <f t="shared" si="474"/>
        <v>5</v>
      </c>
      <c r="C585">
        <f t="shared" si="420"/>
        <v>119</v>
      </c>
      <c r="D585">
        <v>0</v>
      </c>
      <c r="E585" t="str">
        <f>VLOOKUP(D585,name!A:B,2,1)</f>
        <v>Player</v>
      </c>
      <c r="F585" t="str">
        <f t="shared" si="451"/>
        <v>You know how much I've been looking forward to going to Cambridge.</v>
      </c>
      <c r="G585" t="str">
        <f t="shared" si="430"/>
        <v>q</v>
      </c>
      <c r="H585" t="str">
        <f>VLOOKUP(D585,name!A:C,3,1)</f>
        <v>assets/icons/image326.png</v>
      </c>
      <c r="I585" t="str">
        <f>IF(A585="","",VLOOKUP(A585,lng!A:B,2,0))</f>
        <v>en-GB</v>
      </c>
    </row>
    <row r="586" spans="1:9" x14ac:dyDescent="0.15">
      <c r="A586" t="str">
        <f t="shared" ref="A586:B586" si="475">A585</f>
        <v>英語</v>
      </c>
      <c r="B586">
        <f t="shared" si="475"/>
        <v>5</v>
      </c>
      <c r="C586">
        <f t="shared" si="420"/>
        <v>120</v>
      </c>
      <c r="D586">
        <f>D494</f>
        <v>29</v>
      </c>
      <c r="E586" t="str">
        <f>VLOOKUP(D586,name!A:B,2,1)</f>
        <v>Eri</v>
      </c>
      <c r="F586" t="str">
        <f t="shared" si="451"/>
        <v>どこで切符を急いで買えばいいの？</v>
      </c>
      <c r="G586" t="str">
        <f t="shared" si="430"/>
        <v>a</v>
      </c>
      <c r="H586" t="str">
        <f>VLOOKUP(D586,name!A:C,3,1)</f>
        <v>assets/icons/image209.png</v>
      </c>
      <c r="I586" t="s">
        <v>402</v>
      </c>
    </row>
    <row r="587" spans="1:9" x14ac:dyDescent="0.15">
      <c r="A587" t="str">
        <f t="shared" ref="A587:B587" si="476">A586</f>
        <v>英語</v>
      </c>
      <c r="B587">
        <f t="shared" si="476"/>
        <v>5</v>
      </c>
      <c r="C587">
        <f t="shared" si="420"/>
        <v>121</v>
      </c>
      <c r="D587">
        <v>0</v>
      </c>
      <c r="E587" t="str">
        <f>VLOOKUP(D587,name!A:B,2,1)</f>
        <v>Player</v>
      </c>
      <c r="F587" t="str">
        <f t="shared" si="451"/>
        <v>Where can I get a ticket in a hurry?</v>
      </c>
      <c r="G587" t="str">
        <f t="shared" si="430"/>
        <v>q</v>
      </c>
      <c r="H587" t="str">
        <f>VLOOKUP(D587,name!A:C,3,1)</f>
        <v>assets/icons/image326.png</v>
      </c>
      <c r="I587" t="str">
        <f>IF(A587="","",VLOOKUP(A587,lng!A:B,2,0))</f>
        <v>en-GB</v>
      </c>
    </row>
    <row r="588" spans="1:9" x14ac:dyDescent="0.15">
      <c r="A588" t="str">
        <f t="shared" ref="A588:B588" si="477">A587</f>
        <v>英語</v>
      </c>
      <c r="B588">
        <f t="shared" si="477"/>
        <v>5</v>
      </c>
      <c r="C588">
        <f t="shared" si="420"/>
        <v>122</v>
      </c>
      <c r="D588">
        <f>D496</f>
        <v>29</v>
      </c>
      <c r="E588" t="str">
        <f>VLOOKUP(D588,name!A:B,2,1)</f>
        <v>Eri</v>
      </c>
      <c r="F588" t="str">
        <f t="shared" si="451"/>
        <v>この販売機のどれか ?</v>
      </c>
      <c r="G588" t="str">
        <f t="shared" si="430"/>
        <v>a</v>
      </c>
      <c r="H588" t="str">
        <f>VLOOKUP(D588,name!A:C,3,1)</f>
        <v>assets/icons/image209.png</v>
      </c>
      <c r="I588" t="s">
        <v>402</v>
      </c>
    </row>
    <row r="589" spans="1:9" x14ac:dyDescent="0.15">
      <c r="A589" t="str">
        <f t="shared" ref="A589:B589" si="478">A588</f>
        <v>英語</v>
      </c>
      <c r="B589">
        <f t="shared" si="478"/>
        <v>5</v>
      </c>
      <c r="C589">
        <f t="shared" si="420"/>
        <v>123</v>
      </c>
      <c r="D589">
        <v>0</v>
      </c>
      <c r="E589" t="str">
        <f>VLOOKUP(D589,name!A:B,2,1)</f>
        <v>Player</v>
      </c>
      <c r="F589" t="str">
        <f t="shared" si="451"/>
        <v>From one of those machines?</v>
      </c>
      <c r="G589" t="str">
        <f t="shared" si="430"/>
        <v>q</v>
      </c>
      <c r="H589" t="str">
        <f>VLOOKUP(D589,name!A:C,3,1)</f>
        <v>assets/icons/image326.png</v>
      </c>
      <c r="I589" t="str">
        <f>IF(A589="","",VLOOKUP(A589,lng!A:B,2,0))</f>
        <v>en-GB</v>
      </c>
    </row>
    <row r="590" spans="1:9" x14ac:dyDescent="0.15">
      <c r="A590" t="str">
        <f t="shared" ref="A590:B590" si="479">A589</f>
        <v>英語</v>
      </c>
      <c r="B590">
        <f t="shared" si="479"/>
        <v>5</v>
      </c>
      <c r="C590">
        <f t="shared" si="420"/>
        <v>124</v>
      </c>
      <c r="D590">
        <f>D498</f>
        <v>33</v>
      </c>
      <c r="E590" t="str">
        <f>VLOOKUP(D590,name!A:B,2,1)</f>
        <v>Simon</v>
      </c>
      <c r="F590" t="str">
        <f t="shared" si="451"/>
        <v>ふつうは販売機か窓口で買うけど、</v>
      </c>
      <c r="G590" t="str">
        <f t="shared" si="430"/>
        <v>a</v>
      </c>
      <c r="H590" t="str">
        <f>VLOOKUP(D590,name!A:C,3,1)</f>
        <v>assets/icons/image250.png</v>
      </c>
      <c r="I590" t="s">
        <v>402</v>
      </c>
    </row>
    <row r="591" spans="1:9" x14ac:dyDescent="0.15">
      <c r="A591" t="str">
        <f t="shared" ref="A591:B591" si="480">A590</f>
        <v>英語</v>
      </c>
      <c r="B591">
        <f t="shared" si="480"/>
        <v>5</v>
      </c>
      <c r="C591">
        <f t="shared" si="420"/>
        <v>125</v>
      </c>
      <c r="D591">
        <v>0</v>
      </c>
      <c r="E591" t="str">
        <f>VLOOKUP(D591,name!A:B,2,1)</f>
        <v>Player</v>
      </c>
      <c r="F591" t="str">
        <f t="shared" si="451"/>
        <v>Usually you can buy one from a machine, or the ticket window,</v>
      </c>
      <c r="G591" t="str">
        <f t="shared" si="430"/>
        <v>q</v>
      </c>
      <c r="H591" t="str">
        <f>VLOOKUP(D591,name!A:C,3,1)</f>
        <v>assets/icons/image326.png</v>
      </c>
      <c r="I591" t="str">
        <f>IF(A591="","",VLOOKUP(A591,lng!A:B,2,0))</f>
        <v>en-GB</v>
      </c>
    </row>
    <row r="592" spans="1:9" x14ac:dyDescent="0.15">
      <c r="A592" t="str">
        <f t="shared" ref="A592:B592" si="481">A591</f>
        <v>英語</v>
      </c>
      <c r="B592">
        <f t="shared" si="481"/>
        <v>5</v>
      </c>
      <c r="C592">
        <f t="shared" si="420"/>
        <v>126</v>
      </c>
      <c r="D592">
        <f>D500</f>
        <v>33</v>
      </c>
      <c r="E592" t="str">
        <f>VLOOKUP(D592,name!A:B,2,1)</f>
        <v>Simon</v>
      </c>
      <c r="F592" t="str">
        <f t="shared" si="451"/>
        <v>もう「トレインライン」のウェブサイトで2枚分買っておいた</v>
      </c>
      <c r="G592" t="str">
        <f t="shared" si="430"/>
        <v>a</v>
      </c>
      <c r="H592" t="str">
        <f>VLOOKUP(D592,name!A:C,3,1)</f>
        <v>assets/icons/image250.png</v>
      </c>
      <c r="I592" t="s">
        <v>402</v>
      </c>
    </row>
    <row r="593" spans="1:12" x14ac:dyDescent="0.15">
      <c r="A593" t="str">
        <f t="shared" ref="A593:B593" si="482">A592</f>
        <v>英語</v>
      </c>
      <c r="B593">
        <f t="shared" si="482"/>
        <v>5</v>
      </c>
      <c r="C593">
        <f t="shared" si="420"/>
        <v>127</v>
      </c>
      <c r="D593">
        <v>0</v>
      </c>
      <c r="E593" t="str">
        <f>VLOOKUP(D593,name!A:B,2,1)</f>
        <v>Player</v>
      </c>
      <c r="F593" t="str">
        <f t="shared" si="451"/>
        <v>but I bought both our tickets from the Trainline website;</v>
      </c>
      <c r="G593" t="str">
        <f t="shared" si="430"/>
        <v>q</v>
      </c>
      <c r="H593" t="str">
        <f>VLOOKUP(D593,name!A:C,3,1)</f>
        <v>assets/icons/image326.png</v>
      </c>
      <c r="I593" t="str">
        <f>IF(A593="","",VLOOKUP(A593,lng!A:B,2,0))</f>
        <v>en-GB</v>
      </c>
    </row>
    <row r="594" spans="1:12" x14ac:dyDescent="0.15">
      <c r="A594" t="str">
        <f t="shared" ref="A594:B594" si="483">A593</f>
        <v>英語</v>
      </c>
      <c r="B594">
        <f t="shared" si="483"/>
        <v>5</v>
      </c>
      <c r="C594">
        <f t="shared" si="420"/>
        <v>128</v>
      </c>
      <c r="D594">
        <f>D502</f>
        <v>33</v>
      </c>
      <c r="E594" t="str">
        <f>VLOOKUP(D594,name!A:B,2,1)</f>
        <v>Simon</v>
      </c>
      <c r="F594" t="str">
        <f t="shared" si="451"/>
        <v>そのほうがずっと安いから。</v>
      </c>
      <c r="G594" t="str">
        <f t="shared" si="430"/>
        <v>a</v>
      </c>
      <c r="H594" t="str">
        <f>VLOOKUP(D594,name!A:C,3,1)</f>
        <v>assets/icons/image250.png</v>
      </c>
      <c r="I594" t="s">
        <v>402</v>
      </c>
    </row>
    <row r="595" spans="1:12" x14ac:dyDescent="0.15">
      <c r="A595" t="str">
        <f t="shared" ref="A595:B595" si="484">A594</f>
        <v>英語</v>
      </c>
      <c r="B595">
        <f t="shared" si="484"/>
        <v>5</v>
      </c>
      <c r="C595">
        <f t="shared" si="420"/>
        <v>129</v>
      </c>
      <c r="D595">
        <v>0</v>
      </c>
      <c r="E595" t="str">
        <f>VLOOKUP(D595,name!A:B,2,1)</f>
        <v>Player</v>
      </c>
      <c r="F595" t="str">
        <f t="shared" si="451"/>
        <v xml:space="preserve">it's much cheaper. </v>
      </c>
      <c r="G595" t="str">
        <f t="shared" si="430"/>
        <v>q</v>
      </c>
      <c r="H595" t="str">
        <f>VLOOKUP(D595,name!A:C,3,1)</f>
        <v>assets/icons/image326.png</v>
      </c>
      <c r="I595" t="str">
        <f>IF(A595="","",VLOOKUP(A595,lng!A:B,2,0))</f>
        <v>en-GB</v>
      </c>
    </row>
    <row r="596" spans="1:12" x14ac:dyDescent="0.15">
      <c r="A596" t="str">
        <f t="shared" ref="A596:B596" si="485">A595</f>
        <v>英語</v>
      </c>
      <c r="B596">
        <f t="shared" si="485"/>
        <v>5</v>
      </c>
      <c r="C596">
        <f t="shared" si="420"/>
        <v>130</v>
      </c>
      <c r="D596">
        <f>D504</f>
        <v>33</v>
      </c>
      <c r="E596" t="str">
        <f>VLOOKUP(D596,name!A:B,2,1)</f>
        <v>Simon</v>
      </c>
      <c r="F596" t="str">
        <f t="shared" si="451"/>
        <v>どうぞ。</v>
      </c>
      <c r="G596" t="str">
        <f t="shared" si="430"/>
        <v>a</v>
      </c>
      <c r="H596" t="str">
        <f>VLOOKUP(D596,name!A:C,3,1)</f>
        <v>assets/icons/image250.png</v>
      </c>
      <c r="I596" t="s">
        <v>402</v>
      </c>
    </row>
    <row r="597" spans="1:12" x14ac:dyDescent="0.15">
      <c r="A597" t="str">
        <f t="shared" ref="A597:B597" si="486">A596</f>
        <v>英語</v>
      </c>
      <c r="B597">
        <f t="shared" si="486"/>
        <v>5</v>
      </c>
      <c r="C597">
        <f t="shared" ref="C597:C598" si="487">C596+1</f>
        <v>131</v>
      </c>
      <c r="D597">
        <v>0</v>
      </c>
      <c r="E597" t="str">
        <f>VLOOKUP(D597,name!A:B,2,1)</f>
        <v>Player</v>
      </c>
      <c r="F597" t="str">
        <f t="shared" si="451"/>
        <v>Here's yours.</v>
      </c>
      <c r="G597" t="str">
        <f t="shared" si="430"/>
        <v>q</v>
      </c>
      <c r="H597" t="str">
        <f>VLOOKUP(D597,name!A:C,3,1)</f>
        <v>assets/icons/image326.png</v>
      </c>
      <c r="I597" t="str">
        <f>IF(A597="","",VLOOKUP(A597,lng!A:B,2,0))</f>
        <v>en-GB</v>
      </c>
    </row>
    <row r="598" spans="1:12" x14ac:dyDescent="0.15">
      <c r="A598" t="str">
        <f t="shared" ref="A598:B598" si="488">A597</f>
        <v>英語</v>
      </c>
      <c r="B598">
        <f t="shared" si="488"/>
        <v>5</v>
      </c>
      <c r="C598">
        <f t="shared" si="487"/>
        <v>132</v>
      </c>
      <c r="D598">
        <v>1</v>
      </c>
      <c r="E598" t="str">
        <f>VLOOKUP(D598,name!A:B,2,1)</f>
        <v>Navigator</v>
      </c>
      <c r="F598" t="str">
        <f>"とても良くできました。レッスン"&amp;B598&amp;"はこれで終了です。"</f>
        <v>とても良くできました。レッスン5はこれで終了です。</v>
      </c>
      <c r="G598" t="str">
        <f t="shared" si="430"/>
        <v>e</v>
      </c>
      <c r="H598" t="str">
        <f>VLOOKUP(D598,name!A:C,3,1)</f>
        <v>assets/icons/image014.png</v>
      </c>
      <c r="I598" t="s">
        <v>402</v>
      </c>
    </row>
    <row r="599" spans="1:12" x14ac:dyDescent="0.15">
      <c r="A599" t="str">
        <f>A598</f>
        <v>英語</v>
      </c>
      <c r="B599">
        <f>B598+1</f>
        <v>6</v>
      </c>
      <c r="C599">
        <v>1</v>
      </c>
      <c r="D599">
        <v>1</v>
      </c>
      <c r="E599" t="str">
        <f>VLOOKUP(D599,name!A:B,2,1)</f>
        <v>Navigator</v>
      </c>
      <c r="F599" t="s">
        <v>620</v>
      </c>
      <c r="G599" t="str">
        <f t="shared" si="430"/>
        <v>a</v>
      </c>
      <c r="H599" t="str">
        <f>VLOOKUP(D599,name!A:C,3,1)</f>
        <v>assets/icons/image014.png</v>
      </c>
      <c r="I599" t="str">
        <f>IF(A599="","",VLOOKUP(A599,lng!A:B,2,0))</f>
        <v>en-GB</v>
      </c>
    </row>
    <row r="600" spans="1:12" x14ac:dyDescent="0.15">
      <c r="A600" t="str">
        <f t="shared" ref="A600:B615" si="489">A599</f>
        <v>英語</v>
      </c>
      <c r="B600">
        <f>B599</f>
        <v>6</v>
      </c>
      <c r="C600">
        <f>C599+1</f>
        <v>2</v>
      </c>
      <c r="D600">
        <v>1</v>
      </c>
      <c r="E600" t="str">
        <f>VLOOKUP(D600,name!A:B,2,1)</f>
        <v>Navigator</v>
      </c>
      <c r="F600" t="str">
        <f>"レッスン"&amp;B600</f>
        <v>レッスン6</v>
      </c>
      <c r="G600" t="str">
        <f t="shared" si="430"/>
        <v>a</v>
      </c>
      <c r="H600" t="str">
        <f>VLOOKUP(D600,name!A:C,3,1)</f>
        <v>assets/icons/image014.png</v>
      </c>
      <c r="I600" t="s">
        <v>402</v>
      </c>
    </row>
    <row r="601" spans="1:12" ht="40.5" x14ac:dyDescent="0.15">
      <c r="A601" t="str">
        <f t="shared" si="489"/>
        <v>英語</v>
      </c>
      <c r="B601">
        <f t="shared" si="489"/>
        <v>6</v>
      </c>
      <c r="C601">
        <f t="shared" ref="C601:C664" si="490">C600+1</f>
        <v>3</v>
      </c>
      <c r="D601">
        <v>1</v>
      </c>
      <c r="E601" t="str">
        <f>VLOOKUP(D601,name!A:B,2,1)</f>
        <v>Navigator</v>
      </c>
      <c r="F601" s="1" t="str">
        <f>"まずは対話文を流します。その後に、日本語と"&amp;A601&amp;"を一文ずつ流すので"&amp;A601&amp;"を真似して下さい。最後に日本語のみを流すので、"&amp;A601&amp;"で答えてください。"</f>
        <v>まずは対話文を流します。その後に、日本語と英語を一文ずつ流すので英語を真似して下さい。最後に日本語のみを流すので、英語で答えてください。</v>
      </c>
      <c r="G601" t="str">
        <f t="shared" si="430"/>
        <v>a</v>
      </c>
      <c r="H601" t="str">
        <f>VLOOKUP(D601,name!A:C,3,1)</f>
        <v>assets/icons/image014.png</v>
      </c>
      <c r="I601" t="s">
        <v>402</v>
      </c>
      <c r="L601" s="1"/>
    </row>
    <row r="602" spans="1:12" x14ac:dyDescent="0.15">
      <c r="A602" t="str">
        <f t="shared" si="489"/>
        <v>英語</v>
      </c>
      <c r="B602">
        <f t="shared" si="489"/>
        <v>6</v>
      </c>
      <c r="C602">
        <f t="shared" si="490"/>
        <v>4</v>
      </c>
      <c r="D602">
        <f>D603</f>
        <v>29</v>
      </c>
      <c r="E602" t="str">
        <f>VLOOKUP(D602,name!A:B,2,1)</f>
        <v>Eri</v>
      </c>
      <c r="F602" t="s">
        <v>634</v>
      </c>
      <c r="G602" t="str">
        <f t="shared" si="430"/>
        <v>a</v>
      </c>
      <c r="H602" t="str">
        <f>VLOOKUP(D602,name!A:C,3,1)</f>
        <v>assets/icons/image209.png</v>
      </c>
      <c r="I602" t="s">
        <v>402</v>
      </c>
    </row>
    <row r="603" spans="1:12" x14ac:dyDescent="0.15">
      <c r="A603" t="str">
        <f t="shared" si="489"/>
        <v>英語</v>
      </c>
      <c r="B603">
        <f t="shared" si="489"/>
        <v>6</v>
      </c>
      <c r="C603">
        <f t="shared" si="490"/>
        <v>5</v>
      </c>
      <c r="D603">
        <f t="shared" ref="D603:D630" si="491">D604</f>
        <v>29</v>
      </c>
      <c r="E603" t="str">
        <f>VLOOKUP(D603,name!A:B,2,1)</f>
        <v>Eri</v>
      </c>
      <c r="F603" t="s">
        <v>621</v>
      </c>
      <c r="G603" t="str">
        <f t="shared" si="430"/>
        <v>a</v>
      </c>
      <c r="H603" t="str">
        <f>VLOOKUP(D603,name!A:C,3,1)</f>
        <v>assets/icons/image209.png</v>
      </c>
      <c r="I603" t="str">
        <f>IF(A603="","",VLOOKUP(A603,lng!A:B,2,0))</f>
        <v>en-GB</v>
      </c>
    </row>
    <row r="604" spans="1:12" x14ac:dyDescent="0.15">
      <c r="A604" t="str">
        <f t="shared" si="489"/>
        <v>英語</v>
      </c>
      <c r="B604">
        <f t="shared" si="489"/>
        <v>6</v>
      </c>
      <c r="C604">
        <f t="shared" si="490"/>
        <v>6</v>
      </c>
      <c r="D604">
        <f t="shared" si="491"/>
        <v>29</v>
      </c>
      <c r="E604" t="str">
        <f>VLOOKUP(D604,name!A:B,2,1)</f>
        <v>Eri</v>
      </c>
      <c r="F604" t="s">
        <v>635</v>
      </c>
      <c r="G604" t="str">
        <f t="shared" si="430"/>
        <v>a</v>
      </c>
      <c r="H604" t="str">
        <f>VLOOKUP(D604,name!A:C,3,1)</f>
        <v>assets/icons/image209.png</v>
      </c>
      <c r="I604" t="s">
        <v>402</v>
      </c>
    </row>
    <row r="605" spans="1:12" x14ac:dyDescent="0.15">
      <c r="A605" t="str">
        <f t="shared" si="489"/>
        <v>英語</v>
      </c>
      <c r="B605">
        <f t="shared" si="489"/>
        <v>6</v>
      </c>
      <c r="C605">
        <f t="shared" si="490"/>
        <v>7</v>
      </c>
      <c r="D605">
        <v>29</v>
      </c>
      <c r="E605" t="str">
        <f>VLOOKUP(D605,name!A:B,2,1)</f>
        <v>Eri</v>
      </c>
      <c r="F605" t="s">
        <v>622</v>
      </c>
      <c r="G605" t="str">
        <f t="shared" si="430"/>
        <v>a</v>
      </c>
      <c r="H605" t="str">
        <f>VLOOKUP(D605,name!A:C,3,1)</f>
        <v>assets/icons/image209.png</v>
      </c>
      <c r="I605" t="str">
        <f>IF(A605="","",VLOOKUP(A605,lng!A:B,2,0))</f>
        <v>en-GB</v>
      </c>
    </row>
    <row r="606" spans="1:12" x14ac:dyDescent="0.15">
      <c r="A606" t="str">
        <f t="shared" si="489"/>
        <v>英語</v>
      </c>
      <c r="B606">
        <f t="shared" si="489"/>
        <v>6</v>
      </c>
      <c r="C606">
        <f t="shared" si="490"/>
        <v>8</v>
      </c>
      <c r="D606">
        <f t="shared" si="491"/>
        <v>33</v>
      </c>
      <c r="E606" t="str">
        <f>VLOOKUP(D606,name!A:B,2,1)</f>
        <v>Simon</v>
      </c>
      <c r="F606" t="s">
        <v>636</v>
      </c>
      <c r="G606" t="str">
        <f t="shared" ref="G606:G669" si="492">IF(B606&lt;&gt;B607,"e",IF(D606=0,"q","a"))</f>
        <v>a</v>
      </c>
      <c r="H606" t="str">
        <f>VLOOKUP(D606,name!A:C,3,1)</f>
        <v>assets/icons/image250.png</v>
      </c>
      <c r="I606" t="s">
        <v>402</v>
      </c>
    </row>
    <row r="607" spans="1:12" x14ac:dyDescent="0.15">
      <c r="A607" t="str">
        <f t="shared" si="489"/>
        <v>英語</v>
      </c>
      <c r="B607">
        <f t="shared" si="489"/>
        <v>6</v>
      </c>
      <c r="C607">
        <f t="shared" si="490"/>
        <v>9</v>
      </c>
      <c r="D607">
        <f t="shared" si="491"/>
        <v>33</v>
      </c>
      <c r="E607" t="str">
        <f>VLOOKUP(D607,name!A:B,2,1)</f>
        <v>Simon</v>
      </c>
      <c r="F607" t="s">
        <v>623</v>
      </c>
      <c r="G607" t="str">
        <f t="shared" si="492"/>
        <v>a</v>
      </c>
      <c r="H607" t="str">
        <f>VLOOKUP(D607,name!A:C,3,1)</f>
        <v>assets/icons/image250.png</v>
      </c>
      <c r="I607" t="str">
        <f>IF(A607="","",VLOOKUP(A607,lng!A:B,2,0))</f>
        <v>en-GB</v>
      </c>
    </row>
    <row r="608" spans="1:12" x14ac:dyDescent="0.15">
      <c r="A608" t="str">
        <f t="shared" si="489"/>
        <v>英語</v>
      </c>
      <c r="B608">
        <f t="shared" si="489"/>
        <v>6</v>
      </c>
      <c r="C608">
        <f t="shared" si="490"/>
        <v>10</v>
      </c>
      <c r="D608">
        <f t="shared" si="491"/>
        <v>33</v>
      </c>
      <c r="E608" t="str">
        <f>VLOOKUP(D608,name!A:B,2,1)</f>
        <v>Simon</v>
      </c>
      <c r="F608" t="s">
        <v>639</v>
      </c>
      <c r="G608" t="str">
        <f t="shared" si="492"/>
        <v>a</v>
      </c>
      <c r="H608" t="str">
        <f>VLOOKUP(D608,name!A:C,3,1)</f>
        <v>assets/icons/image250.png</v>
      </c>
      <c r="I608" t="s">
        <v>402</v>
      </c>
    </row>
    <row r="609" spans="1:9" x14ac:dyDescent="0.15">
      <c r="A609" t="str">
        <f t="shared" si="489"/>
        <v>英語</v>
      </c>
      <c r="B609">
        <f t="shared" si="489"/>
        <v>6</v>
      </c>
      <c r="C609">
        <f t="shared" si="490"/>
        <v>11</v>
      </c>
      <c r="D609">
        <f t="shared" si="491"/>
        <v>33</v>
      </c>
      <c r="E609" t="str">
        <f>VLOOKUP(D609,name!A:B,2,1)</f>
        <v>Simon</v>
      </c>
      <c r="F609" t="s">
        <v>624</v>
      </c>
      <c r="G609" t="str">
        <f t="shared" si="492"/>
        <v>a</v>
      </c>
      <c r="H609" t="str">
        <f>VLOOKUP(D609,name!A:C,3,1)</f>
        <v>assets/icons/image250.png</v>
      </c>
      <c r="I609" t="str">
        <f>IF(A609="","",VLOOKUP(A609,lng!A:B,2,0))</f>
        <v>en-GB</v>
      </c>
    </row>
    <row r="610" spans="1:9" x14ac:dyDescent="0.15">
      <c r="A610" t="str">
        <f t="shared" si="489"/>
        <v>英語</v>
      </c>
      <c r="B610">
        <f t="shared" si="489"/>
        <v>6</v>
      </c>
      <c r="C610">
        <f t="shared" si="490"/>
        <v>12</v>
      </c>
      <c r="D610">
        <f t="shared" si="491"/>
        <v>33</v>
      </c>
      <c r="E610" t="str">
        <f>VLOOKUP(D610,name!A:B,2,1)</f>
        <v>Simon</v>
      </c>
      <c r="F610" t="s">
        <v>637</v>
      </c>
      <c r="G610" t="str">
        <f t="shared" si="492"/>
        <v>a</v>
      </c>
      <c r="H610" t="str">
        <f>VLOOKUP(D610,name!A:C,3,1)</f>
        <v>assets/icons/image250.png</v>
      </c>
      <c r="I610" t="s">
        <v>402</v>
      </c>
    </row>
    <row r="611" spans="1:9" x14ac:dyDescent="0.15">
      <c r="A611" t="str">
        <f t="shared" si="489"/>
        <v>英語</v>
      </c>
      <c r="B611">
        <f t="shared" si="489"/>
        <v>6</v>
      </c>
      <c r="C611">
        <f t="shared" si="490"/>
        <v>13</v>
      </c>
      <c r="D611">
        <f t="shared" si="491"/>
        <v>33</v>
      </c>
      <c r="E611" t="str">
        <f>VLOOKUP(D611,name!A:B,2,1)</f>
        <v>Simon</v>
      </c>
      <c r="F611" t="s">
        <v>625</v>
      </c>
      <c r="G611" t="str">
        <f t="shared" si="492"/>
        <v>a</v>
      </c>
      <c r="H611" t="str">
        <f>VLOOKUP(D611,name!A:C,3,1)</f>
        <v>assets/icons/image250.png</v>
      </c>
      <c r="I611" t="str">
        <f>IF(A611="","",VLOOKUP(A611,lng!A:B,2,0))</f>
        <v>en-GB</v>
      </c>
    </row>
    <row r="612" spans="1:9" x14ac:dyDescent="0.15">
      <c r="A612" t="str">
        <f t="shared" si="489"/>
        <v>英語</v>
      </c>
      <c r="B612">
        <f t="shared" si="489"/>
        <v>6</v>
      </c>
      <c r="C612">
        <f t="shared" si="490"/>
        <v>14</v>
      </c>
      <c r="D612">
        <f t="shared" si="491"/>
        <v>33</v>
      </c>
      <c r="E612" t="str">
        <f>VLOOKUP(D612,name!A:B,2,1)</f>
        <v>Simon</v>
      </c>
      <c r="F612" t="s">
        <v>638</v>
      </c>
      <c r="G612" t="str">
        <f t="shared" si="492"/>
        <v>a</v>
      </c>
      <c r="H612" t="str">
        <f>VLOOKUP(D612,name!A:C,3,1)</f>
        <v>assets/icons/image250.png</v>
      </c>
      <c r="I612" t="s">
        <v>402</v>
      </c>
    </row>
    <row r="613" spans="1:9" x14ac:dyDescent="0.15">
      <c r="A613" t="str">
        <f t="shared" si="489"/>
        <v>英語</v>
      </c>
      <c r="B613">
        <f t="shared" si="489"/>
        <v>6</v>
      </c>
      <c r="C613">
        <f t="shared" si="490"/>
        <v>15</v>
      </c>
      <c r="D613">
        <v>33</v>
      </c>
      <c r="E613" t="str">
        <f>VLOOKUP(D613,name!A:B,2,1)</f>
        <v>Simon</v>
      </c>
      <c r="F613" t="s">
        <v>626</v>
      </c>
      <c r="G613" t="str">
        <f t="shared" si="492"/>
        <v>a</v>
      </c>
      <c r="H613" t="str">
        <f>VLOOKUP(D613,name!A:C,3,1)</f>
        <v>assets/icons/image250.png</v>
      </c>
      <c r="I613" t="str">
        <f>IF(A613="","",VLOOKUP(A613,lng!A:B,2,0))</f>
        <v>en-GB</v>
      </c>
    </row>
    <row r="614" spans="1:9" x14ac:dyDescent="0.15">
      <c r="A614" t="str">
        <f t="shared" si="489"/>
        <v>英語</v>
      </c>
      <c r="B614">
        <f t="shared" si="489"/>
        <v>6</v>
      </c>
      <c r="C614">
        <f t="shared" si="490"/>
        <v>16</v>
      </c>
      <c r="D614">
        <f t="shared" si="491"/>
        <v>29</v>
      </c>
      <c r="E614" t="str">
        <f>VLOOKUP(D614,name!A:B,2,1)</f>
        <v>Eri</v>
      </c>
      <c r="F614" t="s">
        <v>640</v>
      </c>
      <c r="G614" t="str">
        <f t="shared" si="492"/>
        <v>a</v>
      </c>
      <c r="H614" t="str">
        <f>VLOOKUP(D614,name!A:C,3,1)</f>
        <v>assets/icons/image209.png</v>
      </c>
      <c r="I614" t="s">
        <v>402</v>
      </c>
    </row>
    <row r="615" spans="1:9" x14ac:dyDescent="0.15">
      <c r="A615" t="str">
        <f t="shared" si="489"/>
        <v>英語</v>
      </c>
      <c r="B615">
        <f t="shared" si="489"/>
        <v>6</v>
      </c>
      <c r="C615">
        <f t="shared" si="490"/>
        <v>17</v>
      </c>
      <c r="D615">
        <f t="shared" si="491"/>
        <v>29</v>
      </c>
      <c r="E615" t="str">
        <f>VLOOKUP(D615,name!A:B,2,1)</f>
        <v>Eri</v>
      </c>
      <c r="F615" t="s">
        <v>627</v>
      </c>
      <c r="G615" t="str">
        <f t="shared" si="492"/>
        <v>a</v>
      </c>
      <c r="H615" t="str">
        <f>VLOOKUP(D615,name!A:C,3,1)</f>
        <v>assets/icons/image209.png</v>
      </c>
      <c r="I615" t="str">
        <f>IF(A615="","",VLOOKUP(A615,lng!A:B,2,0))</f>
        <v>en-GB</v>
      </c>
    </row>
    <row r="616" spans="1:9" x14ac:dyDescent="0.15">
      <c r="A616" t="str">
        <f t="shared" ref="A616:B617" si="493">A615</f>
        <v>英語</v>
      </c>
      <c r="B616">
        <f t="shared" si="493"/>
        <v>6</v>
      </c>
      <c r="C616">
        <f t="shared" si="490"/>
        <v>18</v>
      </c>
      <c r="D616">
        <f t="shared" si="491"/>
        <v>29</v>
      </c>
      <c r="E616" t="str">
        <f>VLOOKUP(D616,name!A:B,2,1)</f>
        <v>Eri</v>
      </c>
      <c r="F616" t="s">
        <v>641</v>
      </c>
      <c r="G616" t="str">
        <f t="shared" si="492"/>
        <v>a</v>
      </c>
      <c r="H616" t="str">
        <f>VLOOKUP(D616,name!A:C,3,1)</f>
        <v>assets/icons/image209.png</v>
      </c>
      <c r="I616" t="s">
        <v>402</v>
      </c>
    </row>
    <row r="617" spans="1:9" x14ac:dyDescent="0.15">
      <c r="A617" t="str">
        <f t="shared" si="493"/>
        <v>英語</v>
      </c>
      <c r="B617">
        <f t="shared" si="493"/>
        <v>6</v>
      </c>
      <c r="C617">
        <f t="shared" si="490"/>
        <v>19</v>
      </c>
      <c r="D617">
        <f t="shared" si="491"/>
        <v>29</v>
      </c>
      <c r="E617" t="str">
        <f>VLOOKUP(D617,name!A:B,2,1)</f>
        <v>Eri</v>
      </c>
      <c r="F617" t="s">
        <v>628</v>
      </c>
      <c r="G617" t="str">
        <f t="shared" si="492"/>
        <v>a</v>
      </c>
      <c r="H617" t="str">
        <f>VLOOKUP(D617,name!A:C,3,1)</f>
        <v>assets/icons/image209.png</v>
      </c>
      <c r="I617" t="str">
        <f>IF(A617="","",VLOOKUP(A617,lng!A:B,2,0))</f>
        <v>en-GB</v>
      </c>
    </row>
    <row r="618" spans="1:9" x14ac:dyDescent="0.15">
      <c r="A618" t="str">
        <f t="shared" ref="A618:B618" si="494">A617</f>
        <v>英語</v>
      </c>
      <c r="B618">
        <f t="shared" si="494"/>
        <v>6</v>
      </c>
      <c r="C618">
        <f t="shared" si="490"/>
        <v>20</v>
      </c>
      <c r="D618">
        <f t="shared" si="491"/>
        <v>29</v>
      </c>
      <c r="E618" t="str">
        <f>VLOOKUP(D618,name!A:B,2,1)</f>
        <v>Eri</v>
      </c>
      <c r="F618" t="s">
        <v>642</v>
      </c>
      <c r="G618" t="str">
        <f t="shared" si="492"/>
        <v>a</v>
      </c>
      <c r="H618" t="str">
        <f>VLOOKUP(D618,name!A:C,3,1)</f>
        <v>assets/icons/image209.png</v>
      </c>
      <c r="I618" t="s">
        <v>402</v>
      </c>
    </row>
    <row r="619" spans="1:9" x14ac:dyDescent="0.15">
      <c r="A619" t="str">
        <f t="shared" ref="A619:B619" si="495">A618</f>
        <v>英語</v>
      </c>
      <c r="B619">
        <f t="shared" si="495"/>
        <v>6</v>
      </c>
      <c r="C619">
        <f t="shared" si="490"/>
        <v>21</v>
      </c>
      <c r="D619">
        <f t="shared" si="491"/>
        <v>29</v>
      </c>
      <c r="E619" t="str">
        <f>VLOOKUP(D619,name!A:B,2,1)</f>
        <v>Eri</v>
      </c>
      <c r="F619" t="s">
        <v>629</v>
      </c>
      <c r="G619" t="str">
        <f t="shared" si="492"/>
        <v>a</v>
      </c>
      <c r="H619" t="str">
        <f>VLOOKUP(D619,name!A:C,3,1)</f>
        <v>assets/icons/image209.png</v>
      </c>
      <c r="I619" t="str">
        <f>IF(A619="","",VLOOKUP(A619,lng!A:B,2,0))</f>
        <v>en-GB</v>
      </c>
    </row>
    <row r="620" spans="1:9" x14ac:dyDescent="0.15">
      <c r="A620" t="str">
        <f t="shared" ref="A620:B620" si="496">A619</f>
        <v>英語</v>
      </c>
      <c r="B620">
        <f t="shared" si="496"/>
        <v>6</v>
      </c>
      <c r="C620">
        <f t="shared" si="490"/>
        <v>22</v>
      </c>
      <c r="D620">
        <f t="shared" si="491"/>
        <v>29</v>
      </c>
      <c r="E620" t="str">
        <f>VLOOKUP(D620,name!A:B,2,1)</f>
        <v>Eri</v>
      </c>
      <c r="F620" t="s">
        <v>643</v>
      </c>
      <c r="G620" t="str">
        <f t="shared" si="492"/>
        <v>a</v>
      </c>
      <c r="H620" t="str">
        <f>VLOOKUP(D620,name!A:C,3,1)</f>
        <v>assets/icons/image209.png</v>
      </c>
      <c r="I620" t="s">
        <v>402</v>
      </c>
    </row>
    <row r="621" spans="1:9" x14ac:dyDescent="0.15">
      <c r="A621" t="str">
        <f t="shared" ref="A621:B621" si="497">A620</f>
        <v>英語</v>
      </c>
      <c r="B621">
        <f t="shared" si="497"/>
        <v>6</v>
      </c>
      <c r="C621">
        <f t="shared" si="490"/>
        <v>23</v>
      </c>
      <c r="D621">
        <f t="shared" si="491"/>
        <v>29</v>
      </c>
      <c r="E621" t="str">
        <f>VLOOKUP(D621,name!A:B,2,1)</f>
        <v>Eri</v>
      </c>
      <c r="F621" t="s">
        <v>630</v>
      </c>
      <c r="G621" t="str">
        <f t="shared" si="492"/>
        <v>a</v>
      </c>
      <c r="H621" t="str">
        <f>VLOOKUP(D621,name!A:C,3,1)</f>
        <v>assets/icons/image209.png</v>
      </c>
      <c r="I621" t="str">
        <f>IF(A621="","",VLOOKUP(A621,lng!A:B,2,0))</f>
        <v>en-GB</v>
      </c>
    </row>
    <row r="622" spans="1:9" x14ac:dyDescent="0.15">
      <c r="A622" t="str">
        <f t="shared" ref="A622:B622" si="498">A621</f>
        <v>英語</v>
      </c>
      <c r="B622">
        <f t="shared" si="498"/>
        <v>6</v>
      </c>
      <c r="C622">
        <f t="shared" si="490"/>
        <v>24</v>
      </c>
      <c r="D622">
        <f t="shared" si="491"/>
        <v>29</v>
      </c>
      <c r="E622" t="str">
        <f>VLOOKUP(D622,name!A:B,2,1)</f>
        <v>Eri</v>
      </c>
      <c r="F622" t="s">
        <v>644</v>
      </c>
      <c r="G622" t="str">
        <f t="shared" si="492"/>
        <v>a</v>
      </c>
      <c r="H622" t="str">
        <f>VLOOKUP(D622,name!A:C,3,1)</f>
        <v>assets/icons/image209.png</v>
      </c>
      <c r="I622" t="s">
        <v>402</v>
      </c>
    </row>
    <row r="623" spans="1:9" x14ac:dyDescent="0.15">
      <c r="A623" t="str">
        <f t="shared" ref="A623:B623" si="499">A622</f>
        <v>英語</v>
      </c>
      <c r="B623">
        <f t="shared" si="499"/>
        <v>6</v>
      </c>
      <c r="C623">
        <f t="shared" si="490"/>
        <v>25</v>
      </c>
      <c r="D623">
        <f t="shared" si="491"/>
        <v>29</v>
      </c>
      <c r="E623" t="str">
        <f>VLOOKUP(D623,name!A:B,2,1)</f>
        <v>Eri</v>
      </c>
      <c r="F623" s="2" t="s">
        <v>776</v>
      </c>
      <c r="G623" t="str">
        <f t="shared" si="492"/>
        <v>a</v>
      </c>
      <c r="H623" t="str">
        <f>VLOOKUP(D623,name!A:C,3,1)</f>
        <v>assets/icons/image209.png</v>
      </c>
      <c r="I623" t="str">
        <f>IF(A623="","",VLOOKUP(A623,lng!A:B,2,0))</f>
        <v>en-GB</v>
      </c>
    </row>
    <row r="624" spans="1:9" x14ac:dyDescent="0.15">
      <c r="A624" t="str">
        <f t="shared" ref="A624:B624" si="500">A623</f>
        <v>英語</v>
      </c>
      <c r="B624">
        <f t="shared" si="500"/>
        <v>6</v>
      </c>
      <c r="C624">
        <f t="shared" si="490"/>
        <v>26</v>
      </c>
      <c r="D624">
        <f t="shared" si="491"/>
        <v>29</v>
      </c>
      <c r="E624" t="str">
        <f>VLOOKUP(D624,name!A:B,2,1)</f>
        <v>Eri</v>
      </c>
      <c r="F624" t="s">
        <v>645</v>
      </c>
      <c r="G624" t="str">
        <f t="shared" si="492"/>
        <v>a</v>
      </c>
      <c r="H624" t="str">
        <f>VLOOKUP(D624,name!A:C,3,1)</f>
        <v>assets/icons/image209.png</v>
      </c>
      <c r="I624" t="s">
        <v>402</v>
      </c>
    </row>
    <row r="625" spans="1:9" x14ac:dyDescent="0.15">
      <c r="A625" t="str">
        <f t="shared" ref="A625:B625" si="501">A624</f>
        <v>英語</v>
      </c>
      <c r="B625">
        <f t="shared" si="501"/>
        <v>6</v>
      </c>
      <c r="C625">
        <f t="shared" si="490"/>
        <v>27</v>
      </c>
      <c r="D625">
        <v>29</v>
      </c>
      <c r="E625" t="str">
        <f>VLOOKUP(D625,name!A:B,2,1)</f>
        <v>Eri</v>
      </c>
      <c r="F625" t="s">
        <v>777</v>
      </c>
      <c r="G625" t="str">
        <f t="shared" si="492"/>
        <v>a</v>
      </c>
      <c r="H625" t="str">
        <f>VLOOKUP(D625,name!A:C,3,1)</f>
        <v>assets/icons/image209.png</v>
      </c>
      <c r="I625" t="str">
        <f>IF(A625="","",VLOOKUP(A625,lng!A:B,2,0))</f>
        <v>en-GB</v>
      </c>
    </row>
    <row r="626" spans="1:9" x14ac:dyDescent="0.15">
      <c r="A626" t="str">
        <f t="shared" ref="A626:B626" si="502">A625</f>
        <v>英語</v>
      </c>
      <c r="B626">
        <f t="shared" si="502"/>
        <v>6</v>
      </c>
      <c r="C626">
        <f t="shared" si="490"/>
        <v>28</v>
      </c>
      <c r="D626">
        <f t="shared" si="491"/>
        <v>33</v>
      </c>
      <c r="E626" t="str">
        <f>VLOOKUP(D626,name!A:B,2,1)</f>
        <v>Simon</v>
      </c>
      <c r="F626" t="s">
        <v>646</v>
      </c>
      <c r="G626" t="str">
        <f t="shared" si="492"/>
        <v>a</v>
      </c>
      <c r="H626" t="str">
        <f>VLOOKUP(D626,name!A:C,3,1)</f>
        <v>assets/icons/image250.png</v>
      </c>
      <c r="I626" t="s">
        <v>402</v>
      </c>
    </row>
    <row r="627" spans="1:9" x14ac:dyDescent="0.15">
      <c r="A627" t="str">
        <f t="shared" ref="A627:B627" si="503">A626</f>
        <v>英語</v>
      </c>
      <c r="B627">
        <f t="shared" si="503"/>
        <v>6</v>
      </c>
      <c r="C627">
        <f t="shared" si="490"/>
        <v>29</v>
      </c>
      <c r="D627">
        <f t="shared" si="491"/>
        <v>33</v>
      </c>
      <c r="E627" t="str">
        <f>VLOOKUP(D627,name!A:B,2,1)</f>
        <v>Simon</v>
      </c>
      <c r="F627" t="s">
        <v>631</v>
      </c>
      <c r="G627" t="str">
        <f t="shared" si="492"/>
        <v>a</v>
      </c>
      <c r="H627" t="str">
        <f>VLOOKUP(D627,name!A:C,3,1)</f>
        <v>assets/icons/image250.png</v>
      </c>
      <c r="I627" t="str">
        <f>IF(A627="","",VLOOKUP(A627,lng!A:B,2,0))</f>
        <v>en-GB</v>
      </c>
    </row>
    <row r="628" spans="1:9" x14ac:dyDescent="0.15">
      <c r="A628" t="str">
        <f t="shared" ref="A628:B628" si="504">A627</f>
        <v>英語</v>
      </c>
      <c r="B628">
        <f t="shared" si="504"/>
        <v>6</v>
      </c>
      <c r="C628">
        <f t="shared" si="490"/>
        <v>30</v>
      </c>
      <c r="D628">
        <f t="shared" si="491"/>
        <v>33</v>
      </c>
      <c r="E628" t="str">
        <f>VLOOKUP(D628,name!A:B,2,1)</f>
        <v>Simon</v>
      </c>
      <c r="F628" t="s">
        <v>647</v>
      </c>
      <c r="G628" t="str">
        <f t="shared" si="492"/>
        <v>a</v>
      </c>
      <c r="H628" t="str">
        <f>VLOOKUP(D628,name!A:C,3,1)</f>
        <v>assets/icons/image250.png</v>
      </c>
      <c r="I628" t="s">
        <v>402</v>
      </c>
    </row>
    <row r="629" spans="1:9" x14ac:dyDescent="0.15">
      <c r="A629" t="str">
        <f t="shared" ref="A629:B629" si="505">A628</f>
        <v>英語</v>
      </c>
      <c r="B629">
        <f t="shared" si="505"/>
        <v>6</v>
      </c>
      <c r="C629">
        <f t="shared" si="490"/>
        <v>31</v>
      </c>
      <c r="D629">
        <f t="shared" si="491"/>
        <v>33</v>
      </c>
      <c r="E629" t="str">
        <f>VLOOKUP(D629,name!A:B,2,1)</f>
        <v>Simon</v>
      </c>
      <c r="F629" t="s">
        <v>632</v>
      </c>
      <c r="G629" t="str">
        <f t="shared" si="492"/>
        <v>a</v>
      </c>
      <c r="H629" t="str">
        <f>VLOOKUP(D629,name!A:C,3,1)</f>
        <v>assets/icons/image250.png</v>
      </c>
      <c r="I629" t="str">
        <f>IF(A629="","",VLOOKUP(A629,lng!A:B,2,0))</f>
        <v>en-GB</v>
      </c>
    </row>
    <row r="630" spans="1:9" x14ac:dyDescent="0.15">
      <c r="A630" t="str">
        <f t="shared" ref="A630:B630" si="506">A629</f>
        <v>英語</v>
      </c>
      <c r="B630">
        <f t="shared" si="506"/>
        <v>6</v>
      </c>
      <c r="C630">
        <f t="shared" si="490"/>
        <v>32</v>
      </c>
      <c r="D630">
        <f t="shared" si="491"/>
        <v>33</v>
      </c>
      <c r="E630" t="str">
        <f>VLOOKUP(D630,name!A:B,2,1)</f>
        <v>Simon</v>
      </c>
      <c r="F630" t="s">
        <v>648</v>
      </c>
      <c r="G630" t="str">
        <f t="shared" si="492"/>
        <v>a</v>
      </c>
      <c r="H630" t="str">
        <f>VLOOKUP(D630,name!A:C,3,1)</f>
        <v>assets/icons/image250.png</v>
      </c>
      <c r="I630" t="s">
        <v>402</v>
      </c>
    </row>
    <row r="631" spans="1:9" x14ac:dyDescent="0.15">
      <c r="A631" t="str">
        <f t="shared" ref="A631:B631" si="507">A630</f>
        <v>英語</v>
      </c>
      <c r="B631">
        <f t="shared" si="507"/>
        <v>6</v>
      </c>
      <c r="C631">
        <f t="shared" si="490"/>
        <v>33</v>
      </c>
      <c r="D631">
        <v>33</v>
      </c>
      <c r="E631" t="str">
        <f>VLOOKUP(D631,name!A:B,2,1)</f>
        <v>Simon</v>
      </c>
      <c r="F631" t="s">
        <v>633</v>
      </c>
      <c r="G631" t="str">
        <f t="shared" si="492"/>
        <v>a</v>
      </c>
      <c r="H631" t="str">
        <f>VLOOKUP(D631,name!A:C,3,1)</f>
        <v>assets/icons/image250.png</v>
      </c>
      <c r="I631" t="str">
        <f>IF(A631="","",VLOOKUP(A631,lng!A:B,2,0))</f>
        <v>en-GB</v>
      </c>
    </row>
    <row r="632" spans="1:9" x14ac:dyDescent="0.15">
      <c r="A632" t="str">
        <f t="shared" ref="A632:B632" si="508">A631</f>
        <v>英語</v>
      </c>
      <c r="B632">
        <f t="shared" si="508"/>
        <v>6</v>
      </c>
      <c r="C632">
        <f t="shared" si="490"/>
        <v>34</v>
      </c>
      <c r="D632">
        <v>1</v>
      </c>
      <c r="E632" t="str">
        <f>VLOOKUP(D632,name!A:B,2,1)</f>
        <v>Navigator</v>
      </c>
      <c r="F632" t="str">
        <f>"次の"&amp;A632&amp;"を真似してね！"</f>
        <v>次の英語を真似してね！</v>
      </c>
      <c r="G632" t="str">
        <f t="shared" si="492"/>
        <v>a</v>
      </c>
      <c r="H632" t="str">
        <f>VLOOKUP(D632,name!A:C,3,1)</f>
        <v>assets/icons/image014.png</v>
      </c>
      <c r="I632" t="s">
        <v>402</v>
      </c>
    </row>
    <row r="633" spans="1:9" x14ac:dyDescent="0.15">
      <c r="A633" t="str">
        <f t="shared" ref="A633:B633" si="509">A632</f>
        <v>英語</v>
      </c>
      <c r="B633">
        <f t="shared" si="509"/>
        <v>6</v>
      </c>
      <c r="C633">
        <f t="shared" si="490"/>
        <v>35</v>
      </c>
      <c r="D633">
        <f>D602</f>
        <v>29</v>
      </c>
      <c r="E633" t="str">
        <f>VLOOKUP(D633,name!A:B,2,1)</f>
        <v>Eri</v>
      </c>
      <c r="F633" t="str">
        <f>F602</f>
        <v>ごめんなさい、サイモン、でも足が痛くて。</v>
      </c>
      <c r="G633" t="str">
        <f t="shared" si="492"/>
        <v>a</v>
      </c>
      <c r="H633" t="str">
        <f>VLOOKUP(D633,name!A:C,3,1)</f>
        <v>assets/icons/image209.png</v>
      </c>
      <c r="I633" t="s">
        <v>402</v>
      </c>
    </row>
    <row r="634" spans="1:9" x14ac:dyDescent="0.15">
      <c r="A634" t="str">
        <f t="shared" ref="A634:B634" si="510">A633</f>
        <v>英語</v>
      </c>
      <c r="B634">
        <f t="shared" si="510"/>
        <v>6</v>
      </c>
      <c r="C634">
        <f t="shared" si="490"/>
        <v>36</v>
      </c>
      <c r="D634">
        <f>D603</f>
        <v>29</v>
      </c>
      <c r="E634" t="str">
        <f>VLOOKUP(D634,name!A:B,2,1)</f>
        <v>Eri</v>
      </c>
      <c r="F634" t="str">
        <f>F603</f>
        <v>I'm sorry, Simon, but my feet are killing me.</v>
      </c>
      <c r="G634" t="str">
        <f t="shared" si="492"/>
        <v>a</v>
      </c>
      <c r="H634" t="str">
        <f>VLOOKUP(D634,name!A:C,3,1)</f>
        <v>assets/icons/image209.png</v>
      </c>
      <c r="I634" t="str">
        <f>IF(A634="","",VLOOKUP(A634,lng!A:B,2,0))</f>
        <v>en-GB</v>
      </c>
    </row>
    <row r="635" spans="1:9" x14ac:dyDescent="0.15">
      <c r="A635" t="str">
        <f t="shared" ref="A635:B635" si="511">A634</f>
        <v>英語</v>
      </c>
      <c r="B635">
        <f t="shared" si="511"/>
        <v>6</v>
      </c>
      <c r="C635">
        <f t="shared" si="490"/>
        <v>37</v>
      </c>
      <c r="D635">
        <v>0</v>
      </c>
      <c r="E635" t="str">
        <f>VLOOKUP(D635,name!A:B,2,1)</f>
        <v>Player</v>
      </c>
      <c r="F635" t="str">
        <f>F603</f>
        <v>I'm sorry, Simon, but my feet are killing me.</v>
      </c>
      <c r="G635" t="str">
        <f t="shared" si="492"/>
        <v>q</v>
      </c>
      <c r="H635" t="str">
        <f>VLOOKUP(D635,name!A:C,3,1)</f>
        <v>assets/icons/image326.png</v>
      </c>
      <c r="I635" t="str">
        <f>IF(A635="","",VLOOKUP(A635,lng!A:B,2,0))</f>
        <v>en-GB</v>
      </c>
    </row>
    <row r="636" spans="1:9" x14ac:dyDescent="0.15">
      <c r="A636" t="str">
        <f t="shared" ref="A636:B636" si="512">A635</f>
        <v>英語</v>
      </c>
      <c r="B636">
        <f t="shared" si="512"/>
        <v>6</v>
      </c>
      <c r="C636">
        <f t="shared" si="490"/>
        <v>38</v>
      </c>
      <c r="D636">
        <f>D604</f>
        <v>29</v>
      </c>
      <c r="E636" t="str">
        <f>VLOOKUP(D636,name!A:B,2,1)</f>
        <v>Eri</v>
      </c>
      <c r="F636" t="str">
        <f>F604</f>
        <v>昼食にどこか立ち寄らない？</v>
      </c>
      <c r="G636" t="str">
        <f t="shared" si="492"/>
        <v>a</v>
      </c>
      <c r="H636" t="str">
        <f>VLOOKUP(D636,name!A:C,3,1)</f>
        <v>assets/icons/image209.png</v>
      </c>
      <c r="I636" t="s">
        <v>402</v>
      </c>
    </row>
    <row r="637" spans="1:9" x14ac:dyDescent="0.15">
      <c r="A637" t="str">
        <f t="shared" ref="A637:B637" si="513">A636</f>
        <v>英語</v>
      </c>
      <c r="B637">
        <f t="shared" si="513"/>
        <v>6</v>
      </c>
      <c r="C637">
        <f t="shared" si="490"/>
        <v>39</v>
      </c>
      <c r="D637">
        <f>D605</f>
        <v>29</v>
      </c>
      <c r="E637" t="str">
        <f>VLOOKUP(D637,name!A:B,2,1)</f>
        <v>Eri</v>
      </c>
      <c r="F637" t="str">
        <f>F605</f>
        <v>Can we stop somewhere for lunch?</v>
      </c>
      <c r="G637" t="str">
        <f t="shared" si="492"/>
        <v>a</v>
      </c>
      <c r="H637" t="str">
        <f>VLOOKUP(D637,name!A:C,3,1)</f>
        <v>assets/icons/image209.png</v>
      </c>
      <c r="I637" t="str">
        <f>IF(A637="","",VLOOKUP(A637,lng!A:B,2,0))</f>
        <v>en-GB</v>
      </c>
    </row>
    <row r="638" spans="1:9" x14ac:dyDescent="0.15">
      <c r="A638" t="str">
        <f t="shared" ref="A638:B638" si="514">A637</f>
        <v>英語</v>
      </c>
      <c r="B638">
        <f t="shared" si="514"/>
        <v>6</v>
      </c>
      <c r="C638">
        <f t="shared" si="490"/>
        <v>40</v>
      </c>
      <c r="D638">
        <v>0</v>
      </c>
      <c r="E638" t="str">
        <f>VLOOKUP(D638,name!A:B,2,1)</f>
        <v>Player</v>
      </c>
      <c r="F638" t="str">
        <f>F605</f>
        <v>Can we stop somewhere for lunch?</v>
      </c>
      <c r="G638" t="str">
        <f t="shared" si="492"/>
        <v>q</v>
      </c>
      <c r="H638" t="str">
        <f>VLOOKUP(D638,name!A:C,3,1)</f>
        <v>assets/icons/image326.png</v>
      </c>
      <c r="I638" t="str">
        <f>IF(A638="","",VLOOKUP(A638,lng!A:B,2,0))</f>
        <v>en-GB</v>
      </c>
    </row>
    <row r="639" spans="1:9" x14ac:dyDescent="0.15">
      <c r="A639" t="str">
        <f t="shared" ref="A639:B639" si="515">A638</f>
        <v>英語</v>
      </c>
      <c r="B639">
        <f t="shared" si="515"/>
        <v>6</v>
      </c>
      <c r="C639">
        <f t="shared" si="490"/>
        <v>41</v>
      </c>
      <c r="D639">
        <f>D606</f>
        <v>33</v>
      </c>
      <c r="E639" t="str">
        <f>VLOOKUP(D639,name!A:B,2,1)</f>
        <v>Simon</v>
      </c>
      <c r="F639" t="str">
        <f>F606</f>
        <v>そうだね。 僕も休みたい</v>
      </c>
      <c r="G639" t="str">
        <f t="shared" si="492"/>
        <v>a</v>
      </c>
      <c r="H639" t="str">
        <f>VLOOKUP(D639,name!A:C,3,1)</f>
        <v>assets/icons/image250.png</v>
      </c>
      <c r="I639" t="s">
        <v>402</v>
      </c>
    </row>
    <row r="640" spans="1:9" x14ac:dyDescent="0.15">
      <c r="A640" t="str">
        <f t="shared" ref="A640:B640" si="516">A639</f>
        <v>英語</v>
      </c>
      <c r="B640">
        <f t="shared" si="516"/>
        <v>6</v>
      </c>
      <c r="C640">
        <f t="shared" si="490"/>
        <v>42</v>
      </c>
      <c r="D640">
        <f>D607</f>
        <v>33</v>
      </c>
      <c r="E640" t="str">
        <f>VLOOKUP(D640,name!A:B,2,1)</f>
        <v>Simon</v>
      </c>
      <c r="F640" t="str">
        <f>F607</f>
        <v>Yeah, I need a rest, too.</v>
      </c>
      <c r="G640" t="str">
        <f t="shared" si="492"/>
        <v>a</v>
      </c>
      <c r="H640" t="str">
        <f>VLOOKUP(D640,name!A:C,3,1)</f>
        <v>assets/icons/image250.png</v>
      </c>
      <c r="I640" t="str">
        <f>IF(A640="","",VLOOKUP(A640,lng!A:B,2,0))</f>
        <v>en-GB</v>
      </c>
    </row>
    <row r="641" spans="1:9" x14ac:dyDescent="0.15">
      <c r="A641" t="str">
        <f t="shared" ref="A641:B641" si="517">A640</f>
        <v>英語</v>
      </c>
      <c r="B641">
        <f t="shared" si="517"/>
        <v>6</v>
      </c>
      <c r="C641">
        <f t="shared" si="490"/>
        <v>43</v>
      </c>
      <c r="D641">
        <v>0</v>
      </c>
      <c r="E641" t="str">
        <f>VLOOKUP(D641,name!A:B,2,1)</f>
        <v>Player</v>
      </c>
      <c r="F641" t="str">
        <f>F607</f>
        <v>Yeah, I need a rest, too.</v>
      </c>
      <c r="G641" t="str">
        <f t="shared" si="492"/>
        <v>q</v>
      </c>
      <c r="H641" t="str">
        <f>VLOOKUP(D641,name!A:C,3,1)</f>
        <v>assets/icons/image326.png</v>
      </c>
      <c r="I641" t="str">
        <f>IF(A641="","",VLOOKUP(A641,lng!A:B,2,0))</f>
        <v>en-GB</v>
      </c>
    </row>
    <row r="642" spans="1:9" x14ac:dyDescent="0.15">
      <c r="A642" t="str">
        <f t="shared" ref="A642:B642" si="518">A641</f>
        <v>英語</v>
      </c>
      <c r="B642">
        <f t="shared" si="518"/>
        <v>6</v>
      </c>
      <c r="C642">
        <f t="shared" si="490"/>
        <v>44</v>
      </c>
      <c r="D642">
        <f>D608</f>
        <v>33</v>
      </c>
      <c r="E642" t="str">
        <f>VLOOKUP(D642,name!A:B,2,1)</f>
        <v>Simon</v>
      </c>
      <c r="F642" t="str">
        <f>F608</f>
        <v>サンドイッチを食べよう思っていたんだ。</v>
      </c>
      <c r="G642" t="str">
        <f t="shared" si="492"/>
        <v>a</v>
      </c>
      <c r="H642" t="str">
        <f>VLOOKUP(D642,name!A:C,3,1)</f>
        <v>assets/icons/image250.png</v>
      </c>
      <c r="I642" t="s">
        <v>402</v>
      </c>
    </row>
    <row r="643" spans="1:9" x14ac:dyDescent="0.15">
      <c r="A643" t="str">
        <f t="shared" ref="A643:B643" si="519">A642</f>
        <v>英語</v>
      </c>
      <c r="B643">
        <f t="shared" si="519"/>
        <v>6</v>
      </c>
      <c r="C643">
        <f t="shared" si="490"/>
        <v>45</v>
      </c>
      <c r="D643">
        <f>D609</f>
        <v>33</v>
      </c>
      <c r="E643" t="str">
        <f>VLOOKUP(D643,name!A:B,2,1)</f>
        <v>Simon</v>
      </c>
      <c r="F643" t="str">
        <f>F609</f>
        <v>I thought we'd get some sandwiches</v>
      </c>
      <c r="G643" t="str">
        <f t="shared" si="492"/>
        <v>a</v>
      </c>
      <c r="H643" t="str">
        <f>VLOOKUP(D643,name!A:C,3,1)</f>
        <v>assets/icons/image250.png</v>
      </c>
      <c r="I643" t="str">
        <f>IF(A643="","",VLOOKUP(A643,lng!A:B,2,0))</f>
        <v>en-GB</v>
      </c>
    </row>
    <row r="644" spans="1:9" x14ac:dyDescent="0.15">
      <c r="A644" t="str">
        <f t="shared" ref="A644:B644" si="520">A643</f>
        <v>英語</v>
      </c>
      <c r="B644">
        <f t="shared" si="520"/>
        <v>6</v>
      </c>
      <c r="C644">
        <f t="shared" si="490"/>
        <v>46</v>
      </c>
      <c r="D644">
        <v>0</v>
      </c>
      <c r="E644" t="str">
        <f>VLOOKUP(D644,name!A:B,2,1)</f>
        <v>Player</v>
      </c>
      <c r="F644" t="str">
        <f>F609</f>
        <v>I thought we'd get some sandwiches</v>
      </c>
      <c r="G644" t="str">
        <f t="shared" si="492"/>
        <v>q</v>
      </c>
      <c r="H644" t="str">
        <f>VLOOKUP(D644,name!A:C,3,1)</f>
        <v>assets/icons/image326.png</v>
      </c>
      <c r="I644" t="str">
        <f>IF(A644="","",VLOOKUP(A644,lng!A:B,2,0))</f>
        <v>en-GB</v>
      </c>
    </row>
    <row r="645" spans="1:9" x14ac:dyDescent="0.15">
      <c r="A645" t="str">
        <f t="shared" ref="A645:B645" si="521">A644</f>
        <v>英語</v>
      </c>
      <c r="B645">
        <f t="shared" si="521"/>
        <v>6</v>
      </c>
      <c r="C645">
        <f t="shared" si="490"/>
        <v>47</v>
      </c>
      <c r="D645">
        <f>D610</f>
        <v>33</v>
      </c>
      <c r="E645" t="str">
        <f>VLOOKUP(D645,name!A:B,2,1)</f>
        <v>Simon</v>
      </c>
      <c r="F645" t="str">
        <f>F610</f>
        <v>川沿いのジーザス・グリーンでちょっとしたピクニックをして、</v>
      </c>
      <c r="G645" t="str">
        <f t="shared" si="492"/>
        <v>a</v>
      </c>
      <c r="H645" t="str">
        <f>VLOOKUP(D645,name!A:C,3,1)</f>
        <v>assets/icons/image250.png</v>
      </c>
      <c r="I645" t="s">
        <v>402</v>
      </c>
    </row>
    <row r="646" spans="1:9" x14ac:dyDescent="0.15">
      <c r="A646" t="str">
        <f t="shared" ref="A646:B646" si="522">A645</f>
        <v>英語</v>
      </c>
      <c r="B646">
        <f t="shared" si="522"/>
        <v>6</v>
      </c>
      <c r="C646">
        <f t="shared" si="490"/>
        <v>48</v>
      </c>
      <c r="D646">
        <f>D611</f>
        <v>33</v>
      </c>
      <c r="E646" t="str">
        <f>VLOOKUP(D646,name!A:B,2,1)</f>
        <v>Simon</v>
      </c>
      <c r="F646" t="str">
        <f>F611</f>
        <v>and have a bit of a picnic on Jesus Green by the river,</v>
      </c>
      <c r="G646" t="str">
        <f t="shared" si="492"/>
        <v>a</v>
      </c>
      <c r="H646" t="str">
        <f>VLOOKUP(D646,name!A:C,3,1)</f>
        <v>assets/icons/image250.png</v>
      </c>
      <c r="I646" t="str">
        <f>IF(A646="","",VLOOKUP(A646,lng!A:B,2,0))</f>
        <v>en-GB</v>
      </c>
    </row>
    <row r="647" spans="1:9" x14ac:dyDescent="0.15">
      <c r="A647" t="str">
        <f t="shared" ref="A647:B647" si="523">A646</f>
        <v>英語</v>
      </c>
      <c r="B647">
        <f t="shared" si="523"/>
        <v>6</v>
      </c>
      <c r="C647">
        <f t="shared" si="490"/>
        <v>49</v>
      </c>
      <c r="D647">
        <v>0</v>
      </c>
      <c r="E647" t="str">
        <f>VLOOKUP(D647,name!A:B,2,1)</f>
        <v>Player</v>
      </c>
      <c r="F647" t="str">
        <f>F611</f>
        <v>and have a bit of a picnic on Jesus Green by the river,</v>
      </c>
      <c r="G647" t="str">
        <f t="shared" si="492"/>
        <v>q</v>
      </c>
      <c r="H647" t="str">
        <f>VLOOKUP(D647,name!A:C,3,1)</f>
        <v>assets/icons/image326.png</v>
      </c>
      <c r="I647" t="str">
        <f>IF(A647="","",VLOOKUP(A647,lng!A:B,2,0))</f>
        <v>en-GB</v>
      </c>
    </row>
    <row r="648" spans="1:9" x14ac:dyDescent="0.15">
      <c r="A648" t="str">
        <f t="shared" ref="A648:B648" si="524">A647</f>
        <v>英語</v>
      </c>
      <c r="B648">
        <f t="shared" si="524"/>
        <v>6</v>
      </c>
      <c r="C648">
        <f t="shared" si="490"/>
        <v>50</v>
      </c>
      <c r="D648">
        <f>D612</f>
        <v>33</v>
      </c>
      <c r="E648" t="str">
        <f>VLOOKUP(D648,name!A:B,2,1)</f>
        <v>Simon</v>
      </c>
      <c r="F648" t="str">
        <f>F612</f>
        <v>今日はとてもいい日だから。</v>
      </c>
      <c r="G648" t="str">
        <f t="shared" si="492"/>
        <v>a</v>
      </c>
      <c r="H648" t="str">
        <f>VLOOKUP(D648,name!A:C,3,1)</f>
        <v>assets/icons/image250.png</v>
      </c>
      <c r="I648" t="s">
        <v>402</v>
      </c>
    </row>
    <row r="649" spans="1:9" x14ac:dyDescent="0.15">
      <c r="A649" t="str">
        <f t="shared" ref="A649:B649" si="525">A648</f>
        <v>英語</v>
      </c>
      <c r="B649">
        <f t="shared" si="525"/>
        <v>6</v>
      </c>
      <c r="C649">
        <f t="shared" si="490"/>
        <v>51</v>
      </c>
      <c r="D649">
        <f>D613</f>
        <v>33</v>
      </c>
      <c r="E649" t="str">
        <f>VLOOKUP(D649,name!A:B,2,1)</f>
        <v>Simon</v>
      </c>
      <c r="F649" t="str">
        <f>F613</f>
        <v>since it's such a nice day today.</v>
      </c>
      <c r="G649" t="str">
        <f t="shared" si="492"/>
        <v>a</v>
      </c>
      <c r="H649" t="str">
        <f>VLOOKUP(D649,name!A:C,3,1)</f>
        <v>assets/icons/image250.png</v>
      </c>
      <c r="I649" t="str">
        <f>IF(A649="","",VLOOKUP(A649,lng!A:B,2,0))</f>
        <v>en-GB</v>
      </c>
    </row>
    <row r="650" spans="1:9" x14ac:dyDescent="0.15">
      <c r="A650" t="str">
        <f t="shared" ref="A650:B650" si="526">A649</f>
        <v>英語</v>
      </c>
      <c r="B650">
        <f t="shared" si="526"/>
        <v>6</v>
      </c>
      <c r="C650">
        <f t="shared" si="490"/>
        <v>52</v>
      </c>
      <c r="D650">
        <v>0</v>
      </c>
      <c r="E650" t="str">
        <f>VLOOKUP(D650,name!A:B,2,1)</f>
        <v>Player</v>
      </c>
      <c r="F650" t="str">
        <f>F613</f>
        <v>since it's such a nice day today.</v>
      </c>
      <c r="G650" t="str">
        <f t="shared" si="492"/>
        <v>q</v>
      </c>
      <c r="H650" t="str">
        <f>VLOOKUP(D650,name!A:C,3,1)</f>
        <v>assets/icons/image326.png</v>
      </c>
      <c r="I650" t="str">
        <f>IF(A650="","",VLOOKUP(A650,lng!A:B,2,0))</f>
        <v>en-GB</v>
      </c>
    </row>
    <row r="651" spans="1:9" x14ac:dyDescent="0.15">
      <c r="A651" t="str">
        <f t="shared" ref="A651:B651" si="527">A650</f>
        <v>英語</v>
      </c>
      <c r="B651">
        <f t="shared" si="527"/>
        <v>6</v>
      </c>
      <c r="C651">
        <f t="shared" si="490"/>
        <v>53</v>
      </c>
      <c r="D651">
        <f>D614</f>
        <v>29</v>
      </c>
      <c r="E651" t="str">
        <f>VLOOKUP(D651,name!A:B,2,1)</f>
        <v>Eri</v>
      </c>
      <c r="F651" t="str">
        <f>F614</f>
        <v>これまでに見てきた場所を見て！</v>
      </c>
      <c r="G651" t="str">
        <f t="shared" si="492"/>
        <v>a</v>
      </c>
      <c r="H651" t="str">
        <f>VLOOKUP(D651,name!A:C,3,1)</f>
        <v>assets/icons/image209.png</v>
      </c>
      <c r="I651" t="s">
        <v>402</v>
      </c>
    </row>
    <row r="652" spans="1:9" x14ac:dyDescent="0.15">
      <c r="A652" t="str">
        <f t="shared" ref="A652:B652" si="528">A651</f>
        <v>英語</v>
      </c>
      <c r="B652">
        <f t="shared" si="528"/>
        <v>6</v>
      </c>
      <c r="C652">
        <f t="shared" si="490"/>
        <v>54</v>
      </c>
      <c r="D652">
        <f>D615</f>
        <v>29</v>
      </c>
      <c r="E652" t="str">
        <f>VLOOKUP(D652,name!A:B,2,1)</f>
        <v>Eri</v>
      </c>
      <c r="F652" t="str">
        <f>F615</f>
        <v>Look at all the places we've seen so far!</v>
      </c>
      <c r="G652" t="str">
        <f t="shared" si="492"/>
        <v>a</v>
      </c>
      <c r="H652" t="str">
        <f>VLOOKUP(D652,name!A:C,3,1)</f>
        <v>assets/icons/image209.png</v>
      </c>
      <c r="I652" t="str">
        <f>IF(A652="","",VLOOKUP(A652,lng!A:B,2,0))</f>
        <v>en-GB</v>
      </c>
    </row>
    <row r="653" spans="1:9" x14ac:dyDescent="0.15">
      <c r="A653" t="str">
        <f t="shared" ref="A653:B653" si="529">A652</f>
        <v>英語</v>
      </c>
      <c r="B653">
        <f t="shared" si="529"/>
        <v>6</v>
      </c>
      <c r="C653">
        <f t="shared" si="490"/>
        <v>55</v>
      </c>
      <c r="D653">
        <v>0</v>
      </c>
      <c r="E653" t="str">
        <f>VLOOKUP(D653,name!A:B,2,1)</f>
        <v>Player</v>
      </c>
      <c r="F653" t="str">
        <f>F615</f>
        <v>Look at all the places we've seen so far!</v>
      </c>
      <c r="G653" t="str">
        <f t="shared" si="492"/>
        <v>q</v>
      </c>
      <c r="H653" t="str">
        <f>VLOOKUP(D653,name!A:C,3,1)</f>
        <v>assets/icons/image326.png</v>
      </c>
      <c r="I653" t="str">
        <f>IF(A653="","",VLOOKUP(A653,lng!A:B,2,0))</f>
        <v>en-GB</v>
      </c>
    </row>
    <row r="654" spans="1:9" x14ac:dyDescent="0.15">
      <c r="A654" t="str">
        <f t="shared" ref="A654:B654" si="530">A653</f>
        <v>英語</v>
      </c>
      <c r="B654">
        <f t="shared" si="530"/>
        <v>6</v>
      </c>
      <c r="C654">
        <f t="shared" si="490"/>
        <v>56</v>
      </c>
      <c r="D654">
        <f>D616</f>
        <v>29</v>
      </c>
      <c r="E654" t="str">
        <f>VLOOKUP(D654,name!A:B,2,1)</f>
        <v>Eri</v>
      </c>
      <c r="F654" t="str">
        <f>F616</f>
        <v>フィッツウィリアム美術館、クイーンズ カレッジ、キングス カレッジ、トリニティも。</v>
      </c>
      <c r="G654" t="str">
        <f t="shared" si="492"/>
        <v>a</v>
      </c>
      <c r="H654" t="str">
        <f>VLOOKUP(D654,name!A:C,3,1)</f>
        <v>assets/icons/image209.png</v>
      </c>
      <c r="I654" t="s">
        <v>402</v>
      </c>
    </row>
    <row r="655" spans="1:9" x14ac:dyDescent="0.15">
      <c r="A655" t="str">
        <f t="shared" ref="A655:B655" si="531">A654</f>
        <v>英語</v>
      </c>
      <c r="B655">
        <f t="shared" si="531"/>
        <v>6</v>
      </c>
      <c r="C655">
        <f t="shared" si="490"/>
        <v>57</v>
      </c>
      <c r="D655">
        <f>D617</f>
        <v>29</v>
      </c>
      <c r="E655" t="str">
        <f>VLOOKUP(D655,name!A:B,2,1)</f>
        <v>Eri</v>
      </c>
      <c r="F655" t="str">
        <f>F617</f>
        <v>The Fitzwilliam Museum, Queens' College, King's College, and Trinity, too.</v>
      </c>
      <c r="G655" t="str">
        <f t="shared" si="492"/>
        <v>a</v>
      </c>
      <c r="H655" t="str">
        <f>VLOOKUP(D655,name!A:C,3,1)</f>
        <v>assets/icons/image209.png</v>
      </c>
      <c r="I655" t="str">
        <f>IF(A655="","",VLOOKUP(A655,lng!A:B,2,0))</f>
        <v>en-GB</v>
      </c>
    </row>
    <row r="656" spans="1:9" x14ac:dyDescent="0.15">
      <c r="A656" t="str">
        <f t="shared" ref="A656:B656" si="532">A655</f>
        <v>英語</v>
      </c>
      <c r="B656">
        <f t="shared" si="532"/>
        <v>6</v>
      </c>
      <c r="C656">
        <f t="shared" si="490"/>
        <v>58</v>
      </c>
      <c r="D656">
        <v>0</v>
      </c>
      <c r="E656" t="str">
        <f>VLOOKUP(D656,name!A:B,2,1)</f>
        <v>Player</v>
      </c>
      <c r="F656" t="str">
        <f>F617</f>
        <v>The Fitzwilliam Museum, Queens' College, King's College, and Trinity, too.</v>
      </c>
      <c r="G656" t="str">
        <f t="shared" si="492"/>
        <v>q</v>
      </c>
      <c r="H656" t="str">
        <f>VLOOKUP(D656,name!A:C,3,1)</f>
        <v>assets/icons/image326.png</v>
      </c>
      <c r="I656" t="str">
        <f>IF(A656="","",VLOOKUP(A656,lng!A:B,2,0))</f>
        <v>en-GB</v>
      </c>
    </row>
    <row r="657" spans="1:9" x14ac:dyDescent="0.15">
      <c r="A657" t="str">
        <f t="shared" ref="A657:B657" si="533">A656</f>
        <v>英語</v>
      </c>
      <c r="B657">
        <f t="shared" si="533"/>
        <v>6</v>
      </c>
      <c r="C657">
        <f t="shared" si="490"/>
        <v>59</v>
      </c>
      <c r="D657">
        <f>D618</f>
        <v>29</v>
      </c>
      <c r="E657" t="str">
        <f>VLOOKUP(D657,name!A:B,2,1)</f>
        <v>Eri</v>
      </c>
      <c r="F657" t="str">
        <f>F618</f>
        <v>もっとメモすればよかった。</v>
      </c>
      <c r="G657" t="str">
        <f t="shared" si="492"/>
        <v>a</v>
      </c>
      <c r="H657" t="str">
        <f>VLOOKUP(D657,name!A:C,3,1)</f>
        <v>assets/icons/image209.png</v>
      </c>
      <c r="I657" t="s">
        <v>402</v>
      </c>
    </row>
    <row r="658" spans="1:9" x14ac:dyDescent="0.15">
      <c r="A658" t="str">
        <f t="shared" ref="A658:B658" si="534">A657</f>
        <v>英語</v>
      </c>
      <c r="B658">
        <f t="shared" si="534"/>
        <v>6</v>
      </c>
      <c r="C658">
        <f t="shared" si="490"/>
        <v>60</v>
      </c>
      <c r="D658">
        <f>D619</f>
        <v>29</v>
      </c>
      <c r="E658" t="str">
        <f>VLOOKUP(D658,name!A:B,2,1)</f>
        <v>Eri</v>
      </c>
      <c r="F658" t="str">
        <f>F619</f>
        <v>I wish I had more notes;</v>
      </c>
      <c r="G658" t="str">
        <f t="shared" si="492"/>
        <v>a</v>
      </c>
      <c r="H658" t="str">
        <f>VLOOKUP(D658,name!A:C,3,1)</f>
        <v>assets/icons/image209.png</v>
      </c>
      <c r="I658" t="str">
        <f>IF(A658="","",VLOOKUP(A658,lng!A:B,2,0))</f>
        <v>en-GB</v>
      </c>
    </row>
    <row r="659" spans="1:9" x14ac:dyDescent="0.15">
      <c r="A659" t="str">
        <f t="shared" ref="A659:B659" si="535">A658</f>
        <v>英語</v>
      </c>
      <c r="B659">
        <f t="shared" si="535"/>
        <v>6</v>
      </c>
      <c r="C659">
        <f t="shared" si="490"/>
        <v>61</v>
      </c>
      <c r="D659">
        <v>0</v>
      </c>
      <c r="E659" t="str">
        <f>VLOOKUP(D659,name!A:B,2,1)</f>
        <v>Player</v>
      </c>
      <c r="F659" t="str">
        <f>F619</f>
        <v>I wish I had more notes;</v>
      </c>
      <c r="G659" t="str">
        <f t="shared" si="492"/>
        <v>q</v>
      </c>
      <c r="H659" t="str">
        <f>VLOOKUP(D659,name!A:C,3,1)</f>
        <v>assets/icons/image326.png</v>
      </c>
      <c r="I659" t="str">
        <f>IF(A659="","",VLOOKUP(A659,lng!A:B,2,0))</f>
        <v>en-GB</v>
      </c>
    </row>
    <row r="660" spans="1:9" x14ac:dyDescent="0.15">
      <c r="A660" t="str">
        <f t="shared" ref="A660:B660" si="536">A659</f>
        <v>英語</v>
      </c>
      <c r="B660">
        <f t="shared" si="536"/>
        <v>6</v>
      </c>
      <c r="C660">
        <f t="shared" si="490"/>
        <v>62</v>
      </c>
      <c r="D660">
        <f>D620</f>
        <v>29</v>
      </c>
      <c r="E660" t="str">
        <f>VLOOKUP(D660,name!A:B,2,1)</f>
        <v>Eri</v>
      </c>
      <c r="F660" t="str">
        <f>F620</f>
        <v>キングズ・コレッジでは</v>
      </c>
      <c r="G660" t="str">
        <f t="shared" si="492"/>
        <v>a</v>
      </c>
      <c r="H660" t="str">
        <f>VLOOKUP(D660,name!A:C,3,1)</f>
        <v>assets/icons/image209.png</v>
      </c>
      <c r="I660" t="s">
        <v>402</v>
      </c>
    </row>
    <row r="661" spans="1:9" x14ac:dyDescent="0.15">
      <c r="A661" t="str">
        <f t="shared" ref="A661:B661" si="537">A660</f>
        <v>英語</v>
      </c>
      <c r="B661">
        <f t="shared" si="537"/>
        <v>6</v>
      </c>
      <c r="C661">
        <f t="shared" si="490"/>
        <v>63</v>
      </c>
      <c r="D661">
        <f>D621</f>
        <v>29</v>
      </c>
      <c r="E661" t="str">
        <f>VLOOKUP(D661,name!A:B,2,1)</f>
        <v>Eri</v>
      </c>
      <c r="F661" t="str">
        <f>F621</f>
        <v>all I have under King's is,</v>
      </c>
      <c r="G661" t="str">
        <f t="shared" si="492"/>
        <v>a</v>
      </c>
      <c r="H661" t="str">
        <f>VLOOKUP(D661,name!A:C,3,1)</f>
        <v>assets/icons/image209.png</v>
      </c>
      <c r="I661" t="str">
        <f>IF(A661="","",VLOOKUP(A661,lng!A:B,2,0))</f>
        <v>en-GB</v>
      </c>
    </row>
    <row r="662" spans="1:9" x14ac:dyDescent="0.15">
      <c r="A662" t="str">
        <f t="shared" ref="A662:B662" si="538">A661</f>
        <v>英語</v>
      </c>
      <c r="B662">
        <f t="shared" si="538"/>
        <v>6</v>
      </c>
      <c r="C662">
        <f t="shared" si="490"/>
        <v>64</v>
      </c>
      <c r="D662">
        <v>0</v>
      </c>
      <c r="E662" t="str">
        <f>VLOOKUP(D662,name!A:B,2,1)</f>
        <v>Player</v>
      </c>
      <c r="F662" t="str">
        <f>F621</f>
        <v>all I have under King's is,</v>
      </c>
      <c r="G662" t="str">
        <f t="shared" si="492"/>
        <v>q</v>
      </c>
      <c r="H662" t="str">
        <f>VLOOKUP(D662,name!A:C,3,1)</f>
        <v>assets/icons/image326.png</v>
      </c>
      <c r="I662" t="str">
        <f>IF(A662="","",VLOOKUP(A662,lng!A:B,2,0))</f>
        <v>en-GB</v>
      </c>
    </row>
    <row r="663" spans="1:9" x14ac:dyDescent="0.15">
      <c r="A663" t="str">
        <f t="shared" ref="A663:B663" si="539">A662</f>
        <v>英語</v>
      </c>
      <c r="B663">
        <f t="shared" si="539"/>
        <v>6</v>
      </c>
      <c r="C663">
        <f t="shared" si="490"/>
        <v>65</v>
      </c>
      <c r="D663">
        <f>D622</f>
        <v>29</v>
      </c>
      <c r="E663" t="str">
        <f>VLOOKUP(D663,name!A:B,2,1)</f>
        <v>Eri</v>
      </c>
      <c r="F663" t="str">
        <f>F622</f>
        <v xml:space="preserve"> 「卒業生にはトイレの発明者やケインズ」</v>
      </c>
      <c r="G663" t="str">
        <f t="shared" si="492"/>
        <v>a</v>
      </c>
      <c r="H663" t="str">
        <f>VLOOKUP(D663,name!A:C,3,1)</f>
        <v>assets/icons/image209.png</v>
      </c>
      <c r="I663" t="s">
        <v>402</v>
      </c>
    </row>
    <row r="664" spans="1:9" x14ac:dyDescent="0.15">
      <c r="A664" t="str">
        <f t="shared" ref="A664:B664" si="540">A663</f>
        <v>英語</v>
      </c>
      <c r="B664">
        <f t="shared" si="540"/>
        <v>6</v>
      </c>
      <c r="C664">
        <f t="shared" si="490"/>
        <v>66</v>
      </c>
      <c r="D664">
        <f>D623</f>
        <v>29</v>
      </c>
      <c r="E664" t="str">
        <f>VLOOKUP(D664,name!A:B,2,1)</f>
        <v>Eri</v>
      </c>
      <c r="F664" t="str">
        <f>F623</f>
        <v>Graduates inventor of the W.C., and Keynes'.</v>
      </c>
      <c r="G664" t="str">
        <f t="shared" si="492"/>
        <v>a</v>
      </c>
      <c r="H664" t="str">
        <f>VLOOKUP(D664,name!A:C,3,1)</f>
        <v>assets/icons/image209.png</v>
      </c>
      <c r="I664" t="str">
        <f>IF(A664="","",VLOOKUP(A664,lng!A:B,2,0))</f>
        <v>en-GB</v>
      </c>
    </row>
    <row r="665" spans="1:9" x14ac:dyDescent="0.15">
      <c r="A665" t="str">
        <f t="shared" ref="A665:B665" si="541">A664</f>
        <v>英語</v>
      </c>
      <c r="B665">
        <f t="shared" si="541"/>
        <v>6</v>
      </c>
      <c r="C665">
        <f t="shared" ref="C665:C709" si="542">C664+1</f>
        <v>67</v>
      </c>
      <c r="D665">
        <v>0</v>
      </c>
      <c r="E665" t="str">
        <f>VLOOKUP(D665,name!A:B,2,1)</f>
        <v>Player</v>
      </c>
      <c r="F665" t="str">
        <f>F623</f>
        <v>Graduates inventor of the W.C., and Keynes'.</v>
      </c>
      <c r="G665" t="str">
        <f t="shared" si="492"/>
        <v>q</v>
      </c>
      <c r="H665" t="str">
        <f>VLOOKUP(D665,name!A:C,3,1)</f>
        <v>assets/icons/image326.png</v>
      </c>
      <c r="I665" t="str">
        <f>IF(A665="","",VLOOKUP(A665,lng!A:B,2,0))</f>
        <v>en-GB</v>
      </c>
    </row>
    <row r="666" spans="1:9" x14ac:dyDescent="0.15">
      <c r="A666" t="str">
        <f t="shared" ref="A666:B666" si="543">A665</f>
        <v>英語</v>
      </c>
      <c r="B666">
        <f t="shared" si="543"/>
        <v>6</v>
      </c>
      <c r="C666">
        <f t="shared" si="542"/>
        <v>68</v>
      </c>
      <c r="D666">
        <f>D624</f>
        <v>29</v>
      </c>
      <c r="E666" t="str">
        <f>VLOOKUP(D666,name!A:B,2,1)</f>
        <v>Eri</v>
      </c>
      <c r="F666" t="str">
        <f>F624</f>
        <v>トリニティでは「クマのプーさん」と「サンドイッチの発明者」としか</v>
      </c>
      <c r="G666" t="str">
        <f t="shared" si="492"/>
        <v>a</v>
      </c>
      <c r="H666" t="str">
        <f>VLOOKUP(D666,name!A:C,3,1)</f>
        <v>assets/icons/image209.png</v>
      </c>
      <c r="I666" t="s">
        <v>402</v>
      </c>
    </row>
    <row r="667" spans="1:9" x14ac:dyDescent="0.15">
      <c r="A667" t="str">
        <f t="shared" ref="A667:B667" si="544">A666</f>
        <v>英語</v>
      </c>
      <c r="B667">
        <f t="shared" si="544"/>
        <v>6</v>
      </c>
      <c r="C667">
        <f t="shared" si="542"/>
        <v>69</v>
      </c>
      <c r="D667">
        <f>D625</f>
        <v>29</v>
      </c>
      <c r="E667" t="str">
        <f>VLOOKUP(D667,name!A:B,2,1)</f>
        <v>Eri</v>
      </c>
      <c r="F667" t="str">
        <f>F625</f>
        <v>Trinity has just, 'Winnie the Pooh', and 'sandwich inventor'.</v>
      </c>
      <c r="G667" t="str">
        <f t="shared" si="492"/>
        <v>a</v>
      </c>
      <c r="H667" t="str">
        <f>VLOOKUP(D667,name!A:C,3,1)</f>
        <v>assets/icons/image209.png</v>
      </c>
      <c r="I667" t="str">
        <f>IF(A667="","",VLOOKUP(A667,lng!A:B,2,0))</f>
        <v>en-GB</v>
      </c>
    </row>
    <row r="668" spans="1:9" x14ac:dyDescent="0.15">
      <c r="A668" t="str">
        <f t="shared" ref="A668:B668" si="545">A667</f>
        <v>英語</v>
      </c>
      <c r="B668">
        <f t="shared" si="545"/>
        <v>6</v>
      </c>
      <c r="C668">
        <f t="shared" si="542"/>
        <v>70</v>
      </c>
      <c r="D668">
        <v>0</v>
      </c>
      <c r="E668" t="str">
        <f>VLOOKUP(D668,name!A:B,2,1)</f>
        <v>Player</v>
      </c>
      <c r="F668" t="str">
        <f>F625</f>
        <v>Trinity has just, 'Winnie the Pooh', and 'sandwich inventor'.</v>
      </c>
      <c r="G668" t="str">
        <f t="shared" si="492"/>
        <v>q</v>
      </c>
      <c r="H668" t="str">
        <f>VLOOKUP(D668,name!A:C,3,1)</f>
        <v>assets/icons/image326.png</v>
      </c>
      <c r="I668" t="str">
        <f>IF(A668="","",VLOOKUP(A668,lng!A:B,2,0))</f>
        <v>en-GB</v>
      </c>
    </row>
    <row r="669" spans="1:9" x14ac:dyDescent="0.15">
      <c r="A669" t="str">
        <f t="shared" ref="A669:B669" si="546">A668</f>
        <v>英語</v>
      </c>
      <c r="B669">
        <f t="shared" si="546"/>
        <v>6</v>
      </c>
      <c r="C669">
        <f t="shared" si="542"/>
        <v>71</v>
      </c>
      <c r="D669">
        <f>D626</f>
        <v>33</v>
      </c>
      <c r="E669" t="str">
        <f>VLOOKUP(D669,name!A:B,2,1)</f>
        <v>Simon</v>
      </c>
      <c r="F669" t="str">
        <f>F626</f>
        <v>僕には重要なことが書いてあるように見える</v>
      </c>
      <c r="G669" t="str">
        <f t="shared" si="492"/>
        <v>a</v>
      </c>
      <c r="H669" t="str">
        <f>VLOOKUP(D669,name!A:C,3,1)</f>
        <v>assets/icons/image250.png</v>
      </c>
      <c r="I669" t="s">
        <v>402</v>
      </c>
    </row>
    <row r="670" spans="1:9" x14ac:dyDescent="0.15">
      <c r="A670" t="str">
        <f t="shared" ref="A670:B670" si="547">A669</f>
        <v>英語</v>
      </c>
      <c r="B670">
        <f t="shared" si="547"/>
        <v>6</v>
      </c>
      <c r="C670">
        <f t="shared" si="542"/>
        <v>72</v>
      </c>
      <c r="D670">
        <f>D627</f>
        <v>33</v>
      </c>
      <c r="E670" t="str">
        <f>VLOOKUP(D670,name!A:B,2,1)</f>
        <v>Simon</v>
      </c>
      <c r="F670" t="str">
        <f>F627</f>
        <v xml:space="preserve"> Seems to me you've got the important things.</v>
      </c>
      <c r="G670" t="str">
        <f t="shared" ref="G670:G733" si="548">IF(B670&lt;&gt;B671,"e",IF(D670=0,"q","a"))</f>
        <v>a</v>
      </c>
      <c r="H670" t="str">
        <f>VLOOKUP(D670,name!A:C,3,1)</f>
        <v>assets/icons/image250.png</v>
      </c>
      <c r="I670" t="str">
        <f>IF(A670="","",VLOOKUP(A670,lng!A:B,2,0))</f>
        <v>en-GB</v>
      </c>
    </row>
    <row r="671" spans="1:9" x14ac:dyDescent="0.15">
      <c r="A671" t="str">
        <f t="shared" ref="A671:B671" si="549">A670</f>
        <v>英語</v>
      </c>
      <c r="B671">
        <f t="shared" si="549"/>
        <v>6</v>
      </c>
      <c r="C671">
        <f t="shared" si="542"/>
        <v>73</v>
      </c>
      <c r="D671">
        <v>0</v>
      </c>
      <c r="E671" t="str">
        <f>VLOOKUP(D671,name!A:B,2,1)</f>
        <v>Player</v>
      </c>
      <c r="F671" t="str">
        <f>F627</f>
        <v xml:space="preserve"> Seems to me you've got the important things.</v>
      </c>
      <c r="G671" t="str">
        <f t="shared" si="548"/>
        <v>q</v>
      </c>
      <c r="H671" t="str">
        <f>VLOOKUP(D671,name!A:C,3,1)</f>
        <v>assets/icons/image326.png</v>
      </c>
      <c r="I671" t="str">
        <f>IF(A671="","",VLOOKUP(A671,lng!A:B,2,0))</f>
        <v>en-GB</v>
      </c>
    </row>
    <row r="672" spans="1:9" x14ac:dyDescent="0.15">
      <c r="A672" t="str">
        <f t="shared" ref="A672:B672" si="550">A671</f>
        <v>英語</v>
      </c>
      <c r="B672">
        <f t="shared" si="550"/>
        <v>6</v>
      </c>
      <c r="C672">
        <f t="shared" si="542"/>
        <v>74</v>
      </c>
      <c r="D672">
        <f>D628</f>
        <v>33</v>
      </c>
      <c r="E672" t="str">
        <f>VLOOKUP(D672,name!A:B,2,1)</f>
        <v>Simon</v>
      </c>
      <c r="F672" t="str">
        <f>F628</f>
        <v>つまり、トイレとサンドイッチがなければどこにいるでしょうか？</v>
      </c>
      <c r="G672" t="str">
        <f t="shared" si="548"/>
        <v>a</v>
      </c>
      <c r="H672" t="str">
        <f>VLOOKUP(D672,name!A:C,3,1)</f>
        <v>assets/icons/image250.png</v>
      </c>
      <c r="I672" t="s">
        <v>402</v>
      </c>
    </row>
    <row r="673" spans="1:9" x14ac:dyDescent="0.15">
      <c r="A673" t="str">
        <f t="shared" ref="A673:B673" si="551">A672</f>
        <v>英語</v>
      </c>
      <c r="B673">
        <f t="shared" si="551"/>
        <v>6</v>
      </c>
      <c r="C673">
        <f t="shared" si="542"/>
        <v>75</v>
      </c>
      <c r="D673">
        <f>D629</f>
        <v>33</v>
      </c>
      <c r="E673" t="str">
        <f>VLOOKUP(D673,name!A:B,2,1)</f>
        <v>Simon</v>
      </c>
      <c r="F673" t="str">
        <f>F629</f>
        <v>I mean, where would we be without loos and sandwiches?</v>
      </c>
      <c r="G673" t="str">
        <f t="shared" si="548"/>
        <v>a</v>
      </c>
      <c r="H673" t="str">
        <f>VLOOKUP(D673,name!A:C,3,1)</f>
        <v>assets/icons/image250.png</v>
      </c>
      <c r="I673" t="str">
        <f>IF(A673="","",VLOOKUP(A673,lng!A:B,2,0))</f>
        <v>en-GB</v>
      </c>
    </row>
    <row r="674" spans="1:9" x14ac:dyDescent="0.15">
      <c r="A674" t="str">
        <f t="shared" ref="A674:B674" si="552">A673</f>
        <v>英語</v>
      </c>
      <c r="B674">
        <f t="shared" si="552"/>
        <v>6</v>
      </c>
      <c r="C674">
        <f t="shared" si="542"/>
        <v>76</v>
      </c>
      <c r="D674">
        <v>0</v>
      </c>
      <c r="E674" t="str">
        <f>VLOOKUP(D674,name!A:B,2,1)</f>
        <v>Player</v>
      </c>
      <c r="F674" t="str">
        <f>F629</f>
        <v>I mean, where would we be without loos and sandwiches?</v>
      </c>
      <c r="G674" t="str">
        <f t="shared" si="548"/>
        <v>q</v>
      </c>
      <c r="H674" t="str">
        <f>VLOOKUP(D674,name!A:C,3,1)</f>
        <v>assets/icons/image326.png</v>
      </c>
      <c r="I674" t="str">
        <f>IF(A674="","",VLOOKUP(A674,lng!A:B,2,0))</f>
        <v>en-GB</v>
      </c>
    </row>
    <row r="675" spans="1:9" x14ac:dyDescent="0.15">
      <c r="A675" t="str">
        <f t="shared" ref="A675:B675" si="553">A674</f>
        <v>英語</v>
      </c>
      <c r="B675">
        <f t="shared" si="553"/>
        <v>6</v>
      </c>
      <c r="C675">
        <f t="shared" si="542"/>
        <v>77</v>
      </c>
      <c r="D675">
        <f>D630</f>
        <v>33</v>
      </c>
      <c r="E675" t="str">
        <f>VLOOKUP(D675,name!A:B,2,1)</f>
        <v>Simon</v>
      </c>
      <c r="F675" t="str">
        <f>F630</f>
        <v>暗黒時代に逆戻り！</v>
      </c>
      <c r="G675" t="str">
        <f t="shared" si="548"/>
        <v>a</v>
      </c>
      <c r="H675" t="str">
        <f>VLOOKUP(D675,name!A:C,3,1)</f>
        <v>assets/icons/image250.png</v>
      </c>
      <c r="I675" t="s">
        <v>402</v>
      </c>
    </row>
    <row r="676" spans="1:9" x14ac:dyDescent="0.15">
      <c r="A676" t="str">
        <f t="shared" ref="A676:B676" si="554">A675</f>
        <v>英語</v>
      </c>
      <c r="B676">
        <f t="shared" si="554"/>
        <v>6</v>
      </c>
      <c r="C676">
        <f t="shared" si="542"/>
        <v>78</v>
      </c>
      <c r="D676">
        <f>D631</f>
        <v>33</v>
      </c>
      <c r="E676" t="str">
        <f>VLOOKUP(D676,name!A:B,2,1)</f>
        <v>Simon</v>
      </c>
      <c r="F676" t="str">
        <f>F631</f>
        <v>Back in the Dark Ages!</v>
      </c>
      <c r="G676" t="str">
        <f t="shared" si="548"/>
        <v>a</v>
      </c>
      <c r="H676" t="str">
        <f>VLOOKUP(D676,name!A:C,3,1)</f>
        <v>assets/icons/image250.png</v>
      </c>
      <c r="I676" t="str">
        <f>IF(A676="","",VLOOKUP(A676,lng!A:B,2,0))</f>
        <v>en-GB</v>
      </c>
    </row>
    <row r="677" spans="1:9" x14ac:dyDescent="0.15">
      <c r="A677" t="str">
        <f t="shared" ref="A677:B677" si="555">A676</f>
        <v>英語</v>
      </c>
      <c r="B677">
        <f t="shared" si="555"/>
        <v>6</v>
      </c>
      <c r="C677">
        <f t="shared" si="542"/>
        <v>79</v>
      </c>
      <c r="D677">
        <v>0</v>
      </c>
      <c r="E677" t="str">
        <f>VLOOKUP(D677,name!A:B,2,1)</f>
        <v>Player</v>
      </c>
      <c r="F677" t="str">
        <f>F631</f>
        <v>Back in the Dark Ages!</v>
      </c>
      <c r="G677" t="str">
        <f t="shared" si="548"/>
        <v>q</v>
      </c>
      <c r="H677" t="str">
        <f>VLOOKUP(D677,name!A:C,3,1)</f>
        <v>assets/icons/image326.png</v>
      </c>
      <c r="I677" t="str">
        <f>IF(A677="","",VLOOKUP(A677,lng!A:B,2,0))</f>
        <v>en-GB</v>
      </c>
    </row>
    <row r="678" spans="1:9" x14ac:dyDescent="0.15">
      <c r="A678" t="str">
        <f t="shared" ref="A678:B678" si="556">A677</f>
        <v>英語</v>
      </c>
      <c r="B678">
        <f t="shared" si="556"/>
        <v>6</v>
      </c>
      <c r="C678">
        <f t="shared" si="542"/>
        <v>80</v>
      </c>
      <c r="D678">
        <v>1</v>
      </c>
      <c r="E678" t="str">
        <f>VLOOKUP(D678,name!A:B,2,1)</f>
        <v>Navigator</v>
      </c>
      <c r="F678" t="str">
        <f>"次の日本語を"&amp;A678&amp;"に訳して答えてね！"</f>
        <v>次の日本語を英語に訳して答えてね！</v>
      </c>
      <c r="G678" t="str">
        <f t="shared" si="548"/>
        <v>a</v>
      </c>
      <c r="H678" t="str">
        <f>VLOOKUP(D678,name!A:C,3,1)</f>
        <v>assets/icons/image014.png</v>
      </c>
      <c r="I678" t="s">
        <v>402</v>
      </c>
    </row>
    <row r="679" spans="1:9" x14ac:dyDescent="0.15">
      <c r="A679" t="str">
        <f t="shared" ref="A679:B679" si="557">A678</f>
        <v>英語</v>
      </c>
      <c r="B679">
        <f t="shared" si="557"/>
        <v>6</v>
      </c>
      <c r="C679">
        <f t="shared" si="542"/>
        <v>81</v>
      </c>
      <c r="D679">
        <f>D602</f>
        <v>29</v>
      </c>
      <c r="E679" t="str">
        <f>VLOOKUP(D679,name!A:B,2,1)</f>
        <v>Eri</v>
      </c>
      <c r="F679" t="str">
        <f t="shared" ref="F679:F708" si="558">F602</f>
        <v>ごめんなさい、サイモン、でも足が痛くて。</v>
      </c>
      <c r="G679" t="str">
        <f t="shared" si="548"/>
        <v>a</v>
      </c>
      <c r="H679" t="str">
        <f>VLOOKUP(D679,name!A:C,3,1)</f>
        <v>assets/icons/image209.png</v>
      </c>
      <c r="I679" t="s">
        <v>402</v>
      </c>
    </row>
    <row r="680" spans="1:9" x14ac:dyDescent="0.15">
      <c r="A680" t="str">
        <f t="shared" ref="A680:B680" si="559">A679</f>
        <v>英語</v>
      </c>
      <c r="B680">
        <f t="shared" si="559"/>
        <v>6</v>
      </c>
      <c r="C680">
        <f t="shared" si="542"/>
        <v>82</v>
      </c>
      <c r="D680">
        <v>0</v>
      </c>
      <c r="E680" t="str">
        <f>VLOOKUP(D680,name!A:B,2,1)</f>
        <v>Player</v>
      </c>
      <c r="F680" t="str">
        <f t="shared" si="558"/>
        <v>I'm sorry, Simon, but my feet are killing me.</v>
      </c>
      <c r="G680" t="str">
        <f t="shared" si="548"/>
        <v>q</v>
      </c>
      <c r="H680" t="str">
        <f>VLOOKUP(D680,name!A:C,3,1)</f>
        <v>assets/icons/image326.png</v>
      </c>
      <c r="I680" t="str">
        <f>IF(A680="","",VLOOKUP(A680,lng!A:B,2,0))</f>
        <v>en-GB</v>
      </c>
    </row>
    <row r="681" spans="1:9" x14ac:dyDescent="0.15">
      <c r="A681" t="str">
        <f t="shared" ref="A681:B681" si="560">A680</f>
        <v>英語</v>
      </c>
      <c r="B681">
        <f t="shared" si="560"/>
        <v>6</v>
      </c>
      <c r="C681">
        <f t="shared" si="542"/>
        <v>83</v>
      </c>
      <c r="D681">
        <f>D604</f>
        <v>29</v>
      </c>
      <c r="E681" t="str">
        <f>VLOOKUP(D681,name!A:B,2,1)</f>
        <v>Eri</v>
      </c>
      <c r="F681" t="str">
        <f t="shared" si="558"/>
        <v>昼食にどこか立ち寄らない？</v>
      </c>
      <c r="G681" t="str">
        <f t="shared" si="548"/>
        <v>a</v>
      </c>
      <c r="H681" t="str">
        <f>VLOOKUP(D681,name!A:C,3,1)</f>
        <v>assets/icons/image209.png</v>
      </c>
      <c r="I681" t="s">
        <v>402</v>
      </c>
    </row>
    <row r="682" spans="1:9" x14ac:dyDescent="0.15">
      <c r="A682" t="str">
        <f t="shared" ref="A682:B682" si="561">A681</f>
        <v>英語</v>
      </c>
      <c r="B682">
        <f t="shared" si="561"/>
        <v>6</v>
      </c>
      <c r="C682">
        <f t="shared" si="542"/>
        <v>84</v>
      </c>
      <c r="D682">
        <v>0</v>
      </c>
      <c r="E682" t="str">
        <f>VLOOKUP(D682,name!A:B,2,1)</f>
        <v>Player</v>
      </c>
      <c r="F682" t="str">
        <f t="shared" si="558"/>
        <v>Can we stop somewhere for lunch?</v>
      </c>
      <c r="G682" t="str">
        <f t="shared" si="548"/>
        <v>q</v>
      </c>
      <c r="H682" t="str">
        <f>VLOOKUP(D682,name!A:C,3,1)</f>
        <v>assets/icons/image326.png</v>
      </c>
      <c r="I682" t="str">
        <f>IF(A682="","",VLOOKUP(A682,lng!A:B,2,0))</f>
        <v>en-GB</v>
      </c>
    </row>
    <row r="683" spans="1:9" x14ac:dyDescent="0.15">
      <c r="A683" t="str">
        <f t="shared" ref="A683:B683" si="562">A682</f>
        <v>英語</v>
      </c>
      <c r="B683">
        <f t="shared" si="562"/>
        <v>6</v>
      </c>
      <c r="C683">
        <f t="shared" si="542"/>
        <v>85</v>
      </c>
      <c r="D683">
        <f>D606</f>
        <v>33</v>
      </c>
      <c r="E683" t="str">
        <f>VLOOKUP(D683,name!A:B,2,1)</f>
        <v>Simon</v>
      </c>
      <c r="F683" t="str">
        <f t="shared" si="558"/>
        <v>そうだね。 僕も休みたい</v>
      </c>
      <c r="G683" t="str">
        <f t="shared" si="548"/>
        <v>a</v>
      </c>
      <c r="H683" t="str">
        <f>VLOOKUP(D683,name!A:C,3,1)</f>
        <v>assets/icons/image250.png</v>
      </c>
      <c r="I683" t="s">
        <v>402</v>
      </c>
    </row>
    <row r="684" spans="1:9" x14ac:dyDescent="0.15">
      <c r="A684" t="str">
        <f t="shared" ref="A684:B684" si="563">A683</f>
        <v>英語</v>
      </c>
      <c r="B684">
        <f t="shared" si="563"/>
        <v>6</v>
      </c>
      <c r="C684">
        <f t="shared" si="542"/>
        <v>86</v>
      </c>
      <c r="D684">
        <v>0</v>
      </c>
      <c r="E684" t="str">
        <f>VLOOKUP(D684,name!A:B,2,1)</f>
        <v>Player</v>
      </c>
      <c r="F684" t="str">
        <f t="shared" si="558"/>
        <v>Yeah, I need a rest, too.</v>
      </c>
      <c r="G684" t="str">
        <f t="shared" si="548"/>
        <v>q</v>
      </c>
      <c r="H684" t="str">
        <f>VLOOKUP(D684,name!A:C,3,1)</f>
        <v>assets/icons/image326.png</v>
      </c>
      <c r="I684" t="str">
        <f>IF(A684="","",VLOOKUP(A684,lng!A:B,2,0))</f>
        <v>en-GB</v>
      </c>
    </row>
    <row r="685" spans="1:9" x14ac:dyDescent="0.15">
      <c r="A685" t="str">
        <f t="shared" ref="A685:B685" si="564">A684</f>
        <v>英語</v>
      </c>
      <c r="B685">
        <f t="shared" si="564"/>
        <v>6</v>
      </c>
      <c r="C685">
        <f t="shared" si="542"/>
        <v>87</v>
      </c>
      <c r="D685">
        <f>D608</f>
        <v>33</v>
      </c>
      <c r="E685" t="str">
        <f>VLOOKUP(D685,name!A:B,2,1)</f>
        <v>Simon</v>
      </c>
      <c r="F685" t="str">
        <f t="shared" si="558"/>
        <v>サンドイッチを食べよう思っていたんだ。</v>
      </c>
      <c r="G685" t="str">
        <f t="shared" si="548"/>
        <v>a</v>
      </c>
      <c r="H685" t="str">
        <f>VLOOKUP(D685,name!A:C,3,1)</f>
        <v>assets/icons/image250.png</v>
      </c>
      <c r="I685" t="s">
        <v>402</v>
      </c>
    </row>
    <row r="686" spans="1:9" x14ac:dyDescent="0.15">
      <c r="A686" t="str">
        <f t="shared" ref="A686:B686" si="565">A685</f>
        <v>英語</v>
      </c>
      <c r="B686">
        <f t="shared" si="565"/>
        <v>6</v>
      </c>
      <c r="C686">
        <f t="shared" si="542"/>
        <v>88</v>
      </c>
      <c r="D686">
        <v>0</v>
      </c>
      <c r="E686" t="str">
        <f>VLOOKUP(D686,name!A:B,2,1)</f>
        <v>Player</v>
      </c>
      <c r="F686" t="str">
        <f t="shared" si="558"/>
        <v>I thought we'd get some sandwiches</v>
      </c>
      <c r="G686" t="str">
        <f t="shared" si="548"/>
        <v>q</v>
      </c>
      <c r="H686" t="str">
        <f>VLOOKUP(D686,name!A:C,3,1)</f>
        <v>assets/icons/image326.png</v>
      </c>
      <c r="I686" t="str">
        <f>IF(A686="","",VLOOKUP(A686,lng!A:B,2,0))</f>
        <v>en-GB</v>
      </c>
    </row>
    <row r="687" spans="1:9" x14ac:dyDescent="0.15">
      <c r="A687" t="str">
        <f t="shared" ref="A687:B687" si="566">A686</f>
        <v>英語</v>
      </c>
      <c r="B687">
        <f t="shared" si="566"/>
        <v>6</v>
      </c>
      <c r="C687">
        <f t="shared" si="542"/>
        <v>89</v>
      </c>
      <c r="D687">
        <f>D610</f>
        <v>33</v>
      </c>
      <c r="E687" t="str">
        <f>VLOOKUP(D687,name!A:B,2,1)</f>
        <v>Simon</v>
      </c>
      <c r="F687" t="str">
        <f t="shared" si="558"/>
        <v>川沿いのジーザス・グリーンでちょっとしたピクニックをして、</v>
      </c>
      <c r="G687" t="str">
        <f t="shared" si="548"/>
        <v>a</v>
      </c>
      <c r="H687" t="str">
        <f>VLOOKUP(D687,name!A:C,3,1)</f>
        <v>assets/icons/image250.png</v>
      </c>
      <c r="I687" t="s">
        <v>402</v>
      </c>
    </row>
    <row r="688" spans="1:9" x14ac:dyDescent="0.15">
      <c r="A688" t="str">
        <f t="shared" ref="A688:B688" si="567">A687</f>
        <v>英語</v>
      </c>
      <c r="B688">
        <f t="shared" si="567"/>
        <v>6</v>
      </c>
      <c r="C688">
        <f t="shared" si="542"/>
        <v>90</v>
      </c>
      <c r="D688">
        <v>0</v>
      </c>
      <c r="E688" t="str">
        <f>VLOOKUP(D688,name!A:B,2,1)</f>
        <v>Player</v>
      </c>
      <c r="F688" t="str">
        <f t="shared" si="558"/>
        <v>and have a bit of a picnic on Jesus Green by the river,</v>
      </c>
      <c r="G688" t="str">
        <f t="shared" si="548"/>
        <v>q</v>
      </c>
      <c r="H688" t="str">
        <f>VLOOKUP(D688,name!A:C,3,1)</f>
        <v>assets/icons/image326.png</v>
      </c>
      <c r="I688" t="str">
        <f>IF(A688="","",VLOOKUP(A688,lng!A:B,2,0))</f>
        <v>en-GB</v>
      </c>
    </row>
    <row r="689" spans="1:9" x14ac:dyDescent="0.15">
      <c r="A689" t="str">
        <f t="shared" ref="A689:B689" si="568">A688</f>
        <v>英語</v>
      </c>
      <c r="B689">
        <f t="shared" si="568"/>
        <v>6</v>
      </c>
      <c r="C689">
        <f t="shared" si="542"/>
        <v>91</v>
      </c>
      <c r="D689">
        <f>D612</f>
        <v>33</v>
      </c>
      <c r="E689" t="str">
        <f>VLOOKUP(D689,name!A:B,2,1)</f>
        <v>Simon</v>
      </c>
      <c r="F689" t="str">
        <f t="shared" si="558"/>
        <v>今日はとてもいい日だから。</v>
      </c>
      <c r="G689" t="str">
        <f t="shared" si="548"/>
        <v>a</v>
      </c>
      <c r="H689" t="str">
        <f>VLOOKUP(D689,name!A:C,3,1)</f>
        <v>assets/icons/image250.png</v>
      </c>
      <c r="I689" t="s">
        <v>402</v>
      </c>
    </row>
    <row r="690" spans="1:9" x14ac:dyDescent="0.15">
      <c r="A690" t="str">
        <f t="shared" ref="A690:B690" si="569">A689</f>
        <v>英語</v>
      </c>
      <c r="B690">
        <f t="shared" si="569"/>
        <v>6</v>
      </c>
      <c r="C690">
        <f t="shared" si="542"/>
        <v>92</v>
      </c>
      <c r="D690">
        <v>0</v>
      </c>
      <c r="E690" t="str">
        <f>VLOOKUP(D690,name!A:B,2,1)</f>
        <v>Player</v>
      </c>
      <c r="F690" t="str">
        <f t="shared" si="558"/>
        <v>since it's such a nice day today.</v>
      </c>
      <c r="G690" t="str">
        <f t="shared" si="548"/>
        <v>q</v>
      </c>
      <c r="H690" t="str">
        <f>VLOOKUP(D690,name!A:C,3,1)</f>
        <v>assets/icons/image326.png</v>
      </c>
      <c r="I690" t="str">
        <f>IF(A690="","",VLOOKUP(A690,lng!A:B,2,0))</f>
        <v>en-GB</v>
      </c>
    </row>
    <row r="691" spans="1:9" x14ac:dyDescent="0.15">
      <c r="A691" t="str">
        <f t="shared" ref="A691:B691" si="570">A690</f>
        <v>英語</v>
      </c>
      <c r="B691">
        <f t="shared" si="570"/>
        <v>6</v>
      </c>
      <c r="C691">
        <f t="shared" si="542"/>
        <v>93</v>
      </c>
      <c r="D691">
        <f>D614</f>
        <v>29</v>
      </c>
      <c r="E691" t="str">
        <f>VLOOKUP(D691,name!A:B,2,1)</f>
        <v>Eri</v>
      </c>
      <c r="F691" t="str">
        <f t="shared" si="558"/>
        <v>これまでに見てきた場所を見て！</v>
      </c>
      <c r="G691" t="str">
        <f t="shared" si="548"/>
        <v>a</v>
      </c>
      <c r="H691" t="str">
        <f>VLOOKUP(D691,name!A:C,3,1)</f>
        <v>assets/icons/image209.png</v>
      </c>
      <c r="I691" t="s">
        <v>402</v>
      </c>
    </row>
    <row r="692" spans="1:9" x14ac:dyDescent="0.15">
      <c r="A692" t="str">
        <f t="shared" ref="A692:B692" si="571">A691</f>
        <v>英語</v>
      </c>
      <c r="B692">
        <f t="shared" si="571"/>
        <v>6</v>
      </c>
      <c r="C692">
        <f t="shared" si="542"/>
        <v>94</v>
      </c>
      <c r="D692">
        <v>0</v>
      </c>
      <c r="E692" t="str">
        <f>VLOOKUP(D692,name!A:B,2,1)</f>
        <v>Player</v>
      </c>
      <c r="F692" t="str">
        <f t="shared" si="558"/>
        <v>Look at all the places we've seen so far!</v>
      </c>
      <c r="G692" t="str">
        <f t="shared" si="548"/>
        <v>q</v>
      </c>
      <c r="H692" t="str">
        <f>VLOOKUP(D692,name!A:C,3,1)</f>
        <v>assets/icons/image326.png</v>
      </c>
      <c r="I692" t="str">
        <f>IF(A692="","",VLOOKUP(A692,lng!A:B,2,0))</f>
        <v>en-GB</v>
      </c>
    </row>
    <row r="693" spans="1:9" x14ac:dyDescent="0.15">
      <c r="A693" t="str">
        <f t="shared" ref="A693:B693" si="572">A692</f>
        <v>英語</v>
      </c>
      <c r="B693">
        <f t="shared" si="572"/>
        <v>6</v>
      </c>
      <c r="C693">
        <f t="shared" si="542"/>
        <v>95</v>
      </c>
      <c r="D693">
        <f>D616</f>
        <v>29</v>
      </c>
      <c r="E693" t="str">
        <f>VLOOKUP(D693,name!A:B,2,1)</f>
        <v>Eri</v>
      </c>
      <c r="F693" t="str">
        <f t="shared" si="558"/>
        <v>フィッツウィリアム美術館、クイーンズ カレッジ、キングス カレッジ、トリニティも。</v>
      </c>
      <c r="G693" t="str">
        <f t="shared" si="548"/>
        <v>a</v>
      </c>
      <c r="H693" t="str">
        <f>VLOOKUP(D693,name!A:C,3,1)</f>
        <v>assets/icons/image209.png</v>
      </c>
      <c r="I693" t="s">
        <v>402</v>
      </c>
    </row>
    <row r="694" spans="1:9" x14ac:dyDescent="0.15">
      <c r="A694" t="str">
        <f t="shared" ref="A694:B694" si="573">A693</f>
        <v>英語</v>
      </c>
      <c r="B694">
        <f t="shared" si="573"/>
        <v>6</v>
      </c>
      <c r="C694">
        <f t="shared" si="542"/>
        <v>96</v>
      </c>
      <c r="D694">
        <v>0</v>
      </c>
      <c r="E694" t="str">
        <f>VLOOKUP(D694,name!A:B,2,1)</f>
        <v>Player</v>
      </c>
      <c r="F694" t="str">
        <f t="shared" si="558"/>
        <v>The Fitzwilliam Museum, Queens' College, King's College, and Trinity, too.</v>
      </c>
      <c r="G694" t="str">
        <f t="shared" si="548"/>
        <v>q</v>
      </c>
      <c r="H694" t="str">
        <f>VLOOKUP(D694,name!A:C,3,1)</f>
        <v>assets/icons/image326.png</v>
      </c>
      <c r="I694" t="str">
        <f>IF(A694="","",VLOOKUP(A694,lng!A:B,2,0))</f>
        <v>en-GB</v>
      </c>
    </row>
    <row r="695" spans="1:9" x14ac:dyDescent="0.15">
      <c r="A695" t="str">
        <f t="shared" ref="A695:B695" si="574">A694</f>
        <v>英語</v>
      </c>
      <c r="B695">
        <f t="shared" si="574"/>
        <v>6</v>
      </c>
      <c r="C695">
        <f t="shared" si="542"/>
        <v>97</v>
      </c>
      <c r="D695">
        <f>D618</f>
        <v>29</v>
      </c>
      <c r="E695" t="str">
        <f>VLOOKUP(D695,name!A:B,2,1)</f>
        <v>Eri</v>
      </c>
      <c r="F695" t="str">
        <f t="shared" si="558"/>
        <v>もっとメモすればよかった。</v>
      </c>
      <c r="G695" t="str">
        <f t="shared" si="548"/>
        <v>a</v>
      </c>
      <c r="H695" t="str">
        <f>VLOOKUP(D695,name!A:C,3,1)</f>
        <v>assets/icons/image209.png</v>
      </c>
      <c r="I695" t="s">
        <v>402</v>
      </c>
    </row>
    <row r="696" spans="1:9" x14ac:dyDescent="0.15">
      <c r="A696" t="str">
        <f t="shared" ref="A696:B696" si="575">A695</f>
        <v>英語</v>
      </c>
      <c r="B696">
        <f t="shared" si="575"/>
        <v>6</v>
      </c>
      <c r="C696">
        <f t="shared" si="542"/>
        <v>98</v>
      </c>
      <c r="D696">
        <v>0</v>
      </c>
      <c r="E696" t="str">
        <f>VLOOKUP(D696,name!A:B,2,1)</f>
        <v>Player</v>
      </c>
      <c r="F696" t="str">
        <f t="shared" si="558"/>
        <v>I wish I had more notes;</v>
      </c>
      <c r="G696" t="str">
        <f t="shared" si="548"/>
        <v>q</v>
      </c>
      <c r="H696" t="str">
        <f>VLOOKUP(D696,name!A:C,3,1)</f>
        <v>assets/icons/image326.png</v>
      </c>
      <c r="I696" t="str">
        <f>IF(A696="","",VLOOKUP(A696,lng!A:B,2,0))</f>
        <v>en-GB</v>
      </c>
    </row>
    <row r="697" spans="1:9" x14ac:dyDescent="0.15">
      <c r="A697" t="str">
        <f t="shared" ref="A697:B697" si="576">A696</f>
        <v>英語</v>
      </c>
      <c r="B697">
        <f t="shared" si="576"/>
        <v>6</v>
      </c>
      <c r="C697">
        <f t="shared" si="542"/>
        <v>99</v>
      </c>
      <c r="D697">
        <f>D620</f>
        <v>29</v>
      </c>
      <c r="E697" t="str">
        <f>VLOOKUP(D697,name!A:B,2,1)</f>
        <v>Eri</v>
      </c>
      <c r="F697" t="str">
        <f t="shared" si="558"/>
        <v>キングズ・コレッジでは</v>
      </c>
      <c r="G697" t="str">
        <f t="shared" si="548"/>
        <v>a</v>
      </c>
      <c r="H697" t="str">
        <f>VLOOKUP(D697,name!A:C,3,1)</f>
        <v>assets/icons/image209.png</v>
      </c>
      <c r="I697" t="s">
        <v>402</v>
      </c>
    </row>
    <row r="698" spans="1:9" x14ac:dyDescent="0.15">
      <c r="A698" t="str">
        <f t="shared" ref="A698:B698" si="577">A697</f>
        <v>英語</v>
      </c>
      <c r="B698">
        <f t="shared" si="577"/>
        <v>6</v>
      </c>
      <c r="C698">
        <f t="shared" si="542"/>
        <v>100</v>
      </c>
      <c r="D698">
        <v>0</v>
      </c>
      <c r="E698" t="str">
        <f>VLOOKUP(D698,name!A:B,2,1)</f>
        <v>Player</v>
      </c>
      <c r="F698" t="str">
        <f t="shared" si="558"/>
        <v>all I have under King's is,</v>
      </c>
      <c r="G698" t="str">
        <f t="shared" si="548"/>
        <v>q</v>
      </c>
      <c r="H698" t="str">
        <f>VLOOKUP(D698,name!A:C,3,1)</f>
        <v>assets/icons/image326.png</v>
      </c>
      <c r="I698" t="str">
        <f>IF(A698="","",VLOOKUP(A698,lng!A:B,2,0))</f>
        <v>en-GB</v>
      </c>
    </row>
    <row r="699" spans="1:9" x14ac:dyDescent="0.15">
      <c r="A699" t="str">
        <f t="shared" ref="A699:B699" si="578">A698</f>
        <v>英語</v>
      </c>
      <c r="B699">
        <f t="shared" si="578"/>
        <v>6</v>
      </c>
      <c r="C699">
        <f t="shared" si="542"/>
        <v>101</v>
      </c>
      <c r="D699">
        <f>D622</f>
        <v>29</v>
      </c>
      <c r="E699" t="str">
        <f>VLOOKUP(D699,name!A:B,2,1)</f>
        <v>Eri</v>
      </c>
      <c r="F699" t="str">
        <f t="shared" si="558"/>
        <v xml:space="preserve"> 「卒業生にはトイレの発明者やケインズ」</v>
      </c>
      <c r="G699" t="str">
        <f t="shared" si="548"/>
        <v>a</v>
      </c>
      <c r="H699" t="str">
        <f>VLOOKUP(D699,name!A:C,3,1)</f>
        <v>assets/icons/image209.png</v>
      </c>
      <c r="I699" t="s">
        <v>402</v>
      </c>
    </row>
    <row r="700" spans="1:9" x14ac:dyDescent="0.15">
      <c r="A700" t="str">
        <f t="shared" ref="A700:B700" si="579">A699</f>
        <v>英語</v>
      </c>
      <c r="B700">
        <f t="shared" si="579"/>
        <v>6</v>
      </c>
      <c r="C700">
        <f t="shared" si="542"/>
        <v>102</v>
      </c>
      <c r="D700">
        <v>0</v>
      </c>
      <c r="E700" t="str">
        <f>VLOOKUP(D700,name!A:B,2,1)</f>
        <v>Player</v>
      </c>
      <c r="F700" t="str">
        <f t="shared" si="558"/>
        <v>Graduates inventor of the W.C., and Keynes'.</v>
      </c>
      <c r="G700" t="str">
        <f t="shared" si="548"/>
        <v>q</v>
      </c>
      <c r="H700" t="str">
        <f>VLOOKUP(D700,name!A:C,3,1)</f>
        <v>assets/icons/image326.png</v>
      </c>
      <c r="I700" t="str">
        <f>IF(A700="","",VLOOKUP(A700,lng!A:B,2,0))</f>
        <v>en-GB</v>
      </c>
    </row>
    <row r="701" spans="1:9" x14ac:dyDescent="0.15">
      <c r="A701" t="str">
        <f t="shared" ref="A701:B701" si="580">A700</f>
        <v>英語</v>
      </c>
      <c r="B701">
        <f t="shared" si="580"/>
        <v>6</v>
      </c>
      <c r="C701">
        <f t="shared" si="542"/>
        <v>103</v>
      </c>
      <c r="D701">
        <f>D624</f>
        <v>29</v>
      </c>
      <c r="E701" t="str">
        <f>VLOOKUP(D701,name!A:B,2,1)</f>
        <v>Eri</v>
      </c>
      <c r="F701" t="str">
        <f t="shared" si="558"/>
        <v>トリニティでは「クマのプーさん」と「サンドイッチの発明者」としか</v>
      </c>
      <c r="G701" t="str">
        <f t="shared" si="548"/>
        <v>a</v>
      </c>
      <c r="H701" t="str">
        <f>VLOOKUP(D701,name!A:C,3,1)</f>
        <v>assets/icons/image209.png</v>
      </c>
      <c r="I701" t="s">
        <v>402</v>
      </c>
    </row>
    <row r="702" spans="1:9" x14ac:dyDescent="0.15">
      <c r="A702" t="str">
        <f t="shared" ref="A702:B702" si="581">A701</f>
        <v>英語</v>
      </c>
      <c r="B702">
        <f t="shared" si="581"/>
        <v>6</v>
      </c>
      <c r="C702">
        <f t="shared" si="542"/>
        <v>104</v>
      </c>
      <c r="D702">
        <v>0</v>
      </c>
      <c r="E702" t="str">
        <f>VLOOKUP(D702,name!A:B,2,1)</f>
        <v>Player</v>
      </c>
      <c r="F702" t="str">
        <f t="shared" si="558"/>
        <v>Trinity has just, 'Winnie the Pooh', and 'sandwich inventor'.</v>
      </c>
      <c r="G702" t="str">
        <f t="shared" si="548"/>
        <v>q</v>
      </c>
      <c r="H702" t="str">
        <f>VLOOKUP(D702,name!A:C,3,1)</f>
        <v>assets/icons/image326.png</v>
      </c>
      <c r="I702" t="str">
        <f>IF(A702="","",VLOOKUP(A702,lng!A:B,2,0))</f>
        <v>en-GB</v>
      </c>
    </row>
    <row r="703" spans="1:9" x14ac:dyDescent="0.15">
      <c r="A703" t="str">
        <f t="shared" ref="A703:B703" si="582">A702</f>
        <v>英語</v>
      </c>
      <c r="B703">
        <f t="shared" si="582"/>
        <v>6</v>
      </c>
      <c r="C703">
        <f t="shared" si="542"/>
        <v>105</v>
      </c>
      <c r="D703">
        <f>D626</f>
        <v>33</v>
      </c>
      <c r="E703" t="str">
        <f>VLOOKUP(D703,name!A:B,2,1)</f>
        <v>Simon</v>
      </c>
      <c r="F703" t="str">
        <f t="shared" si="558"/>
        <v>僕には重要なことが書いてあるように見える</v>
      </c>
      <c r="G703" t="str">
        <f t="shared" si="548"/>
        <v>a</v>
      </c>
      <c r="H703" t="str">
        <f>VLOOKUP(D703,name!A:C,3,1)</f>
        <v>assets/icons/image250.png</v>
      </c>
      <c r="I703" t="s">
        <v>402</v>
      </c>
    </row>
    <row r="704" spans="1:9" x14ac:dyDescent="0.15">
      <c r="A704" t="str">
        <f t="shared" ref="A704:B704" si="583">A703</f>
        <v>英語</v>
      </c>
      <c r="B704">
        <f t="shared" si="583"/>
        <v>6</v>
      </c>
      <c r="C704">
        <f t="shared" si="542"/>
        <v>106</v>
      </c>
      <c r="D704">
        <v>0</v>
      </c>
      <c r="E704" t="str">
        <f>VLOOKUP(D704,name!A:B,2,1)</f>
        <v>Player</v>
      </c>
      <c r="F704" t="str">
        <f t="shared" si="558"/>
        <v xml:space="preserve"> Seems to me you've got the important things.</v>
      </c>
      <c r="G704" t="str">
        <f t="shared" si="548"/>
        <v>q</v>
      </c>
      <c r="H704" t="str">
        <f>VLOOKUP(D704,name!A:C,3,1)</f>
        <v>assets/icons/image326.png</v>
      </c>
      <c r="I704" t="str">
        <f>IF(A704="","",VLOOKUP(A704,lng!A:B,2,0))</f>
        <v>en-GB</v>
      </c>
    </row>
    <row r="705" spans="1:12" x14ac:dyDescent="0.15">
      <c r="A705" t="str">
        <f t="shared" ref="A705:B705" si="584">A704</f>
        <v>英語</v>
      </c>
      <c r="B705">
        <f t="shared" si="584"/>
        <v>6</v>
      </c>
      <c r="C705">
        <f t="shared" si="542"/>
        <v>107</v>
      </c>
      <c r="D705">
        <f>D628</f>
        <v>33</v>
      </c>
      <c r="E705" t="str">
        <f>VLOOKUP(D705,name!A:B,2,1)</f>
        <v>Simon</v>
      </c>
      <c r="F705" t="str">
        <f t="shared" si="558"/>
        <v>つまり、トイレとサンドイッチがなければどこにいるでしょうか？</v>
      </c>
      <c r="G705" t="str">
        <f t="shared" si="548"/>
        <v>a</v>
      </c>
      <c r="H705" t="str">
        <f>VLOOKUP(D705,name!A:C,3,1)</f>
        <v>assets/icons/image250.png</v>
      </c>
      <c r="I705" t="s">
        <v>402</v>
      </c>
    </row>
    <row r="706" spans="1:12" x14ac:dyDescent="0.15">
      <c r="A706" t="str">
        <f t="shared" ref="A706:B706" si="585">A705</f>
        <v>英語</v>
      </c>
      <c r="B706">
        <f t="shared" si="585"/>
        <v>6</v>
      </c>
      <c r="C706">
        <f t="shared" si="542"/>
        <v>108</v>
      </c>
      <c r="D706">
        <v>0</v>
      </c>
      <c r="E706" t="str">
        <f>VLOOKUP(D706,name!A:B,2,1)</f>
        <v>Player</v>
      </c>
      <c r="F706" t="str">
        <f t="shared" si="558"/>
        <v>I mean, where would we be without loos and sandwiches?</v>
      </c>
      <c r="G706" t="str">
        <f t="shared" si="548"/>
        <v>q</v>
      </c>
      <c r="H706" t="str">
        <f>VLOOKUP(D706,name!A:C,3,1)</f>
        <v>assets/icons/image326.png</v>
      </c>
      <c r="I706" t="str">
        <f>IF(A706="","",VLOOKUP(A706,lng!A:B,2,0))</f>
        <v>en-GB</v>
      </c>
    </row>
    <row r="707" spans="1:12" x14ac:dyDescent="0.15">
      <c r="A707" t="str">
        <f t="shared" ref="A707:B707" si="586">A706</f>
        <v>英語</v>
      </c>
      <c r="B707">
        <f t="shared" si="586"/>
        <v>6</v>
      </c>
      <c r="C707">
        <f t="shared" si="542"/>
        <v>109</v>
      </c>
      <c r="D707">
        <f>D630</f>
        <v>33</v>
      </c>
      <c r="E707" t="str">
        <f>VLOOKUP(D707,name!A:B,2,1)</f>
        <v>Simon</v>
      </c>
      <c r="F707" t="str">
        <f t="shared" si="558"/>
        <v>暗黒時代に逆戻り！</v>
      </c>
      <c r="G707" t="str">
        <f t="shared" si="548"/>
        <v>a</v>
      </c>
      <c r="H707" t="str">
        <f>VLOOKUP(D707,name!A:C,3,1)</f>
        <v>assets/icons/image250.png</v>
      </c>
      <c r="I707" t="s">
        <v>402</v>
      </c>
    </row>
    <row r="708" spans="1:12" x14ac:dyDescent="0.15">
      <c r="A708" t="str">
        <f t="shared" ref="A708:B708" si="587">A707</f>
        <v>英語</v>
      </c>
      <c r="B708">
        <f t="shared" si="587"/>
        <v>6</v>
      </c>
      <c r="C708">
        <f t="shared" si="542"/>
        <v>110</v>
      </c>
      <c r="D708">
        <v>0</v>
      </c>
      <c r="E708" t="str">
        <f>VLOOKUP(D708,name!A:B,2,1)</f>
        <v>Player</v>
      </c>
      <c r="F708" t="str">
        <f t="shared" si="558"/>
        <v>Back in the Dark Ages!</v>
      </c>
      <c r="G708" t="str">
        <f t="shared" si="548"/>
        <v>q</v>
      </c>
      <c r="H708" t="str">
        <f>VLOOKUP(D708,name!A:C,3,1)</f>
        <v>assets/icons/image326.png</v>
      </c>
      <c r="I708" t="str">
        <f>IF(A708="","",VLOOKUP(A708,lng!A:B,2,0))</f>
        <v>en-GB</v>
      </c>
    </row>
    <row r="709" spans="1:12" x14ac:dyDescent="0.15">
      <c r="A709" t="str">
        <f t="shared" ref="A709:B709" si="588">A708</f>
        <v>英語</v>
      </c>
      <c r="B709">
        <f t="shared" si="588"/>
        <v>6</v>
      </c>
      <c r="C709">
        <f t="shared" si="542"/>
        <v>111</v>
      </c>
      <c r="D709">
        <v>1</v>
      </c>
      <c r="E709" t="str">
        <f>VLOOKUP(D709,name!A:B,2,1)</f>
        <v>Navigator</v>
      </c>
      <c r="F709" t="str">
        <f>"とても良くできました。レッスン"&amp;B709&amp;"はこれで終了です。"</f>
        <v>とても良くできました。レッスン6はこれで終了です。</v>
      </c>
      <c r="G709" t="str">
        <f t="shared" si="548"/>
        <v>e</v>
      </c>
      <c r="H709" t="str">
        <f>VLOOKUP(D709,name!A:C,3,1)</f>
        <v>assets/icons/image014.png</v>
      </c>
      <c r="I709" t="s">
        <v>402</v>
      </c>
    </row>
    <row r="710" spans="1:12" x14ac:dyDescent="0.15">
      <c r="A710" t="str">
        <f>A709</f>
        <v>英語</v>
      </c>
      <c r="B710">
        <f>B709+1</f>
        <v>7</v>
      </c>
      <c r="C710">
        <v>1</v>
      </c>
      <c r="D710">
        <v>1</v>
      </c>
      <c r="E710" t="str">
        <f>VLOOKUP(D710,name!A:B,2,1)</f>
        <v>Navigator</v>
      </c>
      <c r="F710" t="s">
        <v>649</v>
      </c>
      <c r="G710" t="str">
        <f t="shared" si="548"/>
        <v>a</v>
      </c>
      <c r="H710" t="str">
        <f>VLOOKUP(D710,name!A:C,3,1)</f>
        <v>assets/icons/image014.png</v>
      </c>
      <c r="I710" t="str">
        <f>IF(A710="","",VLOOKUP(A710,lng!A:B,2,0))</f>
        <v>en-GB</v>
      </c>
    </row>
    <row r="711" spans="1:12" x14ac:dyDescent="0.15">
      <c r="A711" t="str">
        <f t="shared" ref="A711:B726" si="589">A710</f>
        <v>英語</v>
      </c>
      <c r="B711">
        <f>B710</f>
        <v>7</v>
      </c>
      <c r="C711">
        <f>C710+1</f>
        <v>2</v>
      </c>
      <c r="D711">
        <v>1</v>
      </c>
      <c r="E711" t="str">
        <f>VLOOKUP(D711,name!A:B,2,1)</f>
        <v>Navigator</v>
      </c>
      <c r="F711" t="str">
        <f>"レッスン"&amp;B711</f>
        <v>レッスン7</v>
      </c>
      <c r="G711" t="str">
        <f t="shared" si="548"/>
        <v>a</v>
      </c>
      <c r="H711" t="str">
        <f>VLOOKUP(D711,name!A:C,3,1)</f>
        <v>assets/icons/image014.png</v>
      </c>
      <c r="I711" t="s">
        <v>402</v>
      </c>
    </row>
    <row r="712" spans="1:12" ht="40.5" x14ac:dyDescent="0.15">
      <c r="A712" t="str">
        <f t="shared" si="589"/>
        <v>英語</v>
      </c>
      <c r="B712">
        <f t="shared" si="589"/>
        <v>7</v>
      </c>
      <c r="C712">
        <f t="shared" ref="C712:C775" si="590">C711+1</f>
        <v>3</v>
      </c>
      <c r="D712">
        <v>1</v>
      </c>
      <c r="E712" t="str">
        <f>VLOOKUP(D712,name!A:B,2,1)</f>
        <v>Navigator</v>
      </c>
      <c r="F712" s="1" t="str">
        <f>"まずは対話文を流します。その後に、日本語と"&amp;A712&amp;"を一文ずつ流すので"&amp;A712&amp;"を真似して下さい。最後に日本語のみを流すので、"&amp;A712&amp;"で答えてください。"</f>
        <v>まずは対話文を流します。その後に、日本語と英語を一文ずつ流すので英語を真似して下さい。最後に日本語のみを流すので、英語で答えてください。</v>
      </c>
      <c r="G712" t="str">
        <f t="shared" si="548"/>
        <v>a</v>
      </c>
      <c r="H712" t="str">
        <f>VLOOKUP(D712,name!A:C,3,1)</f>
        <v>assets/icons/image014.png</v>
      </c>
      <c r="I712" t="s">
        <v>402</v>
      </c>
      <c r="L712" s="1"/>
    </row>
    <row r="713" spans="1:12" x14ac:dyDescent="0.15">
      <c r="A713" t="str">
        <f t="shared" si="589"/>
        <v>英語</v>
      </c>
      <c r="B713">
        <f t="shared" si="589"/>
        <v>7</v>
      </c>
      <c r="C713">
        <f t="shared" si="590"/>
        <v>4</v>
      </c>
      <c r="D713">
        <f>D714</f>
        <v>31</v>
      </c>
      <c r="E713" t="str">
        <f>VLOOKUP(D713,name!A:B,2,1)</f>
        <v>Mrs. Bennett</v>
      </c>
      <c r="F713" t="s">
        <v>667</v>
      </c>
      <c r="G713" t="str">
        <f t="shared" si="548"/>
        <v>a</v>
      </c>
      <c r="H713" t="str">
        <f>VLOOKUP(D713,name!A:C,3,1)</f>
        <v>assets/icons/image149.png</v>
      </c>
      <c r="I713" t="s">
        <v>402</v>
      </c>
      <c r="L713" s="1"/>
    </row>
    <row r="714" spans="1:12" x14ac:dyDescent="0.15">
      <c r="A714" t="str">
        <f t="shared" si="589"/>
        <v>英語</v>
      </c>
      <c r="B714">
        <f t="shared" si="589"/>
        <v>7</v>
      </c>
      <c r="C714">
        <f t="shared" si="590"/>
        <v>5</v>
      </c>
      <c r="D714">
        <f t="shared" ref="D714:D745" si="591">D715</f>
        <v>31</v>
      </c>
      <c r="E714" t="str">
        <f>VLOOKUP(D714,name!A:B,2,1)</f>
        <v>Mrs. Bennett</v>
      </c>
      <c r="F714" t="s">
        <v>650</v>
      </c>
      <c r="G714" t="str">
        <f t="shared" si="548"/>
        <v>a</v>
      </c>
      <c r="H714" t="str">
        <f>VLOOKUP(D714,name!A:C,3,1)</f>
        <v>assets/icons/image149.png</v>
      </c>
      <c r="I714" t="str">
        <f>IF(A714="","",VLOOKUP(A714,lng!A:B,2,0))</f>
        <v>en-GB</v>
      </c>
    </row>
    <row r="715" spans="1:12" x14ac:dyDescent="0.15">
      <c r="A715" t="str">
        <f t="shared" si="589"/>
        <v>英語</v>
      </c>
      <c r="B715">
        <f t="shared" si="589"/>
        <v>7</v>
      </c>
      <c r="C715">
        <f t="shared" si="590"/>
        <v>6</v>
      </c>
      <c r="D715">
        <f t="shared" si="591"/>
        <v>31</v>
      </c>
      <c r="E715" t="str">
        <f>VLOOKUP(D715,name!A:B,2,1)</f>
        <v>Mrs. Bennett</v>
      </c>
      <c r="F715" t="s">
        <v>668</v>
      </c>
      <c r="G715" t="str">
        <f t="shared" si="548"/>
        <v>a</v>
      </c>
      <c r="H715" t="str">
        <f>VLOOKUP(D715,name!A:C,3,1)</f>
        <v>assets/icons/image149.png</v>
      </c>
      <c r="I715" t="s">
        <v>402</v>
      </c>
    </row>
    <row r="716" spans="1:12" x14ac:dyDescent="0.15">
      <c r="A716" t="str">
        <f t="shared" si="589"/>
        <v>英語</v>
      </c>
      <c r="B716">
        <f t="shared" si="589"/>
        <v>7</v>
      </c>
      <c r="C716">
        <f t="shared" si="590"/>
        <v>7</v>
      </c>
      <c r="D716">
        <f t="shared" si="591"/>
        <v>31</v>
      </c>
      <c r="E716" t="str">
        <f>VLOOKUP(D716,name!A:B,2,1)</f>
        <v>Mrs. Bennett</v>
      </c>
      <c r="F716" t="s">
        <v>651</v>
      </c>
      <c r="G716" t="str">
        <f t="shared" si="548"/>
        <v>a</v>
      </c>
      <c r="H716" t="str">
        <f>VLOOKUP(D716,name!A:C,3,1)</f>
        <v>assets/icons/image149.png</v>
      </c>
      <c r="I716" t="str">
        <f>IF(A716="","",VLOOKUP(A716,lng!A:B,2,0))</f>
        <v>en-GB</v>
      </c>
    </row>
    <row r="717" spans="1:12" x14ac:dyDescent="0.15">
      <c r="A717" t="str">
        <f t="shared" si="589"/>
        <v>英語</v>
      </c>
      <c r="B717">
        <f t="shared" si="589"/>
        <v>7</v>
      </c>
      <c r="C717">
        <f t="shared" si="590"/>
        <v>8</v>
      </c>
      <c r="D717">
        <f t="shared" si="591"/>
        <v>31</v>
      </c>
      <c r="E717" t="str">
        <f>VLOOKUP(D717,name!A:B,2,1)</f>
        <v>Mrs. Bennett</v>
      </c>
      <c r="F717" t="s">
        <v>669</v>
      </c>
      <c r="G717" t="str">
        <f t="shared" si="548"/>
        <v>a</v>
      </c>
      <c r="H717" t="str">
        <f>VLOOKUP(D717,name!A:C,3,1)</f>
        <v>assets/icons/image149.png</v>
      </c>
      <c r="I717" t="s">
        <v>402</v>
      </c>
    </row>
    <row r="718" spans="1:12" x14ac:dyDescent="0.15">
      <c r="A718" t="str">
        <f t="shared" si="589"/>
        <v>英語</v>
      </c>
      <c r="B718">
        <f t="shared" si="589"/>
        <v>7</v>
      </c>
      <c r="C718">
        <f t="shared" si="590"/>
        <v>9</v>
      </c>
      <c r="D718">
        <f t="shared" si="591"/>
        <v>31</v>
      </c>
      <c r="E718" t="str">
        <f>VLOOKUP(D718,name!A:B,2,1)</f>
        <v>Mrs. Bennett</v>
      </c>
      <c r="F718" t="s">
        <v>652</v>
      </c>
      <c r="G718" t="str">
        <f t="shared" si="548"/>
        <v>a</v>
      </c>
      <c r="H718" t="str">
        <f>VLOOKUP(D718,name!A:C,3,1)</f>
        <v>assets/icons/image149.png</v>
      </c>
      <c r="I718" t="str">
        <f>IF(A718="","",VLOOKUP(A718,lng!A:B,2,0))</f>
        <v>en-GB</v>
      </c>
    </row>
    <row r="719" spans="1:12" x14ac:dyDescent="0.15">
      <c r="A719" t="str">
        <f t="shared" si="589"/>
        <v>英語</v>
      </c>
      <c r="B719">
        <f t="shared" si="589"/>
        <v>7</v>
      </c>
      <c r="C719">
        <f t="shared" si="590"/>
        <v>10</v>
      </c>
      <c r="D719">
        <f t="shared" si="591"/>
        <v>31</v>
      </c>
      <c r="E719" t="str">
        <f>VLOOKUP(D719,name!A:B,2,1)</f>
        <v>Mrs. Bennett</v>
      </c>
      <c r="F719" t="s">
        <v>670</v>
      </c>
      <c r="G719" t="str">
        <f t="shared" si="548"/>
        <v>a</v>
      </c>
      <c r="H719" t="str">
        <f>VLOOKUP(D719,name!A:C,3,1)</f>
        <v>assets/icons/image149.png</v>
      </c>
      <c r="I719" t="s">
        <v>402</v>
      </c>
    </row>
    <row r="720" spans="1:12" x14ac:dyDescent="0.15">
      <c r="A720" t="str">
        <f t="shared" si="589"/>
        <v>英語</v>
      </c>
      <c r="B720">
        <f t="shared" si="589"/>
        <v>7</v>
      </c>
      <c r="C720">
        <f t="shared" si="590"/>
        <v>11</v>
      </c>
      <c r="D720">
        <v>31</v>
      </c>
      <c r="E720" t="str">
        <f>VLOOKUP(D720,name!A:B,2,1)</f>
        <v>Mrs. Bennett</v>
      </c>
      <c r="F720" t="s">
        <v>653</v>
      </c>
      <c r="G720" t="str">
        <f t="shared" si="548"/>
        <v>a</v>
      </c>
      <c r="H720" t="str">
        <f>VLOOKUP(D720,name!A:C,3,1)</f>
        <v>assets/icons/image149.png</v>
      </c>
      <c r="I720" t="str">
        <f>IF(A720="","",VLOOKUP(A720,lng!A:B,2,0))</f>
        <v>en-GB</v>
      </c>
    </row>
    <row r="721" spans="1:9" x14ac:dyDescent="0.15">
      <c r="A721" t="str">
        <f t="shared" si="589"/>
        <v>英語</v>
      </c>
      <c r="B721">
        <f t="shared" si="589"/>
        <v>7</v>
      </c>
      <c r="C721">
        <f t="shared" si="590"/>
        <v>12</v>
      </c>
      <c r="D721">
        <f t="shared" si="591"/>
        <v>29</v>
      </c>
      <c r="E721" t="str">
        <f>VLOOKUP(D721,name!A:B,2,1)</f>
        <v>Eri</v>
      </c>
      <c r="F721" t="s">
        <v>671</v>
      </c>
      <c r="G721" t="str">
        <f t="shared" si="548"/>
        <v>a</v>
      </c>
      <c r="H721" t="str">
        <f>VLOOKUP(D721,name!A:C,3,1)</f>
        <v>assets/icons/image209.png</v>
      </c>
      <c r="I721" t="s">
        <v>402</v>
      </c>
    </row>
    <row r="722" spans="1:9" x14ac:dyDescent="0.15">
      <c r="A722" t="str">
        <f t="shared" si="589"/>
        <v>英語</v>
      </c>
      <c r="B722">
        <f t="shared" si="589"/>
        <v>7</v>
      </c>
      <c r="C722">
        <f t="shared" si="590"/>
        <v>13</v>
      </c>
      <c r="D722">
        <f t="shared" si="591"/>
        <v>29</v>
      </c>
      <c r="E722" t="str">
        <f>VLOOKUP(D722,name!A:B,2,1)</f>
        <v>Eri</v>
      </c>
      <c r="F722" t="s">
        <v>654</v>
      </c>
      <c r="G722" t="str">
        <f t="shared" si="548"/>
        <v>a</v>
      </c>
      <c r="H722" t="str">
        <f>VLOOKUP(D722,name!A:C,3,1)</f>
        <v>assets/icons/image209.png</v>
      </c>
      <c r="I722" t="str">
        <f>IF(A722="","",VLOOKUP(A722,lng!A:B,2,0))</f>
        <v>en-GB</v>
      </c>
    </row>
    <row r="723" spans="1:9" x14ac:dyDescent="0.15">
      <c r="A723" t="str">
        <f t="shared" si="589"/>
        <v>英語</v>
      </c>
      <c r="B723">
        <f t="shared" si="589"/>
        <v>7</v>
      </c>
      <c r="C723">
        <f t="shared" si="590"/>
        <v>14</v>
      </c>
      <c r="D723">
        <f t="shared" si="591"/>
        <v>29</v>
      </c>
      <c r="E723" t="str">
        <f>VLOOKUP(D723,name!A:B,2,1)</f>
        <v>Eri</v>
      </c>
      <c r="F723" t="s">
        <v>672</v>
      </c>
      <c r="G723" t="str">
        <f t="shared" si="548"/>
        <v>a</v>
      </c>
      <c r="H723" t="str">
        <f>VLOOKUP(D723,name!A:C,3,1)</f>
        <v>assets/icons/image209.png</v>
      </c>
      <c r="I723" t="s">
        <v>402</v>
      </c>
    </row>
    <row r="724" spans="1:9" x14ac:dyDescent="0.15">
      <c r="A724" t="str">
        <f t="shared" si="589"/>
        <v>英語</v>
      </c>
      <c r="B724">
        <f t="shared" si="589"/>
        <v>7</v>
      </c>
      <c r="C724">
        <f t="shared" si="590"/>
        <v>15</v>
      </c>
      <c r="D724">
        <v>29</v>
      </c>
      <c r="E724" t="str">
        <f>VLOOKUP(D724,name!A:B,2,1)</f>
        <v>Eri</v>
      </c>
      <c r="F724" t="s">
        <v>655</v>
      </c>
      <c r="G724" t="str">
        <f t="shared" si="548"/>
        <v>a</v>
      </c>
      <c r="H724" t="str">
        <f>VLOOKUP(D724,name!A:C,3,1)</f>
        <v>assets/icons/image209.png</v>
      </c>
      <c r="I724" t="str">
        <f>IF(A724="","",VLOOKUP(A724,lng!A:B,2,0))</f>
        <v>en-GB</v>
      </c>
    </row>
    <row r="725" spans="1:9" x14ac:dyDescent="0.15">
      <c r="A725" t="str">
        <f t="shared" si="589"/>
        <v>英語</v>
      </c>
      <c r="B725">
        <f t="shared" si="589"/>
        <v>7</v>
      </c>
      <c r="C725">
        <f t="shared" si="590"/>
        <v>16</v>
      </c>
      <c r="D725">
        <f t="shared" si="591"/>
        <v>31</v>
      </c>
      <c r="E725" t="str">
        <f>VLOOKUP(D725,name!A:B,2,1)</f>
        <v>Mrs. Bennett</v>
      </c>
      <c r="F725" t="s">
        <v>673</v>
      </c>
      <c r="G725" t="str">
        <f t="shared" si="548"/>
        <v>a</v>
      </c>
      <c r="H725" t="str">
        <f>VLOOKUP(D725,name!A:C,3,1)</f>
        <v>assets/icons/image149.png</v>
      </c>
      <c r="I725" t="s">
        <v>402</v>
      </c>
    </row>
    <row r="726" spans="1:9" x14ac:dyDescent="0.15">
      <c r="A726" t="str">
        <f t="shared" si="589"/>
        <v>英語</v>
      </c>
      <c r="B726">
        <f t="shared" si="589"/>
        <v>7</v>
      </c>
      <c r="C726">
        <f t="shared" si="590"/>
        <v>17</v>
      </c>
      <c r="D726">
        <v>31</v>
      </c>
      <c r="E726" t="str">
        <f>VLOOKUP(D726,name!A:B,2,1)</f>
        <v>Mrs. Bennett</v>
      </c>
      <c r="F726" t="s">
        <v>656</v>
      </c>
      <c r="G726" t="str">
        <f t="shared" si="548"/>
        <v>a</v>
      </c>
      <c r="H726" t="str">
        <f>VLOOKUP(D726,name!A:C,3,1)</f>
        <v>assets/icons/image149.png</v>
      </c>
      <c r="I726" t="str">
        <f>IF(A726="","",VLOOKUP(A726,lng!A:B,2,0))</f>
        <v>en-GB</v>
      </c>
    </row>
    <row r="727" spans="1:9" x14ac:dyDescent="0.15">
      <c r="A727" t="str">
        <f t="shared" ref="A727:B739" si="592">A726</f>
        <v>英語</v>
      </c>
      <c r="B727">
        <f t="shared" si="592"/>
        <v>7</v>
      </c>
      <c r="C727">
        <f t="shared" si="590"/>
        <v>18</v>
      </c>
      <c r="D727">
        <f t="shared" si="591"/>
        <v>29</v>
      </c>
      <c r="E727" t="str">
        <f>VLOOKUP(D727,name!A:B,2,1)</f>
        <v>Eri</v>
      </c>
      <c r="F727" t="s">
        <v>674</v>
      </c>
      <c r="G727" t="str">
        <f t="shared" si="548"/>
        <v>a</v>
      </c>
      <c r="H727" t="str">
        <f>VLOOKUP(D727,name!A:C,3,1)</f>
        <v>assets/icons/image209.png</v>
      </c>
      <c r="I727" t="s">
        <v>402</v>
      </c>
    </row>
    <row r="728" spans="1:9" x14ac:dyDescent="0.15">
      <c r="A728" t="str">
        <f t="shared" si="592"/>
        <v>英語</v>
      </c>
      <c r="B728">
        <f t="shared" si="592"/>
        <v>7</v>
      </c>
      <c r="C728">
        <f t="shared" si="590"/>
        <v>19</v>
      </c>
      <c r="D728">
        <f t="shared" si="591"/>
        <v>29</v>
      </c>
      <c r="E728" t="str">
        <f>VLOOKUP(D728,name!A:B,2,1)</f>
        <v>Eri</v>
      </c>
      <c r="F728" t="s">
        <v>657</v>
      </c>
      <c r="G728" t="str">
        <f t="shared" si="548"/>
        <v>a</v>
      </c>
      <c r="H728" t="str">
        <f>VLOOKUP(D728,name!A:C,3,1)</f>
        <v>assets/icons/image209.png</v>
      </c>
      <c r="I728" t="str">
        <f>IF(A728="","",VLOOKUP(A728,lng!A:B,2,0))</f>
        <v>en-GB</v>
      </c>
    </row>
    <row r="729" spans="1:9" x14ac:dyDescent="0.15">
      <c r="A729" t="str">
        <f t="shared" si="592"/>
        <v>英語</v>
      </c>
      <c r="B729">
        <f t="shared" si="592"/>
        <v>7</v>
      </c>
      <c r="C729">
        <f t="shared" si="590"/>
        <v>20</v>
      </c>
      <c r="D729">
        <f t="shared" si="591"/>
        <v>29</v>
      </c>
      <c r="E729" t="str">
        <f>VLOOKUP(D729,name!A:B,2,1)</f>
        <v>Eri</v>
      </c>
      <c r="F729" t="s">
        <v>675</v>
      </c>
      <c r="G729" t="str">
        <f t="shared" si="548"/>
        <v>a</v>
      </c>
      <c r="H729" t="str">
        <f>VLOOKUP(D729,name!A:C,3,1)</f>
        <v>assets/icons/image209.png</v>
      </c>
      <c r="I729" t="s">
        <v>402</v>
      </c>
    </row>
    <row r="730" spans="1:9" x14ac:dyDescent="0.15">
      <c r="A730" t="str">
        <f t="shared" si="592"/>
        <v>英語</v>
      </c>
      <c r="B730">
        <f t="shared" si="592"/>
        <v>7</v>
      </c>
      <c r="C730">
        <f t="shared" si="590"/>
        <v>21</v>
      </c>
      <c r="D730">
        <v>29</v>
      </c>
      <c r="E730" t="str">
        <f>VLOOKUP(D730,name!A:B,2,1)</f>
        <v>Eri</v>
      </c>
      <c r="F730" t="s">
        <v>658</v>
      </c>
      <c r="G730" t="str">
        <f t="shared" si="548"/>
        <v>a</v>
      </c>
      <c r="H730" t="str">
        <f>VLOOKUP(D730,name!A:C,3,1)</f>
        <v>assets/icons/image209.png</v>
      </c>
      <c r="I730" t="str">
        <f>IF(A730="","",VLOOKUP(A730,lng!A:B,2,0))</f>
        <v>en-GB</v>
      </c>
    </row>
    <row r="731" spans="1:9" x14ac:dyDescent="0.15">
      <c r="A731" t="str">
        <f t="shared" si="592"/>
        <v>英語</v>
      </c>
      <c r="B731">
        <f t="shared" si="592"/>
        <v>7</v>
      </c>
      <c r="C731">
        <f t="shared" si="590"/>
        <v>22</v>
      </c>
      <c r="D731">
        <f t="shared" si="591"/>
        <v>31</v>
      </c>
      <c r="E731" t="str">
        <f>VLOOKUP(D731,name!A:B,2,1)</f>
        <v>Mrs. Bennett</v>
      </c>
      <c r="F731" t="s">
        <v>676</v>
      </c>
      <c r="G731" t="str">
        <f t="shared" si="548"/>
        <v>a</v>
      </c>
      <c r="H731" t="str">
        <f>VLOOKUP(D731,name!A:C,3,1)</f>
        <v>assets/icons/image149.png</v>
      </c>
      <c r="I731" t="s">
        <v>402</v>
      </c>
    </row>
    <row r="732" spans="1:9" x14ac:dyDescent="0.15">
      <c r="A732" t="str">
        <f t="shared" si="592"/>
        <v>英語</v>
      </c>
      <c r="B732">
        <f t="shared" si="592"/>
        <v>7</v>
      </c>
      <c r="C732">
        <f t="shared" si="590"/>
        <v>23</v>
      </c>
      <c r="D732">
        <f t="shared" si="591"/>
        <v>31</v>
      </c>
      <c r="E732" t="str">
        <f>VLOOKUP(D732,name!A:B,2,1)</f>
        <v>Mrs. Bennett</v>
      </c>
      <c r="F732" t="s">
        <v>659</v>
      </c>
      <c r="G732" t="str">
        <f t="shared" si="548"/>
        <v>a</v>
      </c>
      <c r="H732" t="str">
        <f>VLOOKUP(D732,name!A:C,3,1)</f>
        <v>assets/icons/image149.png</v>
      </c>
      <c r="I732" t="str">
        <f>IF(A732="","",VLOOKUP(A732,lng!A:B,2,0))</f>
        <v>en-GB</v>
      </c>
    </row>
    <row r="733" spans="1:9" x14ac:dyDescent="0.15">
      <c r="A733" t="str">
        <f t="shared" si="592"/>
        <v>英語</v>
      </c>
      <c r="B733">
        <f t="shared" si="592"/>
        <v>7</v>
      </c>
      <c r="C733">
        <f t="shared" si="590"/>
        <v>24</v>
      </c>
      <c r="D733">
        <f t="shared" si="591"/>
        <v>31</v>
      </c>
      <c r="E733" t="str">
        <f>VLOOKUP(D733,name!A:B,2,1)</f>
        <v>Mrs. Bennett</v>
      </c>
      <c r="F733" t="s">
        <v>677</v>
      </c>
      <c r="G733" t="str">
        <f t="shared" si="548"/>
        <v>a</v>
      </c>
      <c r="H733" t="str">
        <f>VLOOKUP(D733,name!A:C,3,1)</f>
        <v>assets/icons/image149.png</v>
      </c>
      <c r="I733" t="s">
        <v>402</v>
      </c>
    </row>
    <row r="734" spans="1:9" x14ac:dyDescent="0.15">
      <c r="A734" t="str">
        <f t="shared" si="592"/>
        <v>英語</v>
      </c>
      <c r="B734">
        <f t="shared" si="592"/>
        <v>7</v>
      </c>
      <c r="C734">
        <f t="shared" si="590"/>
        <v>25</v>
      </c>
      <c r="D734">
        <f t="shared" si="591"/>
        <v>31</v>
      </c>
      <c r="E734" t="str">
        <f>VLOOKUP(D734,name!A:B,2,1)</f>
        <v>Mrs. Bennett</v>
      </c>
      <c r="F734" t="s">
        <v>660</v>
      </c>
      <c r="G734" t="str">
        <f t="shared" ref="G734:G797" si="593">IF(B734&lt;&gt;B735,"e",IF(D734=0,"q","a"))</f>
        <v>a</v>
      </c>
      <c r="H734" t="str">
        <f>VLOOKUP(D734,name!A:C,3,1)</f>
        <v>assets/icons/image149.png</v>
      </c>
      <c r="I734" t="str">
        <f>IF(A734="","",VLOOKUP(A734,lng!A:B,2,0))</f>
        <v>en-GB</v>
      </c>
    </row>
    <row r="735" spans="1:9" x14ac:dyDescent="0.15">
      <c r="A735" t="str">
        <f t="shared" si="592"/>
        <v>英語</v>
      </c>
      <c r="B735">
        <f t="shared" si="592"/>
        <v>7</v>
      </c>
      <c r="C735">
        <f t="shared" si="590"/>
        <v>26</v>
      </c>
      <c r="D735">
        <f t="shared" si="591"/>
        <v>31</v>
      </c>
      <c r="E735" t="str">
        <f>VLOOKUP(D735,name!A:B,2,1)</f>
        <v>Mrs. Bennett</v>
      </c>
      <c r="F735" t="s">
        <v>678</v>
      </c>
      <c r="G735" t="str">
        <f t="shared" si="593"/>
        <v>a</v>
      </c>
      <c r="H735" t="str">
        <f>VLOOKUP(D735,name!A:C,3,1)</f>
        <v>assets/icons/image149.png</v>
      </c>
      <c r="I735" t="s">
        <v>402</v>
      </c>
    </row>
    <row r="736" spans="1:9" x14ac:dyDescent="0.15">
      <c r="A736" t="str">
        <f t="shared" si="592"/>
        <v>英語</v>
      </c>
      <c r="B736">
        <f t="shared" si="592"/>
        <v>7</v>
      </c>
      <c r="C736">
        <f t="shared" si="590"/>
        <v>27</v>
      </c>
      <c r="D736">
        <f t="shared" si="591"/>
        <v>31</v>
      </c>
      <c r="E736" t="str">
        <f>VLOOKUP(D736,name!A:B,2,1)</f>
        <v>Mrs. Bennett</v>
      </c>
      <c r="F736" t="s">
        <v>661</v>
      </c>
      <c r="G736" t="str">
        <f t="shared" si="593"/>
        <v>a</v>
      </c>
      <c r="H736" t="str">
        <f>VLOOKUP(D736,name!A:C,3,1)</f>
        <v>assets/icons/image149.png</v>
      </c>
      <c r="I736" t="str">
        <f>IF(A736="","",VLOOKUP(A736,lng!A:B,2,0))</f>
        <v>en-GB</v>
      </c>
    </row>
    <row r="737" spans="1:9" x14ac:dyDescent="0.15">
      <c r="A737" t="str">
        <f t="shared" si="592"/>
        <v>英語</v>
      </c>
      <c r="B737">
        <f t="shared" si="592"/>
        <v>7</v>
      </c>
      <c r="C737">
        <f t="shared" si="590"/>
        <v>28</v>
      </c>
      <c r="D737">
        <f t="shared" si="591"/>
        <v>31</v>
      </c>
      <c r="E737" t="str">
        <f>VLOOKUP(D737,name!A:B,2,1)</f>
        <v>Mrs. Bennett</v>
      </c>
      <c r="F737" t="s">
        <v>679</v>
      </c>
      <c r="G737" t="str">
        <f t="shared" si="593"/>
        <v>a</v>
      </c>
      <c r="H737" t="str">
        <f>VLOOKUP(D737,name!A:C,3,1)</f>
        <v>assets/icons/image149.png</v>
      </c>
      <c r="I737" t="s">
        <v>402</v>
      </c>
    </row>
    <row r="738" spans="1:9" x14ac:dyDescent="0.15">
      <c r="A738" t="str">
        <f t="shared" si="592"/>
        <v>英語</v>
      </c>
      <c r="B738">
        <f t="shared" si="592"/>
        <v>7</v>
      </c>
      <c r="C738">
        <f t="shared" si="590"/>
        <v>29</v>
      </c>
      <c r="D738">
        <f t="shared" si="591"/>
        <v>31</v>
      </c>
      <c r="E738" t="str">
        <f>VLOOKUP(D738,name!A:B,2,1)</f>
        <v>Mrs. Bennett</v>
      </c>
      <c r="F738" t="s">
        <v>662</v>
      </c>
      <c r="G738" t="str">
        <f t="shared" si="593"/>
        <v>a</v>
      </c>
      <c r="H738" t="str">
        <f>VLOOKUP(D738,name!A:C,3,1)</f>
        <v>assets/icons/image149.png</v>
      </c>
      <c r="I738" t="str">
        <f>IF(A738="","",VLOOKUP(A738,lng!A:B,2,0))</f>
        <v>en-GB</v>
      </c>
    </row>
    <row r="739" spans="1:9" x14ac:dyDescent="0.15">
      <c r="A739" t="str">
        <f t="shared" si="592"/>
        <v>英語</v>
      </c>
      <c r="B739">
        <f t="shared" si="592"/>
        <v>7</v>
      </c>
      <c r="C739">
        <f t="shared" si="590"/>
        <v>30</v>
      </c>
      <c r="D739">
        <f t="shared" si="591"/>
        <v>31</v>
      </c>
      <c r="E739" t="str">
        <f>VLOOKUP(D739,name!A:B,2,1)</f>
        <v>Mrs. Bennett</v>
      </c>
      <c r="F739" t="s">
        <v>680</v>
      </c>
      <c r="G739" t="str">
        <f t="shared" si="593"/>
        <v>a</v>
      </c>
      <c r="H739" t="str">
        <f>VLOOKUP(D739,name!A:C,3,1)</f>
        <v>assets/icons/image149.png</v>
      </c>
      <c r="I739" t="s">
        <v>402</v>
      </c>
    </row>
    <row r="740" spans="1:9" x14ac:dyDescent="0.15">
      <c r="A740" t="str">
        <f t="shared" ref="A740:B740" si="594">A739</f>
        <v>英語</v>
      </c>
      <c r="B740">
        <f t="shared" si="594"/>
        <v>7</v>
      </c>
      <c r="C740">
        <f t="shared" si="590"/>
        <v>31</v>
      </c>
      <c r="D740">
        <v>31</v>
      </c>
      <c r="E740" t="str">
        <f>VLOOKUP(D740,name!A:B,2,1)</f>
        <v>Mrs. Bennett</v>
      </c>
      <c r="F740" t="s">
        <v>663</v>
      </c>
      <c r="G740" t="str">
        <f t="shared" si="593"/>
        <v>a</v>
      </c>
      <c r="H740" t="str">
        <f>VLOOKUP(D740,name!A:C,3,1)</f>
        <v>assets/icons/image149.png</v>
      </c>
      <c r="I740" t="str">
        <f>IF(A740="","",VLOOKUP(A740,lng!A:B,2,0))</f>
        <v>en-GB</v>
      </c>
    </row>
    <row r="741" spans="1:9" x14ac:dyDescent="0.15">
      <c r="A741" t="str">
        <f t="shared" ref="A741:B741" si="595">A740</f>
        <v>英語</v>
      </c>
      <c r="B741">
        <f t="shared" si="595"/>
        <v>7</v>
      </c>
      <c r="C741">
        <f t="shared" si="590"/>
        <v>32</v>
      </c>
      <c r="D741">
        <f t="shared" si="591"/>
        <v>29</v>
      </c>
      <c r="E741" t="str">
        <f>VLOOKUP(D741,name!A:B,2,1)</f>
        <v>Eri</v>
      </c>
      <c r="F741" t="s">
        <v>681</v>
      </c>
      <c r="G741" t="str">
        <f t="shared" si="593"/>
        <v>a</v>
      </c>
      <c r="H741" t="str">
        <f>VLOOKUP(D741,name!A:C,3,1)</f>
        <v>assets/icons/image209.png</v>
      </c>
      <c r="I741" t="s">
        <v>402</v>
      </c>
    </row>
    <row r="742" spans="1:9" x14ac:dyDescent="0.15">
      <c r="A742" t="str">
        <f t="shared" ref="A742:B742" si="596">A741</f>
        <v>英語</v>
      </c>
      <c r="B742">
        <f t="shared" si="596"/>
        <v>7</v>
      </c>
      <c r="C742">
        <f t="shared" si="590"/>
        <v>33</v>
      </c>
      <c r="D742">
        <f t="shared" si="591"/>
        <v>29</v>
      </c>
      <c r="E742" t="str">
        <f>VLOOKUP(D742,name!A:B,2,1)</f>
        <v>Eri</v>
      </c>
      <c r="F742" t="s">
        <v>664</v>
      </c>
      <c r="G742" t="str">
        <f t="shared" si="593"/>
        <v>a</v>
      </c>
      <c r="H742" t="str">
        <f>VLOOKUP(D742,name!A:C,3,1)</f>
        <v>assets/icons/image209.png</v>
      </c>
      <c r="I742" t="str">
        <f>IF(A742="","",VLOOKUP(A742,lng!A:B,2,0))</f>
        <v>en-GB</v>
      </c>
    </row>
    <row r="743" spans="1:9" x14ac:dyDescent="0.15">
      <c r="A743" t="str">
        <f t="shared" ref="A743:B743" si="597">A742</f>
        <v>英語</v>
      </c>
      <c r="B743">
        <f t="shared" si="597"/>
        <v>7</v>
      </c>
      <c r="C743">
        <f t="shared" si="590"/>
        <v>34</v>
      </c>
      <c r="D743">
        <f t="shared" si="591"/>
        <v>29</v>
      </c>
      <c r="E743" t="str">
        <f>VLOOKUP(D743,name!A:B,2,1)</f>
        <v>Eri</v>
      </c>
      <c r="F743" t="s">
        <v>682</v>
      </c>
      <c r="G743" t="str">
        <f t="shared" si="593"/>
        <v>a</v>
      </c>
      <c r="H743" t="str">
        <f>VLOOKUP(D743,name!A:C,3,1)</f>
        <v>assets/icons/image209.png</v>
      </c>
      <c r="I743" t="s">
        <v>402</v>
      </c>
    </row>
    <row r="744" spans="1:9" x14ac:dyDescent="0.15">
      <c r="A744" t="str">
        <f t="shared" ref="A744:B744" si="598">A743</f>
        <v>英語</v>
      </c>
      <c r="B744">
        <f t="shared" si="598"/>
        <v>7</v>
      </c>
      <c r="C744">
        <f t="shared" si="590"/>
        <v>35</v>
      </c>
      <c r="D744">
        <f t="shared" si="591"/>
        <v>29</v>
      </c>
      <c r="E744" t="str">
        <f>VLOOKUP(D744,name!A:B,2,1)</f>
        <v>Eri</v>
      </c>
      <c r="F744" t="s">
        <v>665</v>
      </c>
      <c r="G744" t="str">
        <f t="shared" si="593"/>
        <v>a</v>
      </c>
      <c r="H744" t="str">
        <f>VLOOKUP(D744,name!A:C,3,1)</f>
        <v>assets/icons/image209.png</v>
      </c>
      <c r="I744" t="str">
        <f>IF(A744="","",VLOOKUP(A744,lng!A:B,2,0))</f>
        <v>en-GB</v>
      </c>
    </row>
    <row r="745" spans="1:9" x14ac:dyDescent="0.15">
      <c r="A745" t="str">
        <f t="shared" ref="A745:B745" si="599">A744</f>
        <v>英語</v>
      </c>
      <c r="B745">
        <f t="shared" si="599"/>
        <v>7</v>
      </c>
      <c r="C745">
        <f t="shared" si="590"/>
        <v>36</v>
      </c>
      <c r="D745">
        <f t="shared" si="591"/>
        <v>29</v>
      </c>
      <c r="E745" t="str">
        <f>VLOOKUP(D745,name!A:B,2,1)</f>
        <v>Eri</v>
      </c>
      <c r="F745" t="s">
        <v>683</v>
      </c>
      <c r="G745" t="str">
        <f t="shared" si="593"/>
        <v>a</v>
      </c>
      <c r="H745" t="str">
        <f>VLOOKUP(D745,name!A:C,3,1)</f>
        <v>assets/icons/image209.png</v>
      </c>
      <c r="I745" t="s">
        <v>402</v>
      </c>
    </row>
    <row r="746" spans="1:9" x14ac:dyDescent="0.15">
      <c r="A746" t="str">
        <f t="shared" ref="A746:B746" si="600">A745</f>
        <v>英語</v>
      </c>
      <c r="B746">
        <f t="shared" si="600"/>
        <v>7</v>
      </c>
      <c r="C746">
        <f t="shared" si="590"/>
        <v>37</v>
      </c>
      <c r="D746">
        <v>29</v>
      </c>
      <c r="E746" t="str">
        <f>VLOOKUP(D746,name!A:B,2,1)</f>
        <v>Eri</v>
      </c>
      <c r="F746" t="s">
        <v>666</v>
      </c>
      <c r="G746" t="str">
        <f t="shared" si="593"/>
        <v>a</v>
      </c>
      <c r="H746" t="str">
        <f>VLOOKUP(D746,name!A:C,3,1)</f>
        <v>assets/icons/image209.png</v>
      </c>
      <c r="I746" t="str">
        <f>IF(A746="","",VLOOKUP(A746,lng!A:B,2,0))</f>
        <v>en-GB</v>
      </c>
    </row>
    <row r="747" spans="1:9" x14ac:dyDescent="0.15">
      <c r="A747" t="str">
        <f t="shared" ref="A747:B747" si="601">A746</f>
        <v>英語</v>
      </c>
      <c r="B747">
        <f t="shared" si="601"/>
        <v>7</v>
      </c>
      <c r="C747">
        <f t="shared" si="590"/>
        <v>38</v>
      </c>
      <c r="D747">
        <v>1</v>
      </c>
      <c r="E747" t="str">
        <f>VLOOKUP(D747,name!A:B,2,1)</f>
        <v>Navigator</v>
      </c>
      <c r="F747" t="str">
        <f>"次の"&amp;A747&amp;"を真似してね！"</f>
        <v>次の英語を真似してね！</v>
      </c>
      <c r="G747" t="str">
        <f t="shared" si="593"/>
        <v>a</v>
      </c>
      <c r="H747" t="str">
        <f>VLOOKUP(D747,name!A:C,3,1)</f>
        <v>assets/icons/image014.png</v>
      </c>
      <c r="I747" t="s">
        <v>402</v>
      </c>
    </row>
    <row r="748" spans="1:9" x14ac:dyDescent="0.15">
      <c r="A748" t="str">
        <f t="shared" ref="A748:B748" si="602">A747</f>
        <v>英語</v>
      </c>
      <c r="B748">
        <f t="shared" si="602"/>
        <v>7</v>
      </c>
      <c r="C748">
        <f t="shared" si="590"/>
        <v>39</v>
      </c>
      <c r="D748">
        <f>D713</f>
        <v>31</v>
      </c>
      <c r="E748" t="str">
        <f>VLOOKUP(D748,name!A:B,2,1)</f>
        <v>Mrs. Bennett</v>
      </c>
      <c r="F748" t="str">
        <f>F713</f>
        <v>こんにちは、エリ。</v>
      </c>
      <c r="G748" t="str">
        <f t="shared" si="593"/>
        <v>a</v>
      </c>
      <c r="H748" t="str">
        <f>VLOOKUP(D748,name!A:C,3,1)</f>
        <v>assets/icons/image149.png</v>
      </c>
      <c r="I748" t="s">
        <v>402</v>
      </c>
    </row>
    <row r="749" spans="1:9" x14ac:dyDescent="0.15">
      <c r="A749" t="str">
        <f t="shared" ref="A749:B749" si="603">A748</f>
        <v>英語</v>
      </c>
      <c r="B749">
        <f t="shared" si="603"/>
        <v>7</v>
      </c>
      <c r="C749">
        <f t="shared" si="590"/>
        <v>40</v>
      </c>
      <c r="D749">
        <f>D714</f>
        <v>31</v>
      </c>
      <c r="E749" t="str">
        <f>VLOOKUP(D749,name!A:B,2,1)</f>
        <v>Mrs. Bennett</v>
      </c>
      <c r="F749" t="str">
        <f>F714</f>
        <v>Hello, Eri.</v>
      </c>
      <c r="G749" t="str">
        <f t="shared" si="593"/>
        <v>a</v>
      </c>
      <c r="H749" t="str">
        <f>VLOOKUP(D749,name!A:C,3,1)</f>
        <v>assets/icons/image149.png</v>
      </c>
      <c r="I749" t="str">
        <f>IF(A749="","",VLOOKUP(A749,lng!A:B,2,0))</f>
        <v>en-GB</v>
      </c>
    </row>
    <row r="750" spans="1:9" x14ac:dyDescent="0.15">
      <c r="A750" t="str">
        <f t="shared" ref="A750:B750" si="604">A749</f>
        <v>英語</v>
      </c>
      <c r="B750">
        <f t="shared" si="604"/>
        <v>7</v>
      </c>
      <c r="C750">
        <f t="shared" si="590"/>
        <v>41</v>
      </c>
      <c r="D750">
        <v>0</v>
      </c>
      <c r="E750" t="str">
        <f>VLOOKUP(D750,name!A:B,2,1)</f>
        <v>Player</v>
      </c>
      <c r="F750" t="str">
        <f>F714</f>
        <v>Hello, Eri.</v>
      </c>
      <c r="G750" t="str">
        <f t="shared" si="593"/>
        <v>q</v>
      </c>
      <c r="H750" t="str">
        <f>VLOOKUP(D750,name!A:C,3,1)</f>
        <v>assets/icons/image326.png</v>
      </c>
      <c r="I750" t="str">
        <f>IF(A750="","",VLOOKUP(A750,lng!A:B,2,0))</f>
        <v>en-GB</v>
      </c>
    </row>
    <row r="751" spans="1:9" x14ac:dyDescent="0.15">
      <c r="A751" t="str">
        <f t="shared" ref="A751:B751" si="605">A750</f>
        <v>英語</v>
      </c>
      <c r="B751">
        <f t="shared" si="605"/>
        <v>7</v>
      </c>
      <c r="C751">
        <f t="shared" si="590"/>
        <v>42</v>
      </c>
      <c r="D751">
        <f>D715</f>
        <v>31</v>
      </c>
      <c r="E751" t="str">
        <f>VLOOKUP(D751,name!A:B,2,1)</f>
        <v>Mrs. Bennett</v>
      </c>
      <c r="F751" t="str">
        <f>F715</f>
        <v>あなたもイースターエッグの買い物をしているの?</v>
      </c>
      <c r="G751" t="str">
        <f t="shared" si="593"/>
        <v>a</v>
      </c>
      <c r="H751" t="str">
        <f>VLOOKUP(D751,name!A:C,3,1)</f>
        <v>assets/icons/image149.png</v>
      </c>
      <c r="I751" t="s">
        <v>402</v>
      </c>
    </row>
    <row r="752" spans="1:9" x14ac:dyDescent="0.15">
      <c r="A752" t="str">
        <f t="shared" ref="A752:B752" si="606">A751</f>
        <v>英語</v>
      </c>
      <c r="B752">
        <f t="shared" si="606"/>
        <v>7</v>
      </c>
      <c r="C752">
        <f t="shared" si="590"/>
        <v>43</v>
      </c>
      <c r="D752">
        <f>D716</f>
        <v>31</v>
      </c>
      <c r="E752" t="str">
        <f>VLOOKUP(D752,name!A:B,2,1)</f>
        <v>Mrs. Bennett</v>
      </c>
      <c r="F752" t="str">
        <f>F716</f>
        <v>Are you doing some Easter egg shopping, too?</v>
      </c>
      <c r="G752" t="str">
        <f t="shared" si="593"/>
        <v>a</v>
      </c>
      <c r="H752" t="str">
        <f>VLOOKUP(D752,name!A:C,3,1)</f>
        <v>assets/icons/image149.png</v>
      </c>
      <c r="I752" t="str">
        <f>IF(A752="","",VLOOKUP(A752,lng!A:B,2,0))</f>
        <v>en-GB</v>
      </c>
    </row>
    <row r="753" spans="1:9" x14ac:dyDescent="0.15">
      <c r="A753" t="str">
        <f t="shared" ref="A753:B753" si="607">A752</f>
        <v>英語</v>
      </c>
      <c r="B753">
        <f t="shared" si="607"/>
        <v>7</v>
      </c>
      <c r="C753">
        <f t="shared" si="590"/>
        <v>44</v>
      </c>
      <c r="D753">
        <v>0</v>
      </c>
      <c r="E753" t="str">
        <f>VLOOKUP(D753,name!A:B,2,1)</f>
        <v>Player</v>
      </c>
      <c r="F753" t="str">
        <f>F716</f>
        <v>Are you doing some Easter egg shopping, too?</v>
      </c>
      <c r="G753" t="str">
        <f t="shared" si="593"/>
        <v>q</v>
      </c>
      <c r="H753" t="str">
        <f>VLOOKUP(D753,name!A:C,3,1)</f>
        <v>assets/icons/image326.png</v>
      </c>
      <c r="I753" t="str">
        <f>IF(A753="","",VLOOKUP(A753,lng!A:B,2,0))</f>
        <v>en-GB</v>
      </c>
    </row>
    <row r="754" spans="1:9" x14ac:dyDescent="0.15">
      <c r="A754" t="str">
        <f t="shared" ref="A754:B754" si="608">A753</f>
        <v>英語</v>
      </c>
      <c r="B754">
        <f t="shared" si="608"/>
        <v>7</v>
      </c>
      <c r="C754">
        <f t="shared" si="590"/>
        <v>45</v>
      </c>
      <c r="D754">
        <f>D717</f>
        <v>31</v>
      </c>
      <c r="E754" t="str">
        <f>VLOOKUP(D754,name!A:B,2,1)</f>
        <v>Mrs. Bennett</v>
      </c>
      <c r="F754" t="str">
        <f>F717</f>
        <v>私はまとめ買いしている</v>
      </c>
      <c r="G754" t="str">
        <f t="shared" si="593"/>
        <v>a</v>
      </c>
      <c r="H754" t="str">
        <f>VLOOKUP(D754,name!A:C,3,1)</f>
        <v>assets/icons/image149.png</v>
      </c>
      <c r="I754" t="s">
        <v>402</v>
      </c>
    </row>
    <row r="755" spans="1:9" x14ac:dyDescent="0.15">
      <c r="A755" t="str">
        <f t="shared" ref="A755:B755" si="609">A754</f>
        <v>英語</v>
      </c>
      <c r="B755">
        <f t="shared" si="609"/>
        <v>7</v>
      </c>
      <c r="C755">
        <f t="shared" si="590"/>
        <v>46</v>
      </c>
      <c r="D755">
        <f>D718</f>
        <v>31</v>
      </c>
      <c r="E755" t="str">
        <f>VLOOKUP(D755,name!A:B,2,1)</f>
        <v>Mrs. Bennett</v>
      </c>
      <c r="F755" t="str">
        <f>F718</f>
        <v>I'm stocking up on them</v>
      </c>
      <c r="G755" t="str">
        <f t="shared" si="593"/>
        <v>a</v>
      </c>
      <c r="H755" t="str">
        <f>VLOOKUP(D755,name!A:C,3,1)</f>
        <v>assets/icons/image149.png</v>
      </c>
      <c r="I755" t="str">
        <f>IF(A755="","",VLOOKUP(A755,lng!A:B,2,0))</f>
        <v>en-GB</v>
      </c>
    </row>
    <row r="756" spans="1:9" x14ac:dyDescent="0.15">
      <c r="A756" t="str">
        <f t="shared" ref="A756:B756" si="610">A755</f>
        <v>英語</v>
      </c>
      <c r="B756">
        <f t="shared" si="610"/>
        <v>7</v>
      </c>
      <c r="C756">
        <f t="shared" si="590"/>
        <v>47</v>
      </c>
      <c r="D756">
        <v>0</v>
      </c>
      <c r="E756" t="str">
        <f>VLOOKUP(D756,name!A:B,2,1)</f>
        <v>Player</v>
      </c>
      <c r="F756" t="str">
        <f>F718</f>
        <v>I'm stocking up on them</v>
      </c>
      <c r="G756" t="str">
        <f t="shared" si="593"/>
        <v>q</v>
      </c>
      <c r="H756" t="str">
        <f>VLOOKUP(D756,name!A:C,3,1)</f>
        <v>assets/icons/image326.png</v>
      </c>
      <c r="I756" t="str">
        <f>IF(A756="","",VLOOKUP(A756,lng!A:B,2,0))</f>
        <v>en-GB</v>
      </c>
    </row>
    <row r="757" spans="1:9" x14ac:dyDescent="0.15">
      <c r="A757" t="str">
        <f t="shared" ref="A757:B757" si="611">A756</f>
        <v>英語</v>
      </c>
      <c r="B757">
        <f t="shared" si="611"/>
        <v>7</v>
      </c>
      <c r="C757">
        <f t="shared" si="590"/>
        <v>48</v>
      </c>
      <c r="D757">
        <f>D719</f>
        <v>31</v>
      </c>
      <c r="E757" t="str">
        <f>VLOOKUP(D757,name!A:B,2,1)</f>
        <v>Mrs. Bennett</v>
      </c>
      <c r="F757" t="str">
        <f>F719</f>
        <v>イースターに私に会いに来る孫と姪、甥のために</v>
      </c>
      <c r="G757" t="str">
        <f t="shared" si="593"/>
        <v>a</v>
      </c>
      <c r="H757" t="str">
        <f>VLOOKUP(D757,name!A:C,3,1)</f>
        <v>assets/icons/image149.png</v>
      </c>
      <c r="I757" t="s">
        <v>402</v>
      </c>
    </row>
    <row r="758" spans="1:9" x14ac:dyDescent="0.15">
      <c r="A758" t="str">
        <f t="shared" ref="A758:B758" si="612">A757</f>
        <v>英語</v>
      </c>
      <c r="B758">
        <f t="shared" si="612"/>
        <v>7</v>
      </c>
      <c r="C758">
        <f t="shared" si="590"/>
        <v>49</v>
      </c>
      <c r="D758">
        <f>D720</f>
        <v>31</v>
      </c>
      <c r="E758" t="str">
        <f>VLOOKUP(D758,name!A:B,2,1)</f>
        <v>Mrs. Bennett</v>
      </c>
      <c r="F758" t="str">
        <f>F720</f>
        <v>ready for my grandson and the nieces and nephews coming to see me over Easter.</v>
      </c>
      <c r="G758" t="str">
        <f t="shared" si="593"/>
        <v>a</v>
      </c>
      <c r="H758" t="str">
        <f>VLOOKUP(D758,name!A:C,3,1)</f>
        <v>assets/icons/image149.png</v>
      </c>
      <c r="I758" t="str">
        <f>IF(A758="","",VLOOKUP(A758,lng!A:B,2,0))</f>
        <v>en-GB</v>
      </c>
    </row>
    <row r="759" spans="1:9" x14ac:dyDescent="0.15">
      <c r="A759" t="str">
        <f t="shared" ref="A759:B759" si="613">A758</f>
        <v>英語</v>
      </c>
      <c r="B759">
        <f t="shared" si="613"/>
        <v>7</v>
      </c>
      <c r="C759">
        <f t="shared" si="590"/>
        <v>50</v>
      </c>
      <c r="D759">
        <v>0</v>
      </c>
      <c r="E759" t="str">
        <f>VLOOKUP(D759,name!A:B,2,1)</f>
        <v>Player</v>
      </c>
      <c r="F759" t="str">
        <f>F720</f>
        <v>ready for my grandson and the nieces and nephews coming to see me over Easter.</v>
      </c>
      <c r="G759" t="str">
        <f t="shared" si="593"/>
        <v>q</v>
      </c>
      <c r="H759" t="str">
        <f>VLOOKUP(D759,name!A:C,3,1)</f>
        <v>assets/icons/image326.png</v>
      </c>
      <c r="I759" t="str">
        <f>IF(A759="","",VLOOKUP(A759,lng!A:B,2,0))</f>
        <v>en-GB</v>
      </c>
    </row>
    <row r="760" spans="1:9" x14ac:dyDescent="0.15">
      <c r="A760" t="str">
        <f t="shared" ref="A760:B760" si="614">A759</f>
        <v>英語</v>
      </c>
      <c r="B760">
        <f t="shared" si="614"/>
        <v>7</v>
      </c>
      <c r="C760">
        <f t="shared" si="590"/>
        <v>51</v>
      </c>
      <c r="D760">
        <f>D721</f>
        <v>29</v>
      </c>
      <c r="E760" t="str">
        <f>VLOOKUP(D760,name!A:B,2,1)</f>
        <v>Eri</v>
      </c>
      <c r="F760" t="str">
        <f>F721</f>
        <v>ああ、友達のために小さなクリームエッグをたくさん買っているところです。</v>
      </c>
      <c r="G760" t="str">
        <f t="shared" si="593"/>
        <v>a</v>
      </c>
      <c r="H760" t="str">
        <f>VLOOKUP(D760,name!A:C,3,1)</f>
        <v>assets/icons/image209.png</v>
      </c>
      <c r="I760" t="s">
        <v>402</v>
      </c>
    </row>
    <row r="761" spans="1:9" x14ac:dyDescent="0.15">
      <c r="A761" t="str">
        <f t="shared" ref="A761:B761" si="615">A760</f>
        <v>英語</v>
      </c>
      <c r="B761">
        <f t="shared" si="615"/>
        <v>7</v>
      </c>
      <c r="C761">
        <f t="shared" si="590"/>
        <v>52</v>
      </c>
      <c r="D761">
        <f>D722</f>
        <v>29</v>
      </c>
      <c r="E761" t="str">
        <f>VLOOKUP(D761,name!A:B,2,1)</f>
        <v>Eri</v>
      </c>
      <c r="F761" t="str">
        <f>F722</f>
        <v xml:space="preserve">Oh, I'm just buying a lot of the little creme eggs for my friends. </v>
      </c>
      <c r="G761" t="str">
        <f t="shared" si="593"/>
        <v>a</v>
      </c>
      <c r="H761" t="str">
        <f>VLOOKUP(D761,name!A:C,3,1)</f>
        <v>assets/icons/image209.png</v>
      </c>
      <c r="I761" t="str">
        <f>IF(A761="","",VLOOKUP(A761,lng!A:B,2,0))</f>
        <v>en-GB</v>
      </c>
    </row>
    <row r="762" spans="1:9" x14ac:dyDescent="0.15">
      <c r="A762" t="str">
        <f t="shared" ref="A762:B762" si="616">A761</f>
        <v>英語</v>
      </c>
      <c r="B762">
        <f t="shared" si="616"/>
        <v>7</v>
      </c>
      <c r="C762">
        <f t="shared" si="590"/>
        <v>53</v>
      </c>
      <c r="D762">
        <v>0</v>
      </c>
      <c r="E762" t="str">
        <f>VLOOKUP(D762,name!A:B,2,1)</f>
        <v>Player</v>
      </c>
      <c r="F762" t="str">
        <f>F722</f>
        <v xml:space="preserve">Oh, I'm just buying a lot of the little creme eggs for my friends. </v>
      </c>
      <c r="G762" t="str">
        <f t="shared" si="593"/>
        <v>q</v>
      </c>
      <c r="H762" t="str">
        <f>VLOOKUP(D762,name!A:C,3,1)</f>
        <v>assets/icons/image326.png</v>
      </c>
      <c r="I762" t="str">
        <f>IF(A762="","",VLOOKUP(A762,lng!A:B,2,0))</f>
        <v>en-GB</v>
      </c>
    </row>
    <row r="763" spans="1:9" x14ac:dyDescent="0.15">
      <c r="A763" t="str">
        <f t="shared" ref="A763:B763" si="617">A762</f>
        <v>英語</v>
      </c>
      <c r="B763">
        <f t="shared" si="617"/>
        <v>7</v>
      </c>
      <c r="C763">
        <f t="shared" si="590"/>
        <v>54</v>
      </c>
      <c r="D763">
        <f>D723</f>
        <v>29</v>
      </c>
      <c r="E763" t="str">
        <f>VLOOKUP(D763,name!A:B,2,1)</f>
        <v>Eri</v>
      </c>
      <c r="F763" t="str">
        <f>F723</f>
        <v>ボーンビルにあるキャドバリーの工場を訪れたとき、私は気にいってしまいました。</v>
      </c>
      <c r="G763" t="str">
        <f t="shared" si="593"/>
        <v>a</v>
      </c>
      <c r="H763" t="str">
        <f>VLOOKUP(D763,name!A:C,3,1)</f>
        <v>assets/icons/image209.png</v>
      </c>
      <c r="I763" t="s">
        <v>402</v>
      </c>
    </row>
    <row r="764" spans="1:9" x14ac:dyDescent="0.15">
      <c r="A764" t="str">
        <f t="shared" ref="A764:B764" si="618">A763</f>
        <v>英語</v>
      </c>
      <c r="B764">
        <f t="shared" si="618"/>
        <v>7</v>
      </c>
      <c r="C764">
        <f t="shared" si="590"/>
        <v>55</v>
      </c>
      <c r="D764">
        <f>D724</f>
        <v>29</v>
      </c>
      <c r="E764" t="str">
        <f>VLOOKUP(D764,name!A:B,2,1)</f>
        <v>Eri</v>
      </c>
      <c r="F764" t="str">
        <f>F724</f>
        <v>I fell in love with them when I visited Cadbury's factory in Bournville.</v>
      </c>
      <c r="G764" t="str">
        <f t="shared" si="593"/>
        <v>a</v>
      </c>
      <c r="H764" t="str">
        <f>VLOOKUP(D764,name!A:C,3,1)</f>
        <v>assets/icons/image209.png</v>
      </c>
      <c r="I764" t="str">
        <f>IF(A764="","",VLOOKUP(A764,lng!A:B,2,0))</f>
        <v>en-GB</v>
      </c>
    </row>
    <row r="765" spans="1:9" x14ac:dyDescent="0.15">
      <c r="A765" t="str">
        <f t="shared" ref="A765:B765" si="619">A764</f>
        <v>英語</v>
      </c>
      <c r="B765">
        <f t="shared" si="619"/>
        <v>7</v>
      </c>
      <c r="C765">
        <f t="shared" si="590"/>
        <v>56</v>
      </c>
      <c r="D765">
        <v>0</v>
      </c>
      <c r="E765" t="str">
        <f>VLOOKUP(D765,name!A:B,2,1)</f>
        <v>Player</v>
      </c>
      <c r="F765" t="str">
        <f>F724</f>
        <v>I fell in love with them when I visited Cadbury's factory in Bournville.</v>
      </c>
      <c r="G765" t="str">
        <f t="shared" si="593"/>
        <v>q</v>
      </c>
      <c r="H765" t="str">
        <f>VLOOKUP(D765,name!A:C,3,1)</f>
        <v>assets/icons/image326.png</v>
      </c>
      <c r="I765" t="str">
        <f>IF(A765="","",VLOOKUP(A765,lng!A:B,2,0))</f>
        <v>en-GB</v>
      </c>
    </row>
    <row r="766" spans="1:9" x14ac:dyDescent="0.15">
      <c r="A766" t="str">
        <f t="shared" ref="A766:B766" si="620">A765</f>
        <v>英語</v>
      </c>
      <c r="B766">
        <f t="shared" si="620"/>
        <v>7</v>
      </c>
      <c r="C766">
        <f t="shared" si="590"/>
        <v>57</v>
      </c>
      <c r="D766">
        <f>D725</f>
        <v>31</v>
      </c>
      <c r="E766" t="str">
        <f>VLOOKUP(D766,name!A:B,2,1)</f>
        <v>Mrs. Bennett</v>
      </c>
      <c r="F766" t="str">
        <f>F725</f>
        <v>ハウス オブ フレイザーの巨大なチョコレートの卵が見えましたか?</v>
      </c>
      <c r="G766" t="str">
        <f t="shared" si="593"/>
        <v>a</v>
      </c>
      <c r="H766" t="str">
        <f>VLOOKUP(D766,name!A:C,3,1)</f>
        <v>assets/icons/image149.png</v>
      </c>
      <c r="I766" t="s">
        <v>402</v>
      </c>
    </row>
    <row r="767" spans="1:9" x14ac:dyDescent="0.15">
      <c r="A767" t="str">
        <f t="shared" ref="A767:B767" si="621">A766</f>
        <v>英語</v>
      </c>
      <c r="B767">
        <f t="shared" si="621"/>
        <v>7</v>
      </c>
      <c r="C767">
        <f t="shared" si="590"/>
        <v>58</v>
      </c>
      <c r="D767">
        <f>D726</f>
        <v>31</v>
      </c>
      <c r="E767" t="str">
        <f>VLOOKUP(D767,name!A:B,2,1)</f>
        <v>Mrs. Bennett</v>
      </c>
      <c r="F767" t="str">
        <f>F726</f>
        <v>Did you see the giant chocolate egg in House of Fraser's window?</v>
      </c>
      <c r="G767" t="str">
        <f t="shared" si="593"/>
        <v>a</v>
      </c>
      <c r="H767" t="str">
        <f>VLOOKUP(D767,name!A:C,3,1)</f>
        <v>assets/icons/image149.png</v>
      </c>
      <c r="I767" t="str">
        <f>IF(A767="","",VLOOKUP(A767,lng!A:B,2,0))</f>
        <v>en-GB</v>
      </c>
    </row>
    <row r="768" spans="1:9" x14ac:dyDescent="0.15">
      <c r="A768" t="str">
        <f t="shared" ref="A768:B768" si="622">A767</f>
        <v>英語</v>
      </c>
      <c r="B768">
        <f t="shared" si="622"/>
        <v>7</v>
      </c>
      <c r="C768">
        <f t="shared" si="590"/>
        <v>59</v>
      </c>
      <c r="D768">
        <v>0</v>
      </c>
      <c r="E768" t="str">
        <f>VLOOKUP(D768,name!A:B,2,1)</f>
        <v>Player</v>
      </c>
      <c r="F768" t="str">
        <f>F726</f>
        <v>Did you see the giant chocolate egg in House of Fraser's window?</v>
      </c>
      <c r="G768" t="str">
        <f t="shared" si="593"/>
        <v>q</v>
      </c>
      <c r="H768" t="str">
        <f>VLOOKUP(D768,name!A:C,3,1)</f>
        <v>assets/icons/image326.png</v>
      </c>
      <c r="I768" t="str">
        <f>IF(A768="","",VLOOKUP(A768,lng!A:B,2,0))</f>
        <v>en-GB</v>
      </c>
    </row>
    <row r="769" spans="1:9" x14ac:dyDescent="0.15">
      <c r="A769" t="str">
        <f t="shared" ref="A769:B769" si="623">A768</f>
        <v>英語</v>
      </c>
      <c r="B769">
        <f t="shared" si="623"/>
        <v>7</v>
      </c>
      <c r="C769">
        <f t="shared" si="590"/>
        <v>60</v>
      </c>
      <c r="D769">
        <f>D727</f>
        <v>29</v>
      </c>
      <c r="E769" t="str">
        <f>VLOOKUP(D769,name!A:B,2,1)</f>
        <v>Eri</v>
      </c>
      <c r="F769" t="str">
        <f>F727</f>
        <v xml:space="preserve">ええ。 </v>
      </c>
      <c r="G769" t="str">
        <f t="shared" si="593"/>
        <v>a</v>
      </c>
      <c r="H769" t="str">
        <f>VLOOKUP(D769,name!A:C,3,1)</f>
        <v>assets/icons/image209.png</v>
      </c>
      <c r="I769" t="s">
        <v>402</v>
      </c>
    </row>
    <row r="770" spans="1:9" x14ac:dyDescent="0.15">
      <c r="A770" t="str">
        <f t="shared" ref="A770:B770" si="624">A769</f>
        <v>英語</v>
      </c>
      <c r="B770">
        <f t="shared" si="624"/>
        <v>7</v>
      </c>
      <c r="C770">
        <f t="shared" si="590"/>
        <v>61</v>
      </c>
      <c r="D770">
        <f>D728</f>
        <v>29</v>
      </c>
      <c r="E770" t="str">
        <f>VLOOKUP(D770,name!A:B,2,1)</f>
        <v>Eri</v>
      </c>
      <c r="F770" t="str">
        <f>F728</f>
        <v xml:space="preserve">Yes. </v>
      </c>
      <c r="G770" t="str">
        <f t="shared" si="593"/>
        <v>a</v>
      </c>
      <c r="H770" t="str">
        <f>VLOOKUP(D770,name!A:C,3,1)</f>
        <v>assets/icons/image209.png</v>
      </c>
      <c r="I770" t="str">
        <f>IF(A770="","",VLOOKUP(A770,lng!A:B,2,0))</f>
        <v>en-GB</v>
      </c>
    </row>
    <row r="771" spans="1:9" x14ac:dyDescent="0.15">
      <c r="A771" t="str">
        <f t="shared" ref="A771:B771" si="625">A770</f>
        <v>英語</v>
      </c>
      <c r="B771">
        <f t="shared" si="625"/>
        <v>7</v>
      </c>
      <c r="C771">
        <f t="shared" si="590"/>
        <v>62</v>
      </c>
      <c r="D771">
        <v>0</v>
      </c>
      <c r="E771" t="str">
        <f>VLOOKUP(D771,name!A:B,2,1)</f>
        <v>Player</v>
      </c>
      <c r="F771" t="str">
        <f>F728</f>
        <v xml:space="preserve">Yes. </v>
      </c>
      <c r="G771" t="str">
        <f t="shared" si="593"/>
        <v>q</v>
      </c>
      <c r="H771" t="str">
        <f>VLOOKUP(D771,name!A:C,3,1)</f>
        <v>assets/icons/image326.png</v>
      </c>
      <c r="I771" t="str">
        <f>IF(A771="","",VLOOKUP(A771,lng!A:B,2,0))</f>
        <v>en-GB</v>
      </c>
    </row>
    <row r="772" spans="1:9" x14ac:dyDescent="0.15">
      <c r="A772" t="str">
        <f t="shared" ref="A772:B772" si="626">A771</f>
        <v>英語</v>
      </c>
      <c r="B772">
        <f t="shared" si="626"/>
        <v>7</v>
      </c>
      <c r="C772">
        <f t="shared" si="590"/>
        <v>63</v>
      </c>
      <c r="D772">
        <f>D729</f>
        <v>29</v>
      </c>
      <c r="E772" t="str">
        <f>VLOOKUP(D772,name!A:B,2,1)</f>
        <v>Eri</v>
      </c>
      <c r="F772" t="str">
        <f>F729</f>
        <v>いったい誰があんな大きな卵を買うんですか?</v>
      </c>
      <c r="G772" t="str">
        <f t="shared" si="593"/>
        <v>a</v>
      </c>
      <c r="H772" t="str">
        <f>VLOOKUP(D772,name!A:C,3,1)</f>
        <v>assets/icons/image209.png</v>
      </c>
      <c r="I772" t="s">
        <v>402</v>
      </c>
    </row>
    <row r="773" spans="1:9" x14ac:dyDescent="0.15">
      <c r="A773" t="str">
        <f t="shared" ref="A773:B773" si="627">A772</f>
        <v>英語</v>
      </c>
      <c r="B773">
        <f t="shared" si="627"/>
        <v>7</v>
      </c>
      <c r="C773">
        <f t="shared" si="590"/>
        <v>64</v>
      </c>
      <c r="D773">
        <f>D730</f>
        <v>29</v>
      </c>
      <c r="E773" t="str">
        <f>VLOOKUP(D773,name!A:B,2,1)</f>
        <v>Eri</v>
      </c>
      <c r="F773" t="str">
        <f>F730</f>
        <v>Who on earth's going to buy such an enormous egg?</v>
      </c>
      <c r="G773" t="str">
        <f t="shared" si="593"/>
        <v>a</v>
      </c>
      <c r="H773" t="str">
        <f>VLOOKUP(D773,name!A:C,3,1)</f>
        <v>assets/icons/image209.png</v>
      </c>
      <c r="I773" t="str">
        <f>IF(A773="","",VLOOKUP(A773,lng!A:B,2,0))</f>
        <v>en-GB</v>
      </c>
    </row>
    <row r="774" spans="1:9" x14ac:dyDescent="0.15">
      <c r="A774" t="str">
        <f t="shared" ref="A774:B774" si="628">A773</f>
        <v>英語</v>
      </c>
      <c r="B774">
        <f t="shared" si="628"/>
        <v>7</v>
      </c>
      <c r="C774">
        <f t="shared" si="590"/>
        <v>65</v>
      </c>
      <c r="D774">
        <v>0</v>
      </c>
      <c r="E774" t="str">
        <f>VLOOKUP(D774,name!A:B,2,1)</f>
        <v>Player</v>
      </c>
      <c r="F774" t="str">
        <f>F730</f>
        <v>Who on earth's going to buy such an enormous egg?</v>
      </c>
      <c r="G774" t="str">
        <f t="shared" si="593"/>
        <v>q</v>
      </c>
      <c r="H774" t="str">
        <f>VLOOKUP(D774,name!A:C,3,1)</f>
        <v>assets/icons/image326.png</v>
      </c>
      <c r="I774" t="str">
        <f>IF(A774="","",VLOOKUP(A774,lng!A:B,2,0))</f>
        <v>en-GB</v>
      </c>
    </row>
    <row r="775" spans="1:9" x14ac:dyDescent="0.15">
      <c r="A775" t="str">
        <f t="shared" ref="A775:B775" si="629">A774</f>
        <v>英語</v>
      </c>
      <c r="B775">
        <f t="shared" si="629"/>
        <v>7</v>
      </c>
      <c r="C775">
        <f t="shared" si="590"/>
        <v>66</v>
      </c>
      <c r="D775">
        <f>D731</f>
        <v>31</v>
      </c>
      <c r="E775" t="str">
        <f>VLOOKUP(D775,name!A:B,2,1)</f>
        <v>Mrs. Bennett</v>
      </c>
      <c r="F775" t="str">
        <f>F731</f>
        <v>実際には誰も買わない</v>
      </c>
      <c r="G775" t="str">
        <f t="shared" si="593"/>
        <v>a</v>
      </c>
      <c r="H775" t="str">
        <f>VLOOKUP(D775,name!A:C,3,1)</f>
        <v>assets/icons/image149.png</v>
      </c>
      <c r="I775" t="s">
        <v>402</v>
      </c>
    </row>
    <row r="776" spans="1:9" x14ac:dyDescent="0.15">
      <c r="A776" t="str">
        <f t="shared" ref="A776:B776" si="630">A775</f>
        <v>英語</v>
      </c>
      <c r="B776">
        <f t="shared" si="630"/>
        <v>7</v>
      </c>
      <c r="C776">
        <f t="shared" ref="C776:C834" si="631">C775+1</f>
        <v>67</v>
      </c>
      <c r="D776">
        <f>D732</f>
        <v>31</v>
      </c>
      <c r="E776" t="str">
        <f>VLOOKUP(D776,name!A:B,2,1)</f>
        <v>Mrs. Bennett</v>
      </c>
      <c r="F776" t="str">
        <f>F732</f>
        <v>No one really.</v>
      </c>
      <c r="G776" t="str">
        <f t="shared" si="593"/>
        <v>a</v>
      </c>
      <c r="H776" t="str">
        <f>VLOOKUP(D776,name!A:C,3,1)</f>
        <v>assets/icons/image149.png</v>
      </c>
      <c r="I776" t="str">
        <f>IF(A776="","",VLOOKUP(A776,lng!A:B,2,0))</f>
        <v>en-GB</v>
      </c>
    </row>
    <row r="777" spans="1:9" x14ac:dyDescent="0.15">
      <c r="A777" t="str">
        <f t="shared" ref="A777:B777" si="632">A776</f>
        <v>英語</v>
      </c>
      <c r="B777">
        <f t="shared" si="632"/>
        <v>7</v>
      </c>
      <c r="C777">
        <f t="shared" si="631"/>
        <v>68</v>
      </c>
      <c r="D777">
        <v>0</v>
      </c>
      <c r="E777" t="str">
        <f>VLOOKUP(D777,name!A:B,2,1)</f>
        <v>Player</v>
      </c>
      <c r="F777" t="str">
        <f>F732</f>
        <v>No one really.</v>
      </c>
      <c r="G777" t="str">
        <f t="shared" si="593"/>
        <v>q</v>
      </c>
      <c r="H777" t="str">
        <f>VLOOKUP(D777,name!A:C,3,1)</f>
        <v>assets/icons/image326.png</v>
      </c>
      <c r="I777" t="str">
        <f>IF(A777="","",VLOOKUP(A777,lng!A:B,2,0))</f>
        <v>en-GB</v>
      </c>
    </row>
    <row r="778" spans="1:9" x14ac:dyDescent="0.15">
      <c r="A778" t="str">
        <f t="shared" ref="A778:B778" si="633">A777</f>
        <v>英語</v>
      </c>
      <c r="B778">
        <f t="shared" si="633"/>
        <v>7</v>
      </c>
      <c r="C778">
        <f t="shared" si="631"/>
        <v>69</v>
      </c>
      <c r="D778">
        <f>D733</f>
        <v>31</v>
      </c>
      <c r="E778" t="str">
        <f>VLOOKUP(D778,name!A:B,2,1)</f>
        <v>Mrs. Bennett</v>
      </c>
      <c r="F778" t="str">
        <f>F733</f>
        <v>あれはイースターの慈善事業のために作られている</v>
      </c>
      <c r="G778" t="str">
        <f t="shared" si="593"/>
        <v>a</v>
      </c>
      <c r="H778" t="str">
        <f>VLOOKUP(D778,name!A:C,3,1)</f>
        <v>assets/icons/image149.png</v>
      </c>
      <c r="I778" t="s">
        <v>402</v>
      </c>
    </row>
    <row r="779" spans="1:9" x14ac:dyDescent="0.15">
      <c r="A779" t="str">
        <f t="shared" ref="A779:B779" si="634">A778</f>
        <v>英語</v>
      </c>
      <c r="B779">
        <f t="shared" si="634"/>
        <v>7</v>
      </c>
      <c r="C779">
        <f t="shared" si="631"/>
        <v>70</v>
      </c>
      <c r="D779">
        <f>D734</f>
        <v>31</v>
      </c>
      <c r="E779" t="str">
        <f>VLOOKUP(D779,name!A:B,2,1)</f>
        <v>Mrs. Bennett</v>
      </c>
      <c r="F779" t="str">
        <f>F734</f>
        <v>It's made to get people to help others at Easter.</v>
      </c>
      <c r="G779" t="str">
        <f t="shared" si="593"/>
        <v>a</v>
      </c>
      <c r="H779" t="str">
        <f>VLOOKUP(D779,name!A:C,3,1)</f>
        <v>assets/icons/image149.png</v>
      </c>
      <c r="I779" t="str">
        <f>IF(A779="","",VLOOKUP(A779,lng!A:B,2,0))</f>
        <v>en-GB</v>
      </c>
    </row>
    <row r="780" spans="1:9" x14ac:dyDescent="0.15">
      <c r="A780" t="str">
        <f t="shared" ref="A780:B780" si="635">A779</f>
        <v>英語</v>
      </c>
      <c r="B780">
        <f t="shared" si="635"/>
        <v>7</v>
      </c>
      <c r="C780">
        <f t="shared" si="631"/>
        <v>71</v>
      </c>
      <c r="D780">
        <v>0</v>
      </c>
      <c r="E780" t="str">
        <f>VLOOKUP(D780,name!A:B,2,1)</f>
        <v>Player</v>
      </c>
      <c r="F780" t="str">
        <f>F734</f>
        <v>It's made to get people to help others at Easter.</v>
      </c>
      <c r="G780" t="str">
        <f t="shared" si="593"/>
        <v>q</v>
      </c>
      <c r="H780" t="str">
        <f>VLOOKUP(D780,name!A:C,3,1)</f>
        <v>assets/icons/image326.png</v>
      </c>
      <c r="I780" t="str">
        <f>IF(A780="","",VLOOKUP(A780,lng!A:B,2,0))</f>
        <v>en-GB</v>
      </c>
    </row>
    <row r="781" spans="1:9" x14ac:dyDescent="0.15">
      <c r="A781" t="str">
        <f t="shared" ref="A781:B781" si="636">A780</f>
        <v>英語</v>
      </c>
      <c r="B781">
        <f t="shared" si="636"/>
        <v>7</v>
      </c>
      <c r="C781">
        <f t="shared" si="631"/>
        <v>72</v>
      </c>
      <c r="D781">
        <f>D735</f>
        <v>31</v>
      </c>
      <c r="E781" t="str">
        <f>VLOOKUP(D781,name!A:B,2,1)</f>
        <v>Mrs. Bennett</v>
      </c>
      <c r="F781" t="str">
        <f>F735</f>
        <v>少しお金を払って、卵の重さを当ててみます。</v>
      </c>
      <c r="G781" t="str">
        <f t="shared" si="593"/>
        <v>a</v>
      </c>
      <c r="H781" t="str">
        <f>VLOOKUP(D781,name!A:C,3,1)</f>
        <v>assets/icons/image149.png</v>
      </c>
      <c r="I781" t="s">
        <v>402</v>
      </c>
    </row>
    <row r="782" spans="1:9" x14ac:dyDescent="0.15">
      <c r="A782" t="str">
        <f t="shared" ref="A782:B782" si="637">A781</f>
        <v>英語</v>
      </c>
      <c r="B782">
        <f t="shared" si="637"/>
        <v>7</v>
      </c>
      <c r="C782">
        <f t="shared" si="631"/>
        <v>73</v>
      </c>
      <c r="D782">
        <f>D736</f>
        <v>31</v>
      </c>
      <c r="E782" t="str">
        <f>VLOOKUP(D782,name!A:B,2,1)</f>
        <v>Mrs. Bennett</v>
      </c>
      <c r="F782" t="str">
        <f>F736</f>
        <v>You pay a little money to have a go at guessing the weight of the egg.</v>
      </c>
      <c r="G782" t="str">
        <f t="shared" si="593"/>
        <v>a</v>
      </c>
      <c r="H782" t="str">
        <f>VLOOKUP(D782,name!A:C,3,1)</f>
        <v>assets/icons/image149.png</v>
      </c>
      <c r="I782" t="str">
        <f>IF(A782="","",VLOOKUP(A782,lng!A:B,2,0))</f>
        <v>en-GB</v>
      </c>
    </row>
    <row r="783" spans="1:9" x14ac:dyDescent="0.15">
      <c r="A783" t="str">
        <f t="shared" ref="A783:B783" si="638">A782</f>
        <v>英語</v>
      </c>
      <c r="B783">
        <f t="shared" si="638"/>
        <v>7</v>
      </c>
      <c r="C783">
        <f t="shared" si="631"/>
        <v>74</v>
      </c>
      <c r="D783">
        <v>0</v>
      </c>
      <c r="E783" t="str">
        <f>VLOOKUP(D783,name!A:B,2,1)</f>
        <v>Player</v>
      </c>
      <c r="F783" t="str">
        <f>F736</f>
        <v>You pay a little money to have a go at guessing the weight of the egg.</v>
      </c>
      <c r="G783" t="str">
        <f t="shared" si="593"/>
        <v>q</v>
      </c>
      <c r="H783" t="str">
        <f>VLOOKUP(D783,name!A:C,3,1)</f>
        <v>assets/icons/image326.png</v>
      </c>
      <c r="I783" t="str">
        <f>IF(A783="","",VLOOKUP(A783,lng!A:B,2,0))</f>
        <v>en-GB</v>
      </c>
    </row>
    <row r="784" spans="1:9" x14ac:dyDescent="0.15">
      <c r="A784" t="str">
        <f t="shared" ref="A784:B784" si="639">A783</f>
        <v>英語</v>
      </c>
      <c r="B784">
        <f t="shared" si="639"/>
        <v>7</v>
      </c>
      <c r="C784">
        <f t="shared" si="631"/>
        <v>75</v>
      </c>
      <c r="D784">
        <f>D737</f>
        <v>31</v>
      </c>
      <c r="E784" t="str">
        <f>VLOOKUP(D784,name!A:B,2,1)</f>
        <v>Mrs. Bennett</v>
      </c>
      <c r="F784" t="str">
        <f>F737</f>
        <v>もっとも正解に近い人が地元企業が寄付した賞をもらえて、</v>
      </c>
      <c r="G784" t="str">
        <f t="shared" si="593"/>
        <v>a</v>
      </c>
      <c r="H784" t="str">
        <f>VLOOKUP(D784,name!A:C,3,1)</f>
        <v>assets/icons/image149.png</v>
      </c>
      <c r="I784" t="s">
        <v>402</v>
      </c>
    </row>
    <row r="785" spans="1:9" x14ac:dyDescent="0.15">
      <c r="A785" t="str">
        <f t="shared" ref="A785:B785" si="640">A784</f>
        <v>英語</v>
      </c>
      <c r="B785">
        <f t="shared" si="640"/>
        <v>7</v>
      </c>
      <c r="C785">
        <f t="shared" si="631"/>
        <v>76</v>
      </c>
      <c r="D785">
        <f>D738</f>
        <v>31</v>
      </c>
      <c r="E785" t="str">
        <f>VLOOKUP(D785,name!A:B,2,1)</f>
        <v>Mrs. Bennett</v>
      </c>
      <c r="F785" t="str">
        <f>F738</f>
        <v>The nearest guess wins a prize donated by one of the local businesses,</v>
      </c>
      <c r="G785" t="str">
        <f t="shared" si="593"/>
        <v>a</v>
      </c>
      <c r="H785" t="str">
        <f>VLOOKUP(D785,name!A:C,3,1)</f>
        <v>assets/icons/image149.png</v>
      </c>
      <c r="I785" t="str">
        <f>IF(A785="","",VLOOKUP(A785,lng!A:B,2,0))</f>
        <v>en-GB</v>
      </c>
    </row>
    <row r="786" spans="1:9" x14ac:dyDescent="0.15">
      <c r="A786" t="str">
        <f t="shared" ref="A786:B786" si="641">A785</f>
        <v>英語</v>
      </c>
      <c r="B786">
        <f t="shared" si="641"/>
        <v>7</v>
      </c>
      <c r="C786">
        <f t="shared" si="631"/>
        <v>77</v>
      </c>
      <c r="D786">
        <v>0</v>
      </c>
      <c r="E786" t="str">
        <f>VLOOKUP(D786,name!A:B,2,1)</f>
        <v>Player</v>
      </c>
      <c r="F786" t="str">
        <f>F738</f>
        <v>The nearest guess wins a prize donated by one of the local businesses,</v>
      </c>
      <c r="G786" t="str">
        <f t="shared" si="593"/>
        <v>q</v>
      </c>
      <c r="H786" t="str">
        <f>VLOOKUP(D786,name!A:C,3,1)</f>
        <v>assets/icons/image326.png</v>
      </c>
      <c r="I786" t="str">
        <f>IF(A786="","",VLOOKUP(A786,lng!A:B,2,0))</f>
        <v>en-GB</v>
      </c>
    </row>
    <row r="787" spans="1:9" x14ac:dyDescent="0.15">
      <c r="A787" t="str">
        <f t="shared" ref="A787:B787" si="642">A786</f>
        <v>英語</v>
      </c>
      <c r="B787">
        <f t="shared" si="642"/>
        <v>7</v>
      </c>
      <c r="C787">
        <f t="shared" si="631"/>
        <v>78</v>
      </c>
      <c r="D787">
        <f>D739</f>
        <v>31</v>
      </c>
      <c r="E787" t="str">
        <f>VLOOKUP(D787,name!A:B,2,1)</f>
        <v>Mrs. Bennett</v>
      </c>
      <c r="F787" t="str">
        <f>F739</f>
        <v>その卵とお金は、 クイーン・エリザベス病院に渡される。</v>
      </c>
      <c r="G787" t="str">
        <f t="shared" si="593"/>
        <v>a</v>
      </c>
      <c r="H787" t="str">
        <f>VLOOKUP(D787,name!A:C,3,1)</f>
        <v>assets/icons/image149.png</v>
      </c>
      <c r="I787" t="s">
        <v>402</v>
      </c>
    </row>
    <row r="788" spans="1:9" x14ac:dyDescent="0.15">
      <c r="A788" t="str">
        <f t="shared" ref="A788:B788" si="643">A787</f>
        <v>英語</v>
      </c>
      <c r="B788">
        <f t="shared" si="643"/>
        <v>7</v>
      </c>
      <c r="C788">
        <f t="shared" si="631"/>
        <v>79</v>
      </c>
      <c r="D788">
        <f>D740</f>
        <v>31</v>
      </c>
      <c r="E788" t="str">
        <f>VLOOKUP(D788,name!A:B,2,1)</f>
        <v>Mrs. Bennett</v>
      </c>
      <c r="F788" t="str">
        <f>F740</f>
        <v>and the egg and the money go to the Queen Elizabeth Hospital.</v>
      </c>
      <c r="G788" t="str">
        <f t="shared" si="593"/>
        <v>a</v>
      </c>
      <c r="H788" t="str">
        <f>VLOOKUP(D788,name!A:C,3,1)</f>
        <v>assets/icons/image149.png</v>
      </c>
      <c r="I788" t="str">
        <f>IF(A788="","",VLOOKUP(A788,lng!A:B,2,0))</f>
        <v>en-GB</v>
      </c>
    </row>
    <row r="789" spans="1:9" x14ac:dyDescent="0.15">
      <c r="A789" t="str">
        <f t="shared" ref="A789:B789" si="644">A788</f>
        <v>英語</v>
      </c>
      <c r="B789">
        <f t="shared" si="644"/>
        <v>7</v>
      </c>
      <c r="C789">
        <f t="shared" si="631"/>
        <v>80</v>
      </c>
      <c r="D789">
        <v>0</v>
      </c>
      <c r="E789" t="str">
        <f>VLOOKUP(D789,name!A:B,2,1)</f>
        <v>Player</v>
      </c>
      <c r="F789" t="str">
        <f>F740</f>
        <v>and the egg and the money go to the Queen Elizabeth Hospital.</v>
      </c>
      <c r="G789" t="str">
        <f t="shared" si="593"/>
        <v>q</v>
      </c>
      <c r="H789" t="str">
        <f>VLOOKUP(D789,name!A:C,3,1)</f>
        <v>assets/icons/image326.png</v>
      </c>
      <c r="I789" t="str">
        <f>IF(A789="","",VLOOKUP(A789,lng!A:B,2,0))</f>
        <v>en-GB</v>
      </c>
    </row>
    <row r="790" spans="1:9" x14ac:dyDescent="0.15">
      <c r="A790" t="str">
        <f t="shared" ref="A790:B790" si="645">A789</f>
        <v>英語</v>
      </c>
      <c r="B790">
        <f t="shared" si="645"/>
        <v>7</v>
      </c>
      <c r="C790">
        <f t="shared" si="631"/>
        <v>81</v>
      </c>
      <c r="D790">
        <f>D741</f>
        <v>29</v>
      </c>
      <c r="E790" t="str">
        <f>VLOOKUP(D790,name!A:B,2,1)</f>
        <v>Eri</v>
      </c>
      <c r="F790" t="str">
        <f>F741</f>
        <v>いいアイデアですね！</v>
      </c>
      <c r="G790" t="str">
        <f t="shared" si="593"/>
        <v>a</v>
      </c>
      <c r="H790" t="str">
        <f>VLOOKUP(D790,name!A:C,3,1)</f>
        <v>assets/icons/image209.png</v>
      </c>
      <c r="I790" t="s">
        <v>402</v>
      </c>
    </row>
    <row r="791" spans="1:9" x14ac:dyDescent="0.15">
      <c r="A791" t="str">
        <f t="shared" ref="A791:B791" si="646">A790</f>
        <v>英語</v>
      </c>
      <c r="B791">
        <f t="shared" si="646"/>
        <v>7</v>
      </c>
      <c r="C791">
        <f t="shared" si="631"/>
        <v>82</v>
      </c>
      <c r="D791">
        <f>D742</f>
        <v>29</v>
      </c>
      <c r="E791" t="str">
        <f>VLOOKUP(D791,name!A:B,2,1)</f>
        <v>Eri</v>
      </c>
      <c r="F791" t="str">
        <f>F742</f>
        <v xml:space="preserve">What a good idea! </v>
      </c>
      <c r="G791" t="str">
        <f t="shared" si="593"/>
        <v>a</v>
      </c>
      <c r="H791" t="str">
        <f>VLOOKUP(D791,name!A:C,3,1)</f>
        <v>assets/icons/image209.png</v>
      </c>
      <c r="I791" t="str">
        <f>IF(A791="","",VLOOKUP(A791,lng!A:B,2,0))</f>
        <v>en-GB</v>
      </c>
    </row>
    <row r="792" spans="1:9" x14ac:dyDescent="0.15">
      <c r="A792" t="str">
        <f t="shared" ref="A792:B792" si="647">A791</f>
        <v>英語</v>
      </c>
      <c r="B792">
        <f t="shared" si="647"/>
        <v>7</v>
      </c>
      <c r="C792">
        <f t="shared" si="631"/>
        <v>83</v>
      </c>
      <c r="D792">
        <v>0</v>
      </c>
      <c r="E792" t="str">
        <f>VLOOKUP(D792,name!A:B,2,1)</f>
        <v>Player</v>
      </c>
      <c r="F792" t="str">
        <f>F742</f>
        <v xml:space="preserve">What a good idea! </v>
      </c>
      <c r="G792" t="str">
        <f t="shared" si="593"/>
        <v>q</v>
      </c>
      <c r="H792" t="str">
        <f>VLOOKUP(D792,name!A:C,3,1)</f>
        <v>assets/icons/image326.png</v>
      </c>
      <c r="I792" t="str">
        <f>IF(A792="","",VLOOKUP(A792,lng!A:B,2,0))</f>
        <v>en-GB</v>
      </c>
    </row>
    <row r="793" spans="1:9" x14ac:dyDescent="0.15">
      <c r="A793" t="str">
        <f t="shared" ref="A793:B793" si="648">A792</f>
        <v>英語</v>
      </c>
      <c r="B793">
        <f t="shared" si="648"/>
        <v>7</v>
      </c>
      <c r="C793">
        <f t="shared" si="631"/>
        <v>84</v>
      </c>
      <c r="D793">
        <f>D743</f>
        <v>29</v>
      </c>
      <c r="E793" t="str">
        <f>VLOOKUP(D793,name!A:B,2,1)</f>
        <v>Eri</v>
      </c>
      <c r="F793" t="str">
        <f>F743</f>
        <v>誰もが幸せになる。</v>
      </c>
      <c r="G793" t="str">
        <f t="shared" si="593"/>
        <v>a</v>
      </c>
      <c r="H793" t="str">
        <f>VLOOKUP(D793,name!A:C,3,1)</f>
        <v>assets/icons/image209.png</v>
      </c>
      <c r="I793" t="s">
        <v>402</v>
      </c>
    </row>
    <row r="794" spans="1:9" x14ac:dyDescent="0.15">
      <c r="A794" t="str">
        <f t="shared" ref="A794:B794" si="649">A793</f>
        <v>英語</v>
      </c>
      <c r="B794">
        <f t="shared" si="649"/>
        <v>7</v>
      </c>
      <c r="C794">
        <f t="shared" si="631"/>
        <v>85</v>
      </c>
      <c r="D794">
        <f>D744</f>
        <v>29</v>
      </c>
      <c r="E794" t="str">
        <f>VLOOKUP(D794,name!A:B,2,1)</f>
        <v>Eri</v>
      </c>
      <c r="F794" t="str">
        <f>F744</f>
        <v>Everyone wins.</v>
      </c>
      <c r="G794" t="str">
        <f t="shared" si="593"/>
        <v>a</v>
      </c>
      <c r="H794" t="str">
        <f>VLOOKUP(D794,name!A:C,3,1)</f>
        <v>assets/icons/image209.png</v>
      </c>
      <c r="I794" t="str">
        <f>IF(A794="","",VLOOKUP(A794,lng!A:B,2,0))</f>
        <v>en-GB</v>
      </c>
    </row>
    <row r="795" spans="1:9" x14ac:dyDescent="0.15">
      <c r="A795" t="str">
        <f t="shared" ref="A795:B795" si="650">A794</f>
        <v>英語</v>
      </c>
      <c r="B795">
        <f t="shared" si="650"/>
        <v>7</v>
      </c>
      <c r="C795">
        <f t="shared" si="631"/>
        <v>86</v>
      </c>
      <c r="D795">
        <v>0</v>
      </c>
      <c r="E795" t="str">
        <f>VLOOKUP(D795,name!A:B,2,1)</f>
        <v>Player</v>
      </c>
      <c r="F795" t="str">
        <f>F744</f>
        <v>Everyone wins.</v>
      </c>
      <c r="G795" t="str">
        <f t="shared" si="593"/>
        <v>q</v>
      </c>
      <c r="H795" t="str">
        <f>VLOOKUP(D795,name!A:C,3,1)</f>
        <v>assets/icons/image326.png</v>
      </c>
      <c r="I795" t="str">
        <f>IF(A795="","",VLOOKUP(A795,lng!A:B,2,0))</f>
        <v>en-GB</v>
      </c>
    </row>
    <row r="796" spans="1:9" x14ac:dyDescent="0.15">
      <c r="A796" t="str">
        <f t="shared" ref="A796:B796" si="651">A795</f>
        <v>英語</v>
      </c>
      <c r="B796">
        <f t="shared" si="651"/>
        <v>7</v>
      </c>
      <c r="C796">
        <f t="shared" si="631"/>
        <v>87</v>
      </c>
      <c r="D796">
        <f>D745</f>
        <v>29</v>
      </c>
      <c r="E796" t="str">
        <f>VLOOKUP(D796,name!A:B,2,1)</f>
        <v>Eri</v>
      </c>
      <c r="F796" t="str">
        <f>F745</f>
        <v>私も運を試さなければ。</v>
      </c>
      <c r="G796" t="str">
        <f t="shared" si="593"/>
        <v>a</v>
      </c>
      <c r="H796" t="str">
        <f>VLOOKUP(D796,name!A:C,3,1)</f>
        <v>assets/icons/image209.png</v>
      </c>
      <c r="I796" t="s">
        <v>402</v>
      </c>
    </row>
    <row r="797" spans="1:9" x14ac:dyDescent="0.15">
      <c r="A797" t="str">
        <f t="shared" ref="A797:B797" si="652">A796</f>
        <v>英語</v>
      </c>
      <c r="B797">
        <f t="shared" si="652"/>
        <v>7</v>
      </c>
      <c r="C797">
        <f t="shared" si="631"/>
        <v>88</v>
      </c>
      <c r="D797">
        <f>D746</f>
        <v>29</v>
      </c>
      <c r="E797" t="str">
        <f>VLOOKUP(D797,name!A:B,2,1)</f>
        <v>Eri</v>
      </c>
      <c r="F797" t="str">
        <f>F746</f>
        <v>I must try my luck.</v>
      </c>
      <c r="G797" t="str">
        <f t="shared" si="593"/>
        <v>a</v>
      </c>
      <c r="H797" t="str">
        <f>VLOOKUP(D797,name!A:C,3,1)</f>
        <v>assets/icons/image209.png</v>
      </c>
      <c r="I797" t="str">
        <f>IF(A797="","",VLOOKUP(A797,lng!A:B,2,0))</f>
        <v>en-GB</v>
      </c>
    </row>
    <row r="798" spans="1:9" x14ac:dyDescent="0.15">
      <c r="A798" t="str">
        <f t="shared" ref="A798:B798" si="653">A797</f>
        <v>英語</v>
      </c>
      <c r="B798">
        <f t="shared" si="653"/>
        <v>7</v>
      </c>
      <c r="C798">
        <f t="shared" si="631"/>
        <v>89</v>
      </c>
      <c r="D798">
        <v>0</v>
      </c>
      <c r="E798" t="str">
        <f>VLOOKUP(D798,name!A:B,2,1)</f>
        <v>Player</v>
      </c>
      <c r="F798" t="str">
        <f>F746</f>
        <v>I must try my luck.</v>
      </c>
      <c r="G798" t="str">
        <f t="shared" ref="G798:G861" si="654">IF(B798&lt;&gt;B799,"e",IF(D798=0,"q","a"))</f>
        <v>q</v>
      </c>
      <c r="H798" t="str">
        <f>VLOOKUP(D798,name!A:C,3,1)</f>
        <v>assets/icons/image326.png</v>
      </c>
      <c r="I798" t="str">
        <f>IF(A798="","",VLOOKUP(A798,lng!A:B,2,0))</f>
        <v>en-GB</v>
      </c>
    </row>
    <row r="799" spans="1:9" x14ac:dyDescent="0.15">
      <c r="A799" t="str">
        <f t="shared" ref="A799:B799" si="655">A798</f>
        <v>英語</v>
      </c>
      <c r="B799">
        <f t="shared" si="655"/>
        <v>7</v>
      </c>
      <c r="C799">
        <f t="shared" si="631"/>
        <v>90</v>
      </c>
      <c r="D799">
        <v>1</v>
      </c>
      <c r="E799" t="str">
        <f>VLOOKUP(D799,name!A:B,2,1)</f>
        <v>Navigator</v>
      </c>
      <c r="F799" t="str">
        <f>"次の日本語を"&amp;A799&amp;"に訳して答えてね！"</f>
        <v>次の日本語を英語に訳して答えてね！</v>
      </c>
      <c r="G799" t="str">
        <f t="shared" si="654"/>
        <v>a</v>
      </c>
      <c r="H799" t="str">
        <f>VLOOKUP(D799,name!A:C,3,1)</f>
        <v>assets/icons/image014.png</v>
      </c>
      <c r="I799" t="s">
        <v>402</v>
      </c>
    </row>
    <row r="800" spans="1:9" x14ac:dyDescent="0.15">
      <c r="A800" t="str">
        <f t="shared" ref="A800:B800" si="656">A799</f>
        <v>英語</v>
      </c>
      <c r="B800">
        <f t="shared" si="656"/>
        <v>7</v>
      </c>
      <c r="C800">
        <f t="shared" si="631"/>
        <v>91</v>
      </c>
      <c r="D800">
        <f>D713</f>
        <v>31</v>
      </c>
      <c r="E800" t="str">
        <f>VLOOKUP(D800,name!A:B,2,1)</f>
        <v>Mrs. Bennett</v>
      </c>
      <c r="F800" t="str">
        <f t="shared" ref="F800:F833" si="657">F713</f>
        <v>こんにちは、エリ。</v>
      </c>
      <c r="G800" t="str">
        <f t="shared" si="654"/>
        <v>a</v>
      </c>
      <c r="H800" t="str">
        <f>VLOOKUP(D800,name!A:C,3,1)</f>
        <v>assets/icons/image149.png</v>
      </c>
      <c r="I800" t="s">
        <v>402</v>
      </c>
    </row>
    <row r="801" spans="1:9" x14ac:dyDescent="0.15">
      <c r="A801" t="str">
        <f t="shared" ref="A801:B801" si="658">A800</f>
        <v>英語</v>
      </c>
      <c r="B801">
        <f t="shared" si="658"/>
        <v>7</v>
      </c>
      <c r="C801">
        <f t="shared" si="631"/>
        <v>92</v>
      </c>
      <c r="D801">
        <v>0</v>
      </c>
      <c r="E801" t="str">
        <f>VLOOKUP(D801,name!A:B,2,1)</f>
        <v>Player</v>
      </c>
      <c r="F801" t="str">
        <f t="shared" si="657"/>
        <v>Hello, Eri.</v>
      </c>
      <c r="G801" t="str">
        <f t="shared" si="654"/>
        <v>q</v>
      </c>
      <c r="H801" t="str">
        <f>VLOOKUP(D801,name!A:C,3,1)</f>
        <v>assets/icons/image326.png</v>
      </c>
      <c r="I801" t="str">
        <f>IF(A801="","",VLOOKUP(A801,lng!A:B,2,0))</f>
        <v>en-GB</v>
      </c>
    </row>
    <row r="802" spans="1:9" x14ac:dyDescent="0.15">
      <c r="A802" t="str">
        <f t="shared" ref="A802:B802" si="659">A801</f>
        <v>英語</v>
      </c>
      <c r="B802">
        <f t="shared" si="659"/>
        <v>7</v>
      </c>
      <c r="C802">
        <f t="shared" si="631"/>
        <v>93</v>
      </c>
      <c r="D802">
        <f>D715</f>
        <v>31</v>
      </c>
      <c r="E802" t="str">
        <f>VLOOKUP(D802,name!A:B,2,1)</f>
        <v>Mrs. Bennett</v>
      </c>
      <c r="F802" t="str">
        <f t="shared" si="657"/>
        <v>あなたもイースターエッグの買い物をしているの?</v>
      </c>
      <c r="G802" t="str">
        <f t="shared" si="654"/>
        <v>a</v>
      </c>
      <c r="H802" t="str">
        <f>VLOOKUP(D802,name!A:C,3,1)</f>
        <v>assets/icons/image149.png</v>
      </c>
      <c r="I802" t="s">
        <v>402</v>
      </c>
    </row>
    <row r="803" spans="1:9" x14ac:dyDescent="0.15">
      <c r="A803" t="str">
        <f t="shared" ref="A803:B803" si="660">A802</f>
        <v>英語</v>
      </c>
      <c r="B803">
        <f t="shared" si="660"/>
        <v>7</v>
      </c>
      <c r="C803">
        <f t="shared" si="631"/>
        <v>94</v>
      </c>
      <c r="D803">
        <v>0</v>
      </c>
      <c r="E803" t="str">
        <f>VLOOKUP(D803,name!A:B,2,1)</f>
        <v>Player</v>
      </c>
      <c r="F803" t="str">
        <f t="shared" si="657"/>
        <v>Are you doing some Easter egg shopping, too?</v>
      </c>
      <c r="G803" t="str">
        <f t="shared" si="654"/>
        <v>q</v>
      </c>
      <c r="H803" t="str">
        <f>VLOOKUP(D803,name!A:C,3,1)</f>
        <v>assets/icons/image326.png</v>
      </c>
      <c r="I803" t="str">
        <f>IF(A803="","",VLOOKUP(A803,lng!A:B,2,0))</f>
        <v>en-GB</v>
      </c>
    </row>
    <row r="804" spans="1:9" x14ac:dyDescent="0.15">
      <c r="A804" t="str">
        <f t="shared" ref="A804:B804" si="661">A803</f>
        <v>英語</v>
      </c>
      <c r="B804">
        <f t="shared" si="661"/>
        <v>7</v>
      </c>
      <c r="C804">
        <f t="shared" si="631"/>
        <v>95</v>
      </c>
      <c r="D804">
        <f>D717</f>
        <v>31</v>
      </c>
      <c r="E804" t="str">
        <f>VLOOKUP(D804,name!A:B,2,1)</f>
        <v>Mrs. Bennett</v>
      </c>
      <c r="F804" t="str">
        <f t="shared" si="657"/>
        <v>私はまとめ買いしている</v>
      </c>
      <c r="G804" t="str">
        <f t="shared" si="654"/>
        <v>a</v>
      </c>
      <c r="H804" t="str">
        <f>VLOOKUP(D804,name!A:C,3,1)</f>
        <v>assets/icons/image149.png</v>
      </c>
      <c r="I804" t="s">
        <v>402</v>
      </c>
    </row>
    <row r="805" spans="1:9" x14ac:dyDescent="0.15">
      <c r="A805" t="str">
        <f t="shared" ref="A805:B805" si="662">A804</f>
        <v>英語</v>
      </c>
      <c r="B805">
        <f t="shared" si="662"/>
        <v>7</v>
      </c>
      <c r="C805">
        <f t="shared" si="631"/>
        <v>96</v>
      </c>
      <c r="D805">
        <v>0</v>
      </c>
      <c r="E805" t="str">
        <f>VLOOKUP(D805,name!A:B,2,1)</f>
        <v>Player</v>
      </c>
      <c r="F805" t="str">
        <f t="shared" si="657"/>
        <v>I'm stocking up on them</v>
      </c>
      <c r="G805" t="str">
        <f t="shared" si="654"/>
        <v>q</v>
      </c>
      <c r="H805" t="str">
        <f>VLOOKUP(D805,name!A:C,3,1)</f>
        <v>assets/icons/image326.png</v>
      </c>
      <c r="I805" t="str">
        <f>IF(A805="","",VLOOKUP(A805,lng!A:B,2,0))</f>
        <v>en-GB</v>
      </c>
    </row>
    <row r="806" spans="1:9" x14ac:dyDescent="0.15">
      <c r="A806" t="str">
        <f t="shared" ref="A806:B806" si="663">A805</f>
        <v>英語</v>
      </c>
      <c r="B806">
        <f t="shared" si="663"/>
        <v>7</v>
      </c>
      <c r="C806">
        <f t="shared" si="631"/>
        <v>97</v>
      </c>
      <c r="D806">
        <f>D719</f>
        <v>31</v>
      </c>
      <c r="E806" t="str">
        <f>VLOOKUP(D806,name!A:B,2,1)</f>
        <v>Mrs. Bennett</v>
      </c>
      <c r="F806" t="str">
        <f t="shared" si="657"/>
        <v>イースターに私に会いに来る孫と姪、甥のために</v>
      </c>
      <c r="G806" t="str">
        <f t="shared" si="654"/>
        <v>a</v>
      </c>
      <c r="H806" t="str">
        <f>VLOOKUP(D806,name!A:C,3,1)</f>
        <v>assets/icons/image149.png</v>
      </c>
      <c r="I806" t="s">
        <v>402</v>
      </c>
    </row>
    <row r="807" spans="1:9" x14ac:dyDescent="0.15">
      <c r="A807" t="str">
        <f t="shared" ref="A807:B807" si="664">A806</f>
        <v>英語</v>
      </c>
      <c r="B807">
        <f t="shared" si="664"/>
        <v>7</v>
      </c>
      <c r="C807">
        <f t="shared" si="631"/>
        <v>98</v>
      </c>
      <c r="D807">
        <v>0</v>
      </c>
      <c r="E807" t="str">
        <f>VLOOKUP(D807,name!A:B,2,1)</f>
        <v>Player</v>
      </c>
      <c r="F807" t="str">
        <f t="shared" si="657"/>
        <v>ready for my grandson and the nieces and nephews coming to see me over Easter.</v>
      </c>
      <c r="G807" t="str">
        <f t="shared" si="654"/>
        <v>q</v>
      </c>
      <c r="H807" t="str">
        <f>VLOOKUP(D807,name!A:C,3,1)</f>
        <v>assets/icons/image326.png</v>
      </c>
      <c r="I807" t="str">
        <f>IF(A807="","",VLOOKUP(A807,lng!A:B,2,0))</f>
        <v>en-GB</v>
      </c>
    </row>
    <row r="808" spans="1:9" x14ac:dyDescent="0.15">
      <c r="A808" t="str">
        <f t="shared" ref="A808:B808" si="665">A807</f>
        <v>英語</v>
      </c>
      <c r="B808">
        <f t="shared" si="665"/>
        <v>7</v>
      </c>
      <c r="C808">
        <f t="shared" si="631"/>
        <v>99</v>
      </c>
      <c r="D808">
        <f>D721</f>
        <v>29</v>
      </c>
      <c r="E808" t="str">
        <f>VLOOKUP(D808,name!A:B,2,1)</f>
        <v>Eri</v>
      </c>
      <c r="F808" t="str">
        <f t="shared" si="657"/>
        <v>ああ、友達のために小さなクリームエッグをたくさん買っているところです。</v>
      </c>
      <c r="G808" t="str">
        <f t="shared" si="654"/>
        <v>a</v>
      </c>
      <c r="H808" t="str">
        <f>VLOOKUP(D808,name!A:C,3,1)</f>
        <v>assets/icons/image209.png</v>
      </c>
      <c r="I808" t="s">
        <v>402</v>
      </c>
    </row>
    <row r="809" spans="1:9" x14ac:dyDescent="0.15">
      <c r="A809" t="str">
        <f t="shared" ref="A809:B809" si="666">A808</f>
        <v>英語</v>
      </c>
      <c r="B809">
        <f t="shared" si="666"/>
        <v>7</v>
      </c>
      <c r="C809">
        <f t="shared" si="631"/>
        <v>100</v>
      </c>
      <c r="D809">
        <v>0</v>
      </c>
      <c r="E809" t="str">
        <f>VLOOKUP(D809,name!A:B,2,1)</f>
        <v>Player</v>
      </c>
      <c r="F809" t="str">
        <f t="shared" si="657"/>
        <v xml:space="preserve">Oh, I'm just buying a lot of the little creme eggs for my friends. </v>
      </c>
      <c r="G809" t="str">
        <f t="shared" si="654"/>
        <v>q</v>
      </c>
      <c r="H809" t="str">
        <f>VLOOKUP(D809,name!A:C,3,1)</f>
        <v>assets/icons/image326.png</v>
      </c>
      <c r="I809" t="str">
        <f>IF(A809="","",VLOOKUP(A809,lng!A:B,2,0))</f>
        <v>en-GB</v>
      </c>
    </row>
    <row r="810" spans="1:9" x14ac:dyDescent="0.15">
      <c r="A810" t="str">
        <f t="shared" ref="A810:B810" si="667">A809</f>
        <v>英語</v>
      </c>
      <c r="B810">
        <f t="shared" si="667"/>
        <v>7</v>
      </c>
      <c r="C810">
        <f t="shared" si="631"/>
        <v>101</v>
      </c>
      <c r="D810">
        <f>D723</f>
        <v>29</v>
      </c>
      <c r="E810" t="str">
        <f>VLOOKUP(D810,name!A:B,2,1)</f>
        <v>Eri</v>
      </c>
      <c r="F810" t="str">
        <f t="shared" si="657"/>
        <v>ボーンビルにあるキャドバリーの工場を訪れたとき、私は気にいってしまいました。</v>
      </c>
      <c r="G810" t="str">
        <f t="shared" si="654"/>
        <v>a</v>
      </c>
      <c r="H810" t="str">
        <f>VLOOKUP(D810,name!A:C,3,1)</f>
        <v>assets/icons/image209.png</v>
      </c>
      <c r="I810" t="s">
        <v>402</v>
      </c>
    </row>
    <row r="811" spans="1:9" x14ac:dyDescent="0.15">
      <c r="A811" t="str">
        <f t="shared" ref="A811:B811" si="668">A810</f>
        <v>英語</v>
      </c>
      <c r="B811">
        <f t="shared" si="668"/>
        <v>7</v>
      </c>
      <c r="C811">
        <f t="shared" si="631"/>
        <v>102</v>
      </c>
      <c r="D811">
        <v>0</v>
      </c>
      <c r="E811" t="str">
        <f>VLOOKUP(D811,name!A:B,2,1)</f>
        <v>Player</v>
      </c>
      <c r="F811" t="str">
        <f t="shared" si="657"/>
        <v>I fell in love with them when I visited Cadbury's factory in Bournville.</v>
      </c>
      <c r="G811" t="str">
        <f t="shared" si="654"/>
        <v>q</v>
      </c>
      <c r="H811" t="str">
        <f>VLOOKUP(D811,name!A:C,3,1)</f>
        <v>assets/icons/image326.png</v>
      </c>
      <c r="I811" t="str">
        <f>IF(A811="","",VLOOKUP(A811,lng!A:B,2,0))</f>
        <v>en-GB</v>
      </c>
    </row>
    <row r="812" spans="1:9" x14ac:dyDescent="0.15">
      <c r="A812" t="str">
        <f t="shared" ref="A812:B812" si="669">A811</f>
        <v>英語</v>
      </c>
      <c r="B812">
        <f t="shared" si="669"/>
        <v>7</v>
      </c>
      <c r="C812">
        <f t="shared" si="631"/>
        <v>103</v>
      </c>
      <c r="D812">
        <f>D725</f>
        <v>31</v>
      </c>
      <c r="E812" t="str">
        <f>VLOOKUP(D812,name!A:B,2,1)</f>
        <v>Mrs. Bennett</v>
      </c>
      <c r="F812" t="str">
        <f t="shared" si="657"/>
        <v>ハウス オブ フレイザーの巨大なチョコレートの卵が見えましたか?</v>
      </c>
      <c r="G812" t="str">
        <f t="shared" si="654"/>
        <v>a</v>
      </c>
      <c r="H812" t="str">
        <f>VLOOKUP(D812,name!A:C,3,1)</f>
        <v>assets/icons/image149.png</v>
      </c>
      <c r="I812" t="s">
        <v>402</v>
      </c>
    </row>
    <row r="813" spans="1:9" x14ac:dyDescent="0.15">
      <c r="A813" t="str">
        <f t="shared" ref="A813:B813" si="670">A812</f>
        <v>英語</v>
      </c>
      <c r="B813">
        <f t="shared" si="670"/>
        <v>7</v>
      </c>
      <c r="C813">
        <f t="shared" si="631"/>
        <v>104</v>
      </c>
      <c r="D813">
        <v>0</v>
      </c>
      <c r="E813" t="str">
        <f>VLOOKUP(D813,name!A:B,2,1)</f>
        <v>Player</v>
      </c>
      <c r="F813" t="str">
        <f t="shared" si="657"/>
        <v>Did you see the giant chocolate egg in House of Fraser's window?</v>
      </c>
      <c r="G813" t="str">
        <f t="shared" si="654"/>
        <v>q</v>
      </c>
      <c r="H813" t="str">
        <f>VLOOKUP(D813,name!A:C,3,1)</f>
        <v>assets/icons/image326.png</v>
      </c>
      <c r="I813" t="str">
        <f>IF(A813="","",VLOOKUP(A813,lng!A:B,2,0))</f>
        <v>en-GB</v>
      </c>
    </row>
    <row r="814" spans="1:9" x14ac:dyDescent="0.15">
      <c r="A814" t="str">
        <f t="shared" ref="A814:B814" si="671">A813</f>
        <v>英語</v>
      </c>
      <c r="B814">
        <f t="shared" si="671"/>
        <v>7</v>
      </c>
      <c r="C814">
        <f t="shared" si="631"/>
        <v>105</v>
      </c>
      <c r="D814">
        <f>D727</f>
        <v>29</v>
      </c>
      <c r="E814" t="str">
        <f>VLOOKUP(D814,name!A:B,2,1)</f>
        <v>Eri</v>
      </c>
      <c r="F814" t="str">
        <f t="shared" si="657"/>
        <v xml:space="preserve">ええ。 </v>
      </c>
      <c r="G814" t="str">
        <f t="shared" si="654"/>
        <v>a</v>
      </c>
      <c r="H814" t="str">
        <f>VLOOKUP(D814,name!A:C,3,1)</f>
        <v>assets/icons/image209.png</v>
      </c>
      <c r="I814" t="s">
        <v>402</v>
      </c>
    </row>
    <row r="815" spans="1:9" x14ac:dyDescent="0.15">
      <c r="A815" t="str">
        <f t="shared" ref="A815:B815" si="672">A814</f>
        <v>英語</v>
      </c>
      <c r="B815">
        <f t="shared" si="672"/>
        <v>7</v>
      </c>
      <c r="C815">
        <f t="shared" si="631"/>
        <v>106</v>
      </c>
      <c r="D815">
        <v>0</v>
      </c>
      <c r="E815" t="str">
        <f>VLOOKUP(D815,name!A:B,2,1)</f>
        <v>Player</v>
      </c>
      <c r="F815" t="str">
        <f t="shared" si="657"/>
        <v xml:space="preserve">Yes. </v>
      </c>
      <c r="G815" t="str">
        <f t="shared" si="654"/>
        <v>q</v>
      </c>
      <c r="H815" t="str">
        <f>VLOOKUP(D815,name!A:C,3,1)</f>
        <v>assets/icons/image326.png</v>
      </c>
      <c r="I815" t="str">
        <f>IF(A815="","",VLOOKUP(A815,lng!A:B,2,0))</f>
        <v>en-GB</v>
      </c>
    </row>
    <row r="816" spans="1:9" x14ac:dyDescent="0.15">
      <c r="A816" t="str">
        <f t="shared" ref="A816:B816" si="673">A815</f>
        <v>英語</v>
      </c>
      <c r="B816">
        <f t="shared" si="673"/>
        <v>7</v>
      </c>
      <c r="C816">
        <f t="shared" si="631"/>
        <v>107</v>
      </c>
      <c r="D816">
        <f>D729</f>
        <v>29</v>
      </c>
      <c r="E816" t="str">
        <f>VLOOKUP(D816,name!A:B,2,1)</f>
        <v>Eri</v>
      </c>
      <c r="F816" t="str">
        <f t="shared" si="657"/>
        <v>いったい誰があんな大きな卵を買うんですか?</v>
      </c>
      <c r="G816" t="str">
        <f t="shared" si="654"/>
        <v>a</v>
      </c>
      <c r="H816" t="str">
        <f>VLOOKUP(D816,name!A:C,3,1)</f>
        <v>assets/icons/image209.png</v>
      </c>
      <c r="I816" t="s">
        <v>402</v>
      </c>
    </row>
    <row r="817" spans="1:9" x14ac:dyDescent="0.15">
      <c r="A817" t="str">
        <f t="shared" ref="A817:B817" si="674">A816</f>
        <v>英語</v>
      </c>
      <c r="B817">
        <f t="shared" si="674"/>
        <v>7</v>
      </c>
      <c r="C817">
        <f t="shared" si="631"/>
        <v>108</v>
      </c>
      <c r="D817">
        <v>0</v>
      </c>
      <c r="E817" t="str">
        <f>VLOOKUP(D817,name!A:B,2,1)</f>
        <v>Player</v>
      </c>
      <c r="F817" t="str">
        <f t="shared" si="657"/>
        <v>Who on earth's going to buy such an enormous egg?</v>
      </c>
      <c r="G817" t="str">
        <f t="shared" si="654"/>
        <v>q</v>
      </c>
      <c r="H817" t="str">
        <f>VLOOKUP(D817,name!A:C,3,1)</f>
        <v>assets/icons/image326.png</v>
      </c>
      <c r="I817" t="str">
        <f>IF(A817="","",VLOOKUP(A817,lng!A:B,2,0))</f>
        <v>en-GB</v>
      </c>
    </row>
    <row r="818" spans="1:9" x14ac:dyDescent="0.15">
      <c r="A818" t="str">
        <f t="shared" ref="A818:B818" si="675">A817</f>
        <v>英語</v>
      </c>
      <c r="B818">
        <f t="shared" si="675"/>
        <v>7</v>
      </c>
      <c r="C818">
        <f t="shared" si="631"/>
        <v>109</v>
      </c>
      <c r="D818">
        <f>D731</f>
        <v>31</v>
      </c>
      <c r="E818" t="str">
        <f>VLOOKUP(D818,name!A:B,2,1)</f>
        <v>Mrs. Bennett</v>
      </c>
      <c r="F818" t="str">
        <f t="shared" si="657"/>
        <v>実際には誰も買わない</v>
      </c>
      <c r="G818" t="str">
        <f t="shared" si="654"/>
        <v>a</v>
      </c>
      <c r="H818" t="str">
        <f>VLOOKUP(D818,name!A:C,3,1)</f>
        <v>assets/icons/image149.png</v>
      </c>
      <c r="I818" t="s">
        <v>402</v>
      </c>
    </row>
    <row r="819" spans="1:9" x14ac:dyDescent="0.15">
      <c r="A819" t="str">
        <f t="shared" ref="A819:B819" si="676">A818</f>
        <v>英語</v>
      </c>
      <c r="B819">
        <f t="shared" si="676"/>
        <v>7</v>
      </c>
      <c r="C819">
        <f t="shared" si="631"/>
        <v>110</v>
      </c>
      <c r="D819">
        <v>0</v>
      </c>
      <c r="E819" t="str">
        <f>VLOOKUP(D819,name!A:B,2,1)</f>
        <v>Player</v>
      </c>
      <c r="F819" t="str">
        <f t="shared" si="657"/>
        <v>No one really.</v>
      </c>
      <c r="G819" t="str">
        <f t="shared" si="654"/>
        <v>q</v>
      </c>
      <c r="H819" t="str">
        <f>VLOOKUP(D819,name!A:C,3,1)</f>
        <v>assets/icons/image326.png</v>
      </c>
      <c r="I819" t="str">
        <f>IF(A819="","",VLOOKUP(A819,lng!A:B,2,0))</f>
        <v>en-GB</v>
      </c>
    </row>
    <row r="820" spans="1:9" x14ac:dyDescent="0.15">
      <c r="A820" t="str">
        <f t="shared" ref="A820:B820" si="677">A819</f>
        <v>英語</v>
      </c>
      <c r="B820">
        <f t="shared" si="677"/>
        <v>7</v>
      </c>
      <c r="C820">
        <f t="shared" si="631"/>
        <v>111</v>
      </c>
      <c r="D820">
        <f>D733</f>
        <v>31</v>
      </c>
      <c r="E820" t="str">
        <f>VLOOKUP(D820,name!A:B,2,1)</f>
        <v>Mrs. Bennett</v>
      </c>
      <c r="F820" t="str">
        <f t="shared" si="657"/>
        <v>あれはイースターの慈善事業のために作られている</v>
      </c>
      <c r="G820" t="str">
        <f t="shared" si="654"/>
        <v>a</v>
      </c>
      <c r="H820" t="str">
        <f>VLOOKUP(D820,name!A:C,3,1)</f>
        <v>assets/icons/image149.png</v>
      </c>
      <c r="I820" t="s">
        <v>402</v>
      </c>
    </row>
    <row r="821" spans="1:9" x14ac:dyDescent="0.15">
      <c r="A821" t="str">
        <f t="shared" ref="A821:B821" si="678">A820</f>
        <v>英語</v>
      </c>
      <c r="B821">
        <f t="shared" si="678"/>
        <v>7</v>
      </c>
      <c r="C821">
        <f t="shared" si="631"/>
        <v>112</v>
      </c>
      <c r="D821">
        <v>0</v>
      </c>
      <c r="E821" t="str">
        <f>VLOOKUP(D821,name!A:B,2,1)</f>
        <v>Player</v>
      </c>
      <c r="F821" t="str">
        <f t="shared" si="657"/>
        <v>It's made to get people to help others at Easter.</v>
      </c>
      <c r="G821" t="str">
        <f t="shared" si="654"/>
        <v>q</v>
      </c>
      <c r="H821" t="str">
        <f>VLOOKUP(D821,name!A:C,3,1)</f>
        <v>assets/icons/image326.png</v>
      </c>
      <c r="I821" t="str">
        <f>IF(A821="","",VLOOKUP(A821,lng!A:B,2,0))</f>
        <v>en-GB</v>
      </c>
    </row>
    <row r="822" spans="1:9" x14ac:dyDescent="0.15">
      <c r="A822" t="str">
        <f t="shared" ref="A822:B822" si="679">A821</f>
        <v>英語</v>
      </c>
      <c r="B822">
        <f t="shared" si="679"/>
        <v>7</v>
      </c>
      <c r="C822">
        <f t="shared" si="631"/>
        <v>113</v>
      </c>
      <c r="D822">
        <f>D735</f>
        <v>31</v>
      </c>
      <c r="E822" t="str">
        <f>VLOOKUP(D822,name!A:B,2,1)</f>
        <v>Mrs. Bennett</v>
      </c>
      <c r="F822" t="str">
        <f t="shared" si="657"/>
        <v>少しお金を払って、卵の重さを当ててみます。</v>
      </c>
      <c r="G822" t="str">
        <f t="shared" si="654"/>
        <v>a</v>
      </c>
      <c r="H822" t="str">
        <f>VLOOKUP(D822,name!A:C,3,1)</f>
        <v>assets/icons/image149.png</v>
      </c>
      <c r="I822" t="s">
        <v>402</v>
      </c>
    </row>
    <row r="823" spans="1:9" x14ac:dyDescent="0.15">
      <c r="A823" t="str">
        <f t="shared" ref="A823:B823" si="680">A822</f>
        <v>英語</v>
      </c>
      <c r="B823">
        <f t="shared" si="680"/>
        <v>7</v>
      </c>
      <c r="C823">
        <f t="shared" si="631"/>
        <v>114</v>
      </c>
      <c r="D823">
        <v>0</v>
      </c>
      <c r="E823" t="str">
        <f>VLOOKUP(D823,name!A:B,2,1)</f>
        <v>Player</v>
      </c>
      <c r="F823" t="str">
        <f t="shared" si="657"/>
        <v>You pay a little money to have a go at guessing the weight of the egg.</v>
      </c>
      <c r="G823" t="str">
        <f t="shared" si="654"/>
        <v>q</v>
      </c>
      <c r="H823" t="str">
        <f>VLOOKUP(D823,name!A:C,3,1)</f>
        <v>assets/icons/image326.png</v>
      </c>
      <c r="I823" t="str">
        <f>IF(A823="","",VLOOKUP(A823,lng!A:B,2,0))</f>
        <v>en-GB</v>
      </c>
    </row>
    <row r="824" spans="1:9" x14ac:dyDescent="0.15">
      <c r="A824" t="str">
        <f t="shared" ref="A824:B824" si="681">A823</f>
        <v>英語</v>
      </c>
      <c r="B824">
        <f t="shared" si="681"/>
        <v>7</v>
      </c>
      <c r="C824">
        <f t="shared" si="631"/>
        <v>115</v>
      </c>
      <c r="D824">
        <f>D737</f>
        <v>31</v>
      </c>
      <c r="E824" t="str">
        <f>VLOOKUP(D824,name!A:B,2,1)</f>
        <v>Mrs. Bennett</v>
      </c>
      <c r="F824" t="str">
        <f t="shared" si="657"/>
        <v>もっとも正解に近い人が地元企業が寄付した賞をもらえて、</v>
      </c>
      <c r="G824" t="str">
        <f t="shared" si="654"/>
        <v>a</v>
      </c>
      <c r="H824" t="str">
        <f>VLOOKUP(D824,name!A:C,3,1)</f>
        <v>assets/icons/image149.png</v>
      </c>
      <c r="I824" t="s">
        <v>402</v>
      </c>
    </row>
    <row r="825" spans="1:9" x14ac:dyDescent="0.15">
      <c r="A825" t="str">
        <f t="shared" ref="A825:B825" si="682">A824</f>
        <v>英語</v>
      </c>
      <c r="B825">
        <f t="shared" si="682"/>
        <v>7</v>
      </c>
      <c r="C825">
        <f t="shared" si="631"/>
        <v>116</v>
      </c>
      <c r="D825">
        <v>0</v>
      </c>
      <c r="E825" t="str">
        <f>VLOOKUP(D825,name!A:B,2,1)</f>
        <v>Player</v>
      </c>
      <c r="F825" t="str">
        <f t="shared" si="657"/>
        <v>The nearest guess wins a prize donated by one of the local businesses,</v>
      </c>
      <c r="G825" t="str">
        <f t="shared" si="654"/>
        <v>q</v>
      </c>
      <c r="H825" t="str">
        <f>VLOOKUP(D825,name!A:C,3,1)</f>
        <v>assets/icons/image326.png</v>
      </c>
      <c r="I825" t="str">
        <f>IF(A825="","",VLOOKUP(A825,lng!A:B,2,0))</f>
        <v>en-GB</v>
      </c>
    </row>
    <row r="826" spans="1:9" x14ac:dyDescent="0.15">
      <c r="A826" t="str">
        <f t="shared" ref="A826:B826" si="683">A825</f>
        <v>英語</v>
      </c>
      <c r="B826">
        <f t="shared" si="683"/>
        <v>7</v>
      </c>
      <c r="C826">
        <f t="shared" si="631"/>
        <v>117</v>
      </c>
      <c r="D826">
        <f>D739</f>
        <v>31</v>
      </c>
      <c r="E826" t="str">
        <f>VLOOKUP(D826,name!A:B,2,1)</f>
        <v>Mrs. Bennett</v>
      </c>
      <c r="F826" t="str">
        <f t="shared" si="657"/>
        <v>その卵とお金は、 クイーン・エリザベス病院に渡される。</v>
      </c>
      <c r="G826" t="str">
        <f t="shared" si="654"/>
        <v>a</v>
      </c>
      <c r="H826" t="str">
        <f>VLOOKUP(D826,name!A:C,3,1)</f>
        <v>assets/icons/image149.png</v>
      </c>
      <c r="I826" t="s">
        <v>402</v>
      </c>
    </row>
    <row r="827" spans="1:9" x14ac:dyDescent="0.15">
      <c r="A827" t="str">
        <f t="shared" ref="A827:B827" si="684">A826</f>
        <v>英語</v>
      </c>
      <c r="B827">
        <f t="shared" si="684"/>
        <v>7</v>
      </c>
      <c r="C827">
        <f t="shared" si="631"/>
        <v>118</v>
      </c>
      <c r="D827">
        <v>0</v>
      </c>
      <c r="E827" t="str">
        <f>VLOOKUP(D827,name!A:B,2,1)</f>
        <v>Player</v>
      </c>
      <c r="F827" t="str">
        <f t="shared" si="657"/>
        <v>and the egg and the money go to the Queen Elizabeth Hospital.</v>
      </c>
      <c r="G827" t="str">
        <f t="shared" si="654"/>
        <v>q</v>
      </c>
      <c r="H827" t="str">
        <f>VLOOKUP(D827,name!A:C,3,1)</f>
        <v>assets/icons/image326.png</v>
      </c>
      <c r="I827" t="str">
        <f>IF(A827="","",VLOOKUP(A827,lng!A:B,2,0))</f>
        <v>en-GB</v>
      </c>
    </row>
    <row r="828" spans="1:9" x14ac:dyDescent="0.15">
      <c r="A828" t="str">
        <f t="shared" ref="A828:B828" si="685">A827</f>
        <v>英語</v>
      </c>
      <c r="B828">
        <f t="shared" si="685"/>
        <v>7</v>
      </c>
      <c r="C828">
        <f t="shared" si="631"/>
        <v>119</v>
      </c>
      <c r="D828">
        <f>D741</f>
        <v>29</v>
      </c>
      <c r="E828" t="str">
        <f>VLOOKUP(D828,name!A:B,2,1)</f>
        <v>Eri</v>
      </c>
      <c r="F828" t="str">
        <f t="shared" si="657"/>
        <v>いいアイデアですね！</v>
      </c>
      <c r="G828" t="str">
        <f t="shared" si="654"/>
        <v>a</v>
      </c>
      <c r="H828" t="str">
        <f>VLOOKUP(D828,name!A:C,3,1)</f>
        <v>assets/icons/image209.png</v>
      </c>
      <c r="I828" t="s">
        <v>402</v>
      </c>
    </row>
    <row r="829" spans="1:9" x14ac:dyDescent="0.15">
      <c r="A829" t="str">
        <f t="shared" ref="A829:B829" si="686">A828</f>
        <v>英語</v>
      </c>
      <c r="B829">
        <f t="shared" si="686"/>
        <v>7</v>
      </c>
      <c r="C829">
        <f t="shared" si="631"/>
        <v>120</v>
      </c>
      <c r="D829">
        <v>0</v>
      </c>
      <c r="E829" t="str">
        <f>VLOOKUP(D829,name!A:B,2,1)</f>
        <v>Player</v>
      </c>
      <c r="F829" t="str">
        <f t="shared" si="657"/>
        <v xml:space="preserve">What a good idea! </v>
      </c>
      <c r="G829" t="str">
        <f t="shared" si="654"/>
        <v>q</v>
      </c>
      <c r="H829" t="str">
        <f>VLOOKUP(D829,name!A:C,3,1)</f>
        <v>assets/icons/image326.png</v>
      </c>
      <c r="I829" t="str">
        <f>IF(A829="","",VLOOKUP(A829,lng!A:B,2,0))</f>
        <v>en-GB</v>
      </c>
    </row>
    <row r="830" spans="1:9" x14ac:dyDescent="0.15">
      <c r="A830" t="str">
        <f t="shared" ref="A830:B830" si="687">A829</f>
        <v>英語</v>
      </c>
      <c r="B830">
        <f t="shared" si="687"/>
        <v>7</v>
      </c>
      <c r="C830">
        <f t="shared" si="631"/>
        <v>121</v>
      </c>
      <c r="D830">
        <f>D743</f>
        <v>29</v>
      </c>
      <c r="E830" t="str">
        <f>VLOOKUP(D830,name!A:B,2,1)</f>
        <v>Eri</v>
      </c>
      <c r="F830" t="str">
        <f t="shared" si="657"/>
        <v>誰もが幸せになる。</v>
      </c>
      <c r="G830" t="str">
        <f t="shared" si="654"/>
        <v>a</v>
      </c>
      <c r="H830" t="str">
        <f>VLOOKUP(D830,name!A:C,3,1)</f>
        <v>assets/icons/image209.png</v>
      </c>
      <c r="I830" t="s">
        <v>402</v>
      </c>
    </row>
    <row r="831" spans="1:9" x14ac:dyDescent="0.15">
      <c r="A831" t="str">
        <f t="shared" ref="A831:B831" si="688">A830</f>
        <v>英語</v>
      </c>
      <c r="B831">
        <f t="shared" si="688"/>
        <v>7</v>
      </c>
      <c r="C831">
        <f t="shared" si="631"/>
        <v>122</v>
      </c>
      <c r="D831">
        <v>0</v>
      </c>
      <c r="E831" t="str">
        <f>VLOOKUP(D831,name!A:B,2,1)</f>
        <v>Player</v>
      </c>
      <c r="F831" t="str">
        <f t="shared" si="657"/>
        <v>Everyone wins.</v>
      </c>
      <c r="G831" t="str">
        <f t="shared" si="654"/>
        <v>q</v>
      </c>
      <c r="H831" t="str">
        <f>VLOOKUP(D831,name!A:C,3,1)</f>
        <v>assets/icons/image326.png</v>
      </c>
      <c r="I831" t="str">
        <f>IF(A831="","",VLOOKUP(A831,lng!A:B,2,0))</f>
        <v>en-GB</v>
      </c>
    </row>
    <row r="832" spans="1:9" x14ac:dyDescent="0.15">
      <c r="A832" t="str">
        <f t="shared" ref="A832:B832" si="689">A831</f>
        <v>英語</v>
      </c>
      <c r="B832">
        <f t="shared" si="689"/>
        <v>7</v>
      </c>
      <c r="C832">
        <f t="shared" si="631"/>
        <v>123</v>
      </c>
      <c r="D832">
        <f>D745</f>
        <v>29</v>
      </c>
      <c r="E832" t="str">
        <f>VLOOKUP(D832,name!A:B,2,1)</f>
        <v>Eri</v>
      </c>
      <c r="F832" t="str">
        <f t="shared" si="657"/>
        <v>私も運を試さなければ。</v>
      </c>
      <c r="G832" t="str">
        <f t="shared" si="654"/>
        <v>a</v>
      </c>
      <c r="H832" t="str">
        <f>VLOOKUP(D832,name!A:C,3,1)</f>
        <v>assets/icons/image209.png</v>
      </c>
      <c r="I832" t="s">
        <v>402</v>
      </c>
    </row>
    <row r="833" spans="1:12" x14ac:dyDescent="0.15">
      <c r="A833" t="str">
        <f t="shared" ref="A833:B833" si="690">A832</f>
        <v>英語</v>
      </c>
      <c r="B833">
        <f t="shared" si="690"/>
        <v>7</v>
      </c>
      <c r="C833">
        <f t="shared" si="631"/>
        <v>124</v>
      </c>
      <c r="D833">
        <v>0</v>
      </c>
      <c r="E833" t="str">
        <f>VLOOKUP(D833,name!A:B,2,1)</f>
        <v>Player</v>
      </c>
      <c r="F833" t="str">
        <f t="shared" si="657"/>
        <v>I must try my luck.</v>
      </c>
      <c r="G833" t="str">
        <f t="shared" si="654"/>
        <v>q</v>
      </c>
      <c r="H833" t="str">
        <f>VLOOKUP(D833,name!A:C,3,1)</f>
        <v>assets/icons/image326.png</v>
      </c>
      <c r="I833" t="str">
        <f>IF(A833="","",VLOOKUP(A833,lng!A:B,2,0))</f>
        <v>en-GB</v>
      </c>
    </row>
    <row r="834" spans="1:12" x14ac:dyDescent="0.15">
      <c r="A834" t="str">
        <f t="shared" ref="A834:B834" si="691">A833</f>
        <v>英語</v>
      </c>
      <c r="B834">
        <f t="shared" si="691"/>
        <v>7</v>
      </c>
      <c r="C834">
        <f t="shared" si="631"/>
        <v>125</v>
      </c>
      <c r="D834">
        <v>1</v>
      </c>
      <c r="E834" t="str">
        <f>VLOOKUP(D834,name!A:B,2,1)</f>
        <v>Navigator</v>
      </c>
      <c r="F834" t="str">
        <f>"とても良くできました。レッスン"&amp;B834&amp;"はこれで終了です。"</f>
        <v>とても良くできました。レッスン7はこれで終了です。</v>
      </c>
      <c r="G834" t="str">
        <f t="shared" si="654"/>
        <v>e</v>
      </c>
      <c r="H834" t="str">
        <f>VLOOKUP(D834,name!A:C,3,1)</f>
        <v>assets/icons/image014.png</v>
      </c>
      <c r="I834" t="s">
        <v>402</v>
      </c>
    </row>
    <row r="835" spans="1:12" x14ac:dyDescent="0.15">
      <c r="A835" t="str">
        <f>A834</f>
        <v>英語</v>
      </c>
      <c r="B835">
        <f>B834+1</f>
        <v>8</v>
      </c>
      <c r="C835">
        <v>1</v>
      </c>
      <c r="D835">
        <v>1</v>
      </c>
      <c r="E835" t="str">
        <f>VLOOKUP(D835,name!A:B,2,1)</f>
        <v>Navigator</v>
      </c>
      <c r="F835" t="s">
        <v>684</v>
      </c>
      <c r="G835" t="str">
        <f t="shared" si="654"/>
        <v>a</v>
      </c>
      <c r="H835" t="str">
        <f>VLOOKUP(D835,name!A:C,3,1)</f>
        <v>assets/icons/image014.png</v>
      </c>
      <c r="I835" t="str">
        <f>IF(A835="","",VLOOKUP(A835,lng!A:B,2,0))</f>
        <v>en-GB</v>
      </c>
    </row>
    <row r="836" spans="1:12" x14ac:dyDescent="0.15">
      <c r="A836" t="str">
        <f t="shared" ref="A836:B851" si="692">A835</f>
        <v>英語</v>
      </c>
      <c r="B836">
        <f>B835</f>
        <v>8</v>
      </c>
      <c r="C836">
        <f>C835+1</f>
        <v>2</v>
      </c>
      <c r="D836">
        <v>1</v>
      </c>
      <c r="E836" t="str">
        <f>VLOOKUP(D836,name!A:B,2,1)</f>
        <v>Navigator</v>
      </c>
      <c r="F836" t="str">
        <f>"レッスン"&amp;B836</f>
        <v>レッスン8</v>
      </c>
      <c r="G836" t="str">
        <f t="shared" si="654"/>
        <v>a</v>
      </c>
      <c r="H836" t="str">
        <f>VLOOKUP(D836,name!A:C,3,1)</f>
        <v>assets/icons/image014.png</v>
      </c>
      <c r="I836" t="s">
        <v>402</v>
      </c>
    </row>
    <row r="837" spans="1:12" ht="40.5" x14ac:dyDescent="0.15">
      <c r="A837" t="str">
        <f t="shared" si="692"/>
        <v>英語</v>
      </c>
      <c r="B837">
        <f t="shared" si="692"/>
        <v>8</v>
      </c>
      <c r="C837">
        <f t="shared" ref="C837:C900" si="693">C836+1</f>
        <v>3</v>
      </c>
      <c r="D837">
        <v>1</v>
      </c>
      <c r="E837" t="str">
        <f>VLOOKUP(D837,name!A:B,2,1)</f>
        <v>Navigator</v>
      </c>
      <c r="F837" s="1" t="str">
        <f>"まずは対話文を流します。その後に、日本語と"&amp;A837&amp;"を一文ずつ流すので"&amp;A837&amp;"を真似して下さい。最後に日本語のみを流すので、"&amp;A837&amp;"で答えてください。"</f>
        <v>まずは対話文を流します。その後に、日本語と英語を一文ずつ流すので英語を真似して下さい。最後に日本語のみを流すので、英語で答えてください。</v>
      </c>
      <c r="G837" t="str">
        <f t="shared" si="654"/>
        <v>a</v>
      </c>
      <c r="H837" t="str">
        <f>VLOOKUP(D837,name!A:C,3,1)</f>
        <v>assets/icons/image014.png</v>
      </c>
      <c r="I837" t="s">
        <v>402</v>
      </c>
      <c r="L837" s="1"/>
    </row>
    <row r="838" spans="1:12" x14ac:dyDescent="0.15">
      <c r="A838" t="str">
        <f t="shared" si="692"/>
        <v>英語</v>
      </c>
      <c r="B838">
        <f t="shared" si="692"/>
        <v>8</v>
      </c>
      <c r="C838">
        <f t="shared" si="693"/>
        <v>4</v>
      </c>
      <c r="D838">
        <f>D839</f>
        <v>32</v>
      </c>
      <c r="E838" t="str">
        <f>VLOOKUP(D838,name!A:B,2,1)</f>
        <v>Asha</v>
      </c>
      <c r="F838" t="s">
        <v>702</v>
      </c>
      <c r="G838" t="str">
        <f t="shared" si="654"/>
        <v>a</v>
      </c>
      <c r="H838" t="str">
        <f>VLOOKUP(D838,name!A:C,3,1)</f>
        <v>assets/icons/image235.png</v>
      </c>
      <c r="I838" t="s">
        <v>402</v>
      </c>
    </row>
    <row r="839" spans="1:12" x14ac:dyDescent="0.15">
      <c r="A839" t="str">
        <f t="shared" si="692"/>
        <v>英語</v>
      </c>
      <c r="B839">
        <f t="shared" si="692"/>
        <v>8</v>
      </c>
      <c r="C839">
        <f t="shared" si="693"/>
        <v>5</v>
      </c>
      <c r="D839">
        <f t="shared" ref="D839:D870" si="694">D840</f>
        <v>32</v>
      </c>
      <c r="E839" t="str">
        <f>VLOOKUP(D839,name!A:B,2,1)</f>
        <v>Asha</v>
      </c>
      <c r="F839" t="s">
        <v>686</v>
      </c>
      <c r="G839" t="str">
        <f t="shared" si="654"/>
        <v>a</v>
      </c>
      <c r="H839" t="str">
        <f>VLOOKUP(D839,name!A:C,3,1)</f>
        <v>assets/icons/image235.png</v>
      </c>
      <c r="I839" t="str">
        <f>IF(A839="","",VLOOKUP(A839,lng!A:B,2,0))</f>
        <v>en-GB</v>
      </c>
    </row>
    <row r="840" spans="1:12" x14ac:dyDescent="0.15">
      <c r="A840" t="str">
        <f t="shared" si="692"/>
        <v>英語</v>
      </c>
      <c r="B840">
        <f t="shared" si="692"/>
        <v>8</v>
      </c>
      <c r="C840">
        <f t="shared" si="693"/>
        <v>6</v>
      </c>
      <c r="D840">
        <f t="shared" si="694"/>
        <v>32</v>
      </c>
      <c r="E840" t="str">
        <f>VLOOKUP(D840,name!A:B,2,1)</f>
        <v>Asha</v>
      </c>
      <c r="F840" t="s">
        <v>703</v>
      </c>
      <c r="G840" t="str">
        <f t="shared" si="654"/>
        <v>a</v>
      </c>
      <c r="H840" t="str">
        <f>VLOOKUP(D840,name!A:C,3,1)</f>
        <v>assets/icons/image235.png</v>
      </c>
      <c r="I840" t="s">
        <v>402</v>
      </c>
    </row>
    <row r="841" spans="1:12" x14ac:dyDescent="0.15">
      <c r="A841" t="str">
        <f t="shared" si="692"/>
        <v>英語</v>
      </c>
      <c r="B841">
        <f t="shared" si="692"/>
        <v>8</v>
      </c>
      <c r="C841">
        <f t="shared" si="693"/>
        <v>7</v>
      </c>
      <c r="D841">
        <v>32</v>
      </c>
      <c r="E841" t="str">
        <f>VLOOKUP(D841,name!A:B,2,1)</f>
        <v>Asha</v>
      </c>
      <c r="F841" t="s">
        <v>685</v>
      </c>
      <c r="G841" t="str">
        <f t="shared" si="654"/>
        <v>a</v>
      </c>
      <c r="H841" t="str">
        <f>VLOOKUP(D841,name!A:C,3,1)</f>
        <v>assets/icons/image235.png</v>
      </c>
      <c r="I841" t="str">
        <f>IF(A841="","",VLOOKUP(A841,lng!A:B,2,0))</f>
        <v>en-GB</v>
      </c>
    </row>
    <row r="842" spans="1:12" x14ac:dyDescent="0.15">
      <c r="A842" t="str">
        <f t="shared" si="692"/>
        <v>英語</v>
      </c>
      <c r="B842">
        <f t="shared" si="692"/>
        <v>8</v>
      </c>
      <c r="C842">
        <f t="shared" si="693"/>
        <v>8</v>
      </c>
      <c r="D842">
        <f t="shared" si="694"/>
        <v>29</v>
      </c>
      <c r="E842" t="str">
        <f>VLOOKUP(D842,name!A:B,2,1)</f>
        <v>Eri</v>
      </c>
      <c r="F842" t="s">
        <v>704</v>
      </c>
      <c r="G842" t="str">
        <f t="shared" si="654"/>
        <v>a</v>
      </c>
      <c r="H842" t="str">
        <f>VLOOKUP(D842,name!A:C,3,1)</f>
        <v>assets/icons/image209.png</v>
      </c>
      <c r="I842" t="s">
        <v>402</v>
      </c>
    </row>
    <row r="843" spans="1:12" x14ac:dyDescent="0.15">
      <c r="A843" t="str">
        <f t="shared" si="692"/>
        <v>英語</v>
      </c>
      <c r="B843">
        <f t="shared" si="692"/>
        <v>8</v>
      </c>
      <c r="C843">
        <f t="shared" si="693"/>
        <v>9</v>
      </c>
      <c r="D843">
        <f t="shared" si="694"/>
        <v>29</v>
      </c>
      <c r="E843" t="str">
        <f>VLOOKUP(D843,name!A:B,2,1)</f>
        <v>Eri</v>
      </c>
      <c r="F843" t="s">
        <v>687</v>
      </c>
      <c r="G843" t="str">
        <f t="shared" si="654"/>
        <v>a</v>
      </c>
      <c r="H843" t="str">
        <f>VLOOKUP(D843,name!A:C,3,1)</f>
        <v>assets/icons/image209.png</v>
      </c>
      <c r="I843" t="str">
        <f>IF(A843="","",VLOOKUP(A843,lng!A:B,2,0))</f>
        <v>en-GB</v>
      </c>
    </row>
    <row r="844" spans="1:12" x14ac:dyDescent="0.15">
      <c r="A844" t="str">
        <f t="shared" si="692"/>
        <v>英語</v>
      </c>
      <c r="B844">
        <f t="shared" si="692"/>
        <v>8</v>
      </c>
      <c r="C844">
        <f t="shared" si="693"/>
        <v>10</v>
      </c>
      <c r="D844">
        <f t="shared" si="694"/>
        <v>29</v>
      </c>
      <c r="E844" t="str">
        <f>VLOOKUP(D844,name!A:B,2,1)</f>
        <v>Eri</v>
      </c>
      <c r="F844" t="s">
        <v>705</v>
      </c>
      <c r="G844" t="str">
        <f t="shared" si="654"/>
        <v>a</v>
      </c>
      <c r="H844" t="str">
        <f>VLOOKUP(D844,name!A:C,3,1)</f>
        <v>assets/icons/image209.png</v>
      </c>
      <c r="I844" t="s">
        <v>402</v>
      </c>
    </row>
    <row r="845" spans="1:12" x14ac:dyDescent="0.15">
      <c r="A845" t="str">
        <f t="shared" si="692"/>
        <v>英語</v>
      </c>
      <c r="B845">
        <f t="shared" si="692"/>
        <v>8</v>
      </c>
      <c r="C845">
        <f t="shared" si="693"/>
        <v>11</v>
      </c>
      <c r="D845">
        <f t="shared" si="694"/>
        <v>29</v>
      </c>
      <c r="E845" t="str">
        <f>VLOOKUP(D845,name!A:B,2,1)</f>
        <v>Eri</v>
      </c>
      <c r="F845" t="s">
        <v>688</v>
      </c>
      <c r="G845" t="str">
        <f t="shared" si="654"/>
        <v>a</v>
      </c>
      <c r="H845" t="str">
        <f>VLOOKUP(D845,name!A:C,3,1)</f>
        <v>assets/icons/image209.png</v>
      </c>
      <c r="I845" t="str">
        <f>IF(A845="","",VLOOKUP(A845,lng!A:B,2,0))</f>
        <v>en-GB</v>
      </c>
    </row>
    <row r="846" spans="1:12" x14ac:dyDescent="0.15">
      <c r="A846" t="str">
        <f t="shared" si="692"/>
        <v>英語</v>
      </c>
      <c r="B846">
        <f t="shared" si="692"/>
        <v>8</v>
      </c>
      <c r="C846">
        <f t="shared" si="693"/>
        <v>12</v>
      </c>
      <c r="D846">
        <f t="shared" si="694"/>
        <v>29</v>
      </c>
      <c r="E846" t="str">
        <f>VLOOKUP(D846,name!A:B,2,1)</f>
        <v>Eri</v>
      </c>
      <c r="F846" t="s">
        <v>706</v>
      </c>
      <c r="G846" t="str">
        <f t="shared" si="654"/>
        <v>a</v>
      </c>
      <c r="H846" t="str">
        <f>VLOOKUP(D846,name!A:C,3,1)</f>
        <v>assets/icons/image209.png</v>
      </c>
      <c r="I846" t="s">
        <v>402</v>
      </c>
    </row>
    <row r="847" spans="1:12" x14ac:dyDescent="0.15">
      <c r="A847" t="str">
        <f t="shared" si="692"/>
        <v>英語</v>
      </c>
      <c r="B847">
        <f t="shared" si="692"/>
        <v>8</v>
      </c>
      <c r="C847">
        <f t="shared" si="693"/>
        <v>13</v>
      </c>
      <c r="D847">
        <v>29</v>
      </c>
      <c r="E847" t="str">
        <f>VLOOKUP(D847,name!A:B,2,1)</f>
        <v>Eri</v>
      </c>
      <c r="F847" t="s">
        <v>689</v>
      </c>
      <c r="G847" t="str">
        <f t="shared" si="654"/>
        <v>a</v>
      </c>
      <c r="H847" t="str">
        <f>VLOOKUP(D847,name!A:C,3,1)</f>
        <v>assets/icons/image209.png</v>
      </c>
      <c r="I847" t="str">
        <f>IF(A847="","",VLOOKUP(A847,lng!A:B,2,0))</f>
        <v>en-GB</v>
      </c>
    </row>
    <row r="848" spans="1:12" x14ac:dyDescent="0.15">
      <c r="A848" t="str">
        <f t="shared" si="692"/>
        <v>英語</v>
      </c>
      <c r="B848">
        <f t="shared" si="692"/>
        <v>8</v>
      </c>
      <c r="C848">
        <f t="shared" si="693"/>
        <v>14</v>
      </c>
      <c r="D848">
        <f t="shared" si="694"/>
        <v>32</v>
      </c>
      <c r="E848" t="str">
        <f>VLOOKUP(D848,name!A:B,2,1)</f>
        <v>Asha</v>
      </c>
      <c r="F848" t="s">
        <v>707</v>
      </c>
      <c r="G848" t="str">
        <f t="shared" si="654"/>
        <v>a</v>
      </c>
      <c r="H848" t="str">
        <f>VLOOKUP(D848,name!A:C,3,1)</f>
        <v>assets/icons/image235.png</v>
      </c>
      <c r="I848" t="s">
        <v>402</v>
      </c>
    </row>
    <row r="849" spans="1:9" x14ac:dyDescent="0.15">
      <c r="A849" t="str">
        <f t="shared" si="692"/>
        <v>英語</v>
      </c>
      <c r="B849">
        <f t="shared" si="692"/>
        <v>8</v>
      </c>
      <c r="C849">
        <f t="shared" si="693"/>
        <v>15</v>
      </c>
      <c r="D849">
        <f t="shared" si="694"/>
        <v>32</v>
      </c>
      <c r="E849" t="str">
        <f>VLOOKUP(D849,name!A:B,2,1)</f>
        <v>Asha</v>
      </c>
      <c r="F849" t="s">
        <v>690</v>
      </c>
      <c r="G849" t="str">
        <f t="shared" si="654"/>
        <v>a</v>
      </c>
      <c r="H849" t="str">
        <f>VLOOKUP(D849,name!A:C,3,1)</f>
        <v>assets/icons/image235.png</v>
      </c>
      <c r="I849" t="str">
        <f>IF(A849="","",VLOOKUP(A849,lng!A:B,2,0))</f>
        <v>en-GB</v>
      </c>
    </row>
    <row r="850" spans="1:9" x14ac:dyDescent="0.15">
      <c r="A850" t="str">
        <f t="shared" si="692"/>
        <v>英語</v>
      </c>
      <c r="B850">
        <f t="shared" si="692"/>
        <v>8</v>
      </c>
      <c r="C850">
        <f t="shared" si="693"/>
        <v>16</v>
      </c>
      <c r="D850">
        <f t="shared" si="694"/>
        <v>32</v>
      </c>
      <c r="E850" t="str">
        <f>VLOOKUP(D850,name!A:B,2,1)</f>
        <v>Asha</v>
      </c>
      <c r="F850" t="s">
        <v>708</v>
      </c>
      <c r="G850" t="str">
        <f t="shared" si="654"/>
        <v>a</v>
      </c>
      <c r="H850" t="str">
        <f>VLOOKUP(D850,name!A:C,3,1)</f>
        <v>assets/icons/image235.png</v>
      </c>
      <c r="I850" t="s">
        <v>402</v>
      </c>
    </row>
    <row r="851" spans="1:9" x14ac:dyDescent="0.15">
      <c r="A851" t="str">
        <f t="shared" si="692"/>
        <v>英語</v>
      </c>
      <c r="B851">
        <f t="shared" si="692"/>
        <v>8</v>
      </c>
      <c r="C851">
        <f t="shared" si="693"/>
        <v>17</v>
      </c>
      <c r="D851">
        <v>32</v>
      </c>
      <c r="E851" t="str">
        <f>VLOOKUP(D851,name!A:B,2,1)</f>
        <v>Asha</v>
      </c>
      <c r="F851" t="s">
        <v>691</v>
      </c>
      <c r="G851" t="str">
        <f t="shared" si="654"/>
        <v>a</v>
      </c>
      <c r="H851" t="str">
        <f>VLOOKUP(D851,name!A:C,3,1)</f>
        <v>assets/icons/image235.png</v>
      </c>
      <c r="I851" t="str">
        <f>IF(A851="","",VLOOKUP(A851,lng!A:B,2,0))</f>
        <v>en-GB</v>
      </c>
    </row>
    <row r="852" spans="1:9" x14ac:dyDescent="0.15">
      <c r="A852" t="str">
        <f t="shared" ref="A852:B864" si="695">A851</f>
        <v>英語</v>
      </c>
      <c r="B852">
        <f t="shared" si="695"/>
        <v>8</v>
      </c>
      <c r="C852">
        <f t="shared" si="693"/>
        <v>18</v>
      </c>
      <c r="D852">
        <f t="shared" si="694"/>
        <v>29</v>
      </c>
      <c r="E852" t="str">
        <f>VLOOKUP(D852,name!A:B,2,1)</f>
        <v>Eri</v>
      </c>
      <c r="F852" t="s">
        <v>709</v>
      </c>
      <c r="G852" t="str">
        <f t="shared" si="654"/>
        <v>a</v>
      </c>
      <c r="H852" t="str">
        <f>VLOOKUP(D852,name!A:C,3,1)</f>
        <v>assets/icons/image209.png</v>
      </c>
      <c r="I852" t="s">
        <v>402</v>
      </c>
    </row>
    <row r="853" spans="1:9" x14ac:dyDescent="0.15">
      <c r="A853" t="str">
        <f t="shared" si="695"/>
        <v>英語</v>
      </c>
      <c r="B853">
        <f t="shared" si="695"/>
        <v>8</v>
      </c>
      <c r="C853">
        <f t="shared" si="693"/>
        <v>19</v>
      </c>
      <c r="D853">
        <f t="shared" si="694"/>
        <v>29</v>
      </c>
      <c r="E853" t="str">
        <f>VLOOKUP(D853,name!A:B,2,1)</f>
        <v>Eri</v>
      </c>
      <c r="F853" t="s">
        <v>692</v>
      </c>
      <c r="G853" t="str">
        <f t="shared" si="654"/>
        <v>a</v>
      </c>
      <c r="H853" t="str">
        <f>VLOOKUP(D853,name!A:C,3,1)</f>
        <v>assets/icons/image209.png</v>
      </c>
      <c r="I853" t="str">
        <f>IF(A853="","",VLOOKUP(A853,lng!A:B,2,0))</f>
        <v>en-GB</v>
      </c>
    </row>
    <row r="854" spans="1:9" x14ac:dyDescent="0.15">
      <c r="A854" t="str">
        <f t="shared" si="695"/>
        <v>英語</v>
      </c>
      <c r="B854">
        <f t="shared" si="695"/>
        <v>8</v>
      </c>
      <c r="C854">
        <f t="shared" si="693"/>
        <v>20</v>
      </c>
      <c r="D854">
        <f t="shared" si="694"/>
        <v>29</v>
      </c>
      <c r="E854" t="str">
        <f>VLOOKUP(D854,name!A:B,2,1)</f>
        <v>Eri</v>
      </c>
      <c r="F854" t="s">
        <v>710</v>
      </c>
      <c r="G854" t="str">
        <f t="shared" si="654"/>
        <v>a</v>
      </c>
      <c r="H854" t="str">
        <f>VLOOKUP(D854,name!A:C,3,1)</f>
        <v>assets/icons/image209.png</v>
      </c>
      <c r="I854" t="s">
        <v>402</v>
      </c>
    </row>
    <row r="855" spans="1:9" x14ac:dyDescent="0.15">
      <c r="A855" t="str">
        <f t="shared" si="695"/>
        <v>英語</v>
      </c>
      <c r="B855">
        <f t="shared" si="695"/>
        <v>8</v>
      </c>
      <c r="C855">
        <f t="shared" si="693"/>
        <v>21</v>
      </c>
      <c r="D855">
        <v>29</v>
      </c>
      <c r="E855" t="str">
        <f>VLOOKUP(D855,name!A:B,2,1)</f>
        <v>Eri</v>
      </c>
      <c r="F855" t="s">
        <v>693</v>
      </c>
      <c r="G855" t="str">
        <f t="shared" si="654"/>
        <v>a</v>
      </c>
      <c r="H855" t="str">
        <f>VLOOKUP(D855,name!A:C,3,1)</f>
        <v>assets/icons/image209.png</v>
      </c>
      <c r="I855" t="str">
        <f>IF(A855="","",VLOOKUP(A855,lng!A:B,2,0))</f>
        <v>en-GB</v>
      </c>
    </row>
    <row r="856" spans="1:9" x14ac:dyDescent="0.15">
      <c r="A856" t="str">
        <f t="shared" si="695"/>
        <v>英語</v>
      </c>
      <c r="B856">
        <f t="shared" si="695"/>
        <v>8</v>
      </c>
      <c r="C856">
        <f t="shared" si="693"/>
        <v>22</v>
      </c>
      <c r="D856">
        <f t="shared" si="694"/>
        <v>32</v>
      </c>
      <c r="E856" t="str">
        <f>VLOOKUP(D856,name!A:B,2,1)</f>
        <v>Asha</v>
      </c>
      <c r="F856" t="s">
        <v>711</v>
      </c>
      <c r="G856" t="str">
        <f t="shared" si="654"/>
        <v>a</v>
      </c>
      <c r="H856" t="str">
        <f>VLOOKUP(D856,name!A:C,3,1)</f>
        <v>assets/icons/image235.png</v>
      </c>
      <c r="I856" t="s">
        <v>402</v>
      </c>
    </row>
    <row r="857" spans="1:9" x14ac:dyDescent="0.15">
      <c r="A857" t="str">
        <f t="shared" si="695"/>
        <v>英語</v>
      </c>
      <c r="B857">
        <f t="shared" si="695"/>
        <v>8</v>
      </c>
      <c r="C857">
        <f t="shared" si="693"/>
        <v>23</v>
      </c>
      <c r="D857">
        <f t="shared" si="694"/>
        <v>32</v>
      </c>
      <c r="E857" t="str">
        <f>VLOOKUP(D857,name!A:B,2,1)</f>
        <v>Asha</v>
      </c>
      <c r="F857" t="s">
        <v>694</v>
      </c>
      <c r="G857" t="str">
        <f t="shared" si="654"/>
        <v>a</v>
      </c>
      <c r="H857" t="str">
        <f>VLOOKUP(D857,name!A:C,3,1)</f>
        <v>assets/icons/image235.png</v>
      </c>
      <c r="I857" t="str">
        <f>IF(A857="","",VLOOKUP(A857,lng!A:B,2,0))</f>
        <v>en-GB</v>
      </c>
    </row>
    <row r="858" spans="1:9" x14ac:dyDescent="0.15">
      <c r="A858" t="str">
        <f t="shared" si="695"/>
        <v>英語</v>
      </c>
      <c r="B858">
        <f t="shared" si="695"/>
        <v>8</v>
      </c>
      <c r="C858">
        <f t="shared" si="693"/>
        <v>24</v>
      </c>
      <c r="D858">
        <f t="shared" si="694"/>
        <v>32</v>
      </c>
      <c r="E858" t="str">
        <f>VLOOKUP(D858,name!A:B,2,1)</f>
        <v>Asha</v>
      </c>
      <c r="F858" t="s">
        <v>712</v>
      </c>
      <c r="G858" t="str">
        <f t="shared" si="654"/>
        <v>a</v>
      </c>
      <c r="H858" t="str">
        <f>VLOOKUP(D858,name!A:C,3,1)</f>
        <v>assets/icons/image235.png</v>
      </c>
      <c r="I858" t="s">
        <v>402</v>
      </c>
    </row>
    <row r="859" spans="1:9" x14ac:dyDescent="0.15">
      <c r="A859" t="str">
        <f t="shared" si="695"/>
        <v>英語</v>
      </c>
      <c r="B859">
        <f t="shared" si="695"/>
        <v>8</v>
      </c>
      <c r="C859">
        <f t="shared" si="693"/>
        <v>25</v>
      </c>
      <c r="D859">
        <v>32</v>
      </c>
      <c r="E859" t="str">
        <f>VLOOKUP(D859,name!A:B,2,1)</f>
        <v>Asha</v>
      </c>
      <c r="F859" t="s">
        <v>695</v>
      </c>
      <c r="G859" t="str">
        <f t="shared" si="654"/>
        <v>a</v>
      </c>
      <c r="H859" t="str">
        <f>VLOOKUP(D859,name!A:C,3,1)</f>
        <v>assets/icons/image235.png</v>
      </c>
      <c r="I859" t="str">
        <f>IF(A859="","",VLOOKUP(A859,lng!A:B,2,0))</f>
        <v>en-GB</v>
      </c>
    </row>
    <row r="860" spans="1:9" x14ac:dyDescent="0.15">
      <c r="A860" t="str">
        <f t="shared" si="695"/>
        <v>英語</v>
      </c>
      <c r="B860">
        <f t="shared" si="695"/>
        <v>8</v>
      </c>
      <c r="C860">
        <f t="shared" si="693"/>
        <v>26</v>
      </c>
      <c r="D860">
        <f t="shared" si="694"/>
        <v>29</v>
      </c>
      <c r="E860" t="str">
        <f>VLOOKUP(D860,name!A:B,2,1)</f>
        <v>Eri</v>
      </c>
      <c r="F860" t="s">
        <v>713</v>
      </c>
      <c r="G860" t="str">
        <f t="shared" si="654"/>
        <v>a</v>
      </c>
      <c r="H860" t="str">
        <f>VLOOKUP(D860,name!A:C,3,1)</f>
        <v>assets/icons/image209.png</v>
      </c>
      <c r="I860" t="s">
        <v>402</v>
      </c>
    </row>
    <row r="861" spans="1:9" x14ac:dyDescent="0.15">
      <c r="A861" t="str">
        <f t="shared" si="695"/>
        <v>英語</v>
      </c>
      <c r="B861">
        <f t="shared" si="695"/>
        <v>8</v>
      </c>
      <c r="C861">
        <f t="shared" si="693"/>
        <v>27</v>
      </c>
      <c r="D861">
        <f t="shared" si="694"/>
        <v>29</v>
      </c>
      <c r="E861" t="str">
        <f>VLOOKUP(D861,name!A:B,2,1)</f>
        <v>Eri</v>
      </c>
      <c r="F861" t="s">
        <v>696</v>
      </c>
      <c r="G861" t="str">
        <f t="shared" si="654"/>
        <v>a</v>
      </c>
      <c r="H861" t="str">
        <f>VLOOKUP(D861,name!A:C,3,1)</f>
        <v>assets/icons/image209.png</v>
      </c>
      <c r="I861" t="str">
        <f>IF(A861="","",VLOOKUP(A861,lng!A:B,2,0))</f>
        <v>en-GB</v>
      </c>
    </row>
    <row r="862" spans="1:9" x14ac:dyDescent="0.15">
      <c r="A862" t="str">
        <f t="shared" si="695"/>
        <v>英語</v>
      </c>
      <c r="B862">
        <f t="shared" si="695"/>
        <v>8</v>
      </c>
      <c r="C862">
        <f t="shared" si="693"/>
        <v>28</v>
      </c>
      <c r="D862">
        <f t="shared" si="694"/>
        <v>29</v>
      </c>
      <c r="E862" t="str">
        <f>VLOOKUP(D862,name!A:B,2,1)</f>
        <v>Eri</v>
      </c>
      <c r="F862" t="s">
        <v>714</v>
      </c>
      <c r="G862" t="str">
        <f t="shared" ref="G862:G925" si="696">IF(B862&lt;&gt;B863,"e",IF(D862=0,"q","a"))</f>
        <v>a</v>
      </c>
      <c r="H862" t="str">
        <f>VLOOKUP(D862,name!A:C,3,1)</f>
        <v>assets/icons/image209.png</v>
      </c>
      <c r="I862" t="s">
        <v>402</v>
      </c>
    </row>
    <row r="863" spans="1:9" x14ac:dyDescent="0.15">
      <c r="A863" t="str">
        <f t="shared" si="695"/>
        <v>英語</v>
      </c>
      <c r="B863">
        <f t="shared" si="695"/>
        <v>8</v>
      </c>
      <c r="C863">
        <f t="shared" si="693"/>
        <v>29</v>
      </c>
      <c r="D863">
        <v>29</v>
      </c>
      <c r="E863" t="str">
        <f>VLOOKUP(D863,name!A:B,2,1)</f>
        <v>Eri</v>
      </c>
      <c r="F863" t="s">
        <v>697</v>
      </c>
      <c r="G863" t="str">
        <f t="shared" si="696"/>
        <v>a</v>
      </c>
      <c r="H863" t="str">
        <f>VLOOKUP(D863,name!A:C,3,1)</f>
        <v>assets/icons/image209.png</v>
      </c>
      <c r="I863" t="str">
        <f>IF(A863="","",VLOOKUP(A863,lng!A:B,2,0))</f>
        <v>en-GB</v>
      </c>
    </row>
    <row r="864" spans="1:9" x14ac:dyDescent="0.15">
      <c r="A864" t="str">
        <f t="shared" si="695"/>
        <v>英語</v>
      </c>
      <c r="B864">
        <f t="shared" si="695"/>
        <v>8</v>
      </c>
      <c r="C864">
        <f t="shared" si="693"/>
        <v>30</v>
      </c>
      <c r="D864">
        <f t="shared" si="694"/>
        <v>32</v>
      </c>
      <c r="E864" t="str">
        <f>VLOOKUP(D864,name!A:B,2,1)</f>
        <v>Asha</v>
      </c>
      <c r="F864" t="s">
        <v>715</v>
      </c>
      <c r="G864" t="str">
        <f t="shared" si="696"/>
        <v>a</v>
      </c>
      <c r="H864" t="str">
        <f>VLOOKUP(D864,name!A:C,3,1)</f>
        <v>assets/icons/image235.png</v>
      </c>
      <c r="I864" t="s">
        <v>402</v>
      </c>
    </row>
    <row r="865" spans="1:9" x14ac:dyDescent="0.15">
      <c r="A865" t="str">
        <f t="shared" ref="A865:B865" si="697">A864</f>
        <v>英語</v>
      </c>
      <c r="B865">
        <f t="shared" si="697"/>
        <v>8</v>
      </c>
      <c r="C865">
        <f t="shared" si="693"/>
        <v>31</v>
      </c>
      <c r="D865">
        <f t="shared" si="694"/>
        <v>32</v>
      </c>
      <c r="E865" t="str">
        <f>VLOOKUP(D865,name!A:B,2,1)</f>
        <v>Asha</v>
      </c>
      <c r="F865" t="s">
        <v>698</v>
      </c>
      <c r="G865" t="str">
        <f t="shared" si="696"/>
        <v>a</v>
      </c>
      <c r="H865" t="str">
        <f>VLOOKUP(D865,name!A:C,3,1)</f>
        <v>assets/icons/image235.png</v>
      </c>
      <c r="I865" t="str">
        <f>IF(A865="","",VLOOKUP(A865,lng!A:B,2,0))</f>
        <v>en-GB</v>
      </c>
    </row>
    <row r="866" spans="1:9" x14ac:dyDescent="0.15">
      <c r="A866" t="str">
        <f t="shared" ref="A866:B866" si="698">A865</f>
        <v>英語</v>
      </c>
      <c r="B866">
        <f t="shared" si="698"/>
        <v>8</v>
      </c>
      <c r="C866">
        <f t="shared" si="693"/>
        <v>32</v>
      </c>
      <c r="D866">
        <f t="shared" si="694"/>
        <v>32</v>
      </c>
      <c r="E866" t="str">
        <f>VLOOKUP(D866,name!A:B,2,1)</f>
        <v>Asha</v>
      </c>
      <c r="F866" t="s">
        <v>716</v>
      </c>
      <c r="G866" t="str">
        <f t="shared" si="696"/>
        <v>a</v>
      </c>
      <c r="H866" t="str">
        <f>VLOOKUP(D866,name!A:C,3,1)</f>
        <v>assets/icons/image235.png</v>
      </c>
      <c r="I866" t="s">
        <v>402</v>
      </c>
    </row>
    <row r="867" spans="1:9" x14ac:dyDescent="0.15">
      <c r="A867" t="str">
        <f t="shared" ref="A867:B867" si="699">A866</f>
        <v>英語</v>
      </c>
      <c r="B867">
        <f t="shared" si="699"/>
        <v>8</v>
      </c>
      <c r="C867">
        <f t="shared" si="693"/>
        <v>33</v>
      </c>
      <c r="D867">
        <f t="shared" si="694"/>
        <v>32</v>
      </c>
      <c r="E867" t="str">
        <f>VLOOKUP(D867,name!A:B,2,1)</f>
        <v>Asha</v>
      </c>
      <c r="F867" t="s">
        <v>699</v>
      </c>
      <c r="G867" t="str">
        <f t="shared" si="696"/>
        <v>a</v>
      </c>
      <c r="H867" t="str">
        <f>VLOOKUP(D867,name!A:C,3,1)</f>
        <v>assets/icons/image235.png</v>
      </c>
      <c r="I867" t="str">
        <f>IF(A867="","",VLOOKUP(A867,lng!A:B,2,0))</f>
        <v>en-GB</v>
      </c>
    </row>
    <row r="868" spans="1:9" x14ac:dyDescent="0.15">
      <c r="A868" t="str">
        <f t="shared" ref="A868:B868" si="700">A867</f>
        <v>英語</v>
      </c>
      <c r="B868">
        <f t="shared" si="700"/>
        <v>8</v>
      </c>
      <c r="C868">
        <f t="shared" si="693"/>
        <v>34</v>
      </c>
      <c r="D868">
        <f t="shared" si="694"/>
        <v>32</v>
      </c>
      <c r="E868" t="str">
        <f>VLOOKUP(D868,name!A:B,2,1)</f>
        <v>Asha</v>
      </c>
      <c r="F868" t="s">
        <v>717</v>
      </c>
      <c r="G868" t="str">
        <f t="shared" si="696"/>
        <v>a</v>
      </c>
      <c r="H868" t="str">
        <f>VLOOKUP(D868,name!A:C,3,1)</f>
        <v>assets/icons/image235.png</v>
      </c>
      <c r="I868" t="s">
        <v>402</v>
      </c>
    </row>
    <row r="869" spans="1:9" x14ac:dyDescent="0.15">
      <c r="A869" t="str">
        <f t="shared" ref="A869:B869" si="701">A868</f>
        <v>英語</v>
      </c>
      <c r="B869">
        <f t="shared" si="701"/>
        <v>8</v>
      </c>
      <c r="C869">
        <f t="shared" si="693"/>
        <v>35</v>
      </c>
      <c r="D869">
        <f t="shared" si="694"/>
        <v>32</v>
      </c>
      <c r="E869" t="str">
        <f>VLOOKUP(D869,name!A:B,2,1)</f>
        <v>Asha</v>
      </c>
      <c r="F869" t="s">
        <v>700</v>
      </c>
      <c r="G869" t="str">
        <f t="shared" si="696"/>
        <v>a</v>
      </c>
      <c r="H869" t="str">
        <f>VLOOKUP(D869,name!A:C,3,1)</f>
        <v>assets/icons/image235.png</v>
      </c>
      <c r="I869" t="str">
        <f>IF(A869="","",VLOOKUP(A869,lng!A:B,2,0))</f>
        <v>en-GB</v>
      </c>
    </row>
    <row r="870" spans="1:9" x14ac:dyDescent="0.15">
      <c r="A870" t="str">
        <f t="shared" ref="A870:B870" si="702">A869</f>
        <v>英語</v>
      </c>
      <c r="B870">
        <f t="shared" si="702"/>
        <v>8</v>
      </c>
      <c r="C870">
        <f t="shared" si="693"/>
        <v>36</v>
      </c>
      <c r="D870">
        <f t="shared" si="694"/>
        <v>32</v>
      </c>
      <c r="E870" t="str">
        <f>VLOOKUP(D870,name!A:B,2,1)</f>
        <v>Asha</v>
      </c>
      <c r="F870" t="s">
        <v>718</v>
      </c>
      <c r="G870" t="str">
        <f t="shared" si="696"/>
        <v>a</v>
      </c>
      <c r="H870" t="str">
        <f>VLOOKUP(D870,name!A:C,3,1)</f>
        <v>assets/icons/image235.png</v>
      </c>
      <c r="I870" t="s">
        <v>402</v>
      </c>
    </row>
    <row r="871" spans="1:9" x14ac:dyDescent="0.15">
      <c r="A871" t="str">
        <f t="shared" ref="A871:B871" si="703">A870</f>
        <v>英語</v>
      </c>
      <c r="B871">
        <f t="shared" si="703"/>
        <v>8</v>
      </c>
      <c r="C871">
        <f t="shared" si="693"/>
        <v>37</v>
      </c>
      <c r="D871">
        <v>32</v>
      </c>
      <c r="E871" t="str">
        <f>VLOOKUP(D871,name!A:B,2,1)</f>
        <v>Asha</v>
      </c>
      <c r="F871" t="s">
        <v>701</v>
      </c>
      <c r="G871" t="str">
        <f t="shared" si="696"/>
        <v>a</v>
      </c>
      <c r="H871" t="str">
        <f>VLOOKUP(D871,name!A:C,3,1)</f>
        <v>assets/icons/image235.png</v>
      </c>
      <c r="I871" t="str">
        <f>IF(A871="","",VLOOKUP(A871,lng!A:B,2,0))</f>
        <v>en-GB</v>
      </c>
    </row>
    <row r="872" spans="1:9" x14ac:dyDescent="0.15">
      <c r="A872" t="str">
        <f t="shared" ref="A872:B872" si="704">A871</f>
        <v>英語</v>
      </c>
      <c r="B872">
        <f t="shared" si="704"/>
        <v>8</v>
      </c>
      <c r="C872">
        <f t="shared" si="693"/>
        <v>38</v>
      </c>
      <c r="D872">
        <v>1</v>
      </c>
      <c r="E872" t="str">
        <f>VLOOKUP(D872,name!A:B,2,1)</f>
        <v>Navigator</v>
      </c>
      <c r="F872" t="str">
        <f>"次の"&amp;A872&amp;"を真似してね！"</f>
        <v>次の英語を真似してね！</v>
      </c>
      <c r="G872" t="str">
        <f t="shared" si="696"/>
        <v>a</v>
      </c>
      <c r="H872" t="str">
        <f>VLOOKUP(D872,name!A:C,3,1)</f>
        <v>assets/icons/image014.png</v>
      </c>
      <c r="I872" t="s">
        <v>402</v>
      </c>
    </row>
    <row r="873" spans="1:9" x14ac:dyDescent="0.15">
      <c r="A873" t="str">
        <f t="shared" ref="A873:B873" si="705">A872</f>
        <v>英語</v>
      </c>
      <c r="B873">
        <f t="shared" si="705"/>
        <v>8</v>
      </c>
      <c r="C873">
        <f t="shared" si="693"/>
        <v>39</v>
      </c>
      <c r="D873">
        <f>D838</f>
        <v>32</v>
      </c>
      <c r="E873" t="str">
        <f>VLOOKUP(D873,name!A:B,2,1)</f>
        <v>Asha</v>
      </c>
      <c r="F873" t="str">
        <f>F838</f>
        <v>こんな天気のいい日に試験に集中できるはずがない。</v>
      </c>
      <c r="G873" t="str">
        <f t="shared" si="696"/>
        <v>a</v>
      </c>
      <c r="H873" t="str">
        <f>VLOOKUP(D873,name!A:C,3,1)</f>
        <v>assets/icons/image235.png</v>
      </c>
      <c r="I873" t="s">
        <v>402</v>
      </c>
    </row>
    <row r="874" spans="1:9" x14ac:dyDescent="0.15">
      <c r="A874" t="str">
        <f t="shared" ref="A874:B874" si="706">A873</f>
        <v>英語</v>
      </c>
      <c r="B874">
        <f t="shared" si="706"/>
        <v>8</v>
      </c>
      <c r="C874">
        <f t="shared" si="693"/>
        <v>40</v>
      </c>
      <c r="D874">
        <f>D839</f>
        <v>32</v>
      </c>
      <c r="E874" t="str">
        <f>VLOOKUP(D874,name!A:B,2,1)</f>
        <v>Asha</v>
      </c>
      <c r="F874" t="str">
        <f>F839</f>
        <v>How can we concentrate on exams on a lovely day like this?</v>
      </c>
      <c r="G874" t="str">
        <f t="shared" si="696"/>
        <v>a</v>
      </c>
      <c r="H874" t="str">
        <f>VLOOKUP(D874,name!A:C,3,1)</f>
        <v>assets/icons/image235.png</v>
      </c>
      <c r="I874" t="str">
        <f>IF(A874="","",VLOOKUP(A874,lng!A:B,2,0))</f>
        <v>en-GB</v>
      </c>
    </row>
    <row r="875" spans="1:9" x14ac:dyDescent="0.15">
      <c r="A875" t="str">
        <f t="shared" ref="A875:B875" si="707">A874</f>
        <v>英語</v>
      </c>
      <c r="B875">
        <f t="shared" si="707"/>
        <v>8</v>
      </c>
      <c r="C875">
        <f t="shared" si="693"/>
        <v>41</v>
      </c>
      <c r="D875">
        <v>0</v>
      </c>
      <c r="E875" t="str">
        <f>VLOOKUP(D875,name!A:B,2,1)</f>
        <v>Player</v>
      </c>
      <c r="F875" t="str">
        <f>F839</f>
        <v>How can we concentrate on exams on a lovely day like this?</v>
      </c>
      <c r="G875" t="str">
        <f t="shared" si="696"/>
        <v>q</v>
      </c>
      <c r="H875" t="str">
        <f>VLOOKUP(D875,name!A:C,3,1)</f>
        <v>assets/icons/image326.png</v>
      </c>
      <c r="I875" t="str">
        <f>IF(A875="","",VLOOKUP(A875,lng!A:B,2,0))</f>
        <v>en-GB</v>
      </c>
    </row>
    <row r="876" spans="1:9" x14ac:dyDescent="0.15">
      <c r="A876" t="str">
        <f t="shared" ref="A876:B876" si="708">A875</f>
        <v>英語</v>
      </c>
      <c r="B876">
        <f t="shared" si="708"/>
        <v>8</v>
      </c>
      <c r="C876">
        <f t="shared" si="693"/>
        <v>42</v>
      </c>
      <c r="D876">
        <f>D840</f>
        <v>32</v>
      </c>
      <c r="E876" t="str">
        <f>VLOOKUP(D876,name!A:B,2,1)</f>
        <v>Asha</v>
      </c>
      <c r="F876" t="str">
        <f>F840</f>
        <v>きっと失敗します。</v>
      </c>
      <c r="G876" t="str">
        <f t="shared" si="696"/>
        <v>a</v>
      </c>
      <c r="H876" t="str">
        <f>VLOOKUP(D876,name!A:C,3,1)</f>
        <v>assets/icons/image235.png</v>
      </c>
      <c r="I876" t="s">
        <v>402</v>
      </c>
    </row>
    <row r="877" spans="1:9" x14ac:dyDescent="0.15">
      <c r="A877" t="str">
        <f t="shared" ref="A877:B877" si="709">A876</f>
        <v>英語</v>
      </c>
      <c r="B877">
        <f t="shared" si="709"/>
        <v>8</v>
      </c>
      <c r="C877">
        <f t="shared" si="693"/>
        <v>43</v>
      </c>
      <c r="D877">
        <f>D841</f>
        <v>32</v>
      </c>
      <c r="E877" t="str">
        <f>VLOOKUP(D877,name!A:B,2,1)</f>
        <v>Asha</v>
      </c>
      <c r="F877" t="str">
        <f>F841</f>
        <v>I'm sure I'll fail.</v>
      </c>
      <c r="G877" t="str">
        <f t="shared" si="696"/>
        <v>a</v>
      </c>
      <c r="H877" t="str">
        <f>VLOOKUP(D877,name!A:C,3,1)</f>
        <v>assets/icons/image235.png</v>
      </c>
      <c r="I877" t="str">
        <f>IF(A877="","",VLOOKUP(A877,lng!A:B,2,0))</f>
        <v>en-GB</v>
      </c>
    </row>
    <row r="878" spans="1:9" x14ac:dyDescent="0.15">
      <c r="A878" t="str">
        <f t="shared" ref="A878:B878" si="710">A877</f>
        <v>英語</v>
      </c>
      <c r="B878">
        <f t="shared" si="710"/>
        <v>8</v>
      </c>
      <c r="C878">
        <f t="shared" si="693"/>
        <v>44</v>
      </c>
      <c r="D878">
        <v>0</v>
      </c>
      <c r="E878" t="str">
        <f>VLOOKUP(D878,name!A:B,2,1)</f>
        <v>Player</v>
      </c>
      <c r="F878" t="str">
        <f>F841</f>
        <v>I'm sure I'll fail.</v>
      </c>
      <c r="G878" t="str">
        <f t="shared" si="696"/>
        <v>q</v>
      </c>
      <c r="H878" t="str">
        <f>VLOOKUP(D878,name!A:C,3,1)</f>
        <v>assets/icons/image326.png</v>
      </c>
      <c r="I878" t="str">
        <f>IF(A878="","",VLOOKUP(A878,lng!A:B,2,0))</f>
        <v>en-GB</v>
      </c>
    </row>
    <row r="879" spans="1:9" x14ac:dyDescent="0.15">
      <c r="A879" t="str">
        <f t="shared" ref="A879:B879" si="711">A878</f>
        <v>英語</v>
      </c>
      <c r="B879">
        <f t="shared" si="711"/>
        <v>8</v>
      </c>
      <c r="C879">
        <f t="shared" si="693"/>
        <v>45</v>
      </c>
      <c r="D879">
        <f>D842</f>
        <v>29</v>
      </c>
      <c r="E879" t="str">
        <f>VLOOKUP(D879,name!A:B,2,1)</f>
        <v>Eri</v>
      </c>
      <c r="F879" t="str">
        <f>F842</f>
        <v>大丈夫</v>
      </c>
      <c r="G879" t="str">
        <f t="shared" si="696"/>
        <v>a</v>
      </c>
      <c r="H879" t="str">
        <f>VLOOKUP(D879,name!A:C,3,1)</f>
        <v>assets/icons/image209.png</v>
      </c>
      <c r="I879" t="s">
        <v>402</v>
      </c>
    </row>
    <row r="880" spans="1:9" x14ac:dyDescent="0.15">
      <c r="A880" t="str">
        <f t="shared" ref="A880:B880" si="712">A879</f>
        <v>英語</v>
      </c>
      <c r="B880">
        <f t="shared" si="712"/>
        <v>8</v>
      </c>
      <c r="C880">
        <f t="shared" si="693"/>
        <v>46</v>
      </c>
      <c r="D880">
        <f>D843</f>
        <v>29</v>
      </c>
      <c r="E880" t="str">
        <f>VLOOKUP(D880,name!A:B,2,1)</f>
        <v>Eri</v>
      </c>
      <c r="F880" t="str">
        <f>F843</f>
        <v>Oh, I'm sure you won't.</v>
      </c>
      <c r="G880" t="str">
        <f t="shared" si="696"/>
        <v>a</v>
      </c>
      <c r="H880" t="str">
        <f>VLOOKUP(D880,name!A:C,3,1)</f>
        <v>assets/icons/image209.png</v>
      </c>
      <c r="I880" t="str">
        <f>IF(A880="","",VLOOKUP(A880,lng!A:B,2,0))</f>
        <v>en-GB</v>
      </c>
    </row>
    <row r="881" spans="1:9" x14ac:dyDescent="0.15">
      <c r="A881" t="str">
        <f t="shared" ref="A881:B881" si="713">A880</f>
        <v>英語</v>
      </c>
      <c r="B881">
        <f t="shared" si="713"/>
        <v>8</v>
      </c>
      <c r="C881">
        <f t="shared" si="693"/>
        <v>47</v>
      </c>
      <c r="D881">
        <v>0</v>
      </c>
      <c r="E881" t="str">
        <f>VLOOKUP(D881,name!A:B,2,1)</f>
        <v>Player</v>
      </c>
      <c r="F881" t="str">
        <f>F843</f>
        <v>Oh, I'm sure you won't.</v>
      </c>
      <c r="G881" t="str">
        <f t="shared" si="696"/>
        <v>q</v>
      </c>
      <c r="H881" t="str">
        <f>VLOOKUP(D881,name!A:C,3,1)</f>
        <v>assets/icons/image326.png</v>
      </c>
      <c r="I881" t="str">
        <f>IF(A881="","",VLOOKUP(A881,lng!A:B,2,0))</f>
        <v>en-GB</v>
      </c>
    </row>
    <row r="882" spans="1:9" x14ac:dyDescent="0.15">
      <c r="A882" t="str">
        <f t="shared" ref="A882:B882" si="714">A881</f>
        <v>英語</v>
      </c>
      <c r="B882">
        <f t="shared" si="714"/>
        <v>8</v>
      </c>
      <c r="C882">
        <f t="shared" si="693"/>
        <v>48</v>
      </c>
      <c r="D882">
        <f>D844</f>
        <v>29</v>
      </c>
      <c r="E882" t="str">
        <f>VLOOKUP(D882,name!A:B,2,1)</f>
        <v>Eri</v>
      </c>
      <c r="F882" t="str">
        <f>F844</f>
        <v>あなたはいつも私よりずっと良い点数をとってます。</v>
      </c>
      <c r="G882" t="str">
        <f t="shared" si="696"/>
        <v>a</v>
      </c>
      <c r="H882" t="str">
        <f>VLOOKUP(D882,name!A:C,3,1)</f>
        <v>assets/icons/image209.png</v>
      </c>
      <c r="I882" t="s">
        <v>402</v>
      </c>
    </row>
    <row r="883" spans="1:9" x14ac:dyDescent="0.15">
      <c r="A883" t="str">
        <f t="shared" ref="A883:B883" si="715">A882</f>
        <v>英語</v>
      </c>
      <c r="B883">
        <f t="shared" si="715"/>
        <v>8</v>
      </c>
      <c r="C883">
        <f t="shared" si="693"/>
        <v>49</v>
      </c>
      <c r="D883">
        <f>D845</f>
        <v>29</v>
      </c>
      <c r="E883" t="str">
        <f>VLOOKUP(D883,name!A:B,2,1)</f>
        <v>Eri</v>
      </c>
      <c r="F883" t="str">
        <f>F845</f>
        <v>You always get much better marks than I do.</v>
      </c>
      <c r="G883" t="str">
        <f t="shared" si="696"/>
        <v>a</v>
      </c>
      <c r="H883" t="str">
        <f>VLOOKUP(D883,name!A:C,3,1)</f>
        <v>assets/icons/image209.png</v>
      </c>
      <c r="I883" t="str">
        <f>IF(A883="","",VLOOKUP(A883,lng!A:B,2,0))</f>
        <v>en-GB</v>
      </c>
    </row>
    <row r="884" spans="1:9" x14ac:dyDescent="0.15">
      <c r="A884" t="str">
        <f t="shared" ref="A884:B884" si="716">A883</f>
        <v>英語</v>
      </c>
      <c r="B884">
        <f t="shared" si="716"/>
        <v>8</v>
      </c>
      <c r="C884">
        <f t="shared" si="693"/>
        <v>50</v>
      </c>
      <c r="D884">
        <v>0</v>
      </c>
      <c r="E884" t="str">
        <f>VLOOKUP(D884,name!A:B,2,1)</f>
        <v>Player</v>
      </c>
      <c r="F884" t="str">
        <f>F845</f>
        <v>You always get much better marks than I do.</v>
      </c>
      <c r="G884" t="str">
        <f t="shared" si="696"/>
        <v>q</v>
      </c>
      <c r="H884" t="str">
        <f>VLOOKUP(D884,name!A:C,3,1)</f>
        <v>assets/icons/image326.png</v>
      </c>
      <c r="I884" t="str">
        <f>IF(A884="","",VLOOKUP(A884,lng!A:B,2,0))</f>
        <v>en-GB</v>
      </c>
    </row>
    <row r="885" spans="1:9" x14ac:dyDescent="0.15">
      <c r="A885" t="str">
        <f t="shared" ref="A885:B885" si="717">A884</f>
        <v>英語</v>
      </c>
      <c r="B885">
        <f t="shared" si="717"/>
        <v>8</v>
      </c>
      <c r="C885">
        <f t="shared" si="693"/>
        <v>51</v>
      </c>
      <c r="D885">
        <f>D846</f>
        <v>29</v>
      </c>
      <c r="E885" t="str">
        <f>VLOOKUP(D885,name!A:B,2,1)</f>
        <v>Eri</v>
      </c>
      <c r="F885" t="str">
        <f>F846</f>
        <v>私は気をつけないと来学期もこのコースを繰り返すと思います。</v>
      </c>
      <c r="G885" t="str">
        <f t="shared" si="696"/>
        <v>a</v>
      </c>
      <c r="H885" t="str">
        <f>VLOOKUP(D885,name!A:C,3,1)</f>
        <v>assets/icons/image209.png</v>
      </c>
      <c r="I885" t="s">
        <v>402</v>
      </c>
    </row>
    <row r="886" spans="1:9" x14ac:dyDescent="0.15">
      <c r="A886" t="str">
        <f t="shared" ref="A886:B886" si="718">A885</f>
        <v>英語</v>
      </c>
      <c r="B886">
        <f t="shared" si="718"/>
        <v>8</v>
      </c>
      <c r="C886">
        <f t="shared" si="693"/>
        <v>52</v>
      </c>
      <c r="D886">
        <f>D847</f>
        <v>29</v>
      </c>
      <c r="E886" t="str">
        <f>VLOOKUP(D886,name!A:B,2,1)</f>
        <v>Eri</v>
      </c>
      <c r="F886" t="str">
        <f>F847</f>
        <v>I think I'll be repeating this course next term if I'm not careful.</v>
      </c>
      <c r="G886" t="str">
        <f t="shared" si="696"/>
        <v>a</v>
      </c>
      <c r="H886" t="str">
        <f>VLOOKUP(D886,name!A:C,3,1)</f>
        <v>assets/icons/image209.png</v>
      </c>
      <c r="I886" t="str">
        <f>IF(A886="","",VLOOKUP(A886,lng!A:B,2,0))</f>
        <v>en-GB</v>
      </c>
    </row>
    <row r="887" spans="1:9" x14ac:dyDescent="0.15">
      <c r="A887" t="str">
        <f t="shared" ref="A887:B887" si="719">A886</f>
        <v>英語</v>
      </c>
      <c r="B887">
        <f t="shared" si="719"/>
        <v>8</v>
      </c>
      <c r="C887">
        <f t="shared" si="693"/>
        <v>53</v>
      </c>
      <c r="D887">
        <v>0</v>
      </c>
      <c r="E887" t="str">
        <f>VLOOKUP(D887,name!A:B,2,1)</f>
        <v>Player</v>
      </c>
      <c r="F887" t="str">
        <f>F847</f>
        <v>I think I'll be repeating this course next term if I'm not careful.</v>
      </c>
      <c r="G887" t="str">
        <f t="shared" si="696"/>
        <v>q</v>
      </c>
      <c r="H887" t="str">
        <f>VLOOKUP(D887,name!A:C,3,1)</f>
        <v>assets/icons/image326.png</v>
      </c>
      <c r="I887" t="str">
        <f>IF(A887="","",VLOOKUP(A887,lng!A:B,2,0))</f>
        <v>en-GB</v>
      </c>
    </row>
    <row r="888" spans="1:9" x14ac:dyDescent="0.15">
      <c r="A888" t="str">
        <f t="shared" ref="A888:B888" si="720">A887</f>
        <v>英語</v>
      </c>
      <c r="B888">
        <f t="shared" si="720"/>
        <v>8</v>
      </c>
      <c r="C888">
        <f t="shared" si="693"/>
        <v>54</v>
      </c>
      <c r="D888">
        <f>D848</f>
        <v>32</v>
      </c>
      <c r="E888" t="str">
        <f>VLOOKUP(D888,name!A:B,2,1)</f>
        <v>Asha</v>
      </c>
      <c r="F888" t="str">
        <f>F848</f>
        <v>まさか!</v>
      </c>
      <c r="G888" t="str">
        <f t="shared" si="696"/>
        <v>a</v>
      </c>
      <c r="H888" t="str">
        <f>VLOOKUP(D888,name!A:C,3,1)</f>
        <v>assets/icons/image235.png</v>
      </c>
      <c r="I888" t="s">
        <v>402</v>
      </c>
    </row>
    <row r="889" spans="1:9" x14ac:dyDescent="0.15">
      <c r="A889" t="str">
        <f t="shared" ref="A889:B889" si="721">A888</f>
        <v>英語</v>
      </c>
      <c r="B889">
        <f t="shared" si="721"/>
        <v>8</v>
      </c>
      <c r="C889">
        <f t="shared" si="693"/>
        <v>55</v>
      </c>
      <c r="D889">
        <f>D849</f>
        <v>32</v>
      </c>
      <c r="E889" t="str">
        <f>VLOOKUP(D889,name!A:B,2,1)</f>
        <v>Asha</v>
      </c>
      <c r="F889" t="str">
        <f>F849</f>
        <v>No way!</v>
      </c>
      <c r="G889" t="str">
        <f t="shared" si="696"/>
        <v>a</v>
      </c>
      <c r="H889" t="str">
        <f>VLOOKUP(D889,name!A:C,3,1)</f>
        <v>assets/icons/image235.png</v>
      </c>
      <c r="I889" t="str">
        <f>IF(A889="","",VLOOKUP(A889,lng!A:B,2,0))</f>
        <v>en-GB</v>
      </c>
    </row>
    <row r="890" spans="1:9" x14ac:dyDescent="0.15">
      <c r="A890" t="str">
        <f t="shared" ref="A890:B890" si="722">A889</f>
        <v>英語</v>
      </c>
      <c r="B890">
        <f t="shared" si="722"/>
        <v>8</v>
      </c>
      <c r="C890">
        <f t="shared" si="693"/>
        <v>56</v>
      </c>
      <c r="D890">
        <v>0</v>
      </c>
      <c r="E890" t="str">
        <f>VLOOKUP(D890,name!A:B,2,1)</f>
        <v>Player</v>
      </c>
      <c r="F890" t="str">
        <f>F849</f>
        <v>No way!</v>
      </c>
      <c r="G890" t="str">
        <f t="shared" si="696"/>
        <v>q</v>
      </c>
      <c r="H890" t="str">
        <f>VLOOKUP(D890,name!A:C,3,1)</f>
        <v>assets/icons/image326.png</v>
      </c>
      <c r="I890" t="str">
        <f>IF(A890="","",VLOOKUP(A890,lng!A:B,2,0))</f>
        <v>en-GB</v>
      </c>
    </row>
    <row r="891" spans="1:9" x14ac:dyDescent="0.15">
      <c r="A891" t="str">
        <f t="shared" ref="A891:B891" si="723">A890</f>
        <v>英語</v>
      </c>
      <c r="B891">
        <f t="shared" si="723"/>
        <v>8</v>
      </c>
      <c r="C891">
        <f t="shared" si="693"/>
        <v>57</v>
      </c>
      <c r="D891">
        <f>D850</f>
        <v>32</v>
      </c>
      <c r="E891" t="str">
        <f>VLOOKUP(D891,name!A:B,2,1)</f>
        <v>Asha</v>
      </c>
      <c r="F891" t="str">
        <f>F850</f>
        <v>2人とも見事に合格して、後輩たちの見本になるわよ。</v>
      </c>
      <c r="G891" t="str">
        <f t="shared" si="696"/>
        <v>a</v>
      </c>
      <c r="H891" t="str">
        <f>VLOOKUP(D891,name!A:C,3,1)</f>
        <v>assets/icons/image235.png</v>
      </c>
      <c r="I891" t="s">
        <v>402</v>
      </c>
    </row>
    <row r="892" spans="1:9" x14ac:dyDescent="0.15">
      <c r="A892" t="str">
        <f t="shared" ref="A892:B892" si="724">A891</f>
        <v>英語</v>
      </c>
      <c r="B892">
        <f t="shared" si="724"/>
        <v>8</v>
      </c>
      <c r="C892">
        <f t="shared" si="693"/>
        <v>58</v>
      </c>
      <c r="D892">
        <f>D851</f>
        <v>32</v>
      </c>
      <c r="E892" t="str">
        <f>VLOOKUP(D892,name!A:B,2,1)</f>
        <v>Asha</v>
      </c>
      <c r="F892" t="str">
        <f>F851</f>
        <v>We'll both pass with flying colours and be models for future students.</v>
      </c>
      <c r="G892" t="str">
        <f t="shared" si="696"/>
        <v>a</v>
      </c>
      <c r="H892" t="str">
        <f>VLOOKUP(D892,name!A:C,3,1)</f>
        <v>assets/icons/image235.png</v>
      </c>
      <c r="I892" t="str">
        <f>IF(A892="","",VLOOKUP(A892,lng!A:B,2,0))</f>
        <v>en-GB</v>
      </c>
    </row>
    <row r="893" spans="1:9" x14ac:dyDescent="0.15">
      <c r="A893" t="str">
        <f t="shared" ref="A893:B893" si="725">A892</f>
        <v>英語</v>
      </c>
      <c r="B893">
        <f t="shared" si="725"/>
        <v>8</v>
      </c>
      <c r="C893">
        <f t="shared" si="693"/>
        <v>59</v>
      </c>
      <c r="D893">
        <v>0</v>
      </c>
      <c r="E893" t="str">
        <f>VLOOKUP(D893,name!A:B,2,1)</f>
        <v>Player</v>
      </c>
      <c r="F893" t="str">
        <f>F851</f>
        <v>We'll both pass with flying colours and be models for future students.</v>
      </c>
      <c r="G893" t="str">
        <f t="shared" si="696"/>
        <v>q</v>
      </c>
      <c r="H893" t="str">
        <f>VLOOKUP(D893,name!A:C,3,1)</f>
        <v>assets/icons/image326.png</v>
      </c>
      <c r="I893" t="str">
        <f>IF(A893="","",VLOOKUP(A893,lng!A:B,2,0))</f>
        <v>en-GB</v>
      </c>
    </row>
    <row r="894" spans="1:9" x14ac:dyDescent="0.15">
      <c r="A894" t="str">
        <f t="shared" ref="A894:B894" si="726">A893</f>
        <v>英語</v>
      </c>
      <c r="B894">
        <f t="shared" si="726"/>
        <v>8</v>
      </c>
      <c r="C894">
        <f t="shared" si="693"/>
        <v>60</v>
      </c>
      <c r="D894">
        <f>D852</f>
        <v>29</v>
      </c>
      <c r="E894" t="str">
        <f>VLOOKUP(D894,name!A:B,2,1)</f>
        <v>Eri</v>
      </c>
      <c r="F894" t="str">
        <f>F852</f>
        <v>まあ、それは少し言い過ぎだと思います。</v>
      </c>
      <c r="G894" t="str">
        <f t="shared" si="696"/>
        <v>a</v>
      </c>
      <c r="H894" t="str">
        <f>VLOOKUP(D894,name!A:C,3,1)</f>
        <v>assets/icons/image209.png</v>
      </c>
      <c r="I894" t="s">
        <v>402</v>
      </c>
    </row>
    <row r="895" spans="1:9" x14ac:dyDescent="0.15">
      <c r="A895" t="str">
        <f t="shared" ref="A895:B895" si="727">A894</f>
        <v>英語</v>
      </c>
      <c r="B895">
        <f t="shared" si="727"/>
        <v>8</v>
      </c>
      <c r="C895">
        <f t="shared" si="693"/>
        <v>61</v>
      </c>
      <c r="D895">
        <f>D853</f>
        <v>29</v>
      </c>
      <c r="E895" t="str">
        <f>VLOOKUP(D895,name!A:B,2,1)</f>
        <v>Eri</v>
      </c>
      <c r="F895" t="str">
        <f>F853</f>
        <v>Well, I think that's saying a bit too much;</v>
      </c>
      <c r="G895" t="str">
        <f t="shared" si="696"/>
        <v>a</v>
      </c>
      <c r="H895" t="str">
        <f>VLOOKUP(D895,name!A:C,3,1)</f>
        <v>assets/icons/image209.png</v>
      </c>
      <c r="I895" t="str">
        <f>IF(A895="","",VLOOKUP(A895,lng!A:B,2,0))</f>
        <v>en-GB</v>
      </c>
    </row>
    <row r="896" spans="1:9" x14ac:dyDescent="0.15">
      <c r="A896" t="str">
        <f t="shared" ref="A896:B896" si="728">A895</f>
        <v>英語</v>
      </c>
      <c r="B896">
        <f t="shared" si="728"/>
        <v>8</v>
      </c>
      <c r="C896">
        <f t="shared" si="693"/>
        <v>62</v>
      </c>
      <c r="D896">
        <v>0</v>
      </c>
      <c r="E896" t="str">
        <f>VLOOKUP(D896,name!A:B,2,1)</f>
        <v>Player</v>
      </c>
      <c r="F896" t="str">
        <f>F853</f>
        <v>Well, I think that's saying a bit too much;</v>
      </c>
      <c r="G896" t="str">
        <f t="shared" si="696"/>
        <v>q</v>
      </c>
      <c r="H896" t="str">
        <f>VLOOKUP(D896,name!A:C,3,1)</f>
        <v>assets/icons/image326.png</v>
      </c>
      <c r="I896" t="str">
        <f>IF(A896="","",VLOOKUP(A896,lng!A:B,2,0))</f>
        <v>en-GB</v>
      </c>
    </row>
    <row r="897" spans="1:9" x14ac:dyDescent="0.15">
      <c r="A897" t="str">
        <f t="shared" ref="A897:B897" si="729">A896</f>
        <v>英語</v>
      </c>
      <c r="B897">
        <f t="shared" si="729"/>
        <v>8</v>
      </c>
      <c r="C897">
        <f t="shared" si="693"/>
        <v>63</v>
      </c>
      <c r="D897">
        <f>D854</f>
        <v>29</v>
      </c>
      <c r="E897" t="str">
        <f>VLOOKUP(D897,name!A:B,2,1)</f>
        <v>Eri</v>
      </c>
      <c r="F897" t="str">
        <f>F854</f>
        <v>合格するだけで幸せです。</v>
      </c>
      <c r="G897" t="str">
        <f t="shared" si="696"/>
        <v>a</v>
      </c>
      <c r="H897" t="str">
        <f>VLOOKUP(D897,name!A:C,3,1)</f>
        <v>assets/icons/image209.png</v>
      </c>
      <c r="I897" t="s">
        <v>402</v>
      </c>
    </row>
    <row r="898" spans="1:9" x14ac:dyDescent="0.15">
      <c r="A898" t="str">
        <f t="shared" ref="A898:B898" si="730">A897</f>
        <v>英語</v>
      </c>
      <c r="B898">
        <f t="shared" si="730"/>
        <v>8</v>
      </c>
      <c r="C898">
        <f t="shared" si="693"/>
        <v>64</v>
      </c>
      <c r="D898">
        <f>D855</f>
        <v>29</v>
      </c>
      <c r="E898" t="str">
        <f>VLOOKUP(D898,name!A:B,2,1)</f>
        <v>Eri</v>
      </c>
      <c r="F898" t="str">
        <f>F855</f>
        <v xml:space="preserve"> I'll be happy just to pass.</v>
      </c>
      <c r="G898" t="str">
        <f t="shared" si="696"/>
        <v>a</v>
      </c>
      <c r="H898" t="str">
        <f>VLOOKUP(D898,name!A:C,3,1)</f>
        <v>assets/icons/image209.png</v>
      </c>
      <c r="I898" t="str">
        <f>IF(A898="","",VLOOKUP(A898,lng!A:B,2,0))</f>
        <v>en-GB</v>
      </c>
    </row>
    <row r="899" spans="1:9" x14ac:dyDescent="0.15">
      <c r="A899" t="str">
        <f t="shared" ref="A899:B899" si="731">A898</f>
        <v>英語</v>
      </c>
      <c r="B899">
        <f t="shared" si="731"/>
        <v>8</v>
      </c>
      <c r="C899">
        <f t="shared" si="693"/>
        <v>65</v>
      </c>
      <c r="D899">
        <v>0</v>
      </c>
      <c r="E899" t="str">
        <f>VLOOKUP(D899,name!A:B,2,1)</f>
        <v>Player</v>
      </c>
      <c r="F899" t="str">
        <f>F855</f>
        <v xml:space="preserve"> I'll be happy just to pass.</v>
      </c>
      <c r="G899" t="str">
        <f t="shared" si="696"/>
        <v>q</v>
      </c>
      <c r="H899" t="str">
        <f>VLOOKUP(D899,name!A:C,3,1)</f>
        <v>assets/icons/image326.png</v>
      </c>
      <c r="I899" t="str">
        <f>IF(A899="","",VLOOKUP(A899,lng!A:B,2,0))</f>
        <v>en-GB</v>
      </c>
    </row>
    <row r="900" spans="1:9" x14ac:dyDescent="0.15">
      <c r="A900" t="str">
        <f t="shared" ref="A900:B900" si="732">A899</f>
        <v>英語</v>
      </c>
      <c r="B900">
        <f t="shared" si="732"/>
        <v>8</v>
      </c>
      <c r="C900">
        <f t="shared" si="693"/>
        <v>66</v>
      </c>
      <c r="D900">
        <f>D856</f>
        <v>32</v>
      </c>
      <c r="E900" t="str">
        <f>VLOOKUP(D900,name!A:B,2,1)</f>
        <v>Asha</v>
      </c>
      <c r="F900" t="str">
        <f>F856</f>
        <v>試験の後は何をしますか？</v>
      </c>
      <c r="G900" t="str">
        <f t="shared" si="696"/>
        <v>a</v>
      </c>
      <c r="H900" t="str">
        <f>VLOOKUP(D900,name!A:C,3,1)</f>
        <v>assets/icons/image235.png</v>
      </c>
      <c r="I900" t="s">
        <v>402</v>
      </c>
    </row>
    <row r="901" spans="1:9" x14ac:dyDescent="0.15">
      <c r="A901" t="str">
        <f t="shared" ref="A901:B901" si="733">A900</f>
        <v>英語</v>
      </c>
      <c r="B901">
        <f t="shared" si="733"/>
        <v>8</v>
      </c>
      <c r="C901">
        <f t="shared" ref="C901:C959" si="734">C900+1</f>
        <v>67</v>
      </c>
      <c r="D901">
        <f>D857</f>
        <v>32</v>
      </c>
      <c r="E901" t="str">
        <f>VLOOKUP(D901,name!A:B,2,1)</f>
        <v>Asha</v>
      </c>
      <c r="F901" t="str">
        <f>F857</f>
        <v>What are you doing after the exams?</v>
      </c>
      <c r="G901" t="str">
        <f t="shared" si="696"/>
        <v>a</v>
      </c>
      <c r="H901" t="str">
        <f>VLOOKUP(D901,name!A:C,3,1)</f>
        <v>assets/icons/image235.png</v>
      </c>
      <c r="I901" t="str">
        <f>IF(A901="","",VLOOKUP(A901,lng!A:B,2,0))</f>
        <v>en-GB</v>
      </c>
    </row>
    <row r="902" spans="1:9" x14ac:dyDescent="0.15">
      <c r="A902" t="str">
        <f t="shared" ref="A902:B902" si="735">A901</f>
        <v>英語</v>
      </c>
      <c r="B902">
        <f t="shared" si="735"/>
        <v>8</v>
      </c>
      <c r="C902">
        <f t="shared" si="734"/>
        <v>68</v>
      </c>
      <c r="D902">
        <v>0</v>
      </c>
      <c r="E902" t="str">
        <f>VLOOKUP(D902,name!A:B,2,1)</f>
        <v>Player</v>
      </c>
      <c r="F902" t="str">
        <f>F857</f>
        <v>What are you doing after the exams?</v>
      </c>
      <c r="G902" t="str">
        <f t="shared" si="696"/>
        <v>q</v>
      </c>
      <c r="H902" t="str">
        <f>VLOOKUP(D902,name!A:C,3,1)</f>
        <v>assets/icons/image326.png</v>
      </c>
      <c r="I902" t="str">
        <f>IF(A902="","",VLOOKUP(A902,lng!A:B,2,0))</f>
        <v>en-GB</v>
      </c>
    </row>
    <row r="903" spans="1:9" x14ac:dyDescent="0.15">
      <c r="A903" t="str">
        <f t="shared" ref="A903:B903" si="736">A902</f>
        <v>英語</v>
      </c>
      <c r="B903">
        <f t="shared" si="736"/>
        <v>8</v>
      </c>
      <c r="C903">
        <f t="shared" si="734"/>
        <v>69</v>
      </c>
      <c r="D903">
        <f>D858</f>
        <v>32</v>
      </c>
      <c r="E903" t="str">
        <f>VLOOKUP(D903,name!A:B,2,1)</f>
        <v>Asha</v>
      </c>
      <c r="F903" t="str">
        <f>F858</f>
        <v>夏は実家に帰りますか？</v>
      </c>
      <c r="G903" t="str">
        <f t="shared" si="696"/>
        <v>a</v>
      </c>
      <c r="H903" t="str">
        <f>VLOOKUP(D903,name!A:C,3,1)</f>
        <v>assets/icons/image235.png</v>
      </c>
      <c r="I903" t="s">
        <v>402</v>
      </c>
    </row>
    <row r="904" spans="1:9" x14ac:dyDescent="0.15">
      <c r="A904" t="str">
        <f t="shared" ref="A904:B904" si="737">A903</f>
        <v>英語</v>
      </c>
      <c r="B904">
        <f t="shared" si="737"/>
        <v>8</v>
      </c>
      <c r="C904">
        <f t="shared" si="734"/>
        <v>70</v>
      </c>
      <c r="D904">
        <f>D859</f>
        <v>32</v>
      </c>
      <c r="E904" t="str">
        <f>VLOOKUP(D904,name!A:B,2,1)</f>
        <v>Asha</v>
      </c>
      <c r="F904" t="str">
        <f>F859</f>
        <v>Going home for the summer?</v>
      </c>
      <c r="G904" t="str">
        <f t="shared" si="696"/>
        <v>a</v>
      </c>
      <c r="H904" t="str">
        <f>VLOOKUP(D904,name!A:C,3,1)</f>
        <v>assets/icons/image235.png</v>
      </c>
      <c r="I904" t="str">
        <f>IF(A904="","",VLOOKUP(A904,lng!A:B,2,0))</f>
        <v>en-GB</v>
      </c>
    </row>
    <row r="905" spans="1:9" x14ac:dyDescent="0.15">
      <c r="A905" t="str">
        <f t="shared" ref="A905:B905" si="738">A904</f>
        <v>英語</v>
      </c>
      <c r="B905">
        <f t="shared" si="738"/>
        <v>8</v>
      </c>
      <c r="C905">
        <f t="shared" si="734"/>
        <v>71</v>
      </c>
      <c r="D905">
        <v>0</v>
      </c>
      <c r="E905" t="str">
        <f>VLOOKUP(D905,name!A:B,2,1)</f>
        <v>Player</v>
      </c>
      <c r="F905" t="str">
        <f>F859</f>
        <v>Going home for the summer?</v>
      </c>
      <c r="G905" t="str">
        <f t="shared" si="696"/>
        <v>q</v>
      </c>
      <c r="H905" t="str">
        <f>VLOOKUP(D905,name!A:C,3,1)</f>
        <v>assets/icons/image326.png</v>
      </c>
      <c r="I905" t="str">
        <f>IF(A905="","",VLOOKUP(A905,lng!A:B,2,0))</f>
        <v>en-GB</v>
      </c>
    </row>
    <row r="906" spans="1:9" x14ac:dyDescent="0.15">
      <c r="A906" t="str">
        <f t="shared" ref="A906:B906" si="739">A905</f>
        <v>英語</v>
      </c>
      <c r="B906">
        <f t="shared" si="739"/>
        <v>8</v>
      </c>
      <c r="C906">
        <f t="shared" si="734"/>
        <v>72</v>
      </c>
      <c r="D906">
        <f>D860</f>
        <v>29</v>
      </c>
      <c r="E906" t="str">
        <f>VLOOKUP(D906,name!A:B,2,1)</f>
        <v>Eri</v>
      </c>
      <c r="F906" t="str">
        <f>F860</f>
        <v>いいえ、できません。</v>
      </c>
      <c r="G906" t="str">
        <f t="shared" si="696"/>
        <v>a</v>
      </c>
      <c r="H906" t="str">
        <f>VLOOKUP(D906,name!A:C,3,1)</f>
        <v>assets/icons/image209.png</v>
      </c>
      <c r="I906" t="s">
        <v>402</v>
      </c>
    </row>
    <row r="907" spans="1:9" x14ac:dyDescent="0.15">
      <c r="A907" t="str">
        <f t="shared" ref="A907:B907" si="740">A906</f>
        <v>英語</v>
      </c>
      <c r="B907">
        <f t="shared" si="740"/>
        <v>8</v>
      </c>
      <c r="C907">
        <f t="shared" si="734"/>
        <v>73</v>
      </c>
      <c r="D907">
        <f>D861</f>
        <v>29</v>
      </c>
      <c r="E907" t="str">
        <f>VLOOKUP(D907,name!A:B,2,1)</f>
        <v>Eri</v>
      </c>
      <c r="F907" t="str">
        <f>F861</f>
        <v xml:space="preserve">No, I can't. </v>
      </c>
      <c r="G907" t="str">
        <f t="shared" si="696"/>
        <v>a</v>
      </c>
      <c r="H907" t="str">
        <f>VLOOKUP(D907,name!A:C,3,1)</f>
        <v>assets/icons/image209.png</v>
      </c>
      <c r="I907" t="str">
        <f>IF(A907="","",VLOOKUP(A907,lng!A:B,2,0))</f>
        <v>en-GB</v>
      </c>
    </row>
    <row r="908" spans="1:9" x14ac:dyDescent="0.15">
      <c r="A908" t="str">
        <f t="shared" ref="A908:B908" si="741">A907</f>
        <v>英語</v>
      </c>
      <c r="B908">
        <f t="shared" si="741"/>
        <v>8</v>
      </c>
      <c r="C908">
        <f t="shared" si="734"/>
        <v>74</v>
      </c>
      <c r="D908">
        <v>0</v>
      </c>
      <c r="E908" t="str">
        <f>VLOOKUP(D908,name!A:B,2,1)</f>
        <v>Player</v>
      </c>
      <c r="F908" t="str">
        <f>F861</f>
        <v xml:space="preserve">No, I can't. </v>
      </c>
      <c r="G908" t="str">
        <f t="shared" si="696"/>
        <v>q</v>
      </c>
      <c r="H908" t="str">
        <f>VLOOKUP(D908,name!A:C,3,1)</f>
        <v>assets/icons/image326.png</v>
      </c>
      <c r="I908" t="str">
        <f>IF(A908="","",VLOOKUP(A908,lng!A:B,2,0))</f>
        <v>en-GB</v>
      </c>
    </row>
    <row r="909" spans="1:9" x14ac:dyDescent="0.15">
      <c r="A909" t="str">
        <f t="shared" ref="A909:B909" si="742">A908</f>
        <v>英語</v>
      </c>
      <c r="B909">
        <f t="shared" si="742"/>
        <v>8</v>
      </c>
      <c r="C909">
        <f t="shared" si="734"/>
        <v>75</v>
      </c>
      <c r="D909">
        <f>D862</f>
        <v>29</v>
      </c>
      <c r="E909" t="str">
        <f>VLOOKUP(D909,name!A:B,2,1)</f>
        <v>Eri</v>
      </c>
      <c r="F909" t="str">
        <f>F862</f>
        <v>アカデミック・スキル・コースが始まるまで、10日間しか休みがありません。</v>
      </c>
      <c r="G909" t="str">
        <f t="shared" si="696"/>
        <v>a</v>
      </c>
      <c r="H909" t="str">
        <f>VLOOKUP(D909,name!A:C,3,1)</f>
        <v>assets/icons/image209.png</v>
      </c>
      <c r="I909" t="s">
        <v>402</v>
      </c>
    </row>
    <row r="910" spans="1:9" x14ac:dyDescent="0.15">
      <c r="A910" t="str">
        <f t="shared" ref="A910:B910" si="743">A909</f>
        <v>英語</v>
      </c>
      <c r="B910">
        <f t="shared" si="743"/>
        <v>8</v>
      </c>
      <c r="C910">
        <f t="shared" si="734"/>
        <v>76</v>
      </c>
      <c r="D910">
        <f>D863</f>
        <v>29</v>
      </c>
      <c r="E910" t="str">
        <f>VLOOKUP(D910,name!A:B,2,1)</f>
        <v>Eri</v>
      </c>
      <c r="F910" t="str">
        <f>F863</f>
        <v xml:space="preserve"> I only have ten days off before the Academic Skills course starts.</v>
      </c>
      <c r="G910" t="str">
        <f t="shared" si="696"/>
        <v>a</v>
      </c>
      <c r="H910" t="str">
        <f>VLOOKUP(D910,name!A:C,3,1)</f>
        <v>assets/icons/image209.png</v>
      </c>
      <c r="I910" t="str">
        <f>IF(A910="","",VLOOKUP(A910,lng!A:B,2,0))</f>
        <v>en-GB</v>
      </c>
    </row>
    <row r="911" spans="1:9" x14ac:dyDescent="0.15">
      <c r="A911" t="str">
        <f t="shared" ref="A911:B911" si="744">A910</f>
        <v>英語</v>
      </c>
      <c r="B911">
        <f t="shared" si="744"/>
        <v>8</v>
      </c>
      <c r="C911">
        <f t="shared" si="734"/>
        <v>77</v>
      </c>
      <c r="D911">
        <v>0</v>
      </c>
      <c r="E911" t="str">
        <f>VLOOKUP(D911,name!A:B,2,1)</f>
        <v>Player</v>
      </c>
      <c r="F911" t="str">
        <f>F863</f>
        <v xml:space="preserve"> I only have ten days off before the Academic Skills course starts.</v>
      </c>
      <c r="G911" t="str">
        <f t="shared" si="696"/>
        <v>q</v>
      </c>
      <c r="H911" t="str">
        <f>VLOOKUP(D911,name!A:C,3,1)</f>
        <v>assets/icons/image326.png</v>
      </c>
      <c r="I911" t="str">
        <f>IF(A911="","",VLOOKUP(A911,lng!A:B,2,0))</f>
        <v>en-GB</v>
      </c>
    </row>
    <row r="912" spans="1:9" x14ac:dyDescent="0.15">
      <c r="A912" t="str">
        <f t="shared" ref="A912:B912" si="745">A911</f>
        <v>英語</v>
      </c>
      <c r="B912">
        <f t="shared" si="745"/>
        <v>8</v>
      </c>
      <c r="C912">
        <f t="shared" si="734"/>
        <v>78</v>
      </c>
      <c r="D912">
        <f>D864</f>
        <v>32</v>
      </c>
      <c r="E912" t="str">
        <f>VLOOKUP(D912,name!A:B,2,1)</f>
        <v>Asha</v>
      </c>
      <c r="F912" t="str">
        <f>F864</f>
        <v>わお！</v>
      </c>
      <c r="G912" t="str">
        <f t="shared" si="696"/>
        <v>a</v>
      </c>
      <c r="H912" t="str">
        <f>VLOOKUP(D912,name!A:C,3,1)</f>
        <v>assets/icons/image235.png</v>
      </c>
      <c r="I912" t="s">
        <v>402</v>
      </c>
    </row>
    <row r="913" spans="1:9" x14ac:dyDescent="0.15">
      <c r="A913" t="str">
        <f t="shared" ref="A913:B913" si="746">A912</f>
        <v>英語</v>
      </c>
      <c r="B913">
        <f t="shared" si="746"/>
        <v>8</v>
      </c>
      <c r="C913">
        <f t="shared" si="734"/>
        <v>79</v>
      </c>
      <c r="D913">
        <f>D865</f>
        <v>32</v>
      </c>
      <c r="E913" t="str">
        <f>VLOOKUP(D913,name!A:B,2,1)</f>
        <v>Asha</v>
      </c>
      <c r="F913" t="str">
        <f>F865</f>
        <v xml:space="preserve">Wow! </v>
      </c>
      <c r="G913" t="str">
        <f t="shared" si="696"/>
        <v>a</v>
      </c>
      <c r="H913" t="str">
        <f>VLOOKUP(D913,name!A:C,3,1)</f>
        <v>assets/icons/image235.png</v>
      </c>
      <c r="I913" t="str">
        <f>IF(A913="","",VLOOKUP(A913,lng!A:B,2,0))</f>
        <v>en-GB</v>
      </c>
    </row>
    <row r="914" spans="1:9" x14ac:dyDescent="0.15">
      <c r="A914" t="str">
        <f t="shared" ref="A914:B914" si="747">A913</f>
        <v>英語</v>
      </c>
      <c r="B914">
        <f t="shared" si="747"/>
        <v>8</v>
      </c>
      <c r="C914">
        <f t="shared" si="734"/>
        <v>80</v>
      </c>
      <c r="D914">
        <v>0</v>
      </c>
      <c r="E914" t="str">
        <f>VLOOKUP(D914,name!A:B,2,1)</f>
        <v>Player</v>
      </c>
      <c r="F914" t="str">
        <f>F865</f>
        <v xml:space="preserve">Wow! </v>
      </c>
      <c r="G914" t="str">
        <f t="shared" si="696"/>
        <v>q</v>
      </c>
      <c r="H914" t="str">
        <f>VLOOKUP(D914,name!A:C,3,1)</f>
        <v>assets/icons/image326.png</v>
      </c>
      <c r="I914" t="str">
        <f>IF(A914="","",VLOOKUP(A914,lng!A:B,2,0))</f>
        <v>en-GB</v>
      </c>
    </row>
    <row r="915" spans="1:9" x14ac:dyDescent="0.15">
      <c r="A915" t="str">
        <f t="shared" ref="A915:B915" si="748">A914</f>
        <v>英語</v>
      </c>
      <c r="B915">
        <f t="shared" si="748"/>
        <v>8</v>
      </c>
      <c r="C915">
        <f t="shared" si="734"/>
        <v>81</v>
      </c>
      <c r="D915">
        <f>D866</f>
        <v>32</v>
      </c>
      <c r="E915" t="str">
        <f>VLOOKUP(D915,name!A:B,2,1)</f>
        <v>Asha</v>
      </c>
      <c r="F915" t="str">
        <f>F866</f>
        <v>でも、10日間の空きがあれば、</v>
      </c>
      <c r="G915" t="str">
        <f t="shared" si="696"/>
        <v>a</v>
      </c>
      <c r="H915" t="str">
        <f>VLOOKUP(D915,name!A:C,3,1)</f>
        <v>assets/icons/image235.png</v>
      </c>
      <c r="I915" t="s">
        <v>402</v>
      </c>
    </row>
    <row r="916" spans="1:9" x14ac:dyDescent="0.15">
      <c r="A916" t="str">
        <f t="shared" ref="A916:B916" si="749">A915</f>
        <v>英語</v>
      </c>
      <c r="B916">
        <f t="shared" si="749"/>
        <v>8</v>
      </c>
      <c r="C916">
        <f t="shared" si="734"/>
        <v>82</v>
      </c>
      <c r="D916">
        <f>D867</f>
        <v>32</v>
      </c>
      <c r="E916" t="str">
        <f>VLOOKUP(D916,name!A:B,2,1)</f>
        <v>Asha</v>
      </c>
      <c r="F916" t="str">
        <f>F867</f>
        <v>But, if you've got ten days free,</v>
      </c>
      <c r="G916" t="str">
        <f t="shared" si="696"/>
        <v>a</v>
      </c>
      <c r="H916" t="str">
        <f>VLOOKUP(D916,name!A:C,3,1)</f>
        <v>assets/icons/image235.png</v>
      </c>
      <c r="I916" t="str">
        <f>IF(A916="","",VLOOKUP(A916,lng!A:B,2,0))</f>
        <v>en-GB</v>
      </c>
    </row>
    <row r="917" spans="1:9" x14ac:dyDescent="0.15">
      <c r="A917" t="str">
        <f t="shared" ref="A917:B917" si="750">A916</f>
        <v>英語</v>
      </c>
      <c r="B917">
        <f t="shared" si="750"/>
        <v>8</v>
      </c>
      <c r="C917">
        <f t="shared" si="734"/>
        <v>83</v>
      </c>
      <c r="D917">
        <v>0</v>
      </c>
      <c r="E917" t="str">
        <f>VLOOKUP(D917,name!A:B,2,1)</f>
        <v>Player</v>
      </c>
      <c r="F917" t="str">
        <f>F867</f>
        <v>But, if you've got ten days free,</v>
      </c>
      <c r="G917" t="str">
        <f t="shared" si="696"/>
        <v>q</v>
      </c>
      <c r="H917" t="str">
        <f>VLOOKUP(D917,name!A:C,3,1)</f>
        <v>assets/icons/image326.png</v>
      </c>
      <c r="I917" t="str">
        <f>IF(A917="","",VLOOKUP(A917,lng!A:B,2,0))</f>
        <v>en-GB</v>
      </c>
    </row>
    <row r="918" spans="1:9" x14ac:dyDescent="0.15">
      <c r="A918" t="str">
        <f t="shared" ref="A918:B918" si="751">A917</f>
        <v>英語</v>
      </c>
      <c r="B918">
        <f t="shared" si="751"/>
        <v>8</v>
      </c>
      <c r="C918">
        <f t="shared" si="734"/>
        <v>84</v>
      </c>
      <c r="D918">
        <f>D868</f>
        <v>32</v>
      </c>
      <c r="E918" t="str">
        <f>VLOOKUP(D918,name!A:B,2,1)</f>
        <v>Asha</v>
      </c>
      <c r="F918" t="str">
        <f>F868</f>
        <v>私とサイモンと一緒に一週間の休暇でスカボロに来ませんか？</v>
      </c>
      <c r="G918" t="str">
        <f t="shared" si="696"/>
        <v>a</v>
      </c>
      <c r="H918" t="str">
        <f>VLOOKUP(D918,name!A:C,3,1)</f>
        <v>assets/icons/image235.png</v>
      </c>
      <c r="I918" t="s">
        <v>402</v>
      </c>
    </row>
    <row r="919" spans="1:9" x14ac:dyDescent="0.15">
      <c r="A919" t="str">
        <f t="shared" ref="A919:B919" si="752">A918</f>
        <v>英語</v>
      </c>
      <c r="B919">
        <f t="shared" si="752"/>
        <v>8</v>
      </c>
      <c r="C919">
        <f t="shared" si="734"/>
        <v>85</v>
      </c>
      <c r="D919">
        <f>D869</f>
        <v>32</v>
      </c>
      <c r="E919" t="str">
        <f>VLOOKUP(D919,name!A:B,2,1)</f>
        <v>Asha</v>
      </c>
      <c r="F919" t="str">
        <f>F869</f>
        <v>why don't you come to Scarborough for a week's holiday with me and Simon?</v>
      </c>
      <c r="G919" t="str">
        <f t="shared" si="696"/>
        <v>a</v>
      </c>
      <c r="H919" t="str">
        <f>VLOOKUP(D919,name!A:C,3,1)</f>
        <v>assets/icons/image235.png</v>
      </c>
      <c r="I919" t="str">
        <f>IF(A919="","",VLOOKUP(A919,lng!A:B,2,0))</f>
        <v>en-GB</v>
      </c>
    </row>
    <row r="920" spans="1:9" x14ac:dyDescent="0.15">
      <c r="A920" t="str">
        <f t="shared" ref="A920:B920" si="753">A919</f>
        <v>英語</v>
      </c>
      <c r="B920">
        <f t="shared" si="753"/>
        <v>8</v>
      </c>
      <c r="C920">
        <f t="shared" si="734"/>
        <v>86</v>
      </c>
      <c r="D920">
        <v>0</v>
      </c>
      <c r="E920" t="str">
        <f>VLOOKUP(D920,name!A:B,2,1)</f>
        <v>Player</v>
      </c>
      <c r="F920" t="str">
        <f>F869</f>
        <v>why don't you come to Scarborough for a week's holiday with me and Simon?</v>
      </c>
      <c r="G920" t="str">
        <f t="shared" si="696"/>
        <v>q</v>
      </c>
      <c r="H920" t="str">
        <f>VLOOKUP(D920,name!A:C,3,1)</f>
        <v>assets/icons/image326.png</v>
      </c>
      <c r="I920" t="str">
        <f>IF(A920="","",VLOOKUP(A920,lng!A:B,2,0))</f>
        <v>en-GB</v>
      </c>
    </row>
    <row r="921" spans="1:9" x14ac:dyDescent="0.15">
      <c r="A921" t="str">
        <f t="shared" ref="A921:B921" si="754">A920</f>
        <v>英語</v>
      </c>
      <c r="B921">
        <f t="shared" si="754"/>
        <v>8</v>
      </c>
      <c r="C921">
        <f t="shared" si="734"/>
        <v>87</v>
      </c>
      <c r="D921">
        <f>D870</f>
        <v>32</v>
      </c>
      <c r="E921" t="str">
        <f>VLOOKUP(D921,name!A:B,2,1)</f>
        <v>Asha</v>
      </c>
      <c r="F921" t="str">
        <f>F870</f>
        <v>アパートを一週間借りました。</v>
      </c>
      <c r="G921" t="str">
        <f t="shared" si="696"/>
        <v>a</v>
      </c>
      <c r="H921" t="str">
        <f>VLOOKUP(D921,name!A:C,3,1)</f>
        <v>assets/icons/image235.png</v>
      </c>
      <c r="I921" t="s">
        <v>402</v>
      </c>
    </row>
    <row r="922" spans="1:9" x14ac:dyDescent="0.15">
      <c r="A922" t="str">
        <f t="shared" ref="A922:B922" si="755">A921</f>
        <v>英語</v>
      </c>
      <c r="B922">
        <f t="shared" si="755"/>
        <v>8</v>
      </c>
      <c r="C922">
        <f t="shared" si="734"/>
        <v>88</v>
      </c>
      <c r="D922">
        <f>D871</f>
        <v>32</v>
      </c>
      <c r="E922" t="str">
        <f>VLOOKUP(D922,name!A:B,2,1)</f>
        <v>Asha</v>
      </c>
      <c r="F922" t="str">
        <f>F871</f>
        <v>We've rented a flat for a week.</v>
      </c>
      <c r="G922" t="str">
        <f t="shared" si="696"/>
        <v>a</v>
      </c>
      <c r="H922" t="str">
        <f>VLOOKUP(D922,name!A:C,3,1)</f>
        <v>assets/icons/image235.png</v>
      </c>
      <c r="I922" t="str">
        <f>IF(A922="","",VLOOKUP(A922,lng!A:B,2,0))</f>
        <v>en-GB</v>
      </c>
    </row>
    <row r="923" spans="1:9" x14ac:dyDescent="0.15">
      <c r="A923" t="str">
        <f t="shared" ref="A923:B923" si="756">A922</f>
        <v>英語</v>
      </c>
      <c r="B923">
        <f t="shared" si="756"/>
        <v>8</v>
      </c>
      <c r="C923">
        <f t="shared" si="734"/>
        <v>89</v>
      </c>
      <c r="D923">
        <v>0</v>
      </c>
      <c r="E923" t="str">
        <f>VLOOKUP(D923,name!A:B,2,1)</f>
        <v>Player</v>
      </c>
      <c r="F923" t="str">
        <f>F871</f>
        <v>We've rented a flat for a week.</v>
      </c>
      <c r="G923" t="str">
        <f t="shared" si="696"/>
        <v>q</v>
      </c>
      <c r="H923" t="str">
        <f>VLOOKUP(D923,name!A:C,3,1)</f>
        <v>assets/icons/image326.png</v>
      </c>
      <c r="I923" t="str">
        <f>IF(A923="","",VLOOKUP(A923,lng!A:B,2,0))</f>
        <v>en-GB</v>
      </c>
    </row>
    <row r="924" spans="1:9" x14ac:dyDescent="0.15">
      <c r="A924" t="str">
        <f t="shared" ref="A924:B924" si="757">A923</f>
        <v>英語</v>
      </c>
      <c r="B924">
        <f t="shared" si="757"/>
        <v>8</v>
      </c>
      <c r="C924">
        <f t="shared" si="734"/>
        <v>90</v>
      </c>
      <c r="D924">
        <v>1</v>
      </c>
      <c r="E924" t="str">
        <f>VLOOKUP(D924,name!A:B,2,1)</f>
        <v>Navigator</v>
      </c>
      <c r="F924" t="str">
        <f>"次の日本語を"&amp;A924&amp;"に訳して答えてね！"</f>
        <v>次の日本語を英語に訳して答えてね！</v>
      </c>
      <c r="G924" t="str">
        <f t="shared" si="696"/>
        <v>a</v>
      </c>
      <c r="H924" t="str">
        <f>VLOOKUP(D924,name!A:C,3,1)</f>
        <v>assets/icons/image014.png</v>
      </c>
      <c r="I924" t="s">
        <v>402</v>
      </c>
    </row>
    <row r="925" spans="1:9" x14ac:dyDescent="0.15">
      <c r="A925" t="str">
        <f t="shared" ref="A925:B925" si="758">A924</f>
        <v>英語</v>
      </c>
      <c r="B925">
        <f t="shared" si="758"/>
        <v>8</v>
      </c>
      <c r="C925">
        <f t="shared" si="734"/>
        <v>91</v>
      </c>
      <c r="D925">
        <f>D838</f>
        <v>32</v>
      </c>
      <c r="E925" t="str">
        <f>VLOOKUP(D925,name!A:B,2,1)</f>
        <v>Asha</v>
      </c>
      <c r="F925" t="str">
        <f t="shared" ref="F925:F958" si="759">F838</f>
        <v>こんな天気のいい日に試験に集中できるはずがない。</v>
      </c>
      <c r="G925" t="str">
        <f t="shared" si="696"/>
        <v>a</v>
      </c>
      <c r="H925" t="str">
        <f>VLOOKUP(D925,name!A:C,3,1)</f>
        <v>assets/icons/image235.png</v>
      </c>
      <c r="I925" t="s">
        <v>402</v>
      </c>
    </row>
    <row r="926" spans="1:9" x14ac:dyDescent="0.15">
      <c r="A926" t="str">
        <f t="shared" ref="A926:B926" si="760">A925</f>
        <v>英語</v>
      </c>
      <c r="B926">
        <f t="shared" si="760"/>
        <v>8</v>
      </c>
      <c r="C926">
        <f t="shared" si="734"/>
        <v>92</v>
      </c>
      <c r="D926">
        <v>0</v>
      </c>
      <c r="E926" t="str">
        <f>VLOOKUP(D926,name!A:B,2,1)</f>
        <v>Player</v>
      </c>
      <c r="F926" t="str">
        <f t="shared" si="759"/>
        <v>How can we concentrate on exams on a lovely day like this?</v>
      </c>
      <c r="G926" t="str">
        <f t="shared" ref="G926:G989" si="761">IF(B926&lt;&gt;B927,"e",IF(D926=0,"q","a"))</f>
        <v>q</v>
      </c>
      <c r="H926" t="str">
        <f>VLOOKUP(D926,name!A:C,3,1)</f>
        <v>assets/icons/image326.png</v>
      </c>
      <c r="I926" t="str">
        <f>IF(A926="","",VLOOKUP(A926,lng!A:B,2,0))</f>
        <v>en-GB</v>
      </c>
    </row>
    <row r="927" spans="1:9" x14ac:dyDescent="0.15">
      <c r="A927" t="str">
        <f t="shared" ref="A927:B927" si="762">A926</f>
        <v>英語</v>
      </c>
      <c r="B927">
        <f t="shared" si="762"/>
        <v>8</v>
      </c>
      <c r="C927">
        <f t="shared" si="734"/>
        <v>93</v>
      </c>
      <c r="D927">
        <f>D840</f>
        <v>32</v>
      </c>
      <c r="E927" t="str">
        <f>VLOOKUP(D927,name!A:B,2,1)</f>
        <v>Asha</v>
      </c>
      <c r="F927" t="str">
        <f t="shared" si="759"/>
        <v>きっと失敗します。</v>
      </c>
      <c r="G927" t="str">
        <f t="shared" si="761"/>
        <v>a</v>
      </c>
      <c r="H927" t="str">
        <f>VLOOKUP(D927,name!A:C,3,1)</f>
        <v>assets/icons/image235.png</v>
      </c>
      <c r="I927" t="s">
        <v>402</v>
      </c>
    </row>
    <row r="928" spans="1:9" x14ac:dyDescent="0.15">
      <c r="A928" t="str">
        <f t="shared" ref="A928:B928" si="763">A927</f>
        <v>英語</v>
      </c>
      <c r="B928">
        <f t="shared" si="763"/>
        <v>8</v>
      </c>
      <c r="C928">
        <f t="shared" si="734"/>
        <v>94</v>
      </c>
      <c r="D928">
        <v>0</v>
      </c>
      <c r="E928" t="str">
        <f>VLOOKUP(D928,name!A:B,2,1)</f>
        <v>Player</v>
      </c>
      <c r="F928" t="str">
        <f t="shared" si="759"/>
        <v>I'm sure I'll fail.</v>
      </c>
      <c r="G928" t="str">
        <f t="shared" si="761"/>
        <v>q</v>
      </c>
      <c r="H928" t="str">
        <f>VLOOKUP(D928,name!A:C,3,1)</f>
        <v>assets/icons/image326.png</v>
      </c>
      <c r="I928" t="str">
        <f>IF(A928="","",VLOOKUP(A928,lng!A:B,2,0))</f>
        <v>en-GB</v>
      </c>
    </row>
    <row r="929" spans="1:9" x14ac:dyDescent="0.15">
      <c r="A929" t="str">
        <f t="shared" ref="A929:B929" si="764">A928</f>
        <v>英語</v>
      </c>
      <c r="B929">
        <f t="shared" si="764"/>
        <v>8</v>
      </c>
      <c r="C929">
        <f t="shared" si="734"/>
        <v>95</v>
      </c>
      <c r="D929">
        <f>D842</f>
        <v>29</v>
      </c>
      <c r="E929" t="str">
        <f>VLOOKUP(D929,name!A:B,2,1)</f>
        <v>Eri</v>
      </c>
      <c r="F929" t="str">
        <f t="shared" si="759"/>
        <v>大丈夫</v>
      </c>
      <c r="G929" t="str">
        <f t="shared" si="761"/>
        <v>a</v>
      </c>
      <c r="H929" t="str">
        <f>VLOOKUP(D929,name!A:C,3,1)</f>
        <v>assets/icons/image209.png</v>
      </c>
      <c r="I929" t="s">
        <v>402</v>
      </c>
    </row>
    <row r="930" spans="1:9" x14ac:dyDescent="0.15">
      <c r="A930" t="str">
        <f t="shared" ref="A930:B930" si="765">A929</f>
        <v>英語</v>
      </c>
      <c r="B930">
        <f t="shared" si="765"/>
        <v>8</v>
      </c>
      <c r="C930">
        <f t="shared" si="734"/>
        <v>96</v>
      </c>
      <c r="D930">
        <v>0</v>
      </c>
      <c r="E930" t="str">
        <f>VLOOKUP(D930,name!A:B,2,1)</f>
        <v>Player</v>
      </c>
      <c r="F930" t="str">
        <f t="shared" si="759"/>
        <v>Oh, I'm sure you won't.</v>
      </c>
      <c r="G930" t="str">
        <f t="shared" si="761"/>
        <v>q</v>
      </c>
      <c r="H930" t="str">
        <f>VLOOKUP(D930,name!A:C,3,1)</f>
        <v>assets/icons/image326.png</v>
      </c>
      <c r="I930" t="str">
        <f>IF(A930="","",VLOOKUP(A930,lng!A:B,2,0))</f>
        <v>en-GB</v>
      </c>
    </row>
    <row r="931" spans="1:9" x14ac:dyDescent="0.15">
      <c r="A931" t="str">
        <f t="shared" ref="A931:B931" si="766">A930</f>
        <v>英語</v>
      </c>
      <c r="B931">
        <f t="shared" si="766"/>
        <v>8</v>
      </c>
      <c r="C931">
        <f t="shared" si="734"/>
        <v>97</v>
      </c>
      <c r="D931">
        <f>D844</f>
        <v>29</v>
      </c>
      <c r="E931" t="str">
        <f>VLOOKUP(D931,name!A:B,2,1)</f>
        <v>Eri</v>
      </c>
      <c r="F931" t="str">
        <f t="shared" si="759"/>
        <v>あなたはいつも私よりずっと良い点数をとってます。</v>
      </c>
      <c r="G931" t="str">
        <f t="shared" si="761"/>
        <v>a</v>
      </c>
      <c r="H931" t="str">
        <f>VLOOKUP(D931,name!A:C,3,1)</f>
        <v>assets/icons/image209.png</v>
      </c>
      <c r="I931" t="s">
        <v>402</v>
      </c>
    </row>
    <row r="932" spans="1:9" x14ac:dyDescent="0.15">
      <c r="A932" t="str">
        <f t="shared" ref="A932:B932" si="767">A931</f>
        <v>英語</v>
      </c>
      <c r="B932">
        <f t="shared" si="767"/>
        <v>8</v>
      </c>
      <c r="C932">
        <f t="shared" si="734"/>
        <v>98</v>
      </c>
      <c r="D932">
        <v>0</v>
      </c>
      <c r="E932" t="str">
        <f>VLOOKUP(D932,name!A:B,2,1)</f>
        <v>Player</v>
      </c>
      <c r="F932" t="str">
        <f t="shared" si="759"/>
        <v>You always get much better marks than I do.</v>
      </c>
      <c r="G932" t="str">
        <f t="shared" si="761"/>
        <v>q</v>
      </c>
      <c r="H932" t="str">
        <f>VLOOKUP(D932,name!A:C,3,1)</f>
        <v>assets/icons/image326.png</v>
      </c>
      <c r="I932" t="str">
        <f>IF(A932="","",VLOOKUP(A932,lng!A:B,2,0))</f>
        <v>en-GB</v>
      </c>
    </row>
    <row r="933" spans="1:9" x14ac:dyDescent="0.15">
      <c r="A933" t="str">
        <f t="shared" ref="A933:B933" si="768">A932</f>
        <v>英語</v>
      </c>
      <c r="B933">
        <f t="shared" si="768"/>
        <v>8</v>
      </c>
      <c r="C933">
        <f t="shared" si="734"/>
        <v>99</v>
      </c>
      <c r="D933">
        <f>D846</f>
        <v>29</v>
      </c>
      <c r="E933" t="str">
        <f>VLOOKUP(D933,name!A:B,2,1)</f>
        <v>Eri</v>
      </c>
      <c r="F933" t="str">
        <f t="shared" si="759"/>
        <v>私は気をつけないと来学期もこのコースを繰り返すと思います。</v>
      </c>
      <c r="G933" t="str">
        <f t="shared" si="761"/>
        <v>a</v>
      </c>
      <c r="H933" t="str">
        <f>VLOOKUP(D933,name!A:C,3,1)</f>
        <v>assets/icons/image209.png</v>
      </c>
      <c r="I933" t="s">
        <v>402</v>
      </c>
    </row>
    <row r="934" spans="1:9" x14ac:dyDescent="0.15">
      <c r="A934" t="str">
        <f t="shared" ref="A934:B934" si="769">A933</f>
        <v>英語</v>
      </c>
      <c r="B934">
        <f t="shared" si="769"/>
        <v>8</v>
      </c>
      <c r="C934">
        <f t="shared" si="734"/>
        <v>100</v>
      </c>
      <c r="D934">
        <v>0</v>
      </c>
      <c r="E934" t="str">
        <f>VLOOKUP(D934,name!A:B,2,1)</f>
        <v>Player</v>
      </c>
      <c r="F934" t="str">
        <f t="shared" si="759"/>
        <v>I think I'll be repeating this course next term if I'm not careful.</v>
      </c>
      <c r="G934" t="str">
        <f t="shared" si="761"/>
        <v>q</v>
      </c>
      <c r="H934" t="str">
        <f>VLOOKUP(D934,name!A:C,3,1)</f>
        <v>assets/icons/image326.png</v>
      </c>
      <c r="I934" t="str">
        <f>IF(A934="","",VLOOKUP(A934,lng!A:B,2,0))</f>
        <v>en-GB</v>
      </c>
    </row>
    <row r="935" spans="1:9" x14ac:dyDescent="0.15">
      <c r="A935" t="str">
        <f t="shared" ref="A935:B935" si="770">A934</f>
        <v>英語</v>
      </c>
      <c r="B935">
        <f t="shared" si="770"/>
        <v>8</v>
      </c>
      <c r="C935">
        <f t="shared" si="734"/>
        <v>101</v>
      </c>
      <c r="D935">
        <f>D848</f>
        <v>32</v>
      </c>
      <c r="E935" t="str">
        <f>VLOOKUP(D935,name!A:B,2,1)</f>
        <v>Asha</v>
      </c>
      <c r="F935" t="str">
        <f t="shared" si="759"/>
        <v>まさか!</v>
      </c>
      <c r="G935" t="str">
        <f t="shared" si="761"/>
        <v>a</v>
      </c>
      <c r="H935" t="str">
        <f>VLOOKUP(D935,name!A:C,3,1)</f>
        <v>assets/icons/image235.png</v>
      </c>
      <c r="I935" t="s">
        <v>402</v>
      </c>
    </row>
    <row r="936" spans="1:9" x14ac:dyDescent="0.15">
      <c r="A936" t="str">
        <f t="shared" ref="A936:B936" si="771">A935</f>
        <v>英語</v>
      </c>
      <c r="B936">
        <f t="shared" si="771"/>
        <v>8</v>
      </c>
      <c r="C936">
        <f t="shared" si="734"/>
        <v>102</v>
      </c>
      <c r="D936">
        <v>0</v>
      </c>
      <c r="E936" t="str">
        <f>VLOOKUP(D936,name!A:B,2,1)</f>
        <v>Player</v>
      </c>
      <c r="F936" t="str">
        <f t="shared" si="759"/>
        <v>No way!</v>
      </c>
      <c r="G936" t="str">
        <f t="shared" si="761"/>
        <v>q</v>
      </c>
      <c r="H936" t="str">
        <f>VLOOKUP(D936,name!A:C,3,1)</f>
        <v>assets/icons/image326.png</v>
      </c>
      <c r="I936" t="str">
        <f>IF(A936="","",VLOOKUP(A936,lng!A:B,2,0))</f>
        <v>en-GB</v>
      </c>
    </row>
    <row r="937" spans="1:9" x14ac:dyDescent="0.15">
      <c r="A937" t="str">
        <f t="shared" ref="A937:B937" si="772">A936</f>
        <v>英語</v>
      </c>
      <c r="B937">
        <f t="shared" si="772"/>
        <v>8</v>
      </c>
      <c r="C937">
        <f t="shared" si="734"/>
        <v>103</v>
      </c>
      <c r="D937">
        <f>D850</f>
        <v>32</v>
      </c>
      <c r="E937" t="str">
        <f>VLOOKUP(D937,name!A:B,2,1)</f>
        <v>Asha</v>
      </c>
      <c r="F937" t="str">
        <f t="shared" si="759"/>
        <v>2人とも見事に合格して、後輩たちの見本になるわよ。</v>
      </c>
      <c r="G937" t="str">
        <f t="shared" si="761"/>
        <v>a</v>
      </c>
      <c r="H937" t="str">
        <f>VLOOKUP(D937,name!A:C,3,1)</f>
        <v>assets/icons/image235.png</v>
      </c>
      <c r="I937" t="s">
        <v>402</v>
      </c>
    </row>
    <row r="938" spans="1:9" x14ac:dyDescent="0.15">
      <c r="A938" t="str">
        <f t="shared" ref="A938:B938" si="773">A937</f>
        <v>英語</v>
      </c>
      <c r="B938">
        <f t="shared" si="773"/>
        <v>8</v>
      </c>
      <c r="C938">
        <f t="shared" si="734"/>
        <v>104</v>
      </c>
      <c r="D938">
        <v>0</v>
      </c>
      <c r="E938" t="str">
        <f>VLOOKUP(D938,name!A:B,2,1)</f>
        <v>Player</v>
      </c>
      <c r="F938" t="str">
        <f t="shared" si="759"/>
        <v>We'll both pass with flying colours and be models for future students.</v>
      </c>
      <c r="G938" t="str">
        <f t="shared" si="761"/>
        <v>q</v>
      </c>
      <c r="H938" t="str">
        <f>VLOOKUP(D938,name!A:C,3,1)</f>
        <v>assets/icons/image326.png</v>
      </c>
      <c r="I938" t="str">
        <f>IF(A938="","",VLOOKUP(A938,lng!A:B,2,0))</f>
        <v>en-GB</v>
      </c>
    </row>
    <row r="939" spans="1:9" x14ac:dyDescent="0.15">
      <c r="A939" t="str">
        <f t="shared" ref="A939:B939" si="774">A938</f>
        <v>英語</v>
      </c>
      <c r="B939">
        <f t="shared" si="774"/>
        <v>8</v>
      </c>
      <c r="C939">
        <f t="shared" si="734"/>
        <v>105</v>
      </c>
      <c r="D939">
        <f>D852</f>
        <v>29</v>
      </c>
      <c r="E939" t="str">
        <f>VLOOKUP(D939,name!A:B,2,1)</f>
        <v>Eri</v>
      </c>
      <c r="F939" t="str">
        <f t="shared" si="759"/>
        <v>まあ、それは少し言い過ぎだと思います。</v>
      </c>
      <c r="G939" t="str">
        <f t="shared" si="761"/>
        <v>a</v>
      </c>
      <c r="H939" t="str">
        <f>VLOOKUP(D939,name!A:C,3,1)</f>
        <v>assets/icons/image209.png</v>
      </c>
      <c r="I939" t="s">
        <v>402</v>
      </c>
    </row>
    <row r="940" spans="1:9" x14ac:dyDescent="0.15">
      <c r="A940" t="str">
        <f t="shared" ref="A940:B940" si="775">A939</f>
        <v>英語</v>
      </c>
      <c r="B940">
        <f t="shared" si="775"/>
        <v>8</v>
      </c>
      <c r="C940">
        <f t="shared" si="734"/>
        <v>106</v>
      </c>
      <c r="D940">
        <v>0</v>
      </c>
      <c r="E940" t="str">
        <f>VLOOKUP(D940,name!A:B,2,1)</f>
        <v>Player</v>
      </c>
      <c r="F940" t="str">
        <f t="shared" si="759"/>
        <v>Well, I think that's saying a bit too much;</v>
      </c>
      <c r="G940" t="str">
        <f t="shared" si="761"/>
        <v>q</v>
      </c>
      <c r="H940" t="str">
        <f>VLOOKUP(D940,name!A:C,3,1)</f>
        <v>assets/icons/image326.png</v>
      </c>
      <c r="I940" t="str">
        <f>IF(A940="","",VLOOKUP(A940,lng!A:B,2,0))</f>
        <v>en-GB</v>
      </c>
    </row>
    <row r="941" spans="1:9" x14ac:dyDescent="0.15">
      <c r="A941" t="str">
        <f t="shared" ref="A941:B941" si="776">A940</f>
        <v>英語</v>
      </c>
      <c r="B941">
        <f t="shared" si="776"/>
        <v>8</v>
      </c>
      <c r="C941">
        <f t="shared" si="734"/>
        <v>107</v>
      </c>
      <c r="D941">
        <f>D854</f>
        <v>29</v>
      </c>
      <c r="E941" t="str">
        <f>VLOOKUP(D941,name!A:B,2,1)</f>
        <v>Eri</v>
      </c>
      <c r="F941" t="str">
        <f t="shared" si="759"/>
        <v>合格するだけで幸せです。</v>
      </c>
      <c r="G941" t="str">
        <f t="shared" si="761"/>
        <v>a</v>
      </c>
      <c r="H941" t="str">
        <f>VLOOKUP(D941,name!A:C,3,1)</f>
        <v>assets/icons/image209.png</v>
      </c>
      <c r="I941" t="s">
        <v>402</v>
      </c>
    </row>
    <row r="942" spans="1:9" x14ac:dyDescent="0.15">
      <c r="A942" t="str">
        <f t="shared" ref="A942:B942" si="777">A941</f>
        <v>英語</v>
      </c>
      <c r="B942">
        <f t="shared" si="777"/>
        <v>8</v>
      </c>
      <c r="C942">
        <f t="shared" si="734"/>
        <v>108</v>
      </c>
      <c r="D942">
        <v>0</v>
      </c>
      <c r="E942" t="str">
        <f>VLOOKUP(D942,name!A:B,2,1)</f>
        <v>Player</v>
      </c>
      <c r="F942" t="str">
        <f t="shared" si="759"/>
        <v xml:space="preserve"> I'll be happy just to pass.</v>
      </c>
      <c r="G942" t="str">
        <f t="shared" si="761"/>
        <v>q</v>
      </c>
      <c r="H942" t="str">
        <f>VLOOKUP(D942,name!A:C,3,1)</f>
        <v>assets/icons/image326.png</v>
      </c>
      <c r="I942" t="str">
        <f>IF(A942="","",VLOOKUP(A942,lng!A:B,2,0))</f>
        <v>en-GB</v>
      </c>
    </row>
    <row r="943" spans="1:9" x14ac:dyDescent="0.15">
      <c r="A943" t="str">
        <f t="shared" ref="A943:B943" si="778">A942</f>
        <v>英語</v>
      </c>
      <c r="B943">
        <f t="shared" si="778"/>
        <v>8</v>
      </c>
      <c r="C943">
        <f t="shared" si="734"/>
        <v>109</v>
      </c>
      <c r="D943">
        <f>D856</f>
        <v>32</v>
      </c>
      <c r="E943" t="str">
        <f>VLOOKUP(D943,name!A:B,2,1)</f>
        <v>Asha</v>
      </c>
      <c r="F943" t="str">
        <f t="shared" si="759"/>
        <v>試験の後は何をしますか？</v>
      </c>
      <c r="G943" t="str">
        <f t="shared" si="761"/>
        <v>a</v>
      </c>
      <c r="H943" t="str">
        <f>VLOOKUP(D943,name!A:C,3,1)</f>
        <v>assets/icons/image235.png</v>
      </c>
      <c r="I943" t="s">
        <v>402</v>
      </c>
    </row>
    <row r="944" spans="1:9" x14ac:dyDescent="0.15">
      <c r="A944" t="str">
        <f t="shared" ref="A944:B944" si="779">A943</f>
        <v>英語</v>
      </c>
      <c r="B944">
        <f t="shared" si="779"/>
        <v>8</v>
      </c>
      <c r="C944">
        <f t="shared" si="734"/>
        <v>110</v>
      </c>
      <c r="D944">
        <v>0</v>
      </c>
      <c r="E944" t="str">
        <f>VLOOKUP(D944,name!A:B,2,1)</f>
        <v>Player</v>
      </c>
      <c r="F944" t="str">
        <f t="shared" si="759"/>
        <v>What are you doing after the exams?</v>
      </c>
      <c r="G944" t="str">
        <f t="shared" si="761"/>
        <v>q</v>
      </c>
      <c r="H944" t="str">
        <f>VLOOKUP(D944,name!A:C,3,1)</f>
        <v>assets/icons/image326.png</v>
      </c>
      <c r="I944" t="str">
        <f>IF(A944="","",VLOOKUP(A944,lng!A:B,2,0))</f>
        <v>en-GB</v>
      </c>
    </row>
    <row r="945" spans="1:9" x14ac:dyDescent="0.15">
      <c r="A945" t="str">
        <f t="shared" ref="A945:B945" si="780">A944</f>
        <v>英語</v>
      </c>
      <c r="B945">
        <f t="shared" si="780"/>
        <v>8</v>
      </c>
      <c r="C945">
        <f t="shared" si="734"/>
        <v>111</v>
      </c>
      <c r="D945">
        <f>D858</f>
        <v>32</v>
      </c>
      <c r="E945" t="str">
        <f>VLOOKUP(D945,name!A:B,2,1)</f>
        <v>Asha</v>
      </c>
      <c r="F945" t="str">
        <f t="shared" si="759"/>
        <v>夏は実家に帰りますか？</v>
      </c>
      <c r="G945" t="str">
        <f t="shared" si="761"/>
        <v>a</v>
      </c>
      <c r="H945" t="str">
        <f>VLOOKUP(D945,name!A:C,3,1)</f>
        <v>assets/icons/image235.png</v>
      </c>
      <c r="I945" t="s">
        <v>402</v>
      </c>
    </row>
    <row r="946" spans="1:9" x14ac:dyDescent="0.15">
      <c r="A946" t="str">
        <f t="shared" ref="A946:B946" si="781">A945</f>
        <v>英語</v>
      </c>
      <c r="B946">
        <f t="shared" si="781"/>
        <v>8</v>
      </c>
      <c r="C946">
        <f t="shared" si="734"/>
        <v>112</v>
      </c>
      <c r="D946">
        <v>0</v>
      </c>
      <c r="E946" t="str">
        <f>VLOOKUP(D946,name!A:B,2,1)</f>
        <v>Player</v>
      </c>
      <c r="F946" t="str">
        <f t="shared" si="759"/>
        <v>Going home for the summer?</v>
      </c>
      <c r="G946" t="str">
        <f t="shared" si="761"/>
        <v>q</v>
      </c>
      <c r="H946" t="str">
        <f>VLOOKUP(D946,name!A:C,3,1)</f>
        <v>assets/icons/image326.png</v>
      </c>
      <c r="I946" t="str">
        <f>IF(A946="","",VLOOKUP(A946,lng!A:B,2,0))</f>
        <v>en-GB</v>
      </c>
    </row>
    <row r="947" spans="1:9" x14ac:dyDescent="0.15">
      <c r="A947" t="str">
        <f t="shared" ref="A947:B947" si="782">A946</f>
        <v>英語</v>
      </c>
      <c r="B947">
        <f t="shared" si="782"/>
        <v>8</v>
      </c>
      <c r="C947">
        <f t="shared" si="734"/>
        <v>113</v>
      </c>
      <c r="D947">
        <f>D860</f>
        <v>29</v>
      </c>
      <c r="E947" t="str">
        <f>VLOOKUP(D947,name!A:B,2,1)</f>
        <v>Eri</v>
      </c>
      <c r="F947" t="str">
        <f t="shared" si="759"/>
        <v>いいえ、できません。</v>
      </c>
      <c r="G947" t="str">
        <f t="shared" si="761"/>
        <v>a</v>
      </c>
      <c r="H947" t="str">
        <f>VLOOKUP(D947,name!A:C,3,1)</f>
        <v>assets/icons/image209.png</v>
      </c>
      <c r="I947" t="s">
        <v>402</v>
      </c>
    </row>
    <row r="948" spans="1:9" x14ac:dyDescent="0.15">
      <c r="A948" t="str">
        <f t="shared" ref="A948:B948" si="783">A947</f>
        <v>英語</v>
      </c>
      <c r="B948">
        <f t="shared" si="783"/>
        <v>8</v>
      </c>
      <c r="C948">
        <f t="shared" si="734"/>
        <v>114</v>
      </c>
      <c r="D948">
        <v>0</v>
      </c>
      <c r="E948" t="str">
        <f>VLOOKUP(D948,name!A:B,2,1)</f>
        <v>Player</v>
      </c>
      <c r="F948" t="str">
        <f t="shared" si="759"/>
        <v xml:space="preserve">No, I can't. </v>
      </c>
      <c r="G948" t="str">
        <f t="shared" si="761"/>
        <v>q</v>
      </c>
      <c r="H948" t="str">
        <f>VLOOKUP(D948,name!A:C,3,1)</f>
        <v>assets/icons/image326.png</v>
      </c>
      <c r="I948" t="str">
        <f>IF(A948="","",VLOOKUP(A948,lng!A:B,2,0))</f>
        <v>en-GB</v>
      </c>
    </row>
    <row r="949" spans="1:9" x14ac:dyDescent="0.15">
      <c r="A949" t="str">
        <f t="shared" ref="A949:B949" si="784">A948</f>
        <v>英語</v>
      </c>
      <c r="B949">
        <f t="shared" si="784"/>
        <v>8</v>
      </c>
      <c r="C949">
        <f t="shared" si="734"/>
        <v>115</v>
      </c>
      <c r="D949">
        <f>D862</f>
        <v>29</v>
      </c>
      <c r="E949" t="str">
        <f>VLOOKUP(D949,name!A:B,2,1)</f>
        <v>Eri</v>
      </c>
      <c r="F949" t="str">
        <f t="shared" si="759"/>
        <v>アカデミック・スキル・コースが始まるまで、10日間しか休みがありません。</v>
      </c>
      <c r="G949" t="str">
        <f t="shared" si="761"/>
        <v>a</v>
      </c>
      <c r="H949" t="str">
        <f>VLOOKUP(D949,name!A:C,3,1)</f>
        <v>assets/icons/image209.png</v>
      </c>
      <c r="I949" t="s">
        <v>402</v>
      </c>
    </row>
    <row r="950" spans="1:9" x14ac:dyDescent="0.15">
      <c r="A950" t="str">
        <f t="shared" ref="A950:B950" si="785">A949</f>
        <v>英語</v>
      </c>
      <c r="B950">
        <f t="shared" si="785"/>
        <v>8</v>
      </c>
      <c r="C950">
        <f t="shared" si="734"/>
        <v>116</v>
      </c>
      <c r="D950">
        <v>0</v>
      </c>
      <c r="E950" t="str">
        <f>VLOOKUP(D950,name!A:B,2,1)</f>
        <v>Player</v>
      </c>
      <c r="F950" t="str">
        <f t="shared" si="759"/>
        <v xml:space="preserve"> I only have ten days off before the Academic Skills course starts.</v>
      </c>
      <c r="G950" t="str">
        <f t="shared" si="761"/>
        <v>q</v>
      </c>
      <c r="H950" t="str">
        <f>VLOOKUP(D950,name!A:C,3,1)</f>
        <v>assets/icons/image326.png</v>
      </c>
      <c r="I950" t="str">
        <f>IF(A950="","",VLOOKUP(A950,lng!A:B,2,0))</f>
        <v>en-GB</v>
      </c>
    </row>
    <row r="951" spans="1:9" x14ac:dyDescent="0.15">
      <c r="A951" t="str">
        <f t="shared" ref="A951:B951" si="786">A950</f>
        <v>英語</v>
      </c>
      <c r="B951">
        <f t="shared" si="786"/>
        <v>8</v>
      </c>
      <c r="C951">
        <f t="shared" si="734"/>
        <v>117</v>
      </c>
      <c r="D951">
        <f>D864</f>
        <v>32</v>
      </c>
      <c r="E951" t="str">
        <f>VLOOKUP(D951,name!A:B,2,1)</f>
        <v>Asha</v>
      </c>
      <c r="F951" t="str">
        <f t="shared" si="759"/>
        <v>わお！</v>
      </c>
      <c r="G951" t="str">
        <f t="shared" si="761"/>
        <v>a</v>
      </c>
      <c r="H951" t="str">
        <f>VLOOKUP(D951,name!A:C,3,1)</f>
        <v>assets/icons/image235.png</v>
      </c>
      <c r="I951" t="s">
        <v>402</v>
      </c>
    </row>
    <row r="952" spans="1:9" x14ac:dyDescent="0.15">
      <c r="A952" t="str">
        <f t="shared" ref="A952:B952" si="787">A951</f>
        <v>英語</v>
      </c>
      <c r="B952">
        <f t="shared" si="787"/>
        <v>8</v>
      </c>
      <c r="C952">
        <f t="shared" si="734"/>
        <v>118</v>
      </c>
      <c r="D952">
        <v>0</v>
      </c>
      <c r="E952" t="str">
        <f>VLOOKUP(D952,name!A:B,2,1)</f>
        <v>Player</v>
      </c>
      <c r="F952" t="str">
        <f t="shared" si="759"/>
        <v xml:space="preserve">Wow! </v>
      </c>
      <c r="G952" t="str">
        <f t="shared" si="761"/>
        <v>q</v>
      </c>
      <c r="H952" t="str">
        <f>VLOOKUP(D952,name!A:C,3,1)</f>
        <v>assets/icons/image326.png</v>
      </c>
      <c r="I952" t="str">
        <f>IF(A952="","",VLOOKUP(A952,lng!A:B,2,0))</f>
        <v>en-GB</v>
      </c>
    </row>
    <row r="953" spans="1:9" x14ac:dyDescent="0.15">
      <c r="A953" t="str">
        <f t="shared" ref="A953:B953" si="788">A952</f>
        <v>英語</v>
      </c>
      <c r="B953">
        <f t="shared" si="788"/>
        <v>8</v>
      </c>
      <c r="C953">
        <f t="shared" si="734"/>
        <v>119</v>
      </c>
      <c r="D953">
        <f>D866</f>
        <v>32</v>
      </c>
      <c r="E953" t="str">
        <f>VLOOKUP(D953,name!A:B,2,1)</f>
        <v>Asha</v>
      </c>
      <c r="F953" t="str">
        <f t="shared" si="759"/>
        <v>でも、10日間の空きがあれば、</v>
      </c>
      <c r="G953" t="str">
        <f t="shared" si="761"/>
        <v>a</v>
      </c>
      <c r="H953" t="str">
        <f>VLOOKUP(D953,name!A:C,3,1)</f>
        <v>assets/icons/image235.png</v>
      </c>
      <c r="I953" t="s">
        <v>402</v>
      </c>
    </row>
    <row r="954" spans="1:9" x14ac:dyDescent="0.15">
      <c r="A954" t="str">
        <f t="shared" ref="A954:B954" si="789">A953</f>
        <v>英語</v>
      </c>
      <c r="B954">
        <f t="shared" si="789"/>
        <v>8</v>
      </c>
      <c r="C954">
        <f t="shared" si="734"/>
        <v>120</v>
      </c>
      <c r="D954">
        <v>0</v>
      </c>
      <c r="E954" t="str">
        <f>VLOOKUP(D954,name!A:B,2,1)</f>
        <v>Player</v>
      </c>
      <c r="F954" t="str">
        <f t="shared" si="759"/>
        <v>But, if you've got ten days free,</v>
      </c>
      <c r="G954" t="str">
        <f t="shared" si="761"/>
        <v>q</v>
      </c>
      <c r="H954" t="str">
        <f>VLOOKUP(D954,name!A:C,3,1)</f>
        <v>assets/icons/image326.png</v>
      </c>
      <c r="I954" t="str">
        <f>IF(A954="","",VLOOKUP(A954,lng!A:B,2,0))</f>
        <v>en-GB</v>
      </c>
    </row>
    <row r="955" spans="1:9" x14ac:dyDescent="0.15">
      <c r="A955" t="str">
        <f t="shared" ref="A955:B955" si="790">A954</f>
        <v>英語</v>
      </c>
      <c r="B955">
        <f t="shared" si="790"/>
        <v>8</v>
      </c>
      <c r="C955">
        <f t="shared" si="734"/>
        <v>121</v>
      </c>
      <c r="D955">
        <f>D868</f>
        <v>32</v>
      </c>
      <c r="E955" t="str">
        <f>VLOOKUP(D955,name!A:B,2,1)</f>
        <v>Asha</v>
      </c>
      <c r="F955" t="str">
        <f t="shared" si="759"/>
        <v>私とサイモンと一緒に一週間の休暇でスカボロに来ませんか？</v>
      </c>
      <c r="G955" t="str">
        <f t="shared" si="761"/>
        <v>a</v>
      </c>
      <c r="H955" t="str">
        <f>VLOOKUP(D955,name!A:C,3,1)</f>
        <v>assets/icons/image235.png</v>
      </c>
      <c r="I955" t="s">
        <v>402</v>
      </c>
    </row>
    <row r="956" spans="1:9" x14ac:dyDescent="0.15">
      <c r="A956" t="str">
        <f t="shared" ref="A956:B956" si="791">A955</f>
        <v>英語</v>
      </c>
      <c r="B956">
        <f t="shared" si="791"/>
        <v>8</v>
      </c>
      <c r="C956">
        <f t="shared" si="734"/>
        <v>122</v>
      </c>
      <c r="D956">
        <v>0</v>
      </c>
      <c r="E956" t="str">
        <f>VLOOKUP(D956,name!A:B,2,1)</f>
        <v>Player</v>
      </c>
      <c r="F956" t="str">
        <f t="shared" si="759"/>
        <v>why don't you come to Scarborough for a week's holiday with me and Simon?</v>
      </c>
      <c r="G956" t="str">
        <f t="shared" si="761"/>
        <v>q</v>
      </c>
      <c r="H956" t="str">
        <f>VLOOKUP(D956,name!A:C,3,1)</f>
        <v>assets/icons/image326.png</v>
      </c>
      <c r="I956" t="str">
        <f>IF(A956="","",VLOOKUP(A956,lng!A:B,2,0))</f>
        <v>en-GB</v>
      </c>
    </row>
    <row r="957" spans="1:9" x14ac:dyDescent="0.15">
      <c r="A957" t="str">
        <f t="shared" ref="A957:B957" si="792">A956</f>
        <v>英語</v>
      </c>
      <c r="B957">
        <f t="shared" si="792"/>
        <v>8</v>
      </c>
      <c r="C957">
        <f t="shared" si="734"/>
        <v>123</v>
      </c>
      <c r="D957">
        <f>D870</f>
        <v>32</v>
      </c>
      <c r="E957" t="str">
        <f>VLOOKUP(D957,name!A:B,2,1)</f>
        <v>Asha</v>
      </c>
      <c r="F957" t="str">
        <f t="shared" si="759"/>
        <v>アパートを一週間借りました。</v>
      </c>
      <c r="G957" t="str">
        <f t="shared" si="761"/>
        <v>a</v>
      </c>
      <c r="H957" t="str">
        <f>VLOOKUP(D957,name!A:C,3,1)</f>
        <v>assets/icons/image235.png</v>
      </c>
      <c r="I957" t="s">
        <v>402</v>
      </c>
    </row>
    <row r="958" spans="1:9" x14ac:dyDescent="0.15">
      <c r="A958" t="str">
        <f t="shared" ref="A958:B958" si="793">A957</f>
        <v>英語</v>
      </c>
      <c r="B958">
        <f t="shared" si="793"/>
        <v>8</v>
      </c>
      <c r="C958">
        <f t="shared" si="734"/>
        <v>124</v>
      </c>
      <c r="D958">
        <v>0</v>
      </c>
      <c r="E958" t="str">
        <f>VLOOKUP(D958,name!A:B,2,1)</f>
        <v>Player</v>
      </c>
      <c r="F958" t="str">
        <f t="shared" si="759"/>
        <v>We've rented a flat for a week.</v>
      </c>
      <c r="G958" t="str">
        <f t="shared" si="761"/>
        <v>q</v>
      </c>
      <c r="H958" t="str">
        <f>VLOOKUP(D958,name!A:C,3,1)</f>
        <v>assets/icons/image326.png</v>
      </c>
      <c r="I958" t="str">
        <f>IF(A958="","",VLOOKUP(A958,lng!A:B,2,0))</f>
        <v>en-GB</v>
      </c>
    </row>
    <row r="959" spans="1:9" x14ac:dyDescent="0.15">
      <c r="A959" t="str">
        <f t="shared" ref="A959:B959" si="794">A958</f>
        <v>英語</v>
      </c>
      <c r="B959">
        <f t="shared" si="794"/>
        <v>8</v>
      </c>
      <c r="C959">
        <f t="shared" si="734"/>
        <v>125</v>
      </c>
      <c r="D959">
        <v>1</v>
      </c>
      <c r="E959" t="str">
        <f>VLOOKUP(D959,name!A:B,2,1)</f>
        <v>Navigator</v>
      </c>
      <c r="F959" t="str">
        <f>"とても良くできました。レッスン"&amp;B959&amp;"はこれで終了です。"</f>
        <v>とても良くできました。レッスン8はこれで終了です。</v>
      </c>
      <c r="G959" t="str">
        <f t="shared" si="761"/>
        <v>e</v>
      </c>
      <c r="H959" t="str">
        <f>VLOOKUP(D959,name!A:C,3,1)</f>
        <v>assets/icons/image014.png</v>
      </c>
      <c r="I959" t="s">
        <v>402</v>
      </c>
    </row>
    <row r="960" spans="1:9" x14ac:dyDescent="0.15">
      <c r="A960" t="str">
        <f>A959</f>
        <v>英語</v>
      </c>
      <c r="B960">
        <f>B959+1</f>
        <v>9</v>
      </c>
      <c r="C960">
        <v>1</v>
      </c>
      <c r="D960">
        <v>1</v>
      </c>
      <c r="E960" t="str">
        <f>VLOOKUP(D960,name!A:B,2,1)</f>
        <v>Navigator</v>
      </c>
      <c r="F960" t="s">
        <v>719</v>
      </c>
      <c r="G960" t="str">
        <f t="shared" si="761"/>
        <v>a</v>
      </c>
      <c r="H960" t="str">
        <f>VLOOKUP(D960,name!A:C,3,1)</f>
        <v>assets/icons/image014.png</v>
      </c>
      <c r="I960" t="str">
        <f>IF(A960="","",VLOOKUP(A960,lng!A:B,2,0))</f>
        <v>en-GB</v>
      </c>
    </row>
    <row r="961" spans="1:9" x14ac:dyDescent="0.15">
      <c r="A961" t="str">
        <f t="shared" ref="A961:B976" si="795">A960</f>
        <v>英語</v>
      </c>
      <c r="B961">
        <f>B960</f>
        <v>9</v>
      </c>
      <c r="C961">
        <f>C960+1</f>
        <v>2</v>
      </c>
      <c r="D961">
        <v>1</v>
      </c>
      <c r="E961" t="str">
        <f>VLOOKUP(D961,name!A:B,2,1)</f>
        <v>Navigator</v>
      </c>
      <c r="F961" t="str">
        <f>"レッスン"&amp;B961</f>
        <v>レッスン9</v>
      </c>
      <c r="G961" t="str">
        <f t="shared" si="761"/>
        <v>a</v>
      </c>
      <c r="H961" t="str">
        <f>VLOOKUP(D961,name!A:C,3,1)</f>
        <v>assets/icons/image014.png</v>
      </c>
      <c r="I961" t="s">
        <v>402</v>
      </c>
    </row>
    <row r="962" spans="1:9" ht="40.5" x14ac:dyDescent="0.15">
      <c r="A962" t="str">
        <f t="shared" si="795"/>
        <v>英語</v>
      </c>
      <c r="B962">
        <f t="shared" si="795"/>
        <v>9</v>
      </c>
      <c r="C962">
        <f t="shared" ref="C962:C1025" si="796">C961+1</f>
        <v>3</v>
      </c>
      <c r="D962">
        <v>1</v>
      </c>
      <c r="E962" t="str">
        <f>VLOOKUP(D962,name!A:B,2,1)</f>
        <v>Navigator</v>
      </c>
      <c r="F962" s="1" t="str">
        <f>"まずは対話文を流します。その後に、日本語と"&amp;A962&amp;"を一文ずつ流すので"&amp;A962&amp;"を真似して下さい。最後に日本語のみを流すので、"&amp;A962&amp;"で答えてください。"</f>
        <v>まずは対話文を流します。その後に、日本語と英語を一文ずつ流すので英語を真似して下さい。最後に日本語のみを流すので、英語で答えてください。</v>
      </c>
      <c r="G962" t="str">
        <f t="shared" si="761"/>
        <v>a</v>
      </c>
      <c r="H962" t="str">
        <f>VLOOKUP(D962,name!A:C,3,1)</f>
        <v>assets/icons/image014.png</v>
      </c>
      <c r="I962" t="s">
        <v>402</v>
      </c>
    </row>
    <row r="963" spans="1:9" x14ac:dyDescent="0.15">
      <c r="A963" t="str">
        <f t="shared" si="795"/>
        <v>英語</v>
      </c>
      <c r="B963">
        <f t="shared" si="795"/>
        <v>9</v>
      </c>
      <c r="C963">
        <f t="shared" si="796"/>
        <v>4</v>
      </c>
      <c r="D963">
        <f>D964</f>
        <v>33</v>
      </c>
      <c r="E963" t="str">
        <f>VLOOKUP(D963,name!A:B,2,1)</f>
        <v>Simon</v>
      </c>
      <c r="F963" t="s">
        <v>732</v>
      </c>
      <c r="G963" t="str">
        <f t="shared" si="761"/>
        <v>a</v>
      </c>
      <c r="H963" t="str">
        <f>VLOOKUP(D963,name!A:C,3,1)</f>
        <v>assets/icons/image250.png</v>
      </c>
      <c r="I963" t="s">
        <v>402</v>
      </c>
    </row>
    <row r="964" spans="1:9" x14ac:dyDescent="0.15">
      <c r="A964" t="str">
        <f t="shared" si="795"/>
        <v>英語</v>
      </c>
      <c r="B964">
        <f t="shared" si="795"/>
        <v>9</v>
      </c>
      <c r="C964">
        <f t="shared" si="796"/>
        <v>5</v>
      </c>
      <c r="D964">
        <f t="shared" ref="D964:D985" si="797">D965</f>
        <v>33</v>
      </c>
      <c r="E964" t="str">
        <f>VLOOKUP(D964,name!A:B,2,1)</f>
        <v>Simon</v>
      </c>
      <c r="F964" t="s">
        <v>720</v>
      </c>
      <c r="G964" t="str">
        <f t="shared" si="761"/>
        <v>a</v>
      </c>
      <c r="H964" t="str">
        <f>VLOOKUP(D964,name!A:C,3,1)</f>
        <v>assets/icons/image250.png</v>
      </c>
      <c r="I964" t="str">
        <f>IF(A964="","",VLOOKUP(A964,lng!A:B,2,0))</f>
        <v>en-GB</v>
      </c>
    </row>
    <row r="965" spans="1:9" x14ac:dyDescent="0.15">
      <c r="A965" t="str">
        <f t="shared" si="795"/>
        <v>英語</v>
      </c>
      <c r="B965">
        <f t="shared" si="795"/>
        <v>9</v>
      </c>
      <c r="C965">
        <f t="shared" si="796"/>
        <v>6</v>
      </c>
      <c r="D965">
        <f t="shared" si="797"/>
        <v>33</v>
      </c>
      <c r="E965" t="str">
        <f>VLOOKUP(D965,name!A:B,2,1)</f>
        <v>Simon</v>
      </c>
      <c r="F965" t="s">
        <v>733</v>
      </c>
      <c r="G965" t="str">
        <f t="shared" si="761"/>
        <v>a</v>
      </c>
      <c r="H965" t="str">
        <f>VLOOKUP(D965,name!A:C,3,1)</f>
        <v>assets/icons/image250.png</v>
      </c>
      <c r="I965" t="s">
        <v>402</v>
      </c>
    </row>
    <row r="966" spans="1:9" x14ac:dyDescent="0.15">
      <c r="A966" t="str">
        <f t="shared" si="795"/>
        <v>英語</v>
      </c>
      <c r="B966">
        <f t="shared" si="795"/>
        <v>9</v>
      </c>
      <c r="C966">
        <f t="shared" si="796"/>
        <v>7</v>
      </c>
      <c r="D966">
        <v>33</v>
      </c>
      <c r="E966" t="str">
        <f>VLOOKUP(D966,name!A:B,2,1)</f>
        <v>Simon</v>
      </c>
      <c r="F966" t="s">
        <v>721</v>
      </c>
      <c r="G966" t="str">
        <f t="shared" si="761"/>
        <v>a</v>
      </c>
      <c r="H966" t="str">
        <f>VLOOKUP(D966,name!A:C,3,1)</f>
        <v>assets/icons/image250.png</v>
      </c>
      <c r="I966" t="str">
        <f>IF(A966="","",VLOOKUP(A966,lng!A:B,2,0))</f>
        <v>en-GB</v>
      </c>
    </row>
    <row r="967" spans="1:9" x14ac:dyDescent="0.15">
      <c r="A967" t="str">
        <f t="shared" si="795"/>
        <v>英語</v>
      </c>
      <c r="B967">
        <f t="shared" si="795"/>
        <v>9</v>
      </c>
      <c r="C967">
        <f t="shared" si="796"/>
        <v>8</v>
      </c>
      <c r="D967">
        <f t="shared" si="797"/>
        <v>29</v>
      </c>
      <c r="E967" t="str">
        <f>VLOOKUP(D967,name!A:B,2,1)</f>
        <v>Eri</v>
      </c>
      <c r="F967" t="s">
        <v>734</v>
      </c>
      <c r="G967" t="str">
        <f t="shared" si="761"/>
        <v>a</v>
      </c>
      <c r="H967" t="str">
        <f>VLOOKUP(D967,name!A:C,3,1)</f>
        <v>assets/icons/image209.png</v>
      </c>
      <c r="I967" t="s">
        <v>402</v>
      </c>
    </row>
    <row r="968" spans="1:9" x14ac:dyDescent="0.15">
      <c r="A968" t="str">
        <f t="shared" si="795"/>
        <v>英語</v>
      </c>
      <c r="B968">
        <f t="shared" si="795"/>
        <v>9</v>
      </c>
      <c r="C968">
        <f t="shared" si="796"/>
        <v>9</v>
      </c>
      <c r="D968">
        <f t="shared" si="797"/>
        <v>29</v>
      </c>
      <c r="E968" t="str">
        <f>VLOOKUP(D968,name!A:B,2,1)</f>
        <v>Eri</v>
      </c>
      <c r="F968" t="s">
        <v>722</v>
      </c>
      <c r="G968" t="str">
        <f t="shared" si="761"/>
        <v>a</v>
      </c>
      <c r="H968" t="str">
        <f>VLOOKUP(D968,name!A:C,3,1)</f>
        <v>assets/icons/image209.png</v>
      </c>
      <c r="I968" t="str">
        <f>IF(A968="","",VLOOKUP(A968,lng!A:B,2,0))</f>
        <v>en-GB</v>
      </c>
    </row>
    <row r="969" spans="1:9" x14ac:dyDescent="0.15">
      <c r="A969" t="str">
        <f t="shared" si="795"/>
        <v>英語</v>
      </c>
      <c r="B969">
        <f t="shared" si="795"/>
        <v>9</v>
      </c>
      <c r="C969">
        <f t="shared" si="796"/>
        <v>10</v>
      </c>
      <c r="D969">
        <f t="shared" si="797"/>
        <v>29</v>
      </c>
      <c r="E969" t="str">
        <f>VLOOKUP(D969,name!A:B,2,1)</f>
        <v>Eri</v>
      </c>
      <c r="F969" t="s">
        <v>735</v>
      </c>
      <c r="G969" t="str">
        <f t="shared" si="761"/>
        <v>a</v>
      </c>
      <c r="H969" t="str">
        <f>VLOOKUP(D969,name!A:C,3,1)</f>
        <v>assets/icons/image209.png</v>
      </c>
      <c r="I969" t="s">
        <v>402</v>
      </c>
    </row>
    <row r="970" spans="1:9" x14ac:dyDescent="0.15">
      <c r="A970" t="str">
        <f t="shared" si="795"/>
        <v>英語</v>
      </c>
      <c r="B970">
        <f t="shared" si="795"/>
        <v>9</v>
      </c>
      <c r="C970">
        <f t="shared" si="796"/>
        <v>11</v>
      </c>
      <c r="D970">
        <v>29</v>
      </c>
      <c r="E970" t="str">
        <f>VLOOKUP(D970,name!A:B,2,1)</f>
        <v>Eri</v>
      </c>
      <c r="F970" t="s">
        <v>723</v>
      </c>
      <c r="G970" t="str">
        <f t="shared" si="761"/>
        <v>a</v>
      </c>
      <c r="H970" t="str">
        <f>VLOOKUP(D970,name!A:C,3,1)</f>
        <v>assets/icons/image209.png</v>
      </c>
      <c r="I970" t="str">
        <f>IF(A970="","",VLOOKUP(A970,lng!A:B,2,0))</f>
        <v>en-GB</v>
      </c>
    </row>
    <row r="971" spans="1:9" x14ac:dyDescent="0.15">
      <c r="A971" t="str">
        <f t="shared" si="795"/>
        <v>英語</v>
      </c>
      <c r="B971">
        <f t="shared" si="795"/>
        <v>9</v>
      </c>
      <c r="C971">
        <f t="shared" si="796"/>
        <v>12</v>
      </c>
      <c r="D971">
        <f t="shared" si="797"/>
        <v>32</v>
      </c>
      <c r="E971" t="str">
        <f>VLOOKUP(D971,name!A:B,2,1)</f>
        <v>Asha</v>
      </c>
      <c r="F971" t="s">
        <v>736</v>
      </c>
      <c r="G971" t="str">
        <f t="shared" si="761"/>
        <v>a</v>
      </c>
      <c r="H971" t="str">
        <f>VLOOKUP(D971,name!A:C,3,1)</f>
        <v>assets/icons/image235.png</v>
      </c>
      <c r="I971" t="s">
        <v>402</v>
      </c>
    </row>
    <row r="972" spans="1:9" x14ac:dyDescent="0.15">
      <c r="A972" t="str">
        <f t="shared" si="795"/>
        <v>英語</v>
      </c>
      <c r="B972">
        <f t="shared" si="795"/>
        <v>9</v>
      </c>
      <c r="C972">
        <f t="shared" si="796"/>
        <v>13</v>
      </c>
      <c r="D972">
        <f t="shared" si="797"/>
        <v>32</v>
      </c>
      <c r="E972" t="str">
        <f>VLOOKUP(D972,name!A:B,2,1)</f>
        <v>Asha</v>
      </c>
      <c r="F972" t="s">
        <v>724</v>
      </c>
      <c r="G972" t="str">
        <f t="shared" si="761"/>
        <v>a</v>
      </c>
      <c r="H972" t="str">
        <f>VLOOKUP(D972,name!A:C,3,1)</f>
        <v>assets/icons/image235.png</v>
      </c>
      <c r="I972" t="str">
        <f>IF(A972="","",VLOOKUP(A972,lng!A:B,2,0))</f>
        <v>en-GB</v>
      </c>
    </row>
    <row r="973" spans="1:9" x14ac:dyDescent="0.15">
      <c r="A973" t="str">
        <f t="shared" si="795"/>
        <v>英語</v>
      </c>
      <c r="B973">
        <f t="shared" si="795"/>
        <v>9</v>
      </c>
      <c r="C973">
        <f t="shared" si="796"/>
        <v>14</v>
      </c>
      <c r="D973">
        <f t="shared" si="797"/>
        <v>32</v>
      </c>
      <c r="E973" t="str">
        <f>VLOOKUP(D973,name!A:B,2,1)</f>
        <v>Asha</v>
      </c>
      <c r="F973" t="s">
        <v>737</v>
      </c>
      <c r="G973" t="str">
        <f t="shared" si="761"/>
        <v>a</v>
      </c>
      <c r="H973" t="str">
        <f>VLOOKUP(D973,name!A:C,3,1)</f>
        <v>assets/icons/image235.png</v>
      </c>
      <c r="I973" t="s">
        <v>402</v>
      </c>
    </row>
    <row r="974" spans="1:9" x14ac:dyDescent="0.15">
      <c r="A974" t="str">
        <f t="shared" si="795"/>
        <v>英語</v>
      </c>
      <c r="B974">
        <f t="shared" si="795"/>
        <v>9</v>
      </c>
      <c r="C974">
        <f t="shared" si="796"/>
        <v>15</v>
      </c>
      <c r="D974">
        <v>32</v>
      </c>
      <c r="E974" t="str">
        <f>VLOOKUP(D974,name!A:B,2,1)</f>
        <v>Asha</v>
      </c>
      <c r="F974" t="s">
        <v>725</v>
      </c>
      <c r="G974" t="str">
        <f t="shared" si="761"/>
        <v>a</v>
      </c>
      <c r="H974" t="str">
        <f>VLOOKUP(D974,name!A:C,3,1)</f>
        <v>assets/icons/image235.png</v>
      </c>
      <c r="I974" t="str">
        <f>IF(A974="","",VLOOKUP(A974,lng!A:B,2,0))</f>
        <v>en-GB</v>
      </c>
    </row>
    <row r="975" spans="1:9" x14ac:dyDescent="0.15">
      <c r="A975" t="str">
        <f t="shared" si="795"/>
        <v>英語</v>
      </c>
      <c r="B975">
        <f t="shared" si="795"/>
        <v>9</v>
      </c>
      <c r="C975">
        <f t="shared" si="796"/>
        <v>16</v>
      </c>
      <c r="D975">
        <f t="shared" si="797"/>
        <v>29</v>
      </c>
      <c r="E975" t="str">
        <f>VLOOKUP(D975,name!A:B,2,1)</f>
        <v>Eri</v>
      </c>
      <c r="F975" t="s">
        <v>738</v>
      </c>
      <c r="G975" t="str">
        <f t="shared" si="761"/>
        <v>a</v>
      </c>
      <c r="H975" t="str">
        <f>VLOOKUP(D975,name!A:C,3,1)</f>
        <v>assets/icons/image209.png</v>
      </c>
      <c r="I975" t="s">
        <v>402</v>
      </c>
    </row>
    <row r="976" spans="1:9" x14ac:dyDescent="0.15">
      <c r="A976" t="str">
        <f t="shared" si="795"/>
        <v>英語</v>
      </c>
      <c r="B976">
        <f t="shared" si="795"/>
        <v>9</v>
      </c>
      <c r="C976">
        <f t="shared" si="796"/>
        <v>17</v>
      </c>
      <c r="D976">
        <f t="shared" si="797"/>
        <v>29</v>
      </c>
      <c r="E976" t="str">
        <f>VLOOKUP(D976,name!A:B,2,1)</f>
        <v>Eri</v>
      </c>
      <c r="F976" t="s">
        <v>726</v>
      </c>
      <c r="G976" t="str">
        <f t="shared" si="761"/>
        <v>a</v>
      </c>
      <c r="H976" t="str">
        <f>VLOOKUP(D976,name!A:C,3,1)</f>
        <v>assets/icons/image209.png</v>
      </c>
      <c r="I976" t="str">
        <f>IF(A976="","",VLOOKUP(A976,lng!A:B,2,0))</f>
        <v>en-GB</v>
      </c>
    </row>
    <row r="977" spans="1:9" x14ac:dyDescent="0.15">
      <c r="A977" t="str">
        <f t="shared" ref="A977:B982" si="798">A976</f>
        <v>英語</v>
      </c>
      <c r="B977">
        <f t="shared" si="798"/>
        <v>9</v>
      </c>
      <c r="C977">
        <f t="shared" si="796"/>
        <v>18</v>
      </c>
      <c r="D977">
        <f t="shared" si="797"/>
        <v>29</v>
      </c>
      <c r="E977" t="str">
        <f>VLOOKUP(D977,name!A:B,2,1)</f>
        <v>Eri</v>
      </c>
      <c r="F977" t="s">
        <v>739</v>
      </c>
      <c r="G977" t="str">
        <f t="shared" si="761"/>
        <v>a</v>
      </c>
      <c r="H977" t="str">
        <f>VLOOKUP(D977,name!A:C,3,1)</f>
        <v>assets/icons/image209.png</v>
      </c>
      <c r="I977" t="s">
        <v>402</v>
      </c>
    </row>
    <row r="978" spans="1:9" x14ac:dyDescent="0.15">
      <c r="A978" t="str">
        <f t="shared" si="798"/>
        <v>英語</v>
      </c>
      <c r="B978">
        <f t="shared" si="798"/>
        <v>9</v>
      </c>
      <c r="C978">
        <f t="shared" si="796"/>
        <v>19</v>
      </c>
      <c r="D978">
        <v>29</v>
      </c>
      <c r="E978" t="str">
        <f>VLOOKUP(D978,name!A:B,2,1)</f>
        <v>Eri</v>
      </c>
      <c r="F978" t="s">
        <v>727</v>
      </c>
      <c r="G978" t="str">
        <f t="shared" si="761"/>
        <v>a</v>
      </c>
      <c r="H978" t="str">
        <f>VLOOKUP(D978,name!A:C,3,1)</f>
        <v>assets/icons/image209.png</v>
      </c>
      <c r="I978" t="str">
        <f>IF(A978="","",VLOOKUP(A978,lng!A:B,2,0))</f>
        <v>en-GB</v>
      </c>
    </row>
    <row r="979" spans="1:9" x14ac:dyDescent="0.15">
      <c r="A979" t="str">
        <f t="shared" si="798"/>
        <v>英語</v>
      </c>
      <c r="B979">
        <f t="shared" si="798"/>
        <v>9</v>
      </c>
      <c r="C979">
        <f t="shared" si="796"/>
        <v>20</v>
      </c>
      <c r="D979">
        <f t="shared" si="797"/>
        <v>33</v>
      </c>
      <c r="E979" t="str">
        <f>VLOOKUP(D979,name!A:B,2,1)</f>
        <v>Simon</v>
      </c>
      <c r="F979" t="s">
        <v>740</v>
      </c>
      <c r="G979" t="str">
        <f t="shared" si="761"/>
        <v>a</v>
      </c>
      <c r="H979" t="str">
        <f>VLOOKUP(D979,name!A:C,3,1)</f>
        <v>assets/icons/image250.png</v>
      </c>
      <c r="I979" t="s">
        <v>402</v>
      </c>
    </row>
    <row r="980" spans="1:9" x14ac:dyDescent="0.15">
      <c r="A980" t="str">
        <f t="shared" si="798"/>
        <v>英語</v>
      </c>
      <c r="B980">
        <f t="shared" si="798"/>
        <v>9</v>
      </c>
      <c r="C980">
        <f t="shared" si="796"/>
        <v>21</v>
      </c>
      <c r="D980">
        <f t="shared" si="797"/>
        <v>33</v>
      </c>
      <c r="E980" t="str">
        <f>VLOOKUP(D980,name!A:B,2,1)</f>
        <v>Simon</v>
      </c>
      <c r="F980" t="s">
        <v>728</v>
      </c>
      <c r="G980" t="str">
        <f t="shared" si="761"/>
        <v>a</v>
      </c>
      <c r="H980" t="str">
        <f>VLOOKUP(D980,name!A:C,3,1)</f>
        <v>assets/icons/image250.png</v>
      </c>
      <c r="I980" t="str">
        <f>IF(A980="","",VLOOKUP(A980,lng!A:B,2,0))</f>
        <v>en-GB</v>
      </c>
    </row>
    <row r="981" spans="1:9" x14ac:dyDescent="0.15">
      <c r="A981" t="str">
        <f t="shared" si="798"/>
        <v>英語</v>
      </c>
      <c r="B981">
        <f t="shared" si="798"/>
        <v>9</v>
      </c>
      <c r="C981">
        <f t="shared" si="796"/>
        <v>22</v>
      </c>
      <c r="D981">
        <f t="shared" si="797"/>
        <v>33</v>
      </c>
      <c r="E981" t="str">
        <f>VLOOKUP(D981,name!A:B,2,1)</f>
        <v>Simon</v>
      </c>
      <c r="F981" t="s">
        <v>741</v>
      </c>
      <c r="G981" t="str">
        <f t="shared" si="761"/>
        <v>a</v>
      </c>
      <c r="H981" t="str">
        <f>VLOOKUP(D981,name!A:C,3,1)</f>
        <v>assets/icons/image250.png</v>
      </c>
      <c r="I981" t="s">
        <v>402</v>
      </c>
    </row>
    <row r="982" spans="1:9" x14ac:dyDescent="0.15">
      <c r="A982" t="str">
        <f t="shared" si="798"/>
        <v>英語</v>
      </c>
      <c r="B982">
        <f t="shared" si="798"/>
        <v>9</v>
      </c>
      <c r="C982">
        <f t="shared" si="796"/>
        <v>23</v>
      </c>
      <c r="D982">
        <v>33</v>
      </c>
      <c r="E982" t="str">
        <f>VLOOKUP(D982,name!A:B,2,1)</f>
        <v>Simon</v>
      </c>
      <c r="F982" t="s">
        <v>729</v>
      </c>
      <c r="G982" t="str">
        <f t="shared" si="761"/>
        <v>a</v>
      </c>
      <c r="H982" t="str">
        <f>VLOOKUP(D982,name!A:C,3,1)</f>
        <v>assets/icons/image250.png</v>
      </c>
      <c r="I982" t="str">
        <f>IF(A982="","",VLOOKUP(A982,lng!A:B,2,0))</f>
        <v>en-GB</v>
      </c>
    </row>
    <row r="983" spans="1:9" x14ac:dyDescent="0.15">
      <c r="A983" t="str">
        <f t="shared" ref="A983:B983" si="799">A982</f>
        <v>英語</v>
      </c>
      <c r="B983">
        <f t="shared" si="799"/>
        <v>9</v>
      </c>
      <c r="C983">
        <f t="shared" si="796"/>
        <v>24</v>
      </c>
      <c r="D983">
        <f t="shared" si="797"/>
        <v>29</v>
      </c>
      <c r="E983" t="str">
        <f>VLOOKUP(D983,name!A:B,2,1)</f>
        <v>Eri</v>
      </c>
      <c r="F983" t="s">
        <v>742</v>
      </c>
      <c r="G983" t="str">
        <f t="shared" si="761"/>
        <v>a</v>
      </c>
      <c r="H983" t="str">
        <f>VLOOKUP(D983,name!A:C,3,1)</f>
        <v>assets/icons/image209.png</v>
      </c>
      <c r="I983" t="s">
        <v>402</v>
      </c>
    </row>
    <row r="984" spans="1:9" x14ac:dyDescent="0.15">
      <c r="A984" t="str">
        <f t="shared" ref="A984:B984" si="800">A983</f>
        <v>英語</v>
      </c>
      <c r="B984">
        <f t="shared" si="800"/>
        <v>9</v>
      </c>
      <c r="C984">
        <f t="shared" si="796"/>
        <v>25</v>
      </c>
      <c r="D984">
        <f t="shared" si="797"/>
        <v>29</v>
      </c>
      <c r="E984" t="str">
        <f>VLOOKUP(D984,name!A:B,2,1)</f>
        <v>Eri</v>
      </c>
      <c r="F984" t="s">
        <v>730</v>
      </c>
      <c r="G984" t="str">
        <f t="shared" si="761"/>
        <v>a</v>
      </c>
      <c r="H984" t="str">
        <f>VLOOKUP(D984,name!A:C,3,1)</f>
        <v>assets/icons/image209.png</v>
      </c>
      <c r="I984" t="str">
        <f>IF(A984="","",VLOOKUP(A984,lng!A:B,2,0))</f>
        <v>en-GB</v>
      </c>
    </row>
    <row r="985" spans="1:9" x14ac:dyDescent="0.15">
      <c r="A985" t="str">
        <f t="shared" ref="A985:B985" si="801">A984</f>
        <v>英語</v>
      </c>
      <c r="B985">
        <f t="shared" si="801"/>
        <v>9</v>
      </c>
      <c r="C985">
        <f t="shared" si="796"/>
        <v>26</v>
      </c>
      <c r="D985">
        <f t="shared" si="797"/>
        <v>29</v>
      </c>
      <c r="E985" t="str">
        <f>VLOOKUP(D985,name!A:B,2,1)</f>
        <v>Eri</v>
      </c>
      <c r="F985" t="s">
        <v>743</v>
      </c>
      <c r="G985" t="str">
        <f t="shared" si="761"/>
        <v>a</v>
      </c>
      <c r="H985" t="str">
        <f>VLOOKUP(D985,name!A:C,3,1)</f>
        <v>assets/icons/image209.png</v>
      </c>
      <c r="I985" t="s">
        <v>402</v>
      </c>
    </row>
    <row r="986" spans="1:9" x14ac:dyDescent="0.15">
      <c r="A986" t="str">
        <f t="shared" ref="A986:B986" si="802">A985</f>
        <v>英語</v>
      </c>
      <c r="B986">
        <f t="shared" si="802"/>
        <v>9</v>
      </c>
      <c r="C986">
        <f t="shared" si="796"/>
        <v>27</v>
      </c>
      <c r="D986">
        <v>29</v>
      </c>
      <c r="E986" t="str">
        <f>VLOOKUP(D986,name!A:B,2,1)</f>
        <v>Eri</v>
      </c>
      <c r="F986" t="s">
        <v>731</v>
      </c>
      <c r="G986" t="str">
        <f t="shared" si="761"/>
        <v>a</v>
      </c>
      <c r="H986" t="str">
        <f>VLOOKUP(D986,name!A:C,3,1)</f>
        <v>assets/icons/image209.png</v>
      </c>
      <c r="I986" t="str">
        <f>IF(A986="","",VLOOKUP(A986,lng!A:B,2,0))</f>
        <v>en-GB</v>
      </c>
    </row>
    <row r="987" spans="1:9" x14ac:dyDescent="0.15">
      <c r="A987" t="str">
        <f t="shared" ref="A987:B987" si="803">A986</f>
        <v>英語</v>
      </c>
      <c r="B987">
        <f t="shared" si="803"/>
        <v>9</v>
      </c>
      <c r="C987">
        <f t="shared" si="796"/>
        <v>28</v>
      </c>
      <c r="D987">
        <v>1</v>
      </c>
      <c r="E987" t="str">
        <f>VLOOKUP(D987,name!A:B,2,1)</f>
        <v>Navigator</v>
      </c>
      <c r="F987" t="str">
        <f>"次の"&amp;A987&amp;"を真似してね！"</f>
        <v>次の英語を真似してね！</v>
      </c>
      <c r="G987" t="str">
        <f t="shared" si="761"/>
        <v>a</v>
      </c>
      <c r="H987" t="str">
        <f>VLOOKUP(D987,name!A:C,3,1)</f>
        <v>assets/icons/image014.png</v>
      </c>
      <c r="I987" t="s">
        <v>402</v>
      </c>
    </row>
    <row r="988" spans="1:9" x14ac:dyDescent="0.15">
      <c r="A988" t="str">
        <f t="shared" ref="A988:B988" si="804">A987</f>
        <v>英語</v>
      </c>
      <c r="B988">
        <f t="shared" si="804"/>
        <v>9</v>
      </c>
      <c r="C988">
        <f t="shared" si="796"/>
        <v>29</v>
      </c>
      <c r="D988">
        <f>D963</f>
        <v>33</v>
      </c>
      <c r="E988" t="str">
        <f>VLOOKUP(D988,name!A:B,2,1)</f>
        <v>Simon</v>
      </c>
      <c r="F988" t="str">
        <f>F963</f>
        <v>夕食はどこに行く?</v>
      </c>
      <c r="G988" t="str">
        <f t="shared" si="761"/>
        <v>a</v>
      </c>
      <c r="H988" t="str">
        <f>VLOOKUP(D988,name!A:C,3,1)</f>
        <v>assets/icons/image250.png</v>
      </c>
      <c r="I988" t="s">
        <v>402</v>
      </c>
    </row>
    <row r="989" spans="1:9" x14ac:dyDescent="0.15">
      <c r="A989" t="str">
        <f t="shared" ref="A989:B989" si="805">A988</f>
        <v>英語</v>
      </c>
      <c r="B989">
        <f t="shared" si="805"/>
        <v>9</v>
      </c>
      <c r="C989">
        <f t="shared" si="796"/>
        <v>30</v>
      </c>
      <c r="D989">
        <f>D964</f>
        <v>33</v>
      </c>
      <c r="E989" t="str">
        <f>VLOOKUP(D989,name!A:B,2,1)</f>
        <v>Simon</v>
      </c>
      <c r="F989" t="str">
        <f>F964</f>
        <v>Where shall we go for dinner?</v>
      </c>
      <c r="G989" t="str">
        <f t="shared" si="761"/>
        <v>a</v>
      </c>
      <c r="H989" t="str">
        <f>VLOOKUP(D989,name!A:C,3,1)</f>
        <v>assets/icons/image250.png</v>
      </c>
      <c r="I989" t="str">
        <f>IF(A989="","",VLOOKUP(A989,lng!A:B,2,0))</f>
        <v>en-GB</v>
      </c>
    </row>
    <row r="990" spans="1:9" x14ac:dyDescent="0.15">
      <c r="A990" t="str">
        <f t="shared" ref="A990:B990" si="806">A989</f>
        <v>英語</v>
      </c>
      <c r="B990">
        <f t="shared" si="806"/>
        <v>9</v>
      </c>
      <c r="C990">
        <f t="shared" si="796"/>
        <v>31</v>
      </c>
      <c r="D990">
        <v>0</v>
      </c>
      <c r="E990" t="str">
        <f>VLOOKUP(D990,name!A:B,2,1)</f>
        <v>Player</v>
      </c>
      <c r="F990" t="str">
        <f>F964</f>
        <v>Where shall we go for dinner?</v>
      </c>
      <c r="G990" t="str">
        <f t="shared" ref="G990:G1053" si="807">IF(B990&lt;&gt;B991,"e",IF(D990=0,"q","a"))</f>
        <v>q</v>
      </c>
      <c r="H990" t="str">
        <f>VLOOKUP(D990,name!A:C,3,1)</f>
        <v>assets/icons/image326.png</v>
      </c>
      <c r="I990" t="str">
        <f>IF(A990="","",VLOOKUP(A990,lng!A:B,2,0))</f>
        <v>en-GB</v>
      </c>
    </row>
    <row r="991" spans="1:9" x14ac:dyDescent="0.15">
      <c r="A991" t="str">
        <f t="shared" ref="A991:B991" si="808">A990</f>
        <v>英語</v>
      </c>
      <c r="B991">
        <f t="shared" si="808"/>
        <v>9</v>
      </c>
      <c r="C991">
        <f t="shared" si="796"/>
        <v>32</v>
      </c>
      <c r="D991">
        <f>D965</f>
        <v>33</v>
      </c>
      <c r="E991" t="str">
        <f>VLOOKUP(D991,name!A:B,2,1)</f>
        <v>Simon</v>
      </c>
      <c r="F991" t="str">
        <f>F965</f>
        <v>その後、何をしたいですか？</v>
      </c>
      <c r="G991" t="str">
        <f t="shared" si="807"/>
        <v>a</v>
      </c>
      <c r="H991" t="str">
        <f>VLOOKUP(D991,name!A:C,3,1)</f>
        <v>assets/icons/image250.png</v>
      </c>
      <c r="I991" t="s">
        <v>402</v>
      </c>
    </row>
    <row r="992" spans="1:9" x14ac:dyDescent="0.15">
      <c r="A992" t="str">
        <f t="shared" ref="A992:B992" si="809">A991</f>
        <v>英語</v>
      </c>
      <c r="B992">
        <f t="shared" si="809"/>
        <v>9</v>
      </c>
      <c r="C992">
        <f t="shared" si="796"/>
        <v>33</v>
      </c>
      <c r="D992">
        <f>D966</f>
        <v>33</v>
      </c>
      <c r="E992" t="str">
        <f>VLOOKUP(D992,name!A:B,2,1)</f>
        <v>Simon</v>
      </c>
      <c r="F992" t="str">
        <f>F966</f>
        <v>And what do you fancy doing after that?</v>
      </c>
      <c r="G992" t="str">
        <f t="shared" si="807"/>
        <v>a</v>
      </c>
      <c r="H992" t="str">
        <f>VLOOKUP(D992,name!A:C,3,1)</f>
        <v>assets/icons/image250.png</v>
      </c>
      <c r="I992" t="str">
        <f>IF(A992="","",VLOOKUP(A992,lng!A:B,2,0))</f>
        <v>en-GB</v>
      </c>
    </row>
    <row r="993" spans="1:9" x14ac:dyDescent="0.15">
      <c r="A993" t="str">
        <f t="shared" ref="A993:B993" si="810">A992</f>
        <v>英語</v>
      </c>
      <c r="B993">
        <f t="shared" si="810"/>
        <v>9</v>
      </c>
      <c r="C993">
        <f t="shared" si="796"/>
        <v>34</v>
      </c>
      <c r="D993">
        <v>0</v>
      </c>
      <c r="E993" t="str">
        <f>VLOOKUP(D993,name!A:B,2,1)</f>
        <v>Player</v>
      </c>
      <c r="F993" t="str">
        <f>F966</f>
        <v>And what do you fancy doing after that?</v>
      </c>
      <c r="G993" t="str">
        <f t="shared" si="807"/>
        <v>q</v>
      </c>
      <c r="H993" t="str">
        <f>VLOOKUP(D993,name!A:C,3,1)</f>
        <v>assets/icons/image326.png</v>
      </c>
      <c r="I993" t="str">
        <f>IF(A993="","",VLOOKUP(A993,lng!A:B,2,0))</f>
        <v>en-GB</v>
      </c>
    </row>
    <row r="994" spans="1:9" x14ac:dyDescent="0.15">
      <c r="A994" t="str">
        <f t="shared" ref="A994:B994" si="811">A993</f>
        <v>英語</v>
      </c>
      <c r="B994">
        <f t="shared" si="811"/>
        <v>9</v>
      </c>
      <c r="C994">
        <f t="shared" si="796"/>
        <v>35</v>
      </c>
      <c r="D994">
        <f>D967</f>
        <v>29</v>
      </c>
      <c r="E994" t="str">
        <f>VLOOKUP(D994,name!A:B,2,1)</f>
        <v>Eri</v>
      </c>
      <c r="F994" t="str">
        <f>F967</f>
        <v>夕食はそれほど食べられるかどうかわからない</v>
      </c>
      <c r="G994" t="str">
        <f t="shared" si="807"/>
        <v>a</v>
      </c>
      <c r="H994" t="str">
        <f>VLOOKUP(D994,name!A:C,3,1)</f>
        <v>assets/icons/image209.png</v>
      </c>
      <c r="I994" t="s">
        <v>402</v>
      </c>
    </row>
    <row r="995" spans="1:9" x14ac:dyDescent="0.15">
      <c r="A995" t="str">
        <f t="shared" ref="A995:B995" si="812">A994</f>
        <v>英語</v>
      </c>
      <c r="B995">
        <f t="shared" si="812"/>
        <v>9</v>
      </c>
      <c r="C995">
        <f t="shared" si="796"/>
        <v>36</v>
      </c>
      <c r="D995">
        <f>D968</f>
        <v>29</v>
      </c>
      <c r="E995" t="str">
        <f>VLOOKUP(D995,name!A:B,2,1)</f>
        <v>Eri</v>
      </c>
      <c r="F995" t="str">
        <f>F968</f>
        <v>I don't know if I can eat much dinner.</v>
      </c>
      <c r="G995" t="str">
        <f t="shared" si="807"/>
        <v>a</v>
      </c>
      <c r="H995" t="str">
        <f>VLOOKUP(D995,name!A:C,3,1)</f>
        <v>assets/icons/image209.png</v>
      </c>
      <c r="I995" t="str">
        <f>IF(A995="","",VLOOKUP(A995,lng!A:B,2,0))</f>
        <v>en-GB</v>
      </c>
    </row>
    <row r="996" spans="1:9" x14ac:dyDescent="0.15">
      <c r="A996" t="str">
        <f t="shared" ref="A996:B996" si="813">A995</f>
        <v>英語</v>
      </c>
      <c r="B996">
        <f t="shared" si="813"/>
        <v>9</v>
      </c>
      <c r="C996">
        <f t="shared" si="796"/>
        <v>37</v>
      </c>
      <c r="D996">
        <v>0</v>
      </c>
      <c r="E996" t="str">
        <f>VLOOKUP(D996,name!A:B,2,1)</f>
        <v>Player</v>
      </c>
      <c r="F996" t="str">
        <f>F968</f>
        <v>I don't know if I can eat much dinner.</v>
      </c>
      <c r="G996" t="str">
        <f t="shared" si="807"/>
        <v>q</v>
      </c>
      <c r="H996" t="str">
        <f>VLOOKUP(D996,name!A:C,3,1)</f>
        <v>assets/icons/image326.png</v>
      </c>
      <c r="I996" t="str">
        <f>IF(A996="","",VLOOKUP(A996,lng!A:B,2,0))</f>
        <v>en-GB</v>
      </c>
    </row>
    <row r="997" spans="1:9" x14ac:dyDescent="0.15">
      <c r="A997" t="str">
        <f t="shared" ref="A997:B997" si="814">A996</f>
        <v>英語</v>
      </c>
      <c r="B997">
        <f t="shared" si="814"/>
        <v>9</v>
      </c>
      <c r="C997">
        <f t="shared" si="796"/>
        <v>38</v>
      </c>
      <c r="D997">
        <f>D969</f>
        <v>29</v>
      </c>
      <c r="E997" t="str">
        <f>VLOOKUP(D997,name!A:B,2,1)</f>
        <v>Eri</v>
      </c>
      <c r="F997" t="str">
        <f>F969</f>
        <v>ビーチカフェの食事はとても美味しかったから。</v>
      </c>
      <c r="G997" t="str">
        <f t="shared" si="807"/>
        <v>a</v>
      </c>
      <c r="H997" t="str">
        <f>VLOOKUP(D997,name!A:C,3,1)</f>
        <v>assets/icons/image209.png</v>
      </c>
      <c r="I997" t="s">
        <v>402</v>
      </c>
    </row>
    <row r="998" spans="1:9" x14ac:dyDescent="0.15">
      <c r="A998" t="str">
        <f t="shared" ref="A998:B998" si="815">A997</f>
        <v>英語</v>
      </c>
      <c r="B998">
        <f t="shared" si="815"/>
        <v>9</v>
      </c>
      <c r="C998">
        <f t="shared" si="796"/>
        <v>39</v>
      </c>
      <c r="D998">
        <f>D970</f>
        <v>29</v>
      </c>
      <c r="E998" t="str">
        <f>VLOOKUP(D998,name!A:B,2,1)</f>
        <v>Eri</v>
      </c>
      <c r="F998" t="str">
        <f>F970</f>
        <v>The beach café food was so good.</v>
      </c>
      <c r="G998" t="str">
        <f t="shared" si="807"/>
        <v>a</v>
      </c>
      <c r="H998" t="str">
        <f>VLOOKUP(D998,name!A:C,3,1)</f>
        <v>assets/icons/image209.png</v>
      </c>
      <c r="I998" t="str">
        <f>IF(A998="","",VLOOKUP(A998,lng!A:B,2,0))</f>
        <v>en-GB</v>
      </c>
    </row>
    <row r="999" spans="1:9" x14ac:dyDescent="0.15">
      <c r="A999" t="str">
        <f t="shared" ref="A999:B999" si="816">A998</f>
        <v>英語</v>
      </c>
      <c r="B999">
        <f t="shared" si="816"/>
        <v>9</v>
      </c>
      <c r="C999">
        <f t="shared" si="796"/>
        <v>40</v>
      </c>
      <c r="D999">
        <v>0</v>
      </c>
      <c r="E999" t="str">
        <f>VLOOKUP(D999,name!A:B,2,1)</f>
        <v>Player</v>
      </c>
      <c r="F999" t="str">
        <f>F970</f>
        <v>The beach café food was so good.</v>
      </c>
      <c r="G999" t="str">
        <f t="shared" si="807"/>
        <v>q</v>
      </c>
      <c r="H999" t="str">
        <f>VLOOKUP(D999,name!A:C,3,1)</f>
        <v>assets/icons/image326.png</v>
      </c>
      <c r="I999" t="str">
        <f>IF(A999="","",VLOOKUP(A999,lng!A:B,2,0))</f>
        <v>en-GB</v>
      </c>
    </row>
    <row r="1000" spans="1:9" x14ac:dyDescent="0.15">
      <c r="A1000" t="str">
        <f t="shared" ref="A1000:B1000" si="817">A999</f>
        <v>英語</v>
      </c>
      <c r="B1000">
        <f t="shared" si="817"/>
        <v>9</v>
      </c>
      <c r="C1000">
        <f t="shared" si="796"/>
        <v>41</v>
      </c>
      <c r="D1000">
        <f>D971</f>
        <v>32</v>
      </c>
      <c r="E1000" t="str">
        <f>VLOOKUP(D1000,name!A:B,2,1)</f>
        <v>Asha</v>
      </c>
      <c r="F1000" t="str">
        <f>F971</f>
        <v>はい、でもデッキチェアでビーチで食事をするのは最高でしたね。</v>
      </c>
      <c r="G1000" t="str">
        <f t="shared" si="807"/>
        <v>a</v>
      </c>
      <c r="H1000" t="str">
        <f>VLOOKUP(D1000,name!A:C,3,1)</f>
        <v>assets/icons/image235.png</v>
      </c>
      <c r="I1000" t="s">
        <v>402</v>
      </c>
    </row>
    <row r="1001" spans="1:9" x14ac:dyDescent="0.15">
      <c r="A1001" t="str">
        <f t="shared" ref="A1001:B1001" si="818">A1000</f>
        <v>英語</v>
      </c>
      <c r="B1001">
        <f t="shared" si="818"/>
        <v>9</v>
      </c>
      <c r="C1001">
        <f t="shared" si="796"/>
        <v>42</v>
      </c>
      <c r="D1001">
        <f>D972</f>
        <v>32</v>
      </c>
      <c r="E1001" t="str">
        <f>VLOOKUP(D1001,name!A:B,2,1)</f>
        <v>Asha</v>
      </c>
      <c r="F1001" t="str">
        <f>F972</f>
        <v>Yes, but it was great eating on the beach in our deck chairs, wasn't it?</v>
      </c>
      <c r="G1001" t="str">
        <f t="shared" si="807"/>
        <v>a</v>
      </c>
      <c r="H1001" t="str">
        <f>VLOOKUP(D1001,name!A:C,3,1)</f>
        <v>assets/icons/image235.png</v>
      </c>
      <c r="I1001" t="str">
        <f>IF(A1001="","",VLOOKUP(A1001,lng!A:B,2,0))</f>
        <v>en-GB</v>
      </c>
    </row>
    <row r="1002" spans="1:9" x14ac:dyDescent="0.15">
      <c r="A1002" t="str">
        <f t="shared" ref="A1002:B1002" si="819">A1001</f>
        <v>英語</v>
      </c>
      <c r="B1002">
        <f t="shared" si="819"/>
        <v>9</v>
      </c>
      <c r="C1002">
        <f t="shared" si="796"/>
        <v>43</v>
      </c>
      <c r="D1002">
        <v>0</v>
      </c>
      <c r="E1002" t="str">
        <f>VLOOKUP(D1002,name!A:B,2,1)</f>
        <v>Player</v>
      </c>
      <c r="F1002" t="str">
        <f>F972</f>
        <v>Yes, but it was great eating on the beach in our deck chairs, wasn't it?</v>
      </c>
      <c r="G1002" t="str">
        <f t="shared" si="807"/>
        <v>q</v>
      </c>
      <c r="H1002" t="str">
        <f>VLOOKUP(D1002,name!A:C,3,1)</f>
        <v>assets/icons/image326.png</v>
      </c>
      <c r="I1002" t="str">
        <f>IF(A1002="","",VLOOKUP(A1002,lng!A:B,2,0))</f>
        <v>en-GB</v>
      </c>
    </row>
    <row r="1003" spans="1:9" x14ac:dyDescent="0.15">
      <c r="A1003" t="str">
        <f t="shared" ref="A1003:B1003" si="820">A1002</f>
        <v>英語</v>
      </c>
      <c r="B1003">
        <f t="shared" si="820"/>
        <v>9</v>
      </c>
      <c r="C1003">
        <f t="shared" si="796"/>
        <v>44</v>
      </c>
      <c r="D1003">
        <f>D973</f>
        <v>32</v>
      </c>
      <c r="E1003" t="str">
        <f>VLOOKUP(D1003,name!A:B,2,1)</f>
        <v>Asha</v>
      </c>
      <c r="F1003" t="str">
        <f>F973</f>
        <v>特にレモントップのアイスクリームを食べると、本当に英国を感じました。</v>
      </c>
      <c r="G1003" t="str">
        <f t="shared" si="807"/>
        <v>a</v>
      </c>
      <c r="H1003" t="str">
        <f>VLOOKUP(D1003,name!A:C,3,1)</f>
        <v>assets/icons/image235.png</v>
      </c>
      <c r="I1003" t="s">
        <v>402</v>
      </c>
    </row>
    <row r="1004" spans="1:9" x14ac:dyDescent="0.15">
      <c r="A1004" t="str">
        <f t="shared" ref="A1004:B1004" si="821">A1003</f>
        <v>英語</v>
      </c>
      <c r="B1004">
        <f t="shared" si="821"/>
        <v>9</v>
      </c>
      <c r="C1004">
        <f t="shared" si="796"/>
        <v>45</v>
      </c>
      <c r="D1004">
        <f>D974</f>
        <v>32</v>
      </c>
      <c r="E1004" t="str">
        <f>VLOOKUP(D1004,name!A:B,2,1)</f>
        <v>Asha</v>
      </c>
      <c r="F1004" t="str">
        <f>F974</f>
        <v xml:space="preserve"> I really felt English, especially having the lemon top ice cream.</v>
      </c>
      <c r="G1004" t="str">
        <f t="shared" si="807"/>
        <v>a</v>
      </c>
      <c r="H1004" t="str">
        <f>VLOOKUP(D1004,name!A:C,3,1)</f>
        <v>assets/icons/image235.png</v>
      </c>
      <c r="I1004" t="str">
        <f>IF(A1004="","",VLOOKUP(A1004,lng!A:B,2,0))</f>
        <v>en-GB</v>
      </c>
    </row>
    <row r="1005" spans="1:9" x14ac:dyDescent="0.15">
      <c r="A1005" t="str">
        <f t="shared" ref="A1005:B1005" si="822">A1004</f>
        <v>英語</v>
      </c>
      <c r="B1005">
        <f t="shared" si="822"/>
        <v>9</v>
      </c>
      <c r="C1005">
        <f t="shared" si="796"/>
        <v>46</v>
      </c>
      <c r="D1005">
        <v>0</v>
      </c>
      <c r="E1005" t="str">
        <f>VLOOKUP(D1005,name!A:B,2,1)</f>
        <v>Player</v>
      </c>
      <c r="F1005" t="str">
        <f>F974</f>
        <v xml:space="preserve"> I really felt English, especially having the lemon top ice cream.</v>
      </c>
      <c r="G1005" t="str">
        <f t="shared" si="807"/>
        <v>q</v>
      </c>
      <c r="H1005" t="str">
        <f>VLOOKUP(D1005,name!A:C,3,1)</f>
        <v>assets/icons/image326.png</v>
      </c>
      <c r="I1005" t="str">
        <f>IF(A1005="","",VLOOKUP(A1005,lng!A:B,2,0))</f>
        <v>en-GB</v>
      </c>
    </row>
    <row r="1006" spans="1:9" x14ac:dyDescent="0.15">
      <c r="A1006" t="str">
        <f t="shared" ref="A1006:B1006" si="823">A1005</f>
        <v>英語</v>
      </c>
      <c r="B1006">
        <f t="shared" si="823"/>
        <v>9</v>
      </c>
      <c r="C1006">
        <f t="shared" si="796"/>
        <v>47</v>
      </c>
      <c r="D1006">
        <f>D975</f>
        <v>29</v>
      </c>
      <c r="E1006" t="str">
        <f>VLOOKUP(D1006,name!A:B,2,1)</f>
        <v>Eri</v>
      </c>
      <c r="F1006" t="str">
        <f>F975</f>
        <v>2人はいったいどこにそんなに詰め込んだの?</v>
      </c>
      <c r="G1006" t="str">
        <f t="shared" si="807"/>
        <v>a</v>
      </c>
      <c r="H1006" t="str">
        <f>VLOOKUP(D1006,name!A:C,3,1)</f>
        <v>assets/icons/image209.png</v>
      </c>
      <c r="I1006" t="s">
        <v>402</v>
      </c>
    </row>
    <row r="1007" spans="1:9" x14ac:dyDescent="0.15">
      <c r="A1007" t="str">
        <f t="shared" ref="A1007:B1007" si="824">A1006</f>
        <v>英語</v>
      </c>
      <c r="B1007">
        <f t="shared" si="824"/>
        <v>9</v>
      </c>
      <c r="C1007">
        <f t="shared" si="796"/>
        <v>48</v>
      </c>
      <c r="D1007">
        <f>D976</f>
        <v>29</v>
      </c>
      <c r="E1007" t="str">
        <f>VLOOKUP(D1007,name!A:B,2,1)</f>
        <v>Eri</v>
      </c>
      <c r="F1007" t="str">
        <f>F976</f>
        <v>I don't know where you two put so much food!</v>
      </c>
      <c r="G1007" t="str">
        <f t="shared" si="807"/>
        <v>a</v>
      </c>
      <c r="H1007" t="str">
        <f>VLOOKUP(D1007,name!A:C,3,1)</f>
        <v>assets/icons/image209.png</v>
      </c>
      <c r="I1007" t="str">
        <f>IF(A1007="","",VLOOKUP(A1007,lng!A:B,2,0))</f>
        <v>en-GB</v>
      </c>
    </row>
    <row r="1008" spans="1:9" x14ac:dyDescent="0.15">
      <c r="A1008" t="str">
        <f t="shared" ref="A1008:B1008" si="825">A1007</f>
        <v>英語</v>
      </c>
      <c r="B1008">
        <f t="shared" si="825"/>
        <v>9</v>
      </c>
      <c r="C1008">
        <f t="shared" si="796"/>
        <v>49</v>
      </c>
      <c r="D1008">
        <v>0</v>
      </c>
      <c r="E1008" t="str">
        <f>VLOOKUP(D1008,name!A:B,2,1)</f>
        <v>Player</v>
      </c>
      <c r="F1008" t="str">
        <f>F976</f>
        <v>I don't know where you two put so much food!</v>
      </c>
      <c r="G1008" t="str">
        <f t="shared" si="807"/>
        <v>q</v>
      </c>
      <c r="H1008" t="str">
        <f>VLOOKUP(D1008,name!A:C,3,1)</f>
        <v>assets/icons/image326.png</v>
      </c>
      <c r="I1008" t="str">
        <f>IF(A1008="","",VLOOKUP(A1008,lng!A:B,2,0))</f>
        <v>en-GB</v>
      </c>
    </row>
    <row r="1009" spans="1:9" x14ac:dyDescent="0.15">
      <c r="A1009" t="str">
        <f t="shared" ref="A1009:B1009" si="826">A1008</f>
        <v>英語</v>
      </c>
      <c r="B1009">
        <f t="shared" si="826"/>
        <v>9</v>
      </c>
      <c r="C1009">
        <f t="shared" si="796"/>
        <v>50</v>
      </c>
      <c r="D1009">
        <f>D977</f>
        <v>29</v>
      </c>
      <c r="E1009" t="str">
        <f>VLOOKUP(D1009,name!A:B,2,1)</f>
        <v>Eri</v>
      </c>
      <c r="F1009" t="str">
        <f>F977</f>
        <v>こんなに食べたのにまだ泳げるなんて不思議です。</v>
      </c>
      <c r="G1009" t="str">
        <f t="shared" si="807"/>
        <v>a</v>
      </c>
      <c r="H1009" t="str">
        <f>VLOOKUP(D1009,name!A:C,3,1)</f>
        <v>assets/icons/image209.png</v>
      </c>
      <c r="I1009" t="s">
        <v>402</v>
      </c>
    </row>
    <row r="1010" spans="1:9" x14ac:dyDescent="0.15">
      <c r="A1010" t="str">
        <f t="shared" ref="A1010:B1010" si="827">A1009</f>
        <v>英語</v>
      </c>
      <c r="B1010">
        <f t="shared" si="827"/>
        <v>9</v>
      </c>
      <c r="C1010">
        <f t="shared" si="796"/>
        <v>51</v>
      </c>
      <c r="D1010">
        <f>D978</f>
        <v>29</v>
      </c>
      <c r="E1010" t="str">
        <f>VLOOKUP(D1010,name!A:B,2,1)</f>
        <v>Eri</v>
      </c>
      <c r="F1010" t="str">
        <f>F978</f>
        <v>It's a wonder you could still swim after eating so much.</v>
      </c>
      <c r="G1010" t="str">
        <f t="shared" si="807"/>
        <v>a</v>
      </c>
      <c r="H1010" t="str">
        <f>VLOOKUP(D1010,name!A:C,3,1)</f>
        <v>assets/icons/image209.png</v>
      </c>
      <c r="I1010" t="str">
        <f>IF(A1010="","",VLOOKUP(A1010,lng!A:B,2,0))</f>
        <v>en-GB</v>
      </c>
    </row>
    <row r="1011" spans="1:9" x14ac:dyDescent="0.15">
      <c r="A1011" t="str">
        <f t="shared" ref="A1011:B1011" si="828">A1010</f>
        <v>英語</v>
      </c>
      <c r="B1011">
        <f t="shared" si="828"/>
        <v>9</v>
      </c>
      <c r="C1011">
        <f t="shared" si="796"/>
        <v>52</v>
      </c>
      <c r="D1011">
        <v>0</v>
      </c>
      <c r="E1011" t="str">
        <f>VLOOKUP(D1011,name!A:B,2,1)</f>
        <v>Player</v>
      </c>
      <c r="F1011" t="str">
        <f>F978</f>
        <v>It's a wonder you could still swim after eating so much.</v>
      </c>
      <c r="G1011" t="str">
        <f t="shared" si="807"/>
        <v>q</v>
      </c>
      <c r="H1011" t="str">
        <f>VLOOKUP(D1011,name!A:C,3,1)</f>
        <v>assets/icons/image326.png</v>
      </c>
      <c r="I1011" t="str">
        <f>IF(A1011="","",VLOOKUP(A1011,lng!A:B,2,0))</f>
        <v>en-GB</v>
      </c>
    </row>
    <row r="1012" spans="1:9" x14ac:dyDescent="0.15">
      <c r="A1012" t="str">
        <f t="shared" ref="A1012:B1012" si="829">A1011</f>
        <v>英語</v>
      </c>
      <c r="B1012">
        <f t="shared" si="829"/>
        <v>9</v>
      </c>
      <c r="C1012">
        <f t="shared" si="796"/>
        <v>53</v>
      </c>
      <c r="D1012">
        <f>D979</f>
        <v>33</v>
      </c>
      <c r="E1012" t="str">
        <f>VLOOKUP(D1012,name!A:B,2,1)</f>
        <v>Simon</v>
      </c>
      <c r="F1012" t="str">
        <f>F979</f>
        <v>そうだ、 ウエストピアのシーフェストに行こう。</v>
      </c>
      <c r="G1012" t="str">
        <f t="shared" si="807"/>
        <v>a</v>
      </c>
      <c r="H1012" t="str">
        <f>VLOOKUP(D1012,name!A:C,3,1)</f>
        <v>assets/icons/image250.png</v>
      </c>
      <c r="I1012" t="s">
        <v>402</v>
      </c>
    </row>
    <row r="1013" spans="1:9" x14ac:dyDescent="0.15">
      <c r="A1013" t="str">
        <f t="shared" ref="A1013:B1013" si="830">A1012</f>
        <v>英語</v>
      </c>
      <c r="B1013">
        <f t="shared" si="830"/>
        <v>9</v>
      </c>
      <c r="C1013">
        <f t="shared" si="796"/>
        <v>54</v>
      </c>
      <c r="D1013">
        <f>D980</f>
        <v>33</v>
      </c>
      <c r="E1013" t="str">
        <f>VLOOKUP(D1013,name!A:B,2,1)</f>
        <v>Simon</v>
      </c>
      <c r="F1013" t="str">
        <f>F980</f>
        <v xml:space="preserve"> I know, let's go to the Seafest at the West Pier.</v>
      </c>
      <c r="G1013" t="str">
        <f t="shared" si="807"/>
        <v>a</v>
      </c>
      <c r="H1013" t="str">
        <f>VLOOKUP(D1013,name!A:C,3,1)</f>
        <v>assets/icons/image250.png</v>
      </c>
      <c r="I1013" t="str">
        <f>IF(A1013="","",VLOOKUP(A1013,lng!A:B,2,0))</f>
        <v>en-GB</v>
      </c>
    </row>
    <row r="1014" spans="1:9" x14ac:dyDescent="0.15">
      <c r="A1014" t="str">
        <f t="shared" ref="A1014:B1014" si="831">A1013</f>
        <v>英語</v>
      </c>
      <c r="B1014">
        <f t="shared" si="831"/>
        <v>9</v>
      </c>
      <c r="C1014">
        <f t="shared" si="796"/>
        <v>55</v>
      </c>
      <c r="D1014">
        <v>0</v>
      </c>
      <c r="E1014" t="str">
        <f>VLOOKUP(D1014,name!A:B,2,1)</f>
        <v>Player</v>
      </c>
      <c r="F1014" t="str">
        <f>F980</f>
        <v xml:space="preserve"> I know, let's go to the Seafest at the West Pier.</v>
      </c>
      <c r="G1014" t="str">
        <f t="shared" si="807"/>
        <v>q</v>
      </c>
      <c r="H1014" t="str">
        <f>VLOOKUP(D1014,name!A:C,3,1)</f>
        <v>assets/icons/image326.png</v>
      </c>
      <c r="I1014" t="str">
        <f>IF(A1014="","",VLOOKUP(A1014,lng!A:B,2,0))</f>
        <v>en-GB</v>
      </c>
    </row>
    <row r="1015" spans="1:9" x14ac:dyDescent="0.15">
      <c r="A1015" t="str">
        <f t="shared" ref="A1015:B1015" si="832">A1014</f>
        <v>英語</v>
      </c>
      <c r="B1015">
        <f t="shared" si="832"/>
        <v>9</v>
      </c>
      <c r="C1015">
        <f t="shared" si="796"/>
        <v>56</v>
      </c>
      <c r="D1015">
        <f>D981</f>
        <v>33</v>
      </c>
      <c r="E1015" t="str">
        <f>VLOOKUP(D1015,name!A:B,2,1)</f>
        <v>Simon</v>
      </c>
      <c r="F1015" t="str">
        <f>F981</f>
        <v>そこにはおいしいシーフード料理があり、たくさんのライブ音楽があり、飲み物が必要な場合は近くにたくさんのバーがあります.</v>
      </c>
      <c r="G1015" t="str">
        <f t="shared" si="807"/>
        <v>a</v>
      </c>
      <c r="H1015" t="str">
        <f>VLOOKUP(D1015,name!A:C,3,1)</f>
        <v>assets/icons/image250.png</v>
      </c>
      <c r="I1015" t="s">
        <v>402</v>
      </c>
    </row>
    <row r="1016" spans="1:9" x14ac:dyDescent="0.15">
      <c r="A1016" t="str">
        <f t="shared" ref="A1016:B1016" si="833">A1015</f>
        <v>英語</v>
      </c>
      <c r="B1016">
        <f t="shared" si="833"/>
        <v>9</v>
      </c>
      <c r="C1016">
        <f t="shared" si="796"/>
        <v>57</v>
      </c>
      <c r="D1016">
        <f>D982</f>
        <v>33</v>
      </c>
      <c r="E1016" t="str">
        <f>VLOOKUP(D1016,name!A:B,2,1)</f>
        <v>Simon</v>
      </c>
      <c r="F1016" t="str">
        <f>F982</f>
        <v>There's good seafood cooking there, and lots of live music, and plenty of bars nearby if you want a drink.</v>
      </c>
      <c r="G1016" t="str">
        <f t="shared" si="807"/>
        <v>a</v>
      </c>
      <c r="H1016" t="str">
        <f>VLOOKUP(D1016,name!A:C,3,1)</f>
        <v>assets/icons/image250.png</v>
      </c>
      <c r="I1016" t="str">
        <f>IF(A1016="","",VLOOKUP(A1016,lng!A:B,2,0))</f>
        <v>en-GB</v>
      </c>
    </row>
    <row r="1017" spans="1:9" x14ac:dyDescent="0.15">
      <c r="A1017" t="str">
        <f t="shared" ref="A1017:B1017" si="834">A1016</f>
        <v>英語</v>
      </c>
      <c r="B1017">
        <f t="shared" si="834"/>
        <v>9</v>
      </c>
      <c r="C1017">
        <f t="shared" si="796"/>
        <v>58</v>
      </c>
      <c r="D1017">
        <v>0</v>
      </c>
      <c r="E1017" t="str">
        <f>VLOOKUP(D1017,name!A:B,2,1)</f>
        <v>Player</v>
      </c>
      <c r="F1017" t="str">
        <f>F982</f>
        <v>There's good seafood cooking there, and lots of live music, and plenty of bars nearby if you want a drink.</v>
      </c>
      <c r="G1017" t="str">
        <f t="shared" si="807"/>
        <v>q</v>
      </c>
      <c r="H1017" t="str">
        <f>VLOOKUP(D1017,name!A:C,3,1)</f>
        <v>assets/icons/image326.png</v>
      </c>
      <c r="I1017" t="str">
        <f>IF(A1017="","",VLOOKUP(A1017,lng!A:B,2,0))</f>
        <v>en-GB</v>
      </c>
    </row>
    <row r="1018" spans="1:9" x14ac:dyDescent="0.15">
      <c r="A1018" t="str">
        <f t="shared" ref="A1018:B1018" si="835">A1017</f>
        <v>英語</v>
      </c>
      <c r="B1018">
        <f t="shared" si="835"/>
        <v>9</v>
      </c>
      <c r="C1018">
        <f t="shared" si="796"/>
        <v>59</v>
      </c>
      <c r="D1018">
        <f>D983</f>
        <v>29</v>
      </c>
      <c r="E1018" t="str">
        <f>VLOOKUP(D1018,name!A:B,2,1)</f>
        <v>Eri</v>
      </c>
      <c r="F1018" t="str">
        <f>F983</f>
        <v>いいですね。</v>
      </c>
      <c r="G1018" t="str">
        <f t="shared" si="807"/>
        <v>a</v>
      </c>
      <c r="H1018" t="str">
        <f>VLOOKUP(D1018,name!A:C,3,1)</f>
        <v>assets/icons/image209.png</v>
      </c>
      <c r="I1018" t="s">
        <v>402</v>
      </c>
    </row>
    <row r="1019" spans="1:9" x14ac:dyDescent="0.15">
      <c r="A1019" t="str">
        <f t="shared" ref="A1019:B1019" si="836">A1018</f>
        <v>英語</v>
      </c>
      <c r="B1019">
        <f t="shared" si="836"/>
        <v>9</v>
      </c>
      <c r="C1019">
        <f t="shared" si="796"/>
        <v>60</v>
      </c>
      <c r="D1019">
        <f>D984</f>
        <v>29</v>
      </c>
      <c r="E1019" t="str">
        <f>VLOOKUP(D1019,name!A:B,2,1)</f>
        <v>Eri</v>
      </c>
      <c r="F1019" t="str">
        <f>F984</f>
        <v>That sounds good.</v>
      </c>
      <c r="G1019" t="str">
        <f t="shared" si="807"/>
        <v>a</v>
      </c>
      <c r="H1019" t="str">
        <f>VLOOKUP(D1019,name!A:C,3,1)</f>
        <v>assets/icons/image209.png</v>
      </c>
      <c r="I1019" t="str">
        <f>IF(A1019="","",VLOOKUP(A1019,lng!A:B,2,0))</f>
        <v>en-GB</v>
      </c>
    </row>
    <row r="1020" spans="1:9" x14ac:dyDescent="0.15">
      <c r="A1020" t="str">
        <f t="shared" ref="A1020:B1020" si="837">A1019</f>
        <v>英語</v>
      </c>
      <c r="B1020">
        <f t="shared" si="837"/>
        <v>9</v>
      </c>
      <c r="C1020">
        <f t="shared" si="796"/>
        <v>61</v>
      </c>
      <c r="D1020">
        <v>0</v>
      </c>
      <c r="E1020" t="str">
        <f>VLOOKUP(D1020,name!A:B,2,1)</f>
        <v>Player</v>
      </c>
      <c r="F1020" t="str">
        <f>F984</f>
        <v>That sounds good.</v>
      </c>
      <c r="G1020" t="str">
        <f t="shared" si="807"/>
        <v>q</v>
      </c>
      <c r="H1020" t="str">
        <f>VLOOKUP(D1020,name!A:C,3,1)</f>
        <v>assets/icons/image326.png</v>
      </c>
      <c r="I1020" t="str">
        <f>IF(A1020="","",VLOOKUP(A1020,lng!A:B,2,0))</f>
        <v>en-GB</v>
      </c>
    </row>
    <row r="1021" spans="1:9" x14ac:dyDescent="0.15">
      <c r="A1021" t="str">
        <f t="shared" ref="A1021:B1021" si="838">A1020</f>
        <v>英語</v>
      </c>
      <c r="B1021">
        <f t="shared" si="838"/>
        <v>9</v>
      </c>
      <c r="C1021">
        <f t="shared" si="796"/>
        <v>62</v>
      </c>
      <c r="D1021">
        <f>D985</f>
        <v>29</v>
      </c>
      <c r="E1021" t="str">
        <f>VLOOKUP(D1021,name!A:B,2,1)</f>
        <v>Eri</v>
      </c>
      <c r="F1021" t="str">
        <f>F985</f>
        <v>こんな素敵な夜は外にいたい。</v>
      </c>
      <c r="G1021" t="str">
        <f t="shared" si="807"/>
        <v>a</v>
      </c>
      <c r="H1021" t="str">
        <f>VLOOKUP(D1021,name!A:C,3,1)</f>
        <v>assets/icons/image209.png</v>
      </c>
      <c r="I1021" t="s">
        <v>402</v>
      </c>
    </row>
    <row r="1022" spans="1:9" x14ac:dyDescent="0.15">
      <c r="A1022" t="str">
        <f t="shared" ref="A1022:B1022" si="839">A1021</f>
        <v>英語</v>
      </c>
      <c r="B1022">
        <f t="shared" si="839"/>
        <v>9</v>
      </c>
      <c r="C1022">
        <f t="shared" si="796"/>
        <v>63</v>
      </c>
      <c r="D1022">
        <f>D986</f>
        <v>29</v>
      </c>
      <c r="E1022" t="str">
        <f>VLOOKUP(D1022,name!A:B,2,1)</f>
        <v>Eri</v>
      </c>
      <c r="F1022" t="str">
        <f>F986</f>
        <v>I'd rather stay outdoors on such a lovely evening.</v>
      </c>
      <c r="G1022" t="str">
        <f t="shared" si="807"/>
        <v>a</v>
      </c>
      <c r="H1022" t="str">
        <f>VLOOKUP(D1022,name!A:C,3,1)</f>
        <v>assets/icons/image209.png</v>
      </c>
      <c r="I1022" t="str">
        <f>IF(A1022="","",VLOOKUP(A1022,lng!A:B,2,0))</f>
        <v>en-GB</v>
      </c>
    </row>
    <row r="1023" spans="1:9" x14ac:dyDescent="0.15">
      <c r="A1023" t="str">
        <f t="shared" ref="A1023:B1023" si="840">A1022</f>
        <v>英語</v>
      </c>
      <c r="B1023">
        <f t="shared" si="840"/>
        <v>9</v>
      </c>
      <c r="C1023">
        <f t="shared" si="796"/>
        <v>64</v>
      </c>
      <c r="D1023">
        <v>0</v>
      </c>
      <c r="E1023" t="str">
        <f>VLOOKUP(D1023,name!A:B,2,1)</f>
        <v>Player</v>
      </c>
      <c r="F1023" t="str">
        <f>F986</f>
        <v>I'd rather stay outdoors on such a lovely evening.</v>
      </c>
      <c r="G1023" t="str">
        <f t="shared" si="807"/>
        <v>q</v>
      </c>
      <c r="H1023" t="str">
        <f>VLOOKUP(D1023,name!A:C,3,1)</f>
        <v>assets/icons/image326.png</v>
      </c>
      <c r="I1023" t="str">
        <f>IF(A1023="","",VLOOKUP(A1023,lng!A:B,2,0))</f>
        <v>en-GB</v>
      </c>
    </row>
    <row r="1024" spans="1:9" x14ac:dyDescent="0.15">
      <c r="A1024" t="str">
        <f t="shared" ref="A1024:B1024" si="841">A1023</f>
        <v>英語</v>
      </c>
      <c r="B1024">
        <f t="shared" si="841"/>
        <v>9</v>
      </c>
      <c r="C1024">
        <f t="shared" si="796"/>
        <v>65</v>
      </c>
      <c r="D1024">
        <v>1</v>
      </c>
      <c r="E1024" t="str">
        <f>VLOOKUP(D1024,name!A:B,2,1)</f>
        <v>Navigator</v>
      </c>
      <c r="F1024" t="str">
        <f>"次の日本語を"&amp;A1024&amp;"に訳して答えてね！"</f>
        <v>次の日本語を英語に訳して答えてね！</v>
      </c>
      <c r="G1024" t="str">
        <f t="shared" si="807"/>
        <v>a</v>
      </c>
      <c r="H1024" t="str">
        <f>VLOOKUP(D1024,name!A:C,3,1)</f>
        <v>assets/icons/image014.png</v>
      </c>
      <c r="I1024" t="s">
        <v>402</v>
      </c>
    </row>
    <row r="1025" spans="1:9" x14ac:dyDescent="0.15">
      <c r="A1025" t="str">
        <f t="shared" ref="A1025:B1025" si="842">A1024</f>
        <v>英語</v>
      </c>
      <c r="B1025">
        <f t="shared" si="842"/>
        <v>9</v>
      </c>
      <c r="C1025">
        <f t="shared" si="796"/>
        <v>66</v>
      </c>
      <c r="D1025">
        <f>D963</f>
        <v>33</v>
      </c>
      <c r="E1025" t="str">
        <f>VLOOKUP(D1025,name!A:B,2,1)</f>
        <v>Simon</v>
      </c>
      <c r="F1025" t="str">
        <f t="shared" ref="F1025:F1048" si="843">F963</f>
        <v>夕食はどこに行く?</v>
      </c>
      <c r="G1025" t="str">
        <f t="shared" si="807"/>
        <v>a</v>
      </c>
      <c r="H1025" t="str">
        <f>VLOOKUP(D1025,name!A:C,3,1)</f>
        <v>assets/icons/image250.png</v>
      </c>
      <c r="I1025" t="s">
        <v>402</v>
      </c>
    </row>
    <row r="1026" spans="1:9" x14ac:dyDescent="0.15">
      <c r="A1026" t="str">
        <f t="shared" ref="A1026:B1026" si="844">A1025</f>
        <v>英語</v>
      </c>
      <c r="B1026">
        <f t="shared" si="844"/>
        <v>9</v>
      </c>
      <c r="C1026">
        <f t="shared" ref="C1026:C1049" si="845">C1025+1</f>
        <v>67</v>
      </c>
      <c r="D1026">
        <v>0</v>
      </c>
      <c r="E1026" t="str">
        <f>VLOOKUP(D1026,name!A:B,2,1)</f>
        <v>Player</v>
      </c>
      <c r="F1026" t="str">
        <f t="shared" si="843"/>
        <v>Where shall we go for dinner?</v>
      </c>
      <c r="G1026" t="str">
        <f t="shared" si="807"/>
        <v>q</v>
      </c>
      <c r="H1026" t="str">
        <f>VLOOKUP(D1026,name!A:C,3,1)</f>
        <v>assets/icons/image326.png</v>
      </c>
      <c r="I1026" t="str">
        <f>IF(A1026="","",VLOOKUP(A1026,lng!A:B,2,0))</f>
        <v>en-GB</v>
      </c>
    </row>
    <row r="1027" spans="1:9" x14ac:dyDescent="0.15">
      <c r="A1027" t="str">
        <f t="shared" ref="A1027:B1027" si="846">A1026</f>
        <v>英語</v>
      </c>
      <c r="B1027">
        <f t="shared" si="846"/>
        <v>9</v>
      </c>
      <c r="C1027">
        <f t="shared" si="845"/>
        <v>68</v>
      </c>
      <c r="D1027">
        <f>D965</f>
        <v>33</v>
      </c>
      <c r="E1027" t="str">
        <f>VLOOKUP(D1027,name!A:B,2,1)</f>
        <v>Simon</v>
      </c>
      <c r="F1027" t="str">
        <f t="shared" si="843"/>
        <v>その後、何をしたいですか？</v>
      </c>
      <c r="G1027" t="str">
        <f t="shared" si="807"/>
        <v>a</v>
      </c>
      <c r="H1027" t="str">
        <f>VLOOKUP(D1027,name!A:C,3,1)</f>
        <v>assets/icons/image250.png</v>
      </c>
      <c r="I1027" t="s">
        <v>402</v>
      </c>
    </row>
    <row r="1028" spans="1:9" x14ac:dyDescent="0.15">
      <c r="A1028" t="str">
        <f t="shared" ref="A1028:B1028" si="847">A1027</f>
        <v>英語</v>
      </c>
      <c r="B1028">
        <f t="shared" si="847"/>
        <v>9</v>
      </c>
      <c r="C1028">
        <f t="shared" si="845"/>
        <v>69</v>
      </c>
      <c r="D1028">
        <v>0</v>
      </c>
      <c r="E1028" t="str">
        <f>VLOOKUP(D1028,name!A:B,2,1)</f>
        <v>Player</v>
      </c>
      <c r="F1028" t="str">
        <f t="shared" si="843"/>
        <v>And what do you fancy doing after that?</v>
      </c>
      <c r="G1028" t="str">
        <f t="shared" si="807"/>
        <v>q</v>
      </c>
      <c r="H1028" t="str">
        <f>VLOOKUP(D1028,name!A:C,3,1)</f>
        <v>assets/icons/image326.png</v>
      </c>
      <c r="I1028" t="str">
        <f>IF(A1028="","",VLOOKUP(A1028,lng!A:B,2,0))</f>
        <v>en-GB</v>
      </c>
    </row>
    <row r="1029" spans="1:9" x14ac:dyDescent="0.15">
      <c r="A1029" t="str">
        <f t="shared" ref="A1029:B1029" si="848">A1028</f>
        <v>英語</v>
      </c>
      <c r="B1029">
        <f t="shared" si="848"/>
        <v>9</v>
      </c>
      <c r="C1029">
        <f t="shared" si="845"/>
        <v>70</v>
      </c>
      <c r="D1029">
        <f>D967</f>
        <v>29</v>
      </c>
      <c r="E1029" t="str">
        <f>VLOOKUP(D1029,name!A:B,2,1)</f>
        <v>Eri</v>
      </c>
      <c r="F1029" t="str">
        <f t="shared" si="843"/>
        <v>夕食はそれほど食べられるかどうかわからない</v>
      </c>
      <c r="G1029" t="str">
        <f t="shared" si="807"/>
        <v>a</v>
      </c>
      <c r="H1029" t="str">
        <f>VLOOKUP(D1029,name!A:C,3,1)</f>
        <v>assets/icons/image209.png</v>
      </c>
      <c r="I1029" t="s">
        <v>402</v>
      </c>
    </row>
    <row r="1030" spans="1:9" x14ac:dyDescent="0.15">
      <c r="A1030" t="str">
        <f t="shared" ref="A1030:B1030" si="849">A1029</f>
        <v>英語</v>
      </c>
      <c r="B1030">
        <f t="shared" si="849"/>
        <v>9</v>
      </c>
      <c r="C1030">
        <f t="shared" si="845"/>
        <v>71</v>
      </c>
      <c r="D1030">
        <v>0</v>
      </c>
      <c r="E1030" t="str">
        <f>VLOOKUP(D1030,name!A:B,2,1)</f>
        <v>Player</v>
      </c>
      <c r="F1030" t="str">
        <f t="shared" si="843"/>
        <v>I don't know if I can eat much dinner.</v>
      </c>
      <c r="G1030" t="str">
        <f t="shared" si="807"/>
        <v>q</v>
      </c>
      <c r="H1030" t="str">
        <f>VLOOKUP(D1030,name!A:C,3,1)</f>
        <v>assets/icons/image326.png</v>
      </c>
      <c r="I1030" t="str">
        <f>IF(A1030="","",VLOOKUP(A1030,lng!A:B,2,0))</f>
        <v>en-GB</v>
      </c>
    </row>
    <row r="1031" spans="1:9" x14ac:dyDescent="0.15">
      <c r="A1031" t="str">
        <f t="shared" ref="A1031:B1031" si="850">A1030</f>
        <v>英語</v>
      </c>
      <c r="B1031">
        <f t="shared" si="850"/>
        <v>9</v>
      </c>
      <c r="C1031">
        <f t="shared" si="845"/>
        <v>72</v>
      </c>
      <c r="D1031">
        <f>D969</f>
        <v>29</v>
      </c>
      <c r="E1031" t="str">
        <f>VLOOKUP(D1031,name!A:B,2,1)</f>
        <v>Eri</v>
      </c>
      <c r="F1031" t="str">
        <f t="shared" si="843"/>
        <v>ビーチカフェの食事はとても美味しかったから。</v>
      </c>
      <c r="G1031" t="str">
        <f t="shared" si="807"/>
        <v>a</v>
      </c>
      <c r="H1031" t="str">
        <f>VLOOKUP(D1031,name!A:C,3,1)</f>
        <v>assets/icons/image209.png</v>
      </c>
      <c r="I1031" t="s">
        <v>402</v>
      </c>
    </row>
    <row r="1032" spans="1:9" x14ac:dyDescent="0.15">
      <c r="A1032" t="str">
        <f t="shared" ref="A1032:B1032" si="851">A1031</f>
        <v>英語</v>
      </c>
      <c r="B1032">
        <f t="shared" si="851"/>
        <v>9</v>
      </c>
      <c r="C1032">
        <f t="shared" si="845"/>
        <v>73</v>
      </c>
      <c r="D1032">
        <v>0</v>
      </c>
      <c r="E1032" t="str">
        <f>VLOOKUP(D1032,name!A:B,2,1)</f>
        <v>Player</v>
      </c>
      <c r="F1032" t="str">
        <f t="shared" si="843"/>
        <v>The beach café food was so good.</v>
      </c>
      <c r="G1032" t="str">
        <f t="shared" si="807"/>
        <v>q</v>
      </c>
      <c r="H1032" t="str">
        <f>VLOOKUP(D1032,name!A:C,3,1)</f>
        <v>assets/icons/image326.png</v>
      </c>
      <c r="I1032" t="str">
        <f>IF(A1032="","",VLOOKUP(A1032,lng!A:B,2,0))</f>
        <v>en-GB</v>
      </c>
    </row>
    <row r="1033" spans="1:9" x14ac:dyDescent="0.15">
      <c r="A1033" t="str">
        <f t="shared" ref="A1033:B1033" si="852">A1032</f>
        <v>英語</v>
      </c>
      <c r="B1033">
        <f t="shared" si="852"/>
        <v>9</v>
      </c>
      <c r="C1033">
        <f t="shared" si="845"/>
        <v>74</v>
      </c>
      <c r="D1033">
        <f>D971</f>
        <v>32</v>
      </c>
      <c r="E1033" t="str">
        <f>VLOOKUP(D1033,name!A:B,2,1)</f>
        <v>Asha</v>
      </c>
      <c r="F1033" t="str">
        <f t="shared" si="843"/>
        <v>はい、でもデッキチェアでビーチで食事をするのは最高でしたね。</v>
      </c>
      <c r="G1033" t="str">
        <f t="shared" si="807"/>
        <v>a</v>
      </c>
      <c r="H1033" t="str">
        <f>VLOOKUP(D1033,name!A:C,3,1)</f>
        <v>assets/icons/image235.png</v>
      </c>
      <c r="I1033" t="s">
        <v>402</v>
      </c>
    </row>
    <row r="1034" spans="1:9" x14ac:dyDescent="0.15">
      <c r="A1034" t="str">
        <f t="shared" ref="A1034:B1034" si="853">A1033</f>
        <v>英語</v>
      </c>
      <c r="B1034">
        <f t="shared" si="853"/>
        <v>9</v>
      </c>
      <c r="C1034">
        <f t="shared" si="845"/>
        <v>75</v>
      </c>
      <c r="D1034">
        <v>0</v>
      </c>
      <c r="E1034" t="str">
        <f>VLOOKUP(D1034,name!A:B,2,1)</f>
        <v>Player</v>
      </c>
      <c r="F1034" t="str">
        <f t="shared" si="843"/>
        <v>Yes, but it was great eating on the beach in our deck chairs, wasn't it?</v>
      </c>
      <c r="G1034" t="str">
        <f t="shared" si="807"/>
        <v>q</v>
      </c>
      <c r="H1034" t="str">
        <f>VLOOKUP(D1034,name!A:C,3,1)</f>
        <v>assets/icons/image326.png</v>
      </c>
      <c r="I1034" t="str">
        <f>IF(A1034="","",VLOOKUP(A1034,lng!A:B,2,0))</f>
        <v>en-GB</v>
      </c>
    </row>
    <row r="1035" spans="1:9" x14ac:dyDescent="0.15">
      <c r="A1035" t="str">
        <f t="shared" ref="A1035:B1035" si="854">A1034</f>
        <v>英語</v>
      </c>
      <c r="B1035">
        <f t="shared" si="854"/>
        <v>9</v>
      </c>
      <c r="C1035">
        <f t="shared" si="845"/>
        <v>76</v>
      </c>
      <c r="D1035">
        <f>D973</f>
        <v>32</v>
      </c>
      <c r="E1035" t="str">
        <f>VLOOKUP(D1035,name!A:B,2,1)</f>
        <v>Asha</v>
      </c>
      <c r="F1035" t="str">
        <f t="shared" si="843"/>
        <v>特にレモントップのアイスクリームを食べると、本当に英国を感じました。</v>
      </c>
      <c r="G1035" t="str">
        <f t="shared" si="807"/>
        <v>a</v>
      </c>
      <c r="H1035" t="str">
        <f>VLOOKUP(D1035,name!A:C,3,1)</f>
        <v>assets/icons/image235.png</v>
      </c>
      <c r="I1035" t="s">
        <v>402</v>
      </c>
    </row>
    <row r="1036" spans="1:9" x14ac:dyDescent="0.15">
      <c r="A1036" t="str">
        <f t="shared" ref="A1036:B1036" si="855">A1035</f>
        <v>英語</v>
      </c>
      <c r="B1036">
        <f t="shared" si="855"/>
        <v>9</v>
      </c>
      <c r="C1036">
        <f t="shared" si="845"/>
        <v>77</v>
      </c>
      <c r="D1036">
        <v>0</v>
      </c>
      <c r="E1036" t="str">
        <f>VLOOKUP(D1036,name!A:B,2,1)</f>
        <v>Player</v>
      </c>
      <c r="F1036" t="str">
        <f t="shared" si="843"/>
        <v xml:space="preserve"> I really felt English, especially having the lemon top ice cream.</v>
      </c>
      <c r="G1036" t="str">
        <f t="shared" si="807"/>
        <v>q</v>
      </c>
      <c r="H1036" t="str">
        <f>VLOOKUP(D1036,name!A:C,3,1)</f>
        <v>assets/icons/image326.png</v>
      </c>
      <c r="I1036" t="str">
        <f>IF(A1036="","",VLOOKUP(A1036,lng!A:B,2,0))</f>
        <v>en-GB</v>
      </c>
    </row>
    <row r="1037" spans="1:9" x14ac:dyDescent="0.15">
      <c r="A1037" t="str">
        <f t="shared" ref="A1037:B1037" si="856">A1036</f>
        <v>英語</v>
      </c>
      <c r="B1037">
        <f t="shared" si="856"/>
        <v>9</v>
      </c>
      <c r="C1037">
        <f t="shared" si="845"/>
        <v>78</v>
      </c>
      <c r="D1037">
        <f>D975</f>
        <v>29</v>
      </c>
      <c r="E1037" t="str">
        <f>VLOOKUP(D1037,name!A:B,2,1)</f>
        <v>Eri</v>
      </c>
      <c r="F1037" t="str">
        <f t="shared" si="843"/>
        <v>2人はいったいどこにそんなに詰め込んだの?</v>
      </c>
      <c r="G1037" t="str">
        <f t="shared" si="807"/>
        <v>a</v>
      </c>
      <c r="H1037" t="str">
        <f>VLOOKUP(D1037,name!A:C,3,1)</f>
        <v>assets/icons/image209.png</v>
      </c>
      <c r="I1037" t="s">
        <v>402</v>
      </c>
    </row>
    <row r="1038" spans="1:9" x14ac:dyDescent="0.15">
      <c r="A1038" t="str">
        <f t="shared" ref="A1038:B1038" si="857">A1037</f>
        <v>英語</v>
      </c>
      <c r="B1038">
        <f t="shared" si="857"/>
        <v>9</v>
      </c>
      <c r="C1038">
        <f t="shared" si="845"/>
        <v>79</v>
      </c>
      <c r="D1038">
        <v>0</v>
      </c>
      <c r="E1038" t="str">
        <f>VLOOKUP(D1038,name!A:B,2,1)</f>
        <v>Player</v>
      </c>
      <c r="F1038" t="str">
        <f t="shared" si="843"/>
        <v>I don't know where you two put so much food!</v>
      </c>
      <c r="G1038" t="str">
        <f t="shared" si="807"/>
        <v>q</v>
      </c>
      <c r="H1038" t="str">
        <f>VLOOKUP(D1038,name!A:C,3,1)</f>
        <v>assets/icons/image326.png</v>
      </c>
      <c r="I1038" t="str">
        <f>IF(A1038="","",VLOOKUP(A1038,lng!A:B,2,0))</f>
        <v>en-GB</v>
      </c>
    </row>
    <row r="1039" spans="1:9" x14ac:dyDescent="0.15">
      <c r="A1039" t="str">
        <f t="shared" ref="A1039:B1039" si="858">A1038</f>
        <v>英語</v>
      </c>
      <c r="B1039">
        <f t="shared" si="858"/>
        <v>9</v>
      </c>
      <c r="C1039">
        <f t="shared" si="845"/>
        <v>80</v>
      </c>
      <c r="D1039">
        <f>D977</f>
        <v>29</v>
      </c>
      <c r="E1039" t="str">
        <f>VLOOKUP(D1039,name!A:B,2,1)</f>
        <v>Eri</v>
      </c>
      <c r="F1039" t="str">
        <f t="shared" si="843"/>
        <v>こんなに食べたのにまだ泳げるなんて不思議です。</v>
      </c>
      <c r="G1039" t="str">
        <f t="shared" si="807"/>
        <v>a</v>
      </c>
      <c r="H1039" t="str">
        <f>VLOOKUP(D1039,name!A:C,3,1)</f>
        <v>assets/icons/image209.png</v>
      </c>
      <c r="I1039" t="s">
        <v>402</v>
      </c>
    </row>
    <row r="1040" spans="1:9" x14ac:dyDescent="0.15">
      <c r="A1040" t="str">
        <f t="shared" ref="A1040:B1040" si="859">A1039</f>
        <v>英語</v>
      </c>
      <c r="B1040">
        <f t="shared" si="859"/>
        <v>9</v>
      </c>
      <c r="C1040">
        <f t="shared" si="845"/>
        <v>81</v>
      </c>
      <c r="D1040">
        <v>0</v>
      </c>
      <c r="E1040" t="str">
        <f>VLOOKUP(D1040,name!A:B,2,1)</f>
        <v>Player</v>
      </c>
      <c r="F1040" t="str">
        <f t="shared" si="843"/>
        <v>It's a wonder you could still swim after eating so much.</v>
      </c>
      <c r="G1040" t="str">
        <f t="shared" si="807"/>
        <v>q</v>
      </c>
      <c r="H1040" t="str">
        <f>VLOOKUP(D1040,name!A:C,3,1)</f>
        <v>assets/icons/image326.png</v>
      </c>
      <c r="I1040" t="str">
        <f>IF(A1040="","",VLOOKUP(A1040,lng!A:B,2,0))</f>
        <v>en-GB</v>
      </c>
    </row>
    <row r="1041" spans="1:9" x14ac:dyDescent="0.15">
      <c r="A1041" t="str">
        <f t="shared" ref="A1041:B1041" si="860">A1040</f>
        <v>英語</v>
      </c>
      <c r="B1041">
        <f t="shared" si="860"/>
        <v>9</v>
      </c>
      <c r="C1041">
        <f t="shared" si="845"/>
        <v>82</v>
      </c>
      <c r="D1041">
        <f>D979</f>
        <v>33</v>
      </c>
      <c r="E1041" t="str">
        <f>VLOOKUP(D1041,name!A:B,2,1)</f>
        <v>Simon</v>
      </c>
      <c r="F1041" t="str">
        <f t="shared" si="843"/>
        <v>そうだ、 ウエストピアのシーフェストに行こう。</v>
      </c>
      <c r="G1041" t="str">
        <f t="shared" si="807"/>
        <v>a</v>
      </c>
      <c r="H1041" t="str">
        <f>VLOOKUP(D1041,name!A:C,3,1)</f>
        <v>assets/icons/image250.png</v>
      </c>
      <c r="I1041" t="s">
        <v>402</v>
      </c>
    </row>
    <row r="1042" spans="1:9" x14ac:dyDescent="0.15">
      <c r="A1042" t="str">
        <f t="shared" ref="A1042:B1042" si="861">A1041</f>
        <v>英語</v>
      </c>
      <c r="B1042">
        <f t="shared" si="861"/>
        <v>9</v>
      </c>
      <c r="C1042">
        <f t="shared" si="845"/>
        <v>83</v>
      </c>
      <c r="D1042">
        <v>0</v>
      </c>
      <c r="E1042" t="str">
        <f>VLOOKUP(D1042,name!A:B,2,1)</f>
        <v>Player</v>
      </c>
      <c r="F1042" t="str">
        <f t="shared" si="843"/>
        <v xml:space="preserve"> I know, let's go to the Seafest at the West Pier.</v>
      </c>
      <c r="G1042" t="str">
        <f t="shared" si="807"/>
        <v>q</v>
      </c>
      <c r="H1042" t="str">
        <f>VLOOKUP(D1042,name!A:C,3,1)</f>
        <v>assets/icons/image326.png</v>
      </c>
      <c r="I1042" t="str">
        <f>IF(A1042="","",VLOOKUP(A1042,lng!A:B,2,0))</f>
        <v>en-GB</v>
      </c>
    </row>
    <row r="1043" spans="1:9" x14ac:dyDescent="0.15">
      <c r="A1043" t="str">
        <f t="shared" ref="A1043:B1043" si="862">A1042</f>
        <v>英語</v>
      </c>
      <c r="B1043">
        <f t="shared" si="862"/>
        <v>9</v>
      </c>
      <c r="C1043">
        <f t="shared" si="845"/>
        <v>84</v>
      </c>
      <c r="D1043">
        <f>D981</f>
        <v>33</v>
      </c>
      <c r="E1043" t="str">
        <f>VLOOKUP(D1043,name!A:B,2,1)</f>
        <v>Simon</v>
      </c>
      <c r="F1043" t="str">
        <f t="shared" si="843"/>
        <v>そこにはおいしいシーフード料理があり、たくさんのライブ音楽があり、飲み物が必要な場合は近くにたくさんのバーがあります.</v>
      </c>
      <c r="G1043" t="str">
        <f t="shared" si="807"/>
        <v>a</v>
      </c>
      <c r="H1043" t="str">
        <f>VLOOKUP(D1043,name!A:C,3,1)</f>
        <v>assets/icons/image250.png</v>
      </c>
      <c r="I1043" t="s">
        <v>402</v>
      </c>
    </row>
    <row r="1044" spans="1:9" x14ac:dyDescent="0.15">
      <c r="A1044" t="str">
        <f t="shared" ref="A1044:B1044" si="863">A1043</f>
        <v>英語</v>
      </c>
      <c r="B1044">
        <f t="shared" si="863"/>
        <v>9</v>
      </c>
      <c r="C1044">
        <f t="shared" si="845"/>
        <v>85</v>
      </c>
      <c r="D1044">
        <v>0</v>
      </c>
      <c r="E1044" t="str">
        <f>VLOOKUP(D1044,name!A:B,2,1)</f>
        <v>Player</v>
      </c>
      <c r="F1044" t="str">
        <f t="shared" si="843"/>
        <v>There's good seafood cooking there, and lots of live music, and plenty of bars nearby if you want a drink.</v>
      </c>
      <c r="G1044" t="str">
        <f t="shared" si="807"/>
        <v>q</v>
      </c>
      <c r="H1044" t="str">
        <f>VLOOKUP(D1044,name!A:C,3,1)</f>
        <v>assets/icons/image326.png</v>
      </c>
      <c r="I1044" t="str">
        <f>IF(A1044="","",VLOOKUP(A1044,lng!A:B,2,0))</f>
        <v>en-GB</v>
      </c>
    </row>
    <row r="1045" spans="1:9" x14ac:dyDescent="0.15">
      <c r="A1045" t="str">
        <f t="shared" ref="A1045:B1045" si="864">A1044</f>
        <v>英語</v>
      </c>
      <c r="B1045">
        <f t="shared" si="864"/>
        <v>9</v>
      </c>
      <c r="C1045">
        <f t="shared" si="845"/>
        <v>86</v>
      </c>
      <c r="D1045">
        <f>D983</f>
        <v>29</v>
      </c>
      <c r="E1045" t="str">
        <f>VLOOKUP(D1045,name!A:B,2,1)</f>
        <v>Eri</v>
      </c>
      <c r="F1045" t="str">
        <f t="shared" si="843"/>
        <v>いいですね。</v>
      </c>
      <c r="G1045" t="str">
        <f t="shared" si="807"/>
        <v>a</v>
      </c>
      <c r="H1045" t="str">
        <f>VLOOKUP(D1045,name!A:C,3,1)</f>
        <v>assets/icons/image209.png</v>
      </c>
      <c r="I1045" t="s">
        <v>402</v>
      </c>
    </row>
    <row r="1046" spans="1:9" x14ac:dyDescent="0.15">
      <c r="A1046" t="str">
        <f t="shared" ref="A1046:B1046" si="865">A1045</f>
        <v>英語</v>
      </c>
      <c r="B1046">
        <f t="shared" si="865"/>
        <v>9</v>
      </c>
      <c r="C1046">
        <f t="shared" si="845"/>
        <v>87</v>
      </c>
      <c r="D1046">
        <v>0</v>
      </c>
      <c r="E1046" t="str">
        <f>VLOOKUP(D1046,name!A:B,2,1)</f>
        <v>Player</v>
      </c>
      <c r="F1046" t="str">
        <f t="shared" si="843"/>
        <v>That sounds good.</v>
      </c>
      <c r="G1046" t="str">
        <f t="shared" si="807"/>
        <v>q</v>
      </c>
      <c r="H1046" t="str">
        <f>VLOOKUP(D1046,name!A:C,3,1)</f>
        <v>assets/icons/image326.png</v>
      </c>
      <c r="I1046" t="str">
        <f>IF(A1046="","",VLOOKUP(A1046,lng!A:B,2,0))</f>
        <v>en-GB</v>
      </c>
    </row>
    <row r="1047" spans="1:9" x14ac:dyDescent="0.15">
      <c r="A1047" t="str">
        <f t="shared" ref="A1047:B1047" si="866">A1046</f>
        <v>英語</v>
      </c>
      <c r="B1047">
        <f t="shared" si="866"/>
        <v>9</v>
      </c>
      <c r="C1047">
        <f t="shared" si="845"/>
        <v>88</v>
      </c>
      <c r="D1047">
        <f>D985</f>
        <v>29</v>
      </c>
      <c r="E1047" t="str">
        <f>VLOOKUP(D1047,name!A:B,2,1)</f>
        <v>Eri</v>
      </c>
      <c r="F1047" t="str">
        <f t="shared" si="843"/>
        <v>こんな素敵な夜は外にいたい。</v>
      </c>
      <c r="G1047" t="str">
        <f t="shared" si="807"/>
        <v>a</v>
      </c>
      <c r="H1047" t="str">
        <f>VLOOKUP(D1047,name!A:C,3,1)</f>
        <v>assets/icons/image209.png</v>
      </c>
      <c r="I1047" t="s">
        <v>402</v>
      </c>
    </row>
    <row r="1048" spans="1:9" x14ac:dyDescent="0.15">
      <c r="A1048" t="str">
        <f t="shared" ref="A1048:B1048" si="867">A1047</f>
        <v>英語</v>
      </c>
      <c r="B1048">
        <f t="shared" si="867"/>
        <v>9</v>
      </c>
      <c r="C1048">
        <f t="shared" si="845"/>
        <v>89</v>
      </c>
      <c r="D1048">
        <v>0</v>
      </c>
      <c r="E1048" t="str">
        <f>VLOOKUP(D1048,name!A:B,2,1)</f>
        <v>Player</v>
      </c>
      <c r="F1048" t="str">
        <f t="shared" si="843"/>
        <v>I'd rather stay outdoors on such a lovely evening.</v>
      </c>
      <c r="G1048" t="str">
        <f t="shared" si="807"/>
        <v>q</v>
      </c>
      <c r="H1048" t="str">
        <f>VLOOKUP(D1048,name!A:C,3,1)</f>
        <v>assets/icons/image326.png</v>
      </c>
      <c r="I1048" t="str">
        <f>IF(A1048="","",VLOOKUP(A1048,lng!A:B,2,0))</f>
        <v>en-GB</v>
      </c>
    </row>
    <row r="1049" spans="1:9" x14ac:dyDescent="0.15">
      <c r="A1049" t="str">
        <f t="shared" ref="A1049:B1049" si="868">A1048</f>
        <v>英語</v>
      </c>
      <c r="B1049">
        <f t="shared" si="868"/>
        <v>9</v>
      </c>
      <c r="C1049">
        <f t="shared" si="845"/>
        <v>90</v>
      </c>
      <c r="D1049">
        <v>1</v>
      </c>
      <c r="E1049" t="str">
        <f>VLOOKUP(D1049,name!A:B,2,1)</f>
        <v>Navigator</v>
      </c>
      <c r="F1049" t="str">
        <f>"とても良くできました。レッスン"&amp;B1049&amp;"はこれで終了です。"</f>
        <v>とても良くできました。レッスン9はこれで終了です。</v>
      </c>
      <c r="G1049" t="str">
        <f t="shared" si="807"/>
        <v>e</v>
      </c>
      <c r="H1049" t="str">
        <f>VLOOKUP(D1049,name!A:C,3,1)</f>
        <v>assets/icons/image014.png</v>
      </c>
      <c r="I1049" t="s">
        <v>402</v>
      </c>
    </row>
    <row r="1050" spans="1:9" x14ac:dyDescent="0.15">
      <c r="A1050" t="str">
        <f>A1049</f>
        <v>英語</v>
      </c>
      <c r="B1050">
        <f>B1049+1</f>
        <v>10</v>
      </c>
      <c r="C1050">
        <v>1</v>
      </c>
      <c r="D1050">
        <v>1</v>
      </c>
      <c r="E1050" t="str">
        <f>VLOOKUP(D1050,name!A:B,2,1)</f>
        <v>Navigator</v>
      </c>
      <c r="F1050" t="s">
        <v>744</v>
      </c>
      <c r="G1050" t="str">
        <f t="shared" si="807"/>
        <v>a</v>
      </c>
      <c r="H1050" t="str">
        <f>VLOOKUP(D1050,name!A:C,3,1)</f>
        <v>assets/icons/image014.png</v>
      </c>
      <c r="I1050" t="str">
        <f>IF(A1050="","",VLOOKUP(A1050,lng!A:B,2,0))</f>
        <v>en-GB</v>
      </c>
    </row>
    <row r="1051" spans="1:9" x14ac:dyDescent="0.15">
      <c r="A1051" t="str">
        <f t="shared" ref="A1051:B1066" si="869">A1050</f>
        <v>英語</v>
      </c>
      <c r="B1051">
        <f>B1050</f>
        <v>10</v>
      </c>
      <c r="C1051">
        <f>C1050+1</f>
        <v>2</v>
      </c>
      <c r="D1051">
        <v>1</v>
      </c>
      <c r="E1051" t="str">
        <f>VLOOKUP(D1051,name!A:B,2,1)</f>
        <v>Navigator</v>
      </c>
      <c r="F1051" t="str">
        <f>"レッスン"&amp;B1051</f>
        <v>レッスン10</v>
      </c>
      <c r="G1051" t="str">
        <f t="shared" si="807"/>
        <v>a</v>
      </c>
      <c r="H1051" t="str">
        <f>VLOOKUP(D1051,name!A:C,3,1)</f>
        <v>assets/icons/image014.png</v>
      </c>
      <c r="I1051" t="s">
        <v>402</v>
      </c>
    </row>
    <row r="1052" spans="1:9" ht="40.5" x14ac:dyDescent="0.15">
      <c r="A1052" t="str">
        <f t="shared" si="869"/>
        <v>英語</v>
      </c>
      <c r="B1052">
        <f t="shared" si="869"/>
        <v>10</v>
      </c>
      <c r="C1052">
        <f t="shared" ref="C1052:C1115" si="870">C1051+1</f>
        <v>3</v>
      </c>
      <c r="D1052">
        <v>1</v>
      </c>
      <c r="E1052" t="str">
        <f>VLOOKUP(D1052,name!A:B,2,1)</f>
        <v>Navigator</v>
      </c>
      <c r="F1052" s="1" t="str">
        <f>"まずは対話文を流します。その後に、日本語と"&amp;A1052&amp;"を一文ずつ流すので"&amp;A1052&amp;"を真似して下さい。最後に日本語のみを流すので、"&amp;A1052&amp;"で答えてください。"</f>
        <v>まずは対話文を流します。その後に、日本語と英語を一文ずつ流すので英語を真似して下さい。最後に日本語のみを流すので、英語で答えてください。</v>
      </c>
      <c r="G1052" t="str">
        <f t="shared" si="807"/>
        <v>a</v>
      </c>
      <c r="H1052" t="str">
        <f>VLOOKUP(D1052,name!A:C,3,1)</f>
        <v>assets/icons/image014.png</v>
      </c>
      <c r="I1052" t="s">
        <v>402</v>
      </c>
    </row>
    <row r="1053" spans="1:9" x14ac:dyDescent="0.15">
      <c r="A1053" t="str">
        <f t="shared" si="869"/>
        <v>英語</v>
      </c>
      <c r="B1053">
        <f t="shared" si="869"/>
        <v>10</v>
      </c>
      <c r="C1053">
        <f t="shared" si="870"/>
        <v>4</v>
      </c>
      <c r="D1053">
        <f>D1054</f>
        <v>32</v>
      </c>
      <c r="E1053" t="str">
        <f>VLOOKUP(D1053,name!A:B,2,1)</f>
        <v>Asha</v>
      </c>
      <c r="F1053" t="s">
        <v>667</v>
      </c>
      <c r="G1053" t="str">
        <f t="shared" si="807"/>
        <v>a</v>
      </c>
      <c r="H1053" t="str">
        <f>VLOOKUP(D1053,name!A:C,3,1)</f>
        <v>assets/icons/image235.png</v>
      </c>
      <c r="I1053" t="s">
        <v>402</v>
      </c>
    </row>
    <row r="1054" spans="1:9" x14ac:dyDescent="0.15">
      <c r="A1054" t="str">
        <f t="shared" si="869"/>
        <v>英語</v>
      </c>
      <c r="B1054">
        <f t="shared" si="869"/>
        <v>10</v>
      </c>
      <c r="C1054">
        <f t="shared" si="870"/>
        <v>5</v>
      </c>
      <c r="D1054">
        <f t="shared" ref="D1054:D1083" si="871">D1055</f>
        <v>32</v>
      </c>
      <c r="E1054" t="str">
        <f>VLOOKUP(D1054,name!A:B,2,1)</f>
        <v>Asha</v>
      </c>
      <c r="F1054" t="s">
        <v>759</v>
      </c>
      <c r="G1054" t="str">
        <f t="shared" ref="G1054:G1117" si="872">IF(B1054&lt;&gt;B1055,"e",IF(D1054=0,"q","a"))</f>
        <v>a</v>
      </c>
      <c r="H1054" t="str">
        <f>VLOOKUP(D1054,name!A:C,3,1)</f>
        <v>assets/icons/image235.png</v>
      </c>
      <c r="I1054" t="str">
        <f>IF(A1054="","",VLOOKUP(A1054,lng!A:B,2,0))</f>
        <v>en-GB</v>
      </c>
    </row>
    <row r="1055" spans="1:9" x14ac:dyDescent="0.15">
      <c r="A1055" t="str">
        <f t="shared" si="869"/>
        <v>英語</v>
      </c>
      <c r="B1055">
        <f t="shared" si="869"/>
        <v>10</v>
      </c>
      <c r="C1055">
        <f t="shared" si="870"/>
        <v>6</v>
      </c>
      <c r="D1055">
        <f t="shared" si="871"/>
        <v>32</v>
      </c>
      <c r="E1055" t="str">
        <f>VLOOKUP(D1055,name!A:B,2,1)</f>
        <v>Asha</v>
      </c>
      <c r="F1055" t="s">
        <v>761</v>
      </c>
      <c r="G1055" t="str">
        <f t="shared" si="872"/>
        <v>a</v>
      </c>
      <c r="H1055" t="str">
        <f>VLOOKUP(D1055,name!A:C,3,1)</f>
        <v>assets/icons/image235.png</v>
      </c>
      <c r="I1055" t="s">
        <v>402</v>
      </c>
    </row>
    <row r="1056" spans="1:9" x14ac:dyDescent="0.15">
      <c r="A1056" t="str">
        <f t="shared" si="869"/>
        <v>英語</v>
      </c>
      <c r="B1056">
        <f t="shared" si="869"/>
        <v>10</v>
      </c>
      <c r="C1056">
        <f t="shared" si="870"/>
        <v>7</v>
      </c>
      <c r="D1056">
        <v>32</v>
      </c>
      <c r="E1056" t="str">
        <f>VLOOKUP(D1056,name!A:B,2,1)</f>
        <v>Asha</v>
      </c>
      <c r="F1056" t="s">
        <v>760</v>
      </c>
      <c r="G1056" t="str">
        <f t="shared" si="872"/>
        <v>a</v>
      </c>
      <c r="H1056" t="str">
        <f>VLOOKUP(D1056,name!A:C,3,1)</f>
        <v>assets/icons/image235.png</v>
      </c>
      <c r="I1056" t="str">
        <f>IF(A1056="","",VLOOKUP(A1056,lng!A:B,2,0))</f>
        <v>en-GB</v>
      </c>
    </row>
    <row r="1057" spans="1:9" x14ac:dyDescent="0.15">
      <c r="A1057" t="str">
        <f t="shared" si="869"/>
        <v>英語</v>
      </c>
      <c r="B1057">
        <f t="shared" si="869"/>
        <v>10</v>
      </c>
      <c r="C1057">
        <f t="shared" si="870"/>
        <v>8</v>
      </c>
      <c r="D1057">
        <f t="shared" si="871"/>
        <v>29</v>
      </c>
      <c r="E1057" t="str">
        <f>VLOOKUP(D1057,name!A:B,2,1)</f>
        <v>Eri</v>
      </c>
      <c r="F1057" t="s">
        <v>762</v>
      </c>
      <c r="G1057" t="str">
        <f t="shared" si="872"/>
        <v>a</v>
      </c>
      <c r="H1057" t="str">
        <f>VLOOKUP(D1057,name!A:C,3,1)</f>
        <v>assets/icons/image209.png</v>
      </c>
      <c r="I1057" t="s">
        <v>402</v>
      </c>
    </row>
    <row r="1058" spans="1:9" x14ac:dyDescent="0.15">
      <c r="A1058" t="str">
        <f t="shared" si="869"/>
        <v>英語</v>
      </c>
      <c r="B1058">
        <f t="shared" si="869"/>
        <v>10</v>
      </c>
      <c r="C1058">
        <f t="shared" si="870"/>
        <v>9</v>
      </c>
      <c r="D1058">
        <f t="shared" si="871"/>
        <v>29</v>
      </c>
      <c r="E1058" t="str">
        <f>VLOOKUP(D1058,name!A:B,2,1)</f>
        <v>Eri</v>
      </c>
      <c r="F1058" t="s">
        <v>745</v>
      </c>
      <c r="G1058" t="str">
        <f t="shared" si="872"/>
        <v>a</v>
      </c>
      <c r="H1058" t="str">
        <f>VLOOKUP(D1058,name!A:C,3,1)</f>
        <v>assets/icons/image209.png</v>
      </c>
      <c r="I1058" t="str">
        <f>IF(A1058="","",VLOOKUP(A1058,lng!A:B,2,0))</f>
        <v>en-GB</v>
      </c>
    </row>
    <row r="1059" spans="1:9" x14ac:dyDescent="0.15">
      <c r="A1059" t="str">
        <f t="shared" si="869"/>
        <v>英語</v>
      </c>
      <c r="B1059">
        <f t="shared" si="869"/>
        <v>10</v>
      </c>
      <c r="C1059">
        <f t="shared" si="870"/>
        <v>10</v>
      </c>
      <c r="D1059">
        <f t="shared" si="871"/>
        <v>29</v>
      </c>
      <c r="E1059" t="str">
        <f>VLOOKUP(D1059,name!A:B,2,1)</f>
        <v>Eri</v>
      </c>
      <c r="F1059" t="s">
        <v>763</v>
      </c>
      <c r="G1059" t="str">
        <f t="shared" si="872"/>
        <v>a</v>
      </c>
      <c r="H1059" t="str">
        <f>VLOOKUP(D1059,name!A:C,3,1)</f>
        <v>assets/icons/image209.png</v>
      </c>
      <c r="I1059" t="s">
        <v>402</v>
      </c>
    </row>
    <row r="1060" spans="1:9" x14ac:dyDescent="0.15">
      <c r="A1060" t="str">
        <f t="shared" si="869"/>
        <v>英語</v>
      </c>
      <c r="B1060">
        <f t="shared" si="869"/>
        <v>10</v>
      </c>
      <c r="C1060">
        <f t="shared" si="870"/>
        <v>11</v>
      </c>
      <c r="D1060">
        <f t="shared" si="871"/>
        <v>29</v>
      </c>
      <c r="E1060" t="str">
        <f>VLOOKUP(D1060,name!A:B,2,1)</f>
        <v>Eri</v>
      </c>
      <c r="F1060" t="s">
        <v>746</v>
      </c>
      <c r="G1060" t="str">
        <f t="shared" si="872"/>
        <v>a</v>
      </c>
      <c r="H1060" t="str">
        <f>VLOOKUP(D1060,name!A:C,3,1)</f>
        <v>assets/icons/image209.png</v>
      </c>
      <c r="I1060" t="str">
        <f>IF(A1060="","",VLOOKUP(A1060,lng!A:B,2,0))</f>
        <v>en-GB</v>
      </c>
    </row>
    <row r="1061" spans="1:9" x14ac:dyDescent="0.15">
      <c r="A1061" t="str">
        <f t="shared" si="869"/>
        <v>英語</v>
      </c>
      <c r="B1061">
        <f t="shared" si="869"/>
        <v>10</v>
      </c>
      <c r="C1061">
        <f t="shared" si="870"/>
        <v>12</v>
      </c>
      <c r="D1061">
        <f t="shared" si="871"/>
        <v>29</v>
      </c>
      <c r="E1061" t="str">
        <f>VLOOKUP(D1061,name!A:B,2,1)</f>
        <v>Eri</v>
      </c>
      <c r="F1061" t="s">
        <v>764</v>
      </c>
      <c r="G1061" t="str">
        <f t="shared" si="872"/>
        <v>a</v>
      </c>
      <c r="H1061" t="str">
        <f>VLOOKUP(D1061,name!A:C,3,1)</f>
        <v>assets/icons/image209.png</v>
      </c>
      <c r="I1061" t="s">
        <v>402</v>
      </c>
    </row>
    <row r="1062" spans="1:9" x14ac:dyDescent="0.15">
      <c r="A1062" t="str">
        <f t="shared" si="869"/>
        <v>英語</v>
      </c>
      <c r="B1062">
        <f t="shared" si="869"/>
        <v>10</v>
      </c>
      <c r="C1062">
        <f t="shared" si="870"/>
        <v>13</v>
      </c>
      <c r="D1062">
        <f t="shared" si="871"/>
        <v>29</v>
      </c>
      <c r="E1062" t="str">
        <f>VLOOKUP(D1062,name!A:B,2,1)</f>
        <v>Eri</v>
      </c>
      <c r="F1062" t="s">
        <v>747</v>
      </c>
      <c r="G1062" t="str">
        <f t="shared" si="872"/>
        <v>a</v>
      </c>
      <c r="H1062" t="str">
        <f>VLOOKUP(D1062,name!A:C,3,1)</f>
        <v>assets/icons/image209.png</v>
      </c>
      <c r="I1062" t="str">
        <f>IF(A1062="","",VLOOKUP(A1062,lng!A:B,2,0))</f>
        <v>en-GB</v>
      </c>
    </row>
    <row r="1063" spans="1:9" x14ac:dyDescent="0.15">
      <c r="A1063" t="str">
        <f t="shared" si="869"/>
        <v>英語</v>
      </c>
      <c r="B1063">
        <f t="shared" si="869"/>
        <v>10</v>
      </c>
      <c r="C1063">
        <f t="shared" si="870"/>
        <v>14</v>
      </c>
      <c r="D1063">
        <f t="shared" si="871"/>
        <v>29</v>
      </c>
      <c r="E1063" t="str">
        <f>VLOOKUP(D1063,name!A:B,2,1)</f>
        <v>Eri</v>
      </c>
      <c r="F1063" t="s">
        <v>765</v>
      </c>
      <c r="G1063" t="str">
        <f t="shared" si="872"/>
        <v>a</v>
      </c>
      <c r="H1063" t="str">
        <f>VLOOKUP(D1063,name!A:C,3,1)</f>
        <v>assets/icons/image209.png</v>
      </c>
      <c r="I1063" t="s">
        <v>402</v>
      </c>
    </row>
    <row r="1064" spans="1:9" x14ac:dyDescent="0.15">
      <c r="A1064" t="str">
        <f t="shared" si="869"/>
        <v>英語</v>
      </c>
      <c r="B1064">
        <f t="shared" si="869"/>
        <v>10</v>
      </c>
      <c r="C1064">
        <f t="shared" si="870"/>
        <v>15</v>
      </c>
      <c r="D1064">
        <f t="shared" si="871"/>
        <v>29</v>
      </c>
      <c r="E1064" t="str">
        <f>VLOOKUP(D1064,name!A:B,2,1)</f>
        <v>Eri</v>
      </c>
      <c r="F1064" t="s">
        <v>748</v>
      </c>
      <c r="G1064" t="str">
        <f t="shared" si="872"/>
        <v>a</v>
      </c>
      <c r="H1064" t="str">
        <f>VLOOKUP(D1064,name!A:C,3,1)</f>
        <v>assets/icons/image209.png</v>
      </c>
      <c r="I1064" t="str">
        <f>IF(A1064="","",VLOOKUP(A1064,lng!A:B,2,0))</f>
        <v>en-GB</v>
      </c>
    </row>
    <row r="1065" spans="1:9" x14ac:dyDescent="0.15">
      <c r="A1065" t="str">
        <f t="shared" si="869"/>
        <v>英語</v>
      </c>
      <c r="B1065">
        <f t="shared" si="869"/>
        <v>10</v>
      </c>
      <c r="C1065">
        <f t="shared" si="870"/>
        <v>16</v>
      </c>
      <c r="D1065">
        <f t="shared" si="871"/>
        <v>29</v>
      </c>
      <c r="E1065" t="str">
        <f>VLOOKUP(D1065,name!A:B,2,1)</f>
        <v>Eri</v>
      </c>
      <c r="F1065" t="s">
        <v>766</v>
      </c>
      <c r="G1065" t="str">
        <f t="shared" si="872"/>
        <v>a</v>
      </c>
      <c r="H1065" t="str">
        <f>VLOOKUP(D1065,name!A:C,3,1)</f>
        <v>assets/icons/image209.png</v>
      </c>
      <c r="I1065" t="s">
        <v>402</v>
      </c>
    </row>
    <row r="1066" spans="1:9" x14ac:dyDescent="0.15">
      <c r="A1066" t="str">
        <f t="shared" si="869"/>
        <v>英語</v>
      </c>
      <c r="B1066">
        <f t="shared" si="869"/>
        <v>10</v>
      </c>
      <c r="C1066">
        <f t="shared" si="870"/>
        <v>17</v>
      </c>
      <c r="D1066">
        <f t="shared" si="871"/>
        <v>29</v>
      </c>
      <c r="E1066" t="str">
        <f>VLOOKUP(D1066,name!A:B,2,1)</f>
        <v>Eri</v>
      </c>
      <c r="F1066" t="s">
        <v>749</v>
      </c>
      <c r="G1066" t="str">
        <f t="shared" si="872"/>
        <v>a</v>
      </c>
      <c r="H1066" t="str">
        <f>VLOOKUP(D1066,name!A:C,3,1)</f>
        <v>assets/icons/image209.png</v>
      </c>
      <c r="I1066" t="str">
        <f>IF(A1066="","",VLOOKUP(A1066,lng!A:B,2,0))</f>
        <v>en-GB</v>
      </c>
    </row>
    <row r="1067" spans="1:9" x14ac:dyDescent="0.15">
      <c r="A1067" t="str">
        <f t="shared" ref="A1067:B1079" si="873">A1066</f>
        <v>英語</v>
      </c>
      <c r="B1067">
        <f t="shared" si="873"/>
        <v>10</v>
      </c>
      <c r="C1067">
        <f t="shared" si="870"/>
        <v>18</v>
      </c>
      <c r="D1067">
        <f t="shared" si="871"/>
        <v>29</v>
      </c>
      <c r="E1067" t="str">
        <f>VLOOKUP(D1067,name!A:B,2,1)</f>
        <v>Eri</v>
      </c>
      <c r="F1067" t="s">
        <v>767</v>
      </c>
      <c r="G1067" t="str">
        <f t="shared" si="872"/>
        <v>a</v>
      </c>
      <c r="H1067" t="str">
        <f>VLOOKUP(D1067,name!A:C,3,1)</f>
        <v>assets/icons/image209.png</v>
      </c>
      <c r="I1067" t="s">
        <v>402</v>
      </c>
    </row>
    <row r="1068" spans="1:9" x14ac:dyDescent="0.15">
      <c r="A1068" t="str">
        <f t="shared" si="873"/>
        <v>英語</v>
      </c>
      <c r="B1068">
        <f t="shared" si="873"/>
        <v>10</v>
      </c>
      <c r="C1068">
        <f t="shared" si="870"/>
        <v>19</v>
      </c>
      <c r="D1068">
        <v>29</v>
      </c>
      <c r="E1068" t="str">
        <f>VLOOKUP(D1068,name!A:B,2,1)</f>
        <v>Eri</v>
      </c>
      <c r="F1068" t="s">
        <v>750</v>
      </c>
      <c r="G1068" t="str">
        <f t="shared" si="872"/>
        <v>a</v>
      </c>
      <c r="H1068" t="str">
        <f>VLOOKUP(D1068,name!A:C,3,1)</f>
        <v>assets/icons/image209.png</v>
      </c>
      <c r="I1068" t="str">
        <f>IF(A1068="","",VLOOKUP(A1068,lng!A:B,2,0))</f>
        <v>en-GB</v>
      </c>
    </row>
    <row r="1069" spans="1:9" x14ac:dyDescent="0.15">
      <c r="A1069" t="str">
        <f t="shared" si="873"/>
        <v>英語</v>
      </c>
      <c r="B1069">
        <f t="shared" si="873"/>
        <v>10</v>
      </c>
      <c r="C1069">
        <f t="shared" si="870"/>
        <v>20</v>
      </c>
      <c r="D1069">
        <f t="shared" si="871"/>
        <v>32</v>
      </c>
      <c r="E1069" t="str">
        <f>VLOOKUP(D1069,name!A:B,2,1)</f>
        <v>Asha</v>
      </c>
      <c r="F1069" t="s">
        <v>768</v>
      </c>
      <c r="G1069" t="str">
        <f t="shared" si="872"/>
        <v>a</v>
      </c>
      <c r="H1069" t="str">
        <f>VLOOKUP(D1069,name!A:C,3,1)</f>
        <v>assets/icons/image235.png</v>
      </c>
      <c r="I1069" t="s">
        <v>402</v>
      </c>
    </row>
    <row r="1070" spans="1:9" x14ac:dyDescent="0.15">
      <c r="A1070" t="str">
        <f t="shared" si="873"/>
        <v>英語</v>
      </c>
      <c r="B1070">
        <f t="shared" si="873"/>
        <v>10</v>
      </c>
      <c r="C1070">
        <f t="shared" si="870"/>
        <v>21</v>
      </c>
      <c r="D1070">
        <f t="shared" si="871"/>
        <v>32</v>
      </c>
      <c r="E1070" t="str">
        <f>VLOOKUP(D1070,name!A:B,2,1)</f>
        <v>Asha</v>
      </c>
      <c r="F1070" t="s">
        <v>751</v>
      </c>
      <c r="G1070" t="str">
        <f t="shared" si="872"/>
        <v>a</v>
      </c>
      <c r="H1070" t="str">
        <f>VLOOKUP(D1070,name!A:C,3,1)</f>
        <v>assets/icons/image235.png</v>
      </c>
      <c r="I1070" t="str">
        <f>IF(A1070="","",VLOOKUP(A1070,lng!A:B,2,0))</f>
        <v>en-GB</v>
      </c>
    </row>
    <row r="1071" spans="1:9" x14ac:dyDescent="0.15">
      <c r="A1071" t="str">
        <f t="shared" si="873"/>
        <v>英語</v>
      </c>
      <c r="B1071">
        <f t="shared" si="873"/>
        <v>10</v>
      </c>
      <c r="C1071">
        <f t="shared" si="870"/>
        <v>22</v>
      </c>
      <c r="D1071">
        <f t="shared" si="871"/>
        <v>32</v>
      </c>
      <c r="E1071" t="str">
        <f>VLOOKUP(D1071,name!A:B,2,1)</f>
        <v>Asha</v>
      </c>
      <c r="F1071" t="s">
        <v>769</v>
      </c>
      <c r="G1071" t="str">
        <f t="shared" si="872"/>
        <v>a</v>
      </c>
      <c r="H1071" t="str">
        <f>VLOOKUP(D1071,name!A:C,3,1)</f>
        <v>assets/icons/image235.png</v>
      </c>
      <c r="I1071" t="s">
        <v>402</v>
      </c>
    </row>
    <row r="1072" spans="1:9" x14ac:dyDescent="0.15">
      <c r="A1072" t="str">
        <f t="shared" si="873"/>
        <v>英語</v>
      </c>
      <c r="B1072">
        <f t="shared" si="873"/>
        <v>10</v>
      </c>
      <c r="C1072">
        <f t="shared" si="870"/>
        <v>23</v>
      </c>
      <c r="D1072">
        <f t="shared" si="871"/>
        <v>32</v>
      </c>
      <c r="E1072" t="str">
        <f>VLOOKUP(D1072,name!A:B,2,1)</f>
        <v>Asha</v>
      </c>
      <c r="F1072" t="s">
        <v>752</v>
      </c>
      <c r="G1072" t="str">
        <f t="shared" si="872"/>
        <v>a</v>
      </c>
      <c r="H1072" t="str">
        <f>VLOOKUP(D1072,name!A:C,3,1)</f>
        <v>assets/icons/image235.png</v>
      </c>
      <c r="I1072" t="str">
        <f>IF(A1072="","",VLOOKUP(A1072,lng!A:B,2,0))</f>
        <v>en-GB</v>
      </c>
    </row>
    <row r="1073" spans="1:9" x14ac:dyDescent="0.15">
      <c r="A1073" t="str">
        <f t="shared" si="873"/>
        <v>英語</v>
      </c>
      <c r="B1073">
        <f t="shared" si="873"/>
        <v>10</v>
      </c>
      <c r="C1073">
        <f t="shared" si="870"/>
        <v>24</v>
      </c>
      <c r="D1073">
        <f t="shared" si="871"/>
        <v>32</v>
      </c>
      <c r="E1073" t="str">
        <f>VLOOKUP(D1073,name!A:B,2,1)</f>
        <v>Asha</v>
      </c>
      <c r="F1073" t="s">
        <v>770</v>
      </c>
      <c r="G1073" t="str">
        <f t="shared" si="872"/>
        <v>a</v>
      </c>
      <c r="H1073" t="str">
        <f>VLOOKUP(D1073,name!A:C,3,1)</f>
        <v>assets/icons/image235.png</v>
      </c>
      <c r="I1073" t="s">
        <v>402</v>
      </c>
    </row>
    <row r="1074" spans="1:9" x14ac:dyDescent="0.15">
      <c r="A1074" t="str">
        <f t="shared" si="873"/>
        <v>英語</v>
      </c>
      <c r="B1074">
        <f t="shared" si="873"/>
        <v>10</v>
      </c>
      <c r="C1074">
        <f t="shared" si="870"/>
        <v>25</v>
      </c>
      <c r="D1074">
        <f t="shared" si="871"/>
        <v>32</v>
      </c>
      <c r="E1074" t="str">
        <f>VLOOKUP(D1074,name!A:B,2,1)</f>
        <v>Asha</v>
      </c>
      <c r="F1074" t="s">
        <v>753</v>
      </c>
      <c r="G1074" t="str">
        <f t="shared" si="872"/>
        <v>a</v>
      </c>
      <c r="H1074" t="str">
        <f>VLOOKUP(D1074,name!A:C,3,1)</f>
        <v>assets/icons/image235.png</v>
      </c>
      <c r="I1074" t="str">
        <f>IF(A1074="","",VLOOKUP(A1074,lng!A:B,2,0))</f>
        <v>en-GB</v>
      </c>
    </row>
    <row r="1075" spans="1:9" x14ac:dyDescent="0.15">
      <c r="A1075" t="str">
        <f t="shared" si="873"/>
        <v>英語</v>
      </c>
      <c r="B1075">
        <f t="shared" si="873"/>
        <v>10</v>
      </c>
      <c r="C1075">
        <f t="shared" si="870"/>
        <v>26</v>
      </c>
      <c r="D1075">
        <f t="shared" si="871"/>
        <v>32</v>
      </c>
      <c r="E1075" t="str">
        <f>VLOOKUP(D1075,name!A:B,2,1)</f>
        <v>Asha</v>
      </c>
      <c r="F1075" t="s">
        <v>771</v>
      </c>
      <c r="G1075" t="str">
        <f t="shared" si="872"/>
        <v>a</v>
      </c>
      <c r="H1075" t="str">
        <f>VLOOKUP(D1075,name!A:C,3,1)</f>
        <v>assets/icons/image235.png</v>
      </c>
      <c r="I1075" t="s">
        <v>402</v>
      </c>
    </row>
    <row r="1076" spans="1:9" x14ac:dyDescent="0.15">
      <c r="A1076" t="str">
        <f t="shared" si="873"/>
        <v>英語</v>
      </c>
      <c r="B1076">
        <f t="shared" si="873"/>
        <v>10</v>
      </c>
      <c r="C1076">
        <f t="shared" si="870"/>
        <v>27</v>
      </c>
      <c r="D1076">
        <f t="shared" si="871"/>
        <v>32</v>
      </c>
      <c r="E1076" t="str">
        <f>VLOOKUP(D1076,name!A:B,2,1)</f>
        <v>Asha</v>
      </c>
      <c r="F1076" t="s">
        <v>754</v>
      </c>
      <c r="G1076" t="str">
        <f t="shared" si="872"/>
        <v>a</v>
      </c>
      <c r="H1076" t="str">
        <f>VLOOKUP(D1076,name!A:C,3,1)</f>
        <v>assets/icons/image235.png</v>
      </c>
      <c r="I1076" t="str">
        <f>IF(A1076="","",VLOOKUP(A1076,lng!A:B,2,0))</f>
        <v>en-GB</v>
      </c>
    </row>
    <row r="1077" spans="1:9" x14ac:dyDescent="0.15">
      <c r="A1077" t="str">
        <f t="shared" si="873"/>
        <v>英語</v>
      </c>
      <c r="B1077">
        <f t="shared" si="873"/>
        <v>10</v>
      </c>
      <c r="C1077">
        <f t="shared" si="870"/>
        <v>28</v>
      </c>
      <c r="D1077">
        <f t="shared" si="871"/>
        <v>32</v>
      </c>
      <c r="E1077" t="str">
        <f>VLOOKUP(D1077,name!A:B,2,1)</f>
        <v>Asha</v>
      </c>
      <c r="F1077" t="s">
        <v>772</v>
      </c>
      <c r="G1077" t="str">
        <f t="shared" si="872"/>
        <v>a</v>
      </c>
      <c r="H1077" t="str">
        <f>VLOOKUP(D1077,name!A:C,3,1)</f>
        <v>assets/icons/image235.png</v>
      </c>
      <c r="I1077" t="s">
        <v>402</v>
      </c>
    </row>
    <row r="1078" spans="1:9" x14ac:dyDescent="0.15">
      <c r="A1078" t="str">
        <f t="shared" si="873"/>
        <v>英語</v>
      </c>
      <c r="B1078">
        <f t="shared" si="873"/>
        <v>10</v>
      </c>
      <c r="C1078">
        <f t="shared" si="870"/>
        <v>29</v>
      </c>
      <c r="D1078">
        <f t="shared" si="871"/>
        <v>32</v>
      </c>
      <c r="E1078" t="str">
        <f>VLOOKUP(D1078,name!A:B,2,1)</f>
        <v>Asha</v>
      </c>
      <c r="F1078" t="s">
        <v>755</v>
      </c>
      <c r="G1078" t="str">
        <f t="shared" si="872"/>
        <v>a</v>
      </c>
      <c r="H1078" t="str">
        <f>VLOOKUP(D1078,name!A:C,3,1)</f>
        <v>assets/icons/image235.png</v>
      </c>
      <c r="I1078" t="str">
        <f>IF(A1078="","",VLOOKUP(A1078,lng!A:B,2,0))</f>
        <v>en-GB</v>
      </c>
    </row>
    <row r="1079" spans="1:9" x14ac:dyDescent="0.15">
      <c r="A1079" t="str">
        <f t="shared" si="873"/>
        <v>英語</v>
      </c>
      <c r="B1079">
        <f t="shared" si="873"/>
        <v>10</v>
      </c>
      <c r="C1079">
        <f t="shared" si="870"/>
        <v>30</v>
      </c>
      <c r="D1079">
        <f t="shared" si="871"/>
        <v>32</v>
      </c>
      <c r="E1079" t="str">
        <f>VLOOKUP(D1079,name!A:B,2,1)</f>
        <v>Asha</v>
      </c>
      <c r="F1079" t="s">
        <v>773</v>
      </c>
      <c r="G1079" t="str">
        <f t="shared" si="872"/>
        <v>a</v>
      </c>
      <c r="H1079" t="str">
        <f>VLOOKUP(D1079,name!A:C,3,1)</f>
        <v>assets/icons/image235.png</v>
      </c>
      <c r="I1079" t="s">
        <v>402</v>
      </c>
    </row>
    <row r="1080" spans="1:9" x14ac:dyDescent="0.15">
      <c r="A1080" t="str">
        <f t="shared" ref="A1080:B1080" si="874">A1079</f>
        <v>英語</v>
      </c>
      <c r="B1080">
        <f t="shared" si="874"/>
        <v>10</v>
      </c>
      <c r="C1080">
        <f t="shared" si="870"/>
        <v>31</v>
      </c>
      <c r="D1080">
        <v>32</v>
      </c>
      <c r="E1080" t="str">
        <f>VLOOKUP(D1080,name!A:B,2,1)</f>
        <v>Asha</v>
      </c>
      <c r="F1080" t="s">
        <v>756</v>
      </c>
      <c r="G1080" t="str">
        <f t="shared" si="872"/>
        <v>a</v>
      </c>
      <c r="H1080" t="str">
        <f>VLOOKUP(D1080,name!A:C,3,1)</f>
        <v>assets/icons/image235.png</v>
      </c>
      <c r="I1080" t="str">
        <f>IF(A1080="","",VLOOKUP(A1080,lng!A:B,2,0))</f>
        <v>en-GB</v>
      </c>
    </row>
    <row r="1081" spans="1:9" x14ac:dyDescent="0.15">
      <c r="A1081" t="str">
        <f t="shared" ref="A1081:B1081" si="875">A1080</f>
        <v>英語</v>
      </c>
      <c r="B1081">
        <f t="shared" si="875"/>
        <v>10</v>
      </c>
      <c r="C1081">
        <f t="shared" si="870"/>
        <v>32</v>
      </c>
      <c r="D1081">
        <f t="shared" si="871"/>
        <v>29</v>
      </c>
      <c r="E1081" t="str">
        <f>VLOOKUP(D1081,name!A:B,2,1)</f>
        <v>Eri</v>
      </c>
      <c r="F1081" t="s">
        <v>774</v>
      </c>
      <c r="G1081" t="str">
        <f t="shared" si="872"/>
        <v>a</v>
      </c>
      <c r="H1081" t="str">
        <f>VLOOKUP(D1081,name!A:C,3,1)</f>
        <v>assets/icons/image209.png</v>
      </c>
      <c r="I1081" t="s">
        <v>402</v>
      </c>
    </row>
    <row r="1082" spans="1:9" x14ac:dyDescent="0.15">
      <c r="A1082" t="str">
        <f t="shared" ref="A1082:B1082" si="876">A1081</f>
        <v>英語</v>
      </c>
      <c r="B1082">
        <f t="shared" si="876"/>
        <v>10</v>
      </c>
      <c r="C1082">
        <f t="shared" si="870"/>
        <v>33</v>
      </c>
      <c r="D1082">
        <f t="shared" si="871"/>
        <v>29</v>
      </c>
      <c r="E1082" t="str">
        <f>VLOOKUP(D1082,name!A:B,2,1)</f>
        <v>Eri</v>
      </c>
      <c r="F1082" t="s">
        <v>757</v>
      </c>
      <c r="G1082" t="str">
        <f t="shared" si="872"/>
        <v>a</v>
      </c>
      <c r="H1082" t="str">
        <f>VLOOKUP(D1082,name!A:C,3,1)</f>
        <v>assets/icons/image209.png</v>
      </c>
      <c r="I1082" t="str">
        <f>IF(A1082="","",VLOOKUP(A1082,lng!A:B,2,0))</f>
        <v>en-GB</v>
      </c>
    </row>
    <row r="1083" spans="1:9" x14ac:dyDescent="0.15">
      <c r="A1083" t="str">
        <f t="shared" ref="A1083:B1083" si="877">A1082</f>
        <v>英語</v>
      </c>
      <c r="B1083">
        <f t="shared" si="877"/>
        <v>10</v>
      </c>
      <c r="C1083">
        <f t="shared" si="870"/>
        <v>34</v>
      </c>
      <c r="D1083">
        <f t="shared" si="871"/>
        <v>29</v>
      </c>
      <c r="E1083" t="str">
        <f>VLOOKUP(D1083,name!A:B,2,1)</f>
        <v>Eri</v>
      </c>
      <c r="F1083" t="s">
        <v>775</v>
      </c>
      <c r="G1083" t="str">
        <f t="shared" si="872"/>
        <v>a</v>
      </c>
      <c r="H1083" t="str">
        <f>VLOOKUP(D1083,name!A:C,3,1)</f>
        <v>assets/icons/image209.png</v>
      </c>
      <c r="I1083" t="s">
        <v>402</v>
      </c>
    </row>
    <row r="1084" spans="1:9" x14ac:dyDescent="0.15">
      <c r="A1084" t="str">
        <f t="shared" ref="A1084:B1084" si="878">A1083</f>
        <v>英語</v>
      </c>
      <c r="B1084">
        <f t="shared" si="878"/>
        <v>10</v>
      </c>
      <c r="C1084">
        <f t="shared" si="870"/>
        <v>35</v>
      </c>
      <c r="D1084">
        <v>29</v>
      </c>
      <c r="E1084" t="str">
        <f>VLOOKUP(D1084,name!A:B,2,1)</f>
        <v>Eri</v>
      </c>
      <c r="F1084" t="s">
        <v>758</v>
      </c>
      <c r="G1084" t="str">
        <f t="shared" si="872"/>
        <v>a</v>
      </c>
      <c r="H1084" t="str">
        <f>VLOOKUP(D1084,name!A:C,3,1)</f>
        <v>assets/icons/image209.png</v>
      </c>
      <c r="I1084" t="str">
        <f>IF(A1084="","",VLOOKUP(A1084,lng!A:B,2,0))</f>
        <v>en-GB</v>
      </c>
    </row>
    <row r="1085" spans="1:9" x14ac:dyDescent="0.15">
      <c r="A1085" t="str">
        <f t="shared" ref="A1085:B1085" si="879">A1084</f>
        <v>英語</v>
      </c>
      <c r="B1085">
        <f t="shared" si="879"/>
        <v>10</v>
      </c>
      <c r="C1085">
        <f t="shared" si="870"/>
        <v>36</v>
      </c>
      <c r="D1085">
        <v>1</v>
      </c>
      <c r="E1085" t="str">
        <f>VLOOKUP(D1085,name!A:B,2,1)</f>
        <v>Navigator</v>
      </c>
      <c r="F1085" t="str">
        <f>"次の"&amp;A1085&amp;"を真似してね！"</f>
        <v>次の英語を真似してね！</v>
      </c>
      <c r="G1085" t="str">
        <f t="shared" si="872"/>
        <v>a</v>
      </c>
      <c r="H1085" t="str">
        <f>VLOOKUP(D1085,name!A:C,3,1)</f>
        <v>assets/icons/image014.png</v>
      </c>
      <c r="I1085" t="s">
        <v>402</v>
      </c>
    </row>
    <row r="1086" spans="1:9" x14ac:dyDescent="0.15">
      <c r="A1086" t="str">
        <f t="shared" ref="A1086:B1086" si="880">A1085</f>
        <v>英語</v>
      </c>
      <c r="B1086">
        <f t="shared" si="880"/>
        <v>10</v>
      </c>
      <c r="C1086">
        <f t="shared" si="870"/>
        <v>37</v>
      </c>
      <c r="D1086">
        <f>D1053</f>
        <v>32</v>
      </c>
      <c r="E1086" t="str">
        <f>VLOOKUP(D1086,name!A:B,2,1)</f>
        <v>Asha</v>
      </c>
      <c r="F1086" t="str">
        <f>F1053</f>
        <v>こんにちは、エリ。</v>
      </c>
      <c r="G1086" t="str">
        <f t="shared" si="872"/>
        <v>a</v>
      </c>
      <c r="H1086" t="str">
        <f>VLOOKUP(D1086,name!A:C,3,1)</f>
        <v>assets/icons/image235.png</v>
      </c>
      <c r="I1086" t="s">
        <v>402</v>
      </c>
    </row>
    <row r="1087" spans="1:9" x14ac:dyDescent="0.15">
      <c r="A1087" t="str">
        <f t="shared" ref="A1087:B1087" si="881">A1086</f>
        <v>英語</v>
      </c>
      <c r="B1087">
        <f t="shared" si="881"/>
        <v>10</v>
      </c>
      <c r="C1087">
        <f t="shared" si="870"/>
        <v>38</v>
      </c>
      <c r="D1087">
        <f>D1054</f>
        <v>32</v>
      </c>
      <c r="E1087" t="str">
        <f>VLOOKUP(D1087,name!A:B,2,1)</f>
        <v>Asha</v>
      </c>
      <c r="F1087" t="str">
        <f>F1054</f>
        <v>Hi, Eri.</v>
      </c>
      <c r="G1087" t="str">
        <f t="shared" si="872"/>
        <v>a</v>
      </c>
      <c r="H1087" t="str">
        <f>VLOOKUP(D1087,name!A:C,3,1)</f>
        <v>assets/icons/image235.png</v>
      </c>
      <c r="I1087" t="str">
        <f>IF(A1087="","",VLOOKUP(A1087,lng!A:B,2,0))</f>
        <v>en-GB</v>
      </c>
    </row>
    <row r="1088" spans="1:9" x14ac:dyDescent="0.15">
      <c r="A1088" t="str">
        <f t="shared" ref="A1088:B1088" si="882">A1087</f>
        <v>英語</v>
      </c>
      <c r="B1088">
        <f t="shared" si="882"/>
        <v>10</v>
      </c>
      <c r="C1088">
        <f t="shared" si="870"/>
        <v>39</v>
      </c>
      <c r="D1088">
        <v>0</v>
      </c>
      <c r="E1088" t="str">
        <f>VLOOKUP(D1088,name!A:B,2,1)</f>
        <v>Player</v>
      </c>
      <c r="F1088" t="str">
        <f>F1054</f>
        <v>Hi, Eri.</v>
      </c>
      <c r="G1088" t="str">
        <f t="shared" si="872"/>
        <v>q</v>
      </c>
      <c r="H1088" t="str">
        <f>VLOOKUP(D1088,name!A:C,3,1)</f>
        <v>assets/icons/image326.png</v>
      </c>
      <c r="I1088" t="str">
        <f>IF(A1088="","",VLOOKUP(A1088,lng!A:B,2,0))</f>
        <v>en-GB</v>
      </c>
    </row>
    <row r="1089" spans="1:9" x14ac:dyDescent="0.15">
      <c r="A1089" t="str">
        <f t="shared" ref="A1089:B1089" si="883">A1088</f>
        <v>英語</v>
      </c>
      <c r="B1089">
        <f t="shared" si="883"/>
        <v>10</v>
      </c>
      <c r="C1089">
        <f t="shared" si="870"/>
        <v>40</v>
      </c>
      <c r="D1089">
        <f>D1055</f>
        <v>32</v>
      </c>
      <c r="E1089" t="str">
        <f>VLOOKUP(D1089,name!A:B,2,1)</f>
        <v>Asha</v>
      </c>
      <c r="F1089" t="str">
        <f>F1055</f>
        <v>調子はどう?</v>
      </c>
      <c r="G1089" t="str">
        <f t="shared" si="872"/>
        <v>a</v>
      </c>
      <c r="H1089" t="str">
        <f>VLOOKUP(D1089,name!A:C,3,1)</f>
        <v>assets/icons/image235.png</v>
      </c>
      <c r="I1089" t="s">
        <v>402</v>
      </c>
    </row>
    <row r="1090" spans="1:9" x14ac:dyDescent="0.15">
      <c r="A1090" t="str">
        <f t="shared" ref="A1090:B1090" si="884">A1089</f>
        <v>英語</v>
      </c>
      <c r="B1090">
        <f t="shared" si="884"/>
        <v>10</v>
      </c>
      <c r="C1090">
        <f t="shared" si="870"/>
        <v>41</v>
      </c>
      <c r="D1090">
        <f>D1056</f>
        <v>32</v>
      </c>
      <c r="E1090" t="str">
        <f>VLOOKUP(D1090,name!A:B,2,1)</f>
        <v>Asha</v>
      </c>
      <c r="F1090" t="str">
        <f>F1056</f>
        <v>How's everything going?</v>
      </c>
      <c r="G1090" t="str">
        <f t="shared" si="872"/>
        <v>a</v>
      </c>
      <c r="H1090" t="str">
        <f>VLOOKUP(D1090,name!A:C,3,1)</f>
        <v>assets/icons/image235.png</v>
      </c>
      <c r="I1090" t="str">
        <f>IF(A1090="","",VLOOKUP(A1090,lng!A:B,2,0))</f>
        <v>en-GB</v>
      </c>
    </row>
    <row r="1091" spans="1:9" x14ac:dyDescent="0.15">
      <c r="A1091" t="str">
        <f t="shared" ref="A1091:B1091" si="885">A1090</f>
        <v>英語</v>
      </c>
      <c r="B1091">
        <f t="shared" si="885"/>
        <v>10</v>
      </c>
      <c r="C1091">
        <f t="shared" si="870"/>
        <v>42</v>
      </c>
      <c r="D1091">
        <v>0</v>
      </c>
      <c r="E1091" t="str">
        <f>VLOOKUP(D1091,name!A:B,2,1)</f>
        <v>Player</v>
      </c>
      <c r="F1091" t="str">
        <f>F1056</f>
        <v>How's everything going?</v>
      </c>
      <c r="G1091" t="str">
        <f t="shared" si="872"/>
        <v>q</v>
      </c>
      <c r="H1091" t="str">
        <f>VLOOKUP(D1091,name!A:C,3,1)</f>
        <v>assets/icons/image326.png</v>
      </c>
      <c r="I1091" t="str">
        <f>IF(A1091="","",VLOOKUP(A1091,lng!A:B,2,0))</f>
        <v>en-GB</v>
      </c>
    </row>
    <row r="1092" spans="1:9" x14ac:dyDescent="0.15">
      <c r="A1092" t="str">
        <f t="shared" ref="A1092:B1092" si="886">A1091</f>
        <v>英語</v>
      </c>
      <c r="B1092">
        <f t="shared" si="886"/>
        <v>10</v>
      </c>
      <c r="C1092">
        <f t="shared" si="870"/>
        <v>43</v>
      </c>
      <c r="D1092">
        <f>D1057</f>
        <v>29</v>
      </c>
      <c r="E1092" t="str">
        <f>VLOOKUP(D1092,name!A:B,2,1)</f>
        <v>Eri</v>
      </c>
      <c r="F1092" t="str">
        <f>F1057</f>
        <v>ああ、アシャ</v>
      </c>
      <c r="G1092" t="str">
        <f t="shared" si="872"/>
        <v>a</v>
      </c>
      <c r="H1092" t="str">
        <f>VLOOKUP(D1092,name!A:C,3,1)</f>
        <v>assets/icons/image209.png</v>
      </c>
      <c r="I1092" t="s">
        <v>402</v>
      </c>
    </row>
    <row r="1093" spans="1:9" x14ac:dyDescent="0.15">
      <c r="A1093" t="str">
        <f t="shared" ref="A1093:B1093" si="887">A1092</f>
        <v>英語</v>
      </c>
      <c r="B1093">
        <f t="shared" si="887"/>
        <v>10</v>
      </c>
      <c r="C1093">
        <f t="shared" si="870"/>
        <v>44</v>
      </c>
      <c r="D1093">
        <f>D1058</f>
        <v>29</v>
      </c>
      <c r="E1093" t="str">
        <f>VLOOKUP(D1093,name!A:B,2,1)</f>
        <v>Eri</v>
      </c>
      <c r="F1093" t="str">
        <f>F1058</f>
        <v>Oh, Asha,</v>
      </c>
      <c r="G1093" t="str">
        <f t="shared" si="872"/>
        <v>a</v>
      </c>
      <c r="H1093" t="str">
        <f>VLOOKUP(D1093,name!A:C,3,1)</f>
        <v>assets/icons/image209.png</v>
      </c>
      <c r="I1093" t="str">
        <f>IF(A1093="","",VLOOKUP(A1093,lng!A:B,2,0))</f>
        <v>en-GB</v>
      </c>
    </row>
    <row r="1094" spans="1:9" x14ac:dyDescent="0.15">
      <c r="A1094" t="str">
        <f t="shared" ref="A1094:B1094" si="888">A1093</f>
        <v>英語</v>
      </c>
      <c r="B1094">
        <f t="shared" si="888"/>
        <v>10</v>
      </c>
      <c r="C1094">
        <f t="shared" si="870"/>
        <v>45</v>
      </c>
      <c r="D1094">
        <v>0</v>
      </c>
      <c r="E1094" t="str">
        <f>VLOOKUP(D1094,name!A:B,2,1)</f>
        <v>Player</v>
      </c>
      <c r="F1094" t="str">
        <f>F1058</f>
        <v>Oh, Asha,</v>
      </c>
      <c r="G1094" t="str">
        <f t="shared" si="872"/>
        <v>q</v>
      </c>
      <c r="H1094" t="str">
        <f>VLOOKUP(D1094,name!A:C,3,1)</f>
        <v>assets/icons/image326.png</v>
      </c>
      <c r="I1094" t="str">
        <f>IF(A1094="","",VLOOKUP(A1094,lng!A:B,2,0))</f>
        <v>en-GB</v>
      </c>
    </row>
    <row r="1095" spans="1:9" x14ac:dyDescent="0.15">
      <c r="A1095" t="str">
        <f t="shared" ref="A1095:B1095" si="889">A1094</f>
        <v>英語</v>
      </c>
      <c r="B1095">
        <f t="shared" si="889"/>
        <v>10</v>
      </c>
      <c r="C1095">
        <f t="shared" si="870"/>
        <v>46</v>
      </c>
      <c r="D1095">
        <f>D1059</f>
        <v>29</v>
      </c>
      <c r="E1095" t="str">
        <f>VLOOKUP(D1095,name!A:B,2,1)</f>
        <v>Eri</v>
      </c>
      <c r="F1095" t="str">
        <f>F1059</f>
        <v>終日の勉強会に持っていくためにワインを買わなければなりません</v>
      </c>
      <c r="G1095" t="str">
        <f t="shared" si="872"/>
        <v>a</v>
      </c>
      <c r="H1095" t="str">
        <f>VLOOKUP(D1095,name!A:C,3,1)</f>
        <v>assets/icons/image209.png</v>
      </c>
      <c r="I1095" t="s">
        <v>402</v>
      </c>
    </row>
    <row r="1096" spans="1:9" x14ac:dyDescent="0.15">
      <c r="A1096" t="str">
        <f t="shared" ref="A1096:B1096" si="890">A1095</f>
        <v>英語</v>
      </c>
      <c r="B1096">
        <f t="shared" si="890"/>
        <v>10</v>
      </c>
      <c r="C1096">
        <f t="shared" si="870"/>
        <v>47</v>
      </c>
      <c r="D1096">
        <f>D1060</f>
        <v>29</v>
      </c>
      <c r="E1096" t="str">
        <f>VLOOKUP(D1096,name!A:B,2,1)</f>
        <v>Eri</v>
      </c>
      <c r="F1096" t="str">
        <f>F1060</f>
        <v xml:space="preserve"> I have to get some wine to take to an all-day study　session</v>
      </c>
      <c r="G1096" t="str">
        <f t="shared" si="872"/>
        <v>a</v>
      </c>
      <c r="H1096" t="str">
        <f>VLOOKUP(D1096,name!A:C,3,1)</f>
        <v>assets/icons/image209.png</v>
      </c>
      <c r="I1096" t="str">
        <f>IF(A1096="","",VLOOKUP(A1096,lng!A:B,2,0))</f>
        <v>en-GB</v>
      </c>
    </row>
    <row r="1097" spans="1:9" x14ac:dyDescent="0.15">
      <c r="A1097" t="str">
        <f t="shared" ref="A1097:B1097" si="891">A1096</f>
        <v>英語</v>
      </c>
      <c r="B1097">
        <f t="shared" si="891"/>
        <v>10</v>
      </c>
      <c r="C1097">
        <f t="shared" si="870"/>
        <v>48</v>
      </c>
      <c r="D1097">
        <v>0</v>
      </c>
      <c r="E1097" t="str">
        <f>VLOOKUP(D1097,name!A:B,2,1)</f>
        <v>Player</v>
      </c>
      <c r="F1097" t="str">
        <f>F1060</f>
        <v xml:space="preserve"> I have to get some wine to take to an all-day study　session</v>
      </c>
      <c r="G1097" t="str">
        <f t="shared" si="872"/>
        <v>q</v>
      </c>
      <c r="H1097" t="str">
        <f>VLOOKUP(D1097,name!A:C,3,1)</f>
        <v>assets/icons/image326.png</v>
      </c>
      <c r="I1097" t="str">
        <f>IF(A1097="","",VLOOKUP(A1097,lng!A:B,2,0))</f>
        <v>en-GB</v>
      </c>
    </row>
    <row r="1098" spans="1:9" x14ac:dyDescent="0.15">
      <c r="A1098" t="str">
        <f t="shared" ref="A1098:B1098" si="892">A1097</f>
        <v>英語</v>
      </c>
      <c r="B1098">
        <f t="shared" si="892"/>
        <v>10</v>
      </c>
      <c r="C1098">
        <f t="shared" si="870"/>
        <v>49</v>
      </c>
      <c r="D1098">
        <f>D1061</f>
        <v>29</v>
      </c>
      <c r="E1098" t="str">
        <f>VLOOKUP(D1098,name!A:B,2,1)</f>
        <v>Eri</v>
      </c>
      <c r="F1098" t="str">
        <f>F1061</f>
        <v>そして今日は指導教官の家でバーベキューなの。</v>
      </c>
      <c r="G1098" t="str">
        <f t="shared" si="872"/>
        <v>a</v>
      </c>
      <c r="H1098" t="str">
        <f>VLOOKUP(D1098,name!A:C,3,1)</f>
        <v>assets/icons/image209.png</v>
      </c>
      <c r="I1098" t="s">
        <v>402</v>
      </c>
    </row>
    <row r="1099" spans="1:9" x14ac:dyDescent="0.15">
      <c r="A1099" t="str">
        <f t="shared" ref="A1099:B1099" si="893">A1098</f>
        <v>英語</v>
      </c>
      <c r="B1099">
        <f t="shared" si="893"/>
        <v>10</v>
      </c>
      <c r="C1099">
        <f t="shared" si="870"/>
        <v>50</v>
      </c>
      <c r="D1099">
        <f>D1062</f>
        <v>29</v>
      </c>
      <c r="E1099" t="str">
        <f>VLOOKUP(D1099,name!A:B,2,1)</f>
        <v>Eri</v>
      </c>
      <c r="F1099" t="str">
        <f>F1062</f>
        <v>and barbecue at my supervisor's house today,</v>
      </c>
      <c r="G1099" t="str">
        <f t="shared" si="872"/>
        <v>a</v>
      </c>
      <c r="H1099" t="str">
        <f>VLOOKUP(D1099,name!A:C,3,1)</f>
        <v>assets/icons/image209.png</v>
      </c>
      <c r="I1099" t="str">
        <f>IF(A1099="","",VLOOKUP(A1099,lng!A:B,2,0))</f>
        <v>en-GB</v>
      </c>
    </row>
    <row r="1100" spans="1:9" x14ac:dyDescent="0.15">
      <c r="A1100" t="str">
        <f t="shared" ref="A1100:B1100" si="894">A1099</f>
        <v>英語</v>
      </c>
      <c r="B1100">
        <f t="shared" si="894"/>
        <v>10</v>
      </c>
      <c r="C1100">
        <f t="shared" si="870"/>
        <v>51</v>
      </c>
      <c r="D1100">
        <v>0</v>
      </c>
      <c r="E1100" t="str">
        <f>VLOOKUP(D1100,name!A:B,2,1)</f>
        <v>Player</v>
      </c>
      <c r="F1100" t="str">
        <f>F1062</f>
        <v>and barbecue at my supervisor's house today,</v>
      </c>
      <c r="G1100" t="str">
        <f t="shared" si="872"/>
        <v>q</v>
      </c>
      <c r="H1100" t="str">
        <f>VLOOKUP(D1100,name!A:C,3,1)</f>
        <v>assets/icons/image326.png</v>
      </c>
      <c r="I1100" t="str">
        <f>IF(A1100="","",VLOOKUP(A1100,lng!A:B,2,0))</f>
        <v>en-GB</v>
      </c>
    </row>
    <row r="1101" spans="1:9" x14ac:dyDescent="0.15">
      <c r="A1101" t="str">
        <f t="shared" ref="A1101:B1101" si="895">A1100</f>
        <v>英語</v>
      </c>
      <c r="B1101">
        <f t="shared" si="895"/>
        <v>10</v>
      </c>
      <c r="C1101">
        <f t="shared" si="870"/>
        <v>52</v>
      </c>
      <c r="D1101">
        <f>D1063</f>
        <v>29</v>
      </c>
      <c r="E1101" t="str">
        <f>VLOOKUP(D1101,name!A:B,2,1)</f>
        <v>Eri</v>
      </c>
      <c r="F1101" t="str">
        <f>F1063</f>
        <v>でも近くのセインズベリーは閉まっていて。</v>
      </c>
      <c r="G1101" t="str">
        <f t="shared" si="872"/>
        <v>a</v>
      </c>
      <c r="H1101" t="str">
        <f>VLOOKUP(D1101,name!A:C,3,1)</f>
        <v>assets/icons/image209.png</v>
      </c>
      <c r="I1101" t="s">
        <v>402</v>
      </c>
    </row>
    <row r="1102" spans="1:9" x14ac:dyDescent="0.15">
      <c r="A1102" t="str">
        <f t="shared" ref="A1102:B1102" si="896">A1101</f>
        <v>英語</v>
      </c>
      <c r="B1102">
        <f t="shared" si="896"/>
        <v>10</v>
      </c>
      <c r="C1102">
        <f t="shared" si="870"/>
        <v>53</v>
      </c>
      <c r="D1102">
        <f>D1064</f>
        <v>29</v>
      </c>
      <c r="E1102" t="str">
        <f>VLOOKUP(D1102,name!A:B,2,1)</f>
        <v>Eri</v>
      </c>
      <c r="F1102" t="str">
        <f>F1064</f>
        <v xml:space="preserve"> but　the Sainsbury's near me is closed.</v>
      </c>
      <c r="G1102" t="str">
        <f t="shared" si="872"/>
        <v>a</v>
      </c>
      <c r="H1102" t="str">
        <f>VLOOKUP(D1102,name!A:C,3,1)</f>
        <v>assets/icons/image209.png</v>
      </c>
      <c r="I1102" t="str">
        <f>IF(A1102="","",VLOOKUP(A1102,lng!A:B,2,0))</f>
        <v>en-GB</v>
      </c>
    </row>
    <row r="1103" spans="1:9" x14ac:dyDescent="0.15">
      <c r="A1103" t="str">
        <f t="shared" ref="A1103:B1103" si="897">A1102</f>
        <v>英語</v>
      </c>
      <c r="B1103">
        <f t="shared" si="897"/>
        <v>10</v>
      </c>
      <c r="C1103">
        <f t="shared" si="870"/>
        <v>54</v>
      </c>
      <c r="D1103">
        <v>0</v>
      </c>
      <c r="E1103" t="str">
        <f>VLOOKUP(D1103,name!A:B,2,1)</f>
        <v>Player</v>
      </c>
      <c r="F1103" t="str">
        <f>F1064</f>
        <v xml:space="preserve"> but　the Sainsbury's near me is closed.</v>
      </c>
      <c r="G1103" t="str">
        <f t="shared" si="872"/>
        <v>q</v>
      </c>
      <c r="H1103" t="str">
        <f>VLOOKUP(D1103,name!A:C,3,1)</f>
        <v>assets/icons/image326.png</v>
      </c>
      <c r="I1103" t="str">
        <f>IF(A1103="","",VLOOKUP(A1103,lng!A:B,2,0))</f>
        <v>en-GB</v>
      </c>
    </row>
    <row r="1104" spans="1:9" x14ac:dyDescent="0.15">
      <c r="A1104" t="str">
        <f t="shared" ref="A1104:B1104" si="898">A1103</f>
        <v>英語</v>
      </c>
      <c r="B1104">
        <f t="shared" si="898"/>
        <v>10</v>
      </c>
      <c r="C1104">
        <f t="shared" si="870"/>
        <v>55</v>
      </c>
      <c r="D1104">
        <f>D1065</f>
        <v>29</v>
      </c>
      <c r="E1104" t="str">
        <f>VLOOKUP(D1104,name!A:B,2,1)</f>
        <v>Eri</v>
      </c>
      <c r="F1104" t="str">
        <f>F1065</f>
        <v xml:space="preserve"> ドアのところに、バンク・ホリデイについて書かれていた</v>
      </c>
      <c r="G1104" t="str">
        <f t="shared" si="872"/>
        <v>a</v>
      </c>
      <c r="H1104" t="str">
        <f>VLOOKUP(D1104,name!A:C,3,1)</f>
        <v>assets/icons/image209.png</v>
      </c>
      <c r="I1104" t="s">
        <v>402</v>
      </c>
    </row>
    <row r="1105" spans="1:9" x14ac:dyDescent="0.15">
      <c r="A1105" t="str">
        <f t="shared" ref="A1105:B1105" si="899">A1104</f>
        <v>英語</v>
      </c>
      <c r="B1105">
        <f t="shared" si="899"/>
        <v>10</v>
      </c>
      <c r="C1105">
        <f t="shared" si="870"/>
        <v>56</v>
      </c>
      <c r="D1105">
        <f>D1066</f>
        <v>29</v>
      </c>
      <c r="E1105" t="str">
        <f>VLOOKUP(D1105,name!A:B,2,1)</f>
        <v>Eri</v>
      </c>
      <c r="F1105" t="str">
        <f>F1066</f>
        <v xml:space="preserve">It said something on the　door about a bank holiday. </v>
      </c>
      <c r="G1105" t="str">
        <f t="shared" si="872"/>
        <v>a</v>
      </c>
      <c r="H1105" t="str">
        <f>VLOOKUP(D1105,name!A:C,3,1)</f>
        <v>assets/icons/image209.png</v>
      </c>
      <c r="I1105" t="str">
        <f>IF(A1105="","",VLOOKUP(A1105,lng!A:B,2,0))</f>
        <v>en-GB</v>
      </c>
    </row>
    <row r="1106" spans="1:9" x14ac:dyDescent="0.15">
      <c r="A1106" t="str">
        <f t="shared" ref="A1106:B1106" si="900">A1105</f>
        <v>英語</v>
      </c>
      <c r="B1106">
        <f t="shared" si="900"/>
        <v>10</v>
      </c>
      <c r="C1106">
        <f t="shared" si="870"/>
        <v>57</v>
      </c>
      <c r="D1106">
        <v>0</v>
      </c>
      <c r="E1106" t="str">
        <f>VLOOKUP(D1106,name!A:B,2,1)</f>
        <v>Player</v>
      </c>
      <c r="F1106" t="str">
        <f>F1066</f>
        <v xml:space="preserve">It said something on the　door about a bank holiday. </v>
      </c>
      <c r="G1106" t="str">
        <f t="shared" si="872"/>
        <v>q</v>
      </c>
      <c r="H1106" t="str">
        <f>VLOOKUP(D1106,name!A:C,3,1)</f>
        <v>assets/icons/image326.png</v>
      </c>
      <c r="I1106" t="str">
        <f>IF(A1106="","",VLOOKUP(A1106,lng!A:B,2,0))</f>
        <v>en-GB</v>
      </c>
    </row>
    <row r="1107" spans="1:9" x14ac:dyDescent="0.15">
      <c r="A1107" t="str">
        <f t="shared" ref="A1107:B1107" si="901">A1106</f>
        <v>英語</v>
      </c>
      <c r="B1107">
        <f t="shared" si="901"/>
        <v>10</v>
      </c>
      <c r="C1107">
        <f t="shared" si="870"/>
        <v>58</v>
      </c>
      <c r="D1107">
        <f>D1067</f>
        <v>29</v>
      </c>
      <c r="E1107" t="str">
        <f>VLOOKUP(D1107,name!A:B,2,1)</f>
        <v>Eri</v>
      </c>
      <c r="F1107" t="str">
        <f>F1067</f>
        <v>何か知っていますか？</v>
      </c>
      <c r="G1107" t="str">
        <f t="shared" si="872"/>
        <v>a</v>
      </c>
      <c r="H1107" t="str">
        <f>VLOOKUP(D1107,name!A:C,3,1)</f>
        <v>assets/icons/image209.png</v>
      </c>
      <c r="I1107" t="s">
        <v>402</v>
      </c>
    </row>
    <row r="1108" spans="1:9" x14ac:dyDescent="0.15">
      <c r="A1108" t="str">
        <f t="shared" ref="A1108:B1108" si="902">A1107</f>
        <v>英語</v>
      </c>
      <c r="B1108">
        <f t="shared" si="902"/>
        <v>10</v>
      </c>
      <c r="C1108">
        <f t="shared" si="870"/>
        <v>59</v>
      </c>
      <c r="D1108">
        <f>D1068</f>
        <v>29</v>
      </c>
      <c r="E1108" t="str">
        <f>VLOOKUP(D1108,name!A:B,2,1)</f>
        <v>Eri</v>
      </c>
      <c r="F1108" t="str">
        <f>F1068</f>
        <v>Do you know anything about it?</v>
      </c>
      <c r="G1108" t="str">
        <f t="shared" si="872"/>
        <v>a</v>
      </c>
      <c r="H1108" t="str">
        <f>VLOOKUP(D1108,name!A:C,3,1)</f>
        <v>assets/icons/image209.png</v>
      </c>
      <c r="I1108" t="str">
        <f>IF(A1108="","",VLOOKUP(A1108,lng!A:B,2,0))</f>
        <v>en-GB</v>
      </c>
    </row>
    <row r="1109" spans="1:9" x14ac:dyDescent="0.15">
      <c r="A1109" t="str">
        <f t="shared" ref="A1109:B1109" si="903">A1108</f>
        <v>英語</v>
      </c>
      <c r="B1109">
        <f t="shared" si="903"/>
        <v>10</v>
      </c>
      <c r="C1109">
        <f t="shared" si="870"/>
        <v>60</v>
      </c>
      <c r="D1109">
        <v>0</v>
      </c>
      <c r="E1109" t="str">
        <f>VLOOKUP(D1109,name!A:B,2,1)</f>
        <v>Player</v>
      </c>
      <c r="F1109" t="str">
        <f>F1068</f>
        <v>Do you know anything about it?</v>
      </c>
      <c r="G1109" t="str">
        <f t="shared" si="872"/>
        <v>q</v>
      </c>
      <c r="H1109" t="str">
        <f>VLOOKUP(D1109,name!A:C,3,1)</f>
        <v>assets/icons/image326.png</v>
      </c>
      <c r="I1109" t="str">
        <f>IF(A1109="","",VLOOKUP(A1109,lng!A:B,2,0))</f>
        <v>en-GB</v>
      </c>
    </row>
    <row r="1110" spans="1:9" x14ac:dyDescent="0.15">
      <c r="A1110" t="str">
        <f t="shared" ref="A1110:B1110" si="904">A1109</f>
        <v>英語</v>
      </c>
      <c r="B1110">
        <f t="shared" si="904"/>
        <v>10</v>
      </c>
      <c r="C1110">
        <f t="shared" si="870"/>
        <v>61</v>
      </c>
      <c r="D1110">
        <f>D1069</f>
        <v>32</v>
      </c>
      <c r="E1110" t="str">
        <f>VLOOKUP(D1110,name!A:B,2,1)</f>
        <v>Asha</v>
      </c>
      <c r="F1110" t="str">
        <f>F1069</f>
        <v>そう、今日は夏のバンク ホリデイ。</v>
      </c>
      <c r="G1110" t="str">
        <f t="shared" si="872"/>
        <v>a</v>
      </c>
      <c r="H1110" t="str">
        <f>VLOOKUP(D1110,name!A:C,3,1)</f>
        <v>assets/icons/image235.png</v>
      </c>
      <c r="I1110" t="s">
        <v>402</v>
      </c>
    </row>
    <row r="1111" spans="1:9" x14ac:dyDescent="0.15">
      <c r="A1111" t="str">
        <f t="shared" ref="A1111:B1111" si="905">A1110</f>
        <v>英語</v>
      </c>
      <c r="B1111">
        <f t="shared" si="905"/>
        <v>10</v>
      </c>
      <c r="C1111">
        <f t="shared" si="870"/>
        <v>62</v>
      </c>
      <c r="D1111">
        <f>D1070</f>
        <v>32</v>
      </c>
      <c r="E1111" t="str">
        <f>VLOOKUP(D1111,name!A:B,2,1)</f>
        <v>Asha</v>
      </c>
      <c r="F1111" t="str">
        <f>F1070</f>
        <v>Yeah, it's the Summer Bank Holiday today.</v>
      </c>
      <c r="G1111" t="str">
        <f t="shared" si="872"/>
        <v>a</v>
      </c>
      <c r="H1111" t="str">
        <f>VLOOKUP(D1111,name!A:C,3,1)</f>
        <v>assets/icons/image235.png</v>
      </c>
      <c r="I1111" t="str">
        <f>IF(A1111="","",VLOOKUP(A1111,lng!A:B,2,0))</f>
        <v>en-GB</v>
      </c>
    </row>
    <row r="1112" spans="1:9" x14ac:dyDescent="0.15">
      <c r="A1112" t="str">
        <f t="shared" ref="A1112:B1112" si="906">A1111</f>
        <v>英語</v>
      </c>
      <c r="B1112">
        <f t="shared" si="906"/>
        <v>10</v>
      </c>
      <c r="C1112">
        <f t="shared" si="870"/>
        <v>63</v>
      </c>
      <c r="D1112">
        <v>0</v>
      </c>
      <c r="E1112" t="str">
        <f>VLOOKUP(D1112,name!A:B,2,1)</f>
        <v>Player</v>
      </c>
      <c r="F1112" t="str">
        <f>F1070</f>
        <v>Yeah, it's the Summer Bank Holiday today.</v>
      </c>
      <c r="G1112" t="str">
        <f t="shared" si="872"/>
        <v>q</v>
      </c>
      <c r="H1112" t="str">
        <f>VLOOKUP(D1112,name!A:C,3,1)</f>
        <v>assets/icons/image326.png</v>
      </c>
      <c r="I1112" t="str">
        <f>IF(A1112="","",VLOOKUP(A1112,lng!A:B,2,0))</f>
        <v>en-GB</v>
      </c>
    </row>
    <row r="1113" spans="1:9" x14ac:dyDescent="0.15">
      <c r="A1113" t="str">
        <f t="shared" ref="A1113:B1113" si="907">A1112</f>
        <v>英語</v>
      </c>
      <c r="B1113">
        <f t="shared" si="907"/>
        <v>10</v>
      </c>
      <c r="C1113">
        <f t="shared" si="870"/>
        <v>64</v>
      </c>
      <c r="D1113">
        <f>D1071</f>
        <v>32</v>
      </c>
      <c r="E1113" t="str">
        <f>VLOOKUP(D1113,name!A:B,2,1)</f>
        <v>Asha</v>
      </c>
      <c r="F1113" t="str">
        <f>F1071</f>
        <v>それは一種の公休日です。</v>
      </c>
      <c r="G1113" t="str">
        <f t="shared" si="872"/>
        <v>a</v>
      </c>
      <c r="H1113" t="str">
        <f>VLOOKUP(D1113,name!A:C,3,1)</f>
        <v>assets/icons/image235.png</v>
      </c>
      <c r="I1113" t="s">
        <v>402</v>
      </c>
    </row>
    <row r="1114" spans="1:9" x14ac:dyDescent="0.15">
      <c r="A1114" t="str">
        <f t="shared" ref="A1114:B1114" si="908">A1113</f>
        <v>英語</v>
      </c>
      <c r="B1114">
        <f t="shared" si="908"/>
        <v>10</v>
      </c>
      <c r="C1114">
        <f t="shared" si="870"/>
        <v>65</v>
      </c>
      <c r="D1114">
        <f>D1072</f>
        <v>32</v>
      </c>
      <c r="E1114" t="str">
        <f>VLOOKUP(D1114,name!A:B,2,1)</f>
        <v>Asha</v>
      </c>
      <c r="F1114" t="str">
        <f>F1072</f>
        <v xml:space="preserve"> It's a kind of public　holiday.</v>
      </c>
      <c r="G1114" t="str">
        <f t="shared" si="872"/>
        <v>a</v>
      </c>
      <c r="H1114" t="str">
        <f>VLOOKUP(D1114,name!A:C,3,1)</f>
        <v>assets/icons/image235.png</v>
      </c>
      <c r="I1114" t="str">
        <f>IF(A1114="","",VLOOKUP(A1114,lng!A:B,2,0))</f>
        <v>en-GB</v>
      </c>
    </row>
    <row r="1115" spans="1:9" x14ac:dyDescent="0.15">
      <c r="A1115" t="str">
        <f t="shared" ref="A1115:B1115" si="909">A1114</f>
        <v>英語</v>
      </c>
      <c r="B1115">
        <f t="shared" si="909"/>
        <v>10</v>
      </c>
      <c r="C1115">
        <f t="shared" si="870"/>
        <v>66</v>
      </c>
      <c r="D1115">
        <v>0</v>
      </c>
      <c r="E1115" t="str">
        <f>VLOOKUP(D1115,name!A:B,2,1)</f>
        <v>Player</v>
      </c>
      <c r="F1115" t="str">
        <f>F1072</f>
        <v xml:space="preserve"> It's a kind of public　holiday.</v>
      </c>
      <c r="G1115" t="str">
        <f t="shared" si="872"/>
        <v>q</v>
      </c>
      <c r="H1115" t="str">
        <f>VLOOKUP(D1115,name!A:C,3,1)</f>
        <v>assets/icons/image326.png</v>
      </c>
      <c r="I1115" t="str">
        <f>IF(A1115="","",VLOOKUP(A1115,lng!A:B,2,0))</f>
        <v>en-GB</v>
      </c>
    </row>
    <row r="1116" spans="1:9" x14ac:dyDescent="0.15">
      <c r="A1116" t="str">
        <f t="shared" ref="A1116:B1116" si="910">A1115</f>
        <v>英語</v>
      </c>
      <c r="B1116">
        <f t="shared" si="910"/>
        <v>10</v>
      </c>
      <c r="C1116">
        <f t="shared" ref="C1116:C1167" si="911">C1115+1</f>
        <v>67</v>
      </c>
      <c r="D1116">
        <f>D1073</f>
        <v>32</v>
      </c>
      <c r="E1116" t="str">
        <f>VLOOKUP(D1116,name!A:B,2,1)</f>
        <v>Asha</v>
      </c>
      <c r="F1116" t="str">
        <f>F1073</f>
        <v>だから、それはあなた次第、</v>
      </c>
      <c r="G1116" t="str">
        <f t="shared" si="872"/>
        <v>a</v>
      </c>
      <c r="H1116" t="str">
        <f>VLOOKUP(D1116,name!A:C,3,1)</f>
        <v>assets/icons/image235.png</v>
      </c>
      <c r="I1116" t="s">
        <v>402</v>
      </c>
    </row>
    <row r="1117" spans="1:9" x14ac:dyDescent="0.15">
      <c r="A1117" t="str">
        <f t="shared" ref="A1117:B1117" si="912">A1116</f>
        <v>英語</v>
      </c>
      <c r="B1117">
        <f t="shared" si="912"/>
        <v>10</v>
      </c>
      <c r="C1117">
        <f t="shared" si="911"/>
        <v>68</v>
      </c>
      <c r="D1117">
        <f>D1074</f>
        <v>32</v>
      </c>
      <c r="E1117" t="str">
        <f>VLOOKUP(D1117,name!A:B,2,1)</f>
        <v>Asha</v>
      </c>
      <c r="F1117" t="str">
        <f>F1074</f>
        <v xml:space="preserve"> So, it's up to you,</v>
      </c>
      <c r="G1117" t="str">
        <f t="shared" si="872"/>
        <v>a</v>
      </c>
      <c r="H1117" t="str">
        <f>VLOOKUP(D1117,name!A:C,3,1)</f>
        <v>assets/icons/image235.png</v>
      </c>
      <c r="I1117" t="str">
        <f>IF(A1117="","",VLOOKUP(A1117,lng!A:B,2,0))</f>
        <v>en-GB</v>
      </c>
    </row>
    <row r="1118" spans="1:9" x14ac:dyDescent="0.15">
      <c r="A1118" t="str">
        <f t="shared" ref="A1118:B1118" si="913">A1117</f>
        <v>英語</v>
      </c>
      <c r="B1118">
        <f t="shared" si="913"/>
        <v>10</v>
      </c>
      <c r="C1118">
        <f t="shared" si="911"/>
        <v>69</v>
      </c>
      <c r="D1118">
        <v>0</v>
      </c>
      <c r="E1118" t="str">
        <f>VLOOKUP(D1118,name!A:B,2,1)</f>
        <v>Player</v>
      </c>
      <c r="F1118" t="str">
        <f>F1074</f>
        <v xml:space="preserve"> So, it's up to you,</v>
      </c>
      <c r="G1118" t="str">
        <f t="shared" ref="G1118:G1181" si="914">IF(B1118&lt;&gt;B1119,"e",IF(D1118=0,"q","a"))</f>
        <v>q</v>
      </c>
      <c r="H1118" t="str">
        <f>VLOOKUP(D1118,name!A:C,3,1)</f>
        <v>assets/icons/image326.png</v>
      </c>
      <c r="I1118" t="str">
        <f>IF(A1118="","",VLOOKUP(A1118,lng!A:B,2,0))</f>
        <v>en-GB</v>
      </c>
    </row>
    <row r="1119" spans="1:9" x14ac:dyDescent="0.15">
      <c r="A1119" t="str">
        <f t="shared" ref="A1119:B1119" si="915">A1118</f>
        <v>英語</v>
      </c>
      <c r="B1119">
        <f t="shared" si="915"/>
        <v>10</v>
      </c>
      <c r="C1119">
        <f t="shared" si="911"/>
        <v>70</v>
      </c>
      <c r="D1119">
        <f>D1075</f>
        <v>32</v>
      </c>
      <c r="E1119" t="str">
        <f>VLOOKUP(D1119,name!A:B,2,1)</f>
        <v>Asha</v>
      </c>
      <c r="F1119" t="str">
        <f>F1075</f>
        <v>ファイブウェイズにある大きなテスコに行くか、</v>
      </c>
      <c r="G1119" t="str">
        <f t="shared" si="914"/>
        <v>a</v>
      </c>
      <c r="H1119" t="str">
        <f>VLOOKUP(D1119,name!A:C,3,1)</f>
        <v>assets/icons/image235.png</v>
      </c>
      <c r="I1119" t="s">
        <v>402</v>
      </c>
    </row>
    <row r="1120" spans="1:9" x14ac:dyDescent="0.15">
      <c r="A1120" t="str">
        <f t="shared" ref="A1120:B1120" si="916">A1119</f>
        <v>英語</v>
      </c>
      <c r="B1120">
        <f t="shared" si="916"/>
        <v>10</v>
      </c>
      <c r="C1120">
        <f t="shared" si="911"/>
        <v>71</v>
      </c>
      <c r="D1120">
        <f>D1076</f>
        <v>32</v>
      </c>
      <c r="E1120" t="str">
        <f>VLOOKUP(D1120,name!A:B,2,1)</f>
        <v>Asha</v>
      </c>
      <c r="F1120" t="str">
        <f>F1076</f>
        <v xml:space="preserve"> you can either go to the big Tesco's　at Five Ways, </v>
      </c>
      <c r="G1120" t="str">
        <f t="shared" si="914"/>
        <v>a</v>
      </c>
      <c r="H1120" t="str">
        <f>VLOOKUP(D1120,name!A:C,3,1)</f>
        <v>assets/icons/image235.png</v>
      </c>
      <c r="I1120" t="str">
        <f>IF(A1120="","",VLOOKUP(A1120,lng!A:B,2,0))</f>
        <v>en-GB</v>
      </c>
    </row>
    <row r="1121" spans="1:9" x14ac:dyDescent="0.15">
      <c r="A1121" t="str">
        <f t="shared" ref="A1121:B1121" si="917">A1120</f>
        <v>英語</v>
      </c>
      <c r="B1121">
        <f t="shared" si="917"/>
        <v>10</v>
      </c>
      <c r="C1121">
        <f t="shared" si="911"/>
        <v>72</v>
      </c>
      <c r="D1121">
        <v>0</v>
      </c>
      <c r="E1121" t="str">
        <f>VLOOKUP(D1121,name!A:B,2,1)</f>
        <v>Player</v>
      </c>
      <c r="F1121" t="str">
        <f>F1076</f>
        <v xml:space="preserve"> you can either go to the big Tesco's　at Five Ways, </v>
      </c>
      <c r="G1121" t="str">
        <f t="shared" si="914"/>
        <v>q</v>
      </c>
      <c r="H1121" t="str">
        <f>VLOOKUP(D1121,name!A:C,3,1)</f>
        <v>assets/icons/image326.png</v>
      </c>
      <c r="I1121" t="str">
        <f>IF(A1121="","",VLOOKUP(A1121,lng!A:B,2,0))</f>
        <v>en-GB</v>
      </c>
    </row>
    <row r="1122" spans="1:9" x14ac:dyDescent="0.15">
      <c r="A1122" t="str">
        <f t="shared" ref="A1122:B1122" si="918">A1121</f>
        <v>英語</v>
      </c>
      <c r="B1122">
        <f t="shared" si="918"/>
        <v>10</v>
      </c>
      <c r="C1122">
        <f t="shared" si="911"/>
        <v>73</v>
      </c>
      <c r="D1122">
        <f>D1077</f>
        <v>32</v>
      </c>
      <c r="E1122" t="str">
        <f>VLOOKUP(D1122,name!A:B,2,1)</f>
        <v>Asha</v>
      </c>
      <c r="F1122" t="str">
        <f>F1077</f>
        <v>または中心部にある本物のワインショップ。</v>
      </c>
      <c r="G1122" t="str">
        <f t="shared" si="914"/>
        <v>a</v>
      </c>
      <c r="H1122" t="str">
        <f>VLOOKUP(D1122,name!A:C,3,1)</f>
        <v>assets/icons/image235.png</v>
      </c>
      <c r="I1122" t="s">
        <v>402</v>
      </c>
    </row>
    <row r="1123" spans="1:9" x14ac:dyDescent="0.15">
      <c r="A1123" t="str">
        <f t="shared" ref="A1123:B1123" si="919">A1122</f>
        <v>英語</v>
      </c>
      <c r="B1123">
        <f t="shared" si="919"/>
        <v>10</v>
      </c>
      <c r="C1123">
        <f t="shared" si="911"/>
        <v>74</v>
      </c>
      <c r="D1123">
        <f>D1078</f>
        <v>32</v>
      </c>
      <c r="E1123" t="str">
        <f>VLOOKUP(D1123,name!A:B,2,1)</f>
        <v>Asha</v>
      </c>
      <c r="F1123" t="str">
        <f>F1078</f>
        <v xml:space="preserve"> or a real wine shop in the centre.</v>
      </c>
      <c r="G1123" t="str">
        <f t="shared" si="914"/>
        <v>a</v>
      </c>
      <c r="H1123" t="str">
        <f>VLOOKUP(D1123,name!A:C,3,1)</f>
        <v>assets/icons/image235.png</v>
      </c>
      <c r="I1123" t="str">
        <f>IF(A1123="","",VLOOKUP(A1123,lng!A:B,2,0))</f>
        <v>en-GB</v>
      </c>
    </row>
    <row r="1124" spans="1:9" x14ac:dyDescent="0.15">
      <c r="A1124" t="str">
        <f t="shared" ref="A1124:B1124" si="920">A1123</f>
        <v>英語</v>
      </c>
      <c r="B1124">
        <f t="shared" si="920"/>
        <v>10</v>
      </c>
      <c r="C1124">
        <f t="shared" si="911"/>
        <v>75</v>
      </c>
      <c r="D1124">
        <v>0</v>
      </c>
      <c r="E1124" t="str">
        <f>VLOOKUP(D1124,name!A:B,2,1)</f>
        <v>Player</v>
      </c>
      <c r="F1124" t="str">
        <f>F1078</f>
        <v xml:space="preserve"> or a real wine shop in the centre.</v>
      </c>
      <c r="G1124" t="str">
        <f t="shared" si="914"/>
        <v>q</v>
      </c>
      <c r="H1124" t="str">
        <f>VLOOKUP(D1124,name!A:C,3,1)</f>
        <v>assets/icons/image326.png</v>
      </c>
      <c r="I1124" t="str">
        <f>IF(A1124="","",VLOOKUP(A1124,lng!A:B,2,0))</f>
        <v>en-GB</v>
      </c>
    </row>
    <row r="1125" spans="1:9" x14ac:dyDescent="0.15">
      <c r="A1125" t="str">
        <f t="shared" ref="A1125:B1125" si="921">A1124</f>
        <v>英語</v>
      </c>
      <c r="B1125">
        <f t="shared" si="921"/>
        <v>10</v>
      </c>
      <c r="C1125">
        <f t="shared" si="911"/>
        <v>76</v>
      </c>
      <c r="D1125">
        <f>D1079</f>
        <v>32</v>
      </c>
      <c r="E1125" t="str">
        <f>VLOOKUP(D1125,name!A:B,2,1)</f>
        <v>Asha</v>
      </c>
      <c r="F1125" t="str">
        <f>F1079</f>
        <v>コルモア・ロウのバス停の近くに良い店があります。</v>
      </c>
      <c r="G1125" t="str">
        <f t="shared" si="914"/>
        <v>a</v>
      </c>
      <c r="H1125" t="str">
        <f>VLOOKUP(D1125,name!A:C,3,1)</f>
        <v>assets/icons/image235.png</v>
      </c>
      <c r="I1125" t="s">
        <v>402</v>
      </c>
    </row>
    <row r="1126" spans="1:9" x14ac:dyDescent="0.15">
      <c r="A1126" t="str">
        <f t="shared" ref="A1126:B1126" si="922">A1125</f>
        <v>英語</v>
      </c>
      <c r="B1126">
        <f t="shared" si="922"/>
        <v>10</v>
      </c>
      <c r="C1126">
        <f t="shared" si="911"/>
        <v>77</v>
      </c>
      <c r="D1126">
        <f>D1080</f>
        <v>32</v>
      </c>
      <c r="E1126" t="str">
        <f>VLOOKUP(D1126,name!A:B,2,1)</f>
        <v>Asha</v>
      </c>
      <c r="F1126" t="str">
        <f>F1080</f>
        <v>There's a　good one near the bus stops on Colmore Row.</v>
      </c>
      <c r="G1126" t="str">
        <f t="shared" si="914"/>
        <v>a</v>
      </c>
      <c r="H1126" t="str">
        <f>VLOOKUP(D1126,name!A:C,3,1)</f>
        <v>assets/icons/image235.png</v>
      </c>
      <c r="I1126" t="str">
        <f>IF(A1126="","",VLOOKUP(A1126,lng!A:B,2,0))</f>
        <v>en-GB</v>
      </c>
    </row>
    <row r="1127" spans="1:9" x14ac:dyDescent="0.15">
      <c r="A1127" t="str">
        <f t="shared" ref="A1127:B1127" si="923">A1126</f>
        <v>英語</v>
      </c>
      <c r="B1127">
        <f t="shared" si="923"/>
        <v>10</v>
      </c>
      <c r="C1127">
        <f t="shared" si="911"/>
        <v>78</v>
      </c>
      <c r="D1127">
        <v>0</v>
      </c>
      <c r="E1127" t="str">
        <f>VLOOKUP(D1127,name!A:B,2,1)</f>
        <v>Player</v>
      </c>
      <c r="F1127" t="str">
        <f>F1080</f>
        <v>There's a　good one near the bus stops on Colmore Row.</v>
      </c>
      <c r="G1127" t="str">
        <f t="shared" si="914"/>
        <v>q</v>
      </c>
      <c r="H1127" t="str">
        <f>VLOOKUP(D1127,name!A:C,3,1)</f>
        <v>assets/icons/image326.png</v>
      </c>
      <c r="I1127" t="str">
        <f>IF(A1127="","",VLOOKUP(A1127,lng!A:B,2,0))</f>
        <v>en-GB</v>
      </c>
    </row>
    <row r="1128" spans="1:9" x14ac:dyDescent="0.15">
      <c r="A1128" t="str">
        <f t="shared" ref="A1128:B1128" si="924">A1127</f>
        <v>英語</v>
      </c>
      <c r="B1128">
        <f t="shared" si="924"/>
        <v>10</v>
      </c>
      <c r="C1128">
        <f t="shared" si="911"/>
        <v>79</v>
      </c>
      <c r="D1128">
        <f>D1081</f>
        <v>29</v>
      </c>
      <c r="E1128" t="str">
        <f>VLOOKUP(D1128,name!A:B,2,1)</f>
        <v>Eri</v>
      </c>
      <c r="F1128" t="str">
        <f>F1081</f>
        <v>バカみたい</v>
      </c>
      <c r="G1128" t="str">
        <f t="shared" si="914"/>
        <v>a</v>
      </c>
      <c r="H1128" t="str">
        <f>VLOOKUP(D1128,name!A:C,3,1)</f>
        <v>assets/icons/image209.png</v>
      </c>
      <c r="I1128" t="s">
        <v>402</v>
      </c>
    </row>
    <row r="1129" spans="1:9" x14ac:dyDescent="0.15">
      <c r="A1129" t="str">
        <f t="shared" ref="A1129:B1129" si="925">A1128</f>
        <v>英語</v>
      </c>
      <c r="B1129">
        <f t="shared" si="925"/>
        <v>10</v>
      </c>
      <c r="C1129">
        <f t="shared" si="911"/>
        <v>80</v>
      </c>
      <c r="D1129">
        <f>D1082</f>
        <v>29</v>
      </c>
      <c r="E1129" t="str">
        <f>VLOOKUP(D1129,name!A:B,2,1)</f>
        <v>Eri</v>
      </c>
      <c r="F1129" t="str">
        <f>F1082</f>
        <v>I feel stupid.</v>
      </c>
      <c r="G1129" t="str">
        <f t="shared" si="914"/>
        <v>a</v>
      </c>
      <c r="H1129" t="str">
        <f>VLOOKUP(D1129,name!A:C,3,1)</f>
        <v>assets/icons/image209.png</v>
      </c>
      <c r="I1129" t="str">
        <f>IF(A1129="","",VLOOKUP(A1129,lng!A:B,2,0))</f>
        <v>en-GB</v>
      </c>
    </row>
    <row r="1130" spans="1:9" x14ac:dyDescent="0.15">
      <c r="A1130" t="str">
        <f t="shared" ref="A1130:B1130" si="926">A1129</f>
        <v>英語</v>
      </c>
      <c r="B1130">
        <f t="shared" si="926"/>
        <v>10</v>
      </c>
      <c r="C1130">
        <f t="shared" si="911"/>
        <v>81</v>
      </c>
      <c r="D1130">
        <v>0</v>
      </c>
      <c r="E1130" t="str">
        <f>VLOOKUP(D1130,name!A:B,2,1)</f>
        <v>Player</v>
      </c>
      <c r="F1130" t="str">
        <f>F1082</f>
        <v>I feel stupid.</v>
      </c>
      <c r="G1130" t="str">
        <f t="shared" si="914"/>
        <v>q</v>
      </c>
      <c r="H1130" t="str">
        <f>VLOOKUP(D1130,name!A:C,3,1)</f>
        <v>assets/icons/image326.png</v>
      </c>
      <c r="I1130" t="str">
        <f>IF(A1130="","",VLOOKUP(A1130,lng!A:B,2,0))</f>
        <v>en-GB</v>
      </c>
    </row>
    <row r="1131" spans="1:9" x14ac:dyDescent="0.15">
      <c r="A1131" t="str">
        <f t="shared" ref="A1131:B1131" si="927">A1130</f>
        <v>英語</v>
      </c>
      <c r="B1131">
        <f t="shared" si="927"/>
        <v>10</v>
      </c>
      <c r="C1131">
        <f t="shared" si="911"/>
        <v>82</v>
      </c>
      <c r="D1131">
        <f>D1083</f>
        <v>29</v>
      </c>
      <c r="E1131" t="str">
        <f>VLOOKUP(D1131,name!A:B,2,1)</f>
        <v>Eri</v>
      </c>
      <c r="F1131" t="str">
        <f>F1083</f>
        <v>バンク・ホリデイは銀行が閉まっているだけだと思っていました。</v>
      </c>
      <c r="G1131" t="str">
        <f t="shared" si="914"/>
        <v>a</v>
      </c>
      <c r="H1131" t="str">
        <f>VLOOKUP(D1131,name!A:C,3,1)</f>
        <v>assets/icons/image209.png</v>
      </c>
      <c r="I1131" t="s">
        <v>402</v>
      </c>
    </row>
    <row r="1132" spans="1:9" x14ac:dyDescent="0.15">
      <c r="A1132" t="str">
        <f t="shared" ref="A1132:B1132" si="928">A1131</f>
        <v>英語</v>
      </c>
      <c r="B1132">
        <f t="shared" si="928"/>
        <v>10</v>
      </c>
      <c r="C1132">
        <f t="shared" si="911"/>
        <v>83</v>
      </c>
      <c r="D1132">
        <f>D1084</f>
        <v>29</v>
      </c>
      <c r="E1132" t="str">
        <f>VLOOKUP(D1132,name!A:B,2,1)</f>
        <v>Eri</v>
      </c>
      <c r="F1132" t="str">
        <f>F1084</f>
        <v>I thought a bank holiday just meant the banks　were closed.</v>
      </c>
      <c r="G1132" t="str">
        <f t="shared" si="914"/>
        <v>a</v>
      </c>
      <c r="H1132" t="str">
        <f>VLOOKUP(D1132,name!A:C,3,1)</f>
        <v>assets/icons/image209.png</v>
      </c>
      <c r="I1132" t="str">
        <f>IF(A1132="","",VLOOKUP(A1132,lng!A:B,2,0))</f>
        <v>en-GB</v>
      </c>
    </row>
    <row r="1133" spans="1:9" x14ac:dyDescent="0.15">
      <c r="A1133" t="str">
        <f t="shared" ref="A1133:B1133" si="929">A1132</f>
        <v>英語</v>
      </c>
      <c r="B1133">
        <f t="shared" si="929"/>
        <v>10</v>
      </c>
      <c r="C1133">
        <f t="shared" si="911"/>
        <v>84</v>
      </c>
      <c r="D1133">
        <v>0</v>
      </c>
      <c r="E1133" t="str">
        <f>VLOOKUP(D1133,name!A:B,2,1)</f>
        <v>Player</v>
      </c>
      <c r="F1133" t="str">
        <f>F1084</f>
        <v>I thought a bank holiday just meant the banks　were closed.</v>
      </c>
      <c r="G1133" t="str">
        <f t="shared" si="914"/>
        <v>q</v>
      </c>
      <c r="H1133" t="str">
        <f>VLOOKUP(D1133,name!A:C,3,1)</f>
        <v>assets/icons/image326.png</v>
      </c>
      <c r="I1133" t="str">
        <f>IF(A1133="","",VLOOKUP(A1133,lng!A:B,2,0))</f>
        <v>en-GB</v>
      </c>
    </row>
    <row r="1134" spans="1:9" x14ac:dyDescent="0.15">
      <c r="A1134" t="str">
        <f t="shared" ref="A1134:B1134" si="930">A1133</f>
        <v>英語</v>
      </c>
      <c r="B1134">
        <f t="shared" si="930"/>
        <v>10</v>
      </c>
      <c r="C1134">
        <f t="shared" si="911"/>
        <v>85</v>
      </c>
      <c r="D1134">
        <v>1</v>
      </c>
      <c r="E1134" t="str">
        <f>VLOOKUP(D1134,name!A:B,2,1)</f>
        <v>Navigator</v>
      </c>
      <c r="F1134" t="str">
        <f>"次の日本語を"&amp;A1134&amp;"に訳して答えてね！"</f>
        <v>次の日本語を英語に訳して答えてね！</v>
      </c>
      <c r="G1134" t="str">
        <f t="shared" si="914"/>
        <v>a</v>
      </c>
      <c r="H1134" t="str">
        <f>VLOOKUP(D1134,name!A:C,3,1)</f>
        <v>assets/icons/image014.png</v>
      </c>
      <c r="I1134" t="s">
        <v>402</v>
      </c>
    </row>
    <row r="1135" spans="1:9" x14ac:dyDescent="0.15">
      <c r="A1135" t="str">
        <f t="shared" ref="A1135:B1135" si="931">A1134</f>
        <v>英語</v>
      </c>
      <c r="B1135">
        <f t="shared" si="931"/>
        <v>10</v>
      </c>
      <c r="C1135">
        <f t="shared" si="911"/>
        <v>86</v>
      </c>
      <c r="D1135">
        <f>D1053</f>
        <v>32</v>
      </c>
      <c r="E1135" t="str">
        <f>VLOOKUP(D1135,name!A:B,2,1)</f>
        <v>Asha</v>
      </c>
      <c r="F1135" t="str">
        <f t="shared" ref="F1135:F1166" si="932">F1053</f>
        <v>こんにちは、エリ。</v>
      </c>
      <c r="G1135" t="str">
        <f t="shared" si="914"/>
        <v>a</v>
      </c>
      <c r="H1135" t="str">
        <f>VLOOKUP(D1135,name!A:C,3,1)</f>
        <v>assets/icons/image235.png</v>
      </c>
      <c r="I1135" t="s">
        <v>402</v>
      </c>
    </row>
    <row r="1136" spans="1:9" x14ac:dyDescent="0.15">
      <c r="A1136" t="str">
        <f t="shared" ref="A1136:B1136" si="933">A1135</f>
        <v>英語</v>
      </c>
      <c r="B1136">
        <f t="shared" si="933"/>
        <v>10</v>
      </c>
      <c r="C1136">
        <f t="shared" si="911"/>
        <v>87</v>
      </c>
      <c r="D1136">
        <v>0</v>
      </c>
      <c r="E1136" t="str">
        <f>VLOOKUP(D1136,name!A:B,2,1)</f>
        <v>Player</v>
      </c>
      <c r="F1136" t="str">
        <f t="shared" si="932"/>
        <v>Hi, Eri.</v>
      </c>
      <c r="G1136" t="str">
        <f t="shared" si="914"/>
        <v>q</v>
      </c>
      <c r="H1136" t="str">
        <f>VLOOKUP(D1136,name!A:C,3,1)</f>
        <v>assets/icons/image326.png</v>
      </c>
      <c r="I1136" t="str">
        <f>IF(A1136="","",VLOOKUP(A1136,lng!A:B,2,0))</f>
        <v>en-GB</v>
      </c>
    </row>
    <row r="1137" spans="1:9" x14ac:dyDescent="0.15">
      <c r="A1137" t="str">
        <f t="shared" ref="A1137:B1137" si="934">A1136</f>
        <v>英語</v>
      </c>
      <c r="B1137">
        <f t="shared" si="934"/>
        <v>10</v>
      </c>
      <c r="C1137">
        <f t="shared" si="911"/>
        <v>88</v>
      </c>
      <c r="D1137">
        <f>D1055</f>
        <v>32</v>
      </c>
      <c r="E1137" t="str">
        <f>VLOOKUP(D1137,name!A:B,2,1)</f>
        <v>Asha</v>
      </c>
      <c r="F1137" t="str">
        <f t="shared" si="932"/>
        <v>調子はどう?</v>
      </c>
      <c r="G1137" t="str">
        <f t="shared" si="914"/>
        <v>a</v>
      </c>
      <c r="H1137" t="str">
        <f>VLOOKUP(D1137,name!A:C,3,1)</f>
        <v>assets/icons/image235.png</v>
      </c>
      <c r="I1137" t="s">
        <v>402</v>
      </c>
    </row>
    <row r="1138" spans="1:9" x14ac:dyDescent="0.15">
      <c r="A1138" t="str">
        <f t="shared" ref="A1138:B1138" si="935">A1137</f>
        <v>英語</v>
      </c>
      <c r="B1138">
        <f t="shared" si="935"/>
        <v>10</v>
      </c>
      <c r="C1138">
        <f t="shared" si="911"/>
        <v>89</v>
      </c>
      <c r="D1138">
        <v>0</v>
      </c>
      <c r="E1138" t="str">
        <f>VLOOKUP(D1138,name!A:B,2,1)</f>
        <v>Player</v>
      </c>
      <c r="F1138" t="str">
        <f t="shared" si="932"/>
        <v>How's everything going?</v>
      </c>
      <c r="G1138" t="str">
        <f t="shared" si="914"/>
        <v>q</v>
      </c>
      <c r="H1138" t="str">
        <f>VLOOKUP(D1138,name!A:C,3,1)</f>
        <v>assets/icons/image326.png</v>
      </c>
      <c r="I1138" t="str">
        <f>IF(A1138="","",VLOOKUP(A1138,lng!A:B,2,0))</f>
        <v>en-GB</v>
      </c>
    </row>
    <row r="1139" spans="1:9" x14ac:dyDescent="0.15">
      <c r="A1139" t="str">
        <f t="shared" ref="A1139:B1139" si="936">A1138</f>
        <v>英語</v>
      </c>
      <c r="B1139">
        <f t="shared" si="936"/>
        <v>10</v>
      </c>
      <c r="C1139">
        <f t="shared" si="911"/>
        <v>90</v>
      </c>
      <c r="D1139">
        <f>D1057</f>
        <v>29</v>
      </c>
      <c r="E1139" t="str">
        <f>VLOOKUP(D1139,name!A:B,2,1)</f>
        <v>Eri</v>
      </c>
      <c r="F1139" t="str">
        <f t="shared" si="932"/>
        <v>ああ、アシャ</v>
      </c>
      <c r="G1139" t="str">
        <f t="shared" si="914"/>
        <v>a</v>
      </c>
      <c r="H1139" t="str">
        <f>VLOOKUP(D1139,name!A:C,3,1)</f>
        <v>assets/icons/image209.png</v>
      </c>
      <c r="I1139" t="s">
        <v>402</v>
      </c>
    </row>
    <row r="1140" spans="1:9" x14ac:dyDescent="0.15">
      <c r="A1140" t="str">
        <f t="shared" ref="A1140:B1140" si="937">A1139</f>
        <v>英語</v>
      </c>
      <c r="B1140">
        <f t="shared" si="937"/>
        <v>10</v>
      </c>
      <c r="C1140">
        <f t="shared" si="911"/>
        <v>91</v>
      </c>
      <c r="D1140">
        <v>0</v>
      </c>
      <c r="E1140" t="str">
        <f>VLOOKUP(D1140,name!A:B,2,1)</f>
        <v>Player</v>
      </c>
      <c r="F1140" t="str">
        <f t="shared" si="932"/>
        <v>Oh, Asha,</v>
      </c>
      <c r="G1140" t="str">
        <f t="shared" si="914"/>
        <v>q</v>
      </c>
      <c r="H1140" t="str">
        <f>VLOOKUP(D1140,name!A:C,3,1)</f>
        <v>assets/icons/image326.png</v>
      </c>
      <c r="I1140" t="str">
        <f>IF(A1140="","",VLOOKUP(A1140,lng!A:B,2,0))</f>
        <v>en-GB</v>
      </c>
    </row>
    <row r="1141" spans="1:9" x14ac:dyDescent="0.15">
      <c r="A1141" t="str">
        <f t="shared" ref="A1141:B1141" si="938">A1140</f>
        <v>英語</v>
      </c>
      <c r="B1141">
        <f t="shared" si="938"/>
        <v>10</v>
      </c>
      <c r="C1141">
        <f t="shared" si="911"/>
        <v>92</v>
      </c>
      <c r="D1141">
        <f>D1059</f>
        <v>29</v>
      </c>
      <c r="E1141" t="str">
        <f>VLOOKUP(D1141,name!A:B,2,1)</f>
        <v>Eri</v>
      </c>
      <c r="F1141" t="str">
        <f t="shared" si="932"/>
        <v>終日の勉強会に持っていくためにワインを買わなければなりません</v>
      </c>
      <c r="G1141" t="str">
        <f t="shared" si="914"/>
        <v>a</v>
      </c>
      <c r="H1141" t="str">
        <f>VLOOKUP(D1141,name!A:C,3,1)</f>
        <v>assets/icons/image209.png</v>
      </c>
      <c r="I1141" t="s">
        <v>402</v>
      </c>
    </row>
    <row r="1142" spans="1:9" x14ac:dyDescent="0.15">
      <c r="A1142" t="str">
        <f t="shared" ref="A1142:B1142" si="939">A1141</f>
        <v>英語</v>
      </c>
      <c r="B1142">
        <f t="shared" si="939"/>
        <v>10</v>
      </c>
      <c r="C1142">
        <f t="shared" si="911"/>
        <v>93</v>
      </c>
      <c r="D1142">
        <v>0</v>
      </c>
      <c r="E1142" t="str">
        <f>VLOOKUP(D1142,name!A:B,2,1)</f>
        <v>Player</v>
      </c>
      <c r="F1142" t="str">
        <f t="shared" si="932"/>
        <v xml:space="preserve"> I have to get some wine to take to an all-day study　session</v>
      </c>
      <c r="G1142" t="str">
        <f t="shared" si="914"/>
        <v>q</v>
      </c>
      <c r="H1142" t="str">
        <f>VLOOKUP(D1142,name!A:C,3,1)</f>
        <v>assets/icons/image326.png</v>
      </c>
      <c r="I1142" t="str">
        <f>IF(A1142="","",VLOOKUP(A1142,lng!A:B,2,0))</f>
        <v>en-GB</v>
      </c>
    </row>
    <row r="1143" spans="1:9" x14ac:dyDescent="0.15">
      <c r="A1143" t="str">
        <f t="shared" ref="A1143:B1143" si="940">A1142</f>
        <v>英語</v>
      </c>
      <c r="B1143">
        <f t="shared" si="940"/>
        <v>10</v>
      </c>
      <c r="C1143">
        <f t="shared" si="911"/>
        <v>94</v>
      </c>
      <c r="D1143">
        <f>D1061</f>
        <v>29</v>
      </c>
      <c r="E1143" t="str">
        <f>VLOOKUP(D1143,name!A:B,2,1)</f>
        <v>Eri</v>
      </c>
      <c r="F1143" t="str">
        <f t="shared" si="932"/>
        <v>そして今日は指導教官の家でバーベキューなの。</v>
      </c>
      <c r="G1143" t="str">
        <f t="shared" si="914"/>
        <v>a</v>
      </c>
      <c r="H1143" t="str">
        <f>VLOOKUP(D1143,name!A:C,3,1)</f>
        <v>assets/icons/image209.png</v>
      </c>
      <c r="I1143" t="s">
        <v>402</v>
      </c>
    </row>
    <row r="1144" spans="1:9" x14ac:dyDescent="0.15">
      <c r="A1144" t="str">
        <f t="shared" ref="A1144:B1144" si="941">A1143</f>
        <v>英語</v>
      </c>
      <c r="B1144">
        <f t="shared" si="941"/>
        <v>10</v>
      </c>
      <c r="C1144">
        <f t="shared" si="911"/>
        <v>95</v>
      </c>
      <c r="D1144">
        <v>0</v>
      </c>
      <c r="E1144" t="str">
        <f>VLOOKUP(D1144,name!A:B,2,1)</f>
        <v>Player</v>
      </c>
      <c r="F1144" t="str">
        <f t="shared" si="932"/>
        <v>and barbecue at my supervisor's house today,</v>
      </c>
      <c r="G1144" t="str">
        <f t="shared" si="914"/>
        <v>q</v>
      </c>
      <c r="H1144" t="str">
        <f>VLOOKUP(D1144,name!A:C,3,1)</f>
        <v>assets/icons/image326.png</v>
      </c>
      <c r="I1144" t="str">
        <f>IF(A1144="","",VLOOKUP(A1144,lng!A:B,2,0))</f>
        <v>en-GB</v>
      </c>
    </row>
    <row r="1145" spans="1:9" x14ac:dyDescent="0.15">
      <c r="A1145" t="str">
        <f t="shared" ref="A1145:B1145" si="942">A1144</f>
        <v>英語</v>
      </c>
      <c r="B1145">
        <f t="shared" si="942"/>
        <v>10</v>
      </c>
      <c r="C1145">
        <f t="shared" si="911"/>
        <v>96</v>
      </c>
      <c r="D1145">
        <f>D1063</f>
        <v>29</v>
      </c>
      <c r="E1145" t="str">
        <f>VLOOKUP(D1145,name!A:B,2,1)</f>
        <v>Eri</v>
      </c>
      <c r="F1145" t="str">
        <f t="shared" si="932"/>
        <v>でも近くのセインズベリーは閉まっていて。</v>
      </c>
      <c r="G1145" t="str">
        <f t="shared" si="914"/>
        <v>a</v>
      </c>
      <c r="H1145" t="str">
        <f>VLOOKUP(D1145,name!A:C,3,1)</f>
        <v>assets/icons/image209.png</v>
      </c>
      <c r="I1145" t="s">
        <v>402</v>
      </c>
    </row>
    <row r="1146" spans="1:9" x14ac:dyDescent="0.15">
      <c r="A1146" t="str">
        <f t="shared" ref="A1146:B1146" si="943">A1145</f>
        <v>英語</v>
      </c>
      <c r="B1146">
        <f t="shared" si="943"/>
        <v>10</v>
      </c>
      <c r="C1146">
        <f t="shared" si="911"/>
        <v>97</v>
      </c>
      <c r="D1146">
        <v>0</v>
      </c>
      <c r="E1146" t="str">
        <f>VLOOKUP(D1146,name!A:B,2,1)</f>
        <v>Player</v>
      </c>
      <c r="F1146" t="str">
        <f t="shared" si="932"/>
        <v xml:space="preserve"> but　the Sainsbury's near me is closed.</v>
      </c>
      <c r="G1146" t="str">
        <f t="shared" si="914"/>
        <v>q</v>
      </c>
      <c r="H1146" t="str">
        <f>VLOOKUP(D1146,name!A:C,3,1)</f>
        <v>assets/icons/image326.png</v>
      </c>
      <c r="I1146" t="str">
        <f>IF(A1146="","",VLOOKUP(A1146,lng!A:B,2,0))</f>
        <v>en-GB</v>
      </c>
    </row>
    <row r="1147" spans="1:9" x14ac:dyDescent="0.15">
      <c r="A1147" t="str">
        <f t="shared" ref="A1147:B1147" si="944">A1146</f>
        <v>英語</v>
      </c>
      <c r="B1147">
        <f t="shared" si="944"/>
        <v>10</v>
      </c>
      <c r="C1147">
        <f t="shared" si="911"/>
        <v>98</v>
      </c>
      <c r="D1147">
        <f>D1065</f>
        <v>29</v>
      </c>
      <c r="E1147" t="str">
        <f>VLOOKUP(D1147,name!A:B,2,1)</f>
        <v>Eri</v>
      </c>
      <c r="F1147" t="str">
        <f t="shared" si="932"/>
        <v xml:space="preserve"> ドアのところに、バンク・ホリデイについて書かれていた</v>
      </c>
      <c r="G1147" t="str">
        <f t="shared" si="914"/>
        <v>a</v>
      </c>
      <c r="H1147" t="str">
        <f>VLOOKUP(D1147,name!A:C,3,1)</f>
        <v>assets/icons/image209.png</v>
      </c>
      <c r="I1147" t="s">
        <v>402</v>
      </c>
    </row>
    <row r="1148" spans="1:9" x14ac:dyDescent="0.15">
      <c r="A1148" t="str">
        <f t="shared" ref="A1148:B1148" si="945">A1147</f>
        <v>英語</v>
      </c>
      <c r="B1148">
        <f t="shared" si="945"/>
        <v>10</v>
      </c>
      <c r="C1148">
        <f t="shared" si="911"/>
        <v>99</v>
      </c>
      <c r="D1148">
        <v>0</v>
      </c>
      <c r="E1148" t="str">
        <f>VLOOKUP(D1148,name!A:B,2,1)</f>
        <v>Player</v>
      </c>
      <c r="F1148" t="str">
        <f t="shared" si="932"/>
        <v xml:space="preserve">It said something on the　door about a bank holiday. </v>
      </c>
      <c r="G1148" t="str">
        <f t="shared" si="914"/>
        <v>q</v>
      </c>
      <c r="H1148" t="str">
        <f>VLOOKUP(D1148,name!A:C,3,1)</f>
        <v>assets/icons/image326.png</v>
      </c>
      <c r="I1148" t="str">
        <f>IF(A1148="","",VLOOKUP(A1148,lng!A:B,2,0))</f>
        <v>en-GB</v>
      </c>
    </row>
    <row r="1149" spans="1:9" x14ac:dyDescent="0.15">
      <c r="A1149" t="str">
        <f t="shared" ref="A1149:B1149" si="946">A1148</f>
        <v>英語</v>
      </c>
      <c r="B1149">
        <f t="shared" si="946"/>
        <v>10</v>
      </c>
      <c r="C1149">
        <f t="shared" si="911"/>
        <v>100</v>
      </c>
      <c r="D1149">
        <f>D1067</f>
        <v>29</v>
      </c>
      <c r="E1149" t="str">
        <f>VLOOKUP(D1149,name!A:B,2,1)</f>
        <v>Eri</v>
      </c>
      <c r="F1149" t="str">
        <f t="shared" si="932"/>
        <v>何か知っていますか？</v>
      </c>
      <c r="G1149" t="str">
        <f t="shared" si="914"/>
        <v>a</v>
      </c>
      <c r="H1149" t="str">
        <f>VLOOKUP(D1149,name!A:C,3,1)</f>
        <v>assets/icons/image209.png</v>
      </c>
      <c r="I1149" t="s">
        <v>402</v>
      </c>
    </row>
    <row r="1150" spans="1:9" x14ac:dyDescent="0.15">
      <c r="A1150" t="str">
        <f t="shared" ref="A1150:B1150" si="947">A1149</f>
        <v>英語</v>
      </c>
      <c r="B1150">
        <f t="shared" si="947"/>
        <v>10</v>
      </c>
      <c r="C1150">
        <f t="shared" si="911"/>
        <v>101</v>
      </c>
      <c r="D1150">
        <v>0</v>
      </c>
      <c r="E1150" t="str">
        <f>VLOOKUP(D1150,name!A:B,2,1)</f>
        <v>Player</v>
      </c>
      <c r="F1150" t="str">
        <f t="shared" si="932"/>
        <v>Do you know anything about it?</v>
      </c>
      <c r="G1150" t="str">
        <f t="shared" si="914"/>
        <v>q</v>
      </c>
      <c r="H1150" t="str">
        <f>VLOOKUP(D1150,name!A:C,3,1)</f>
        <v>assets/icons/image326.png</v>
      </c>
      <c r="I1150" t="str">
        <f>IF(A1150="","",VLOOKUP(A1150,lng!A:B,2,0))</f>
        <v>en-GB</v>
      </c>
    </row>
    <row r="1151" spans="1:9" x14ac:dyDescent="0.15">
      <c r="A1151" t="str">
        <f t="shared" ref="A1151:B1151" si="948">A1150</f>
        <v>英語</v>
      </c>
      <c r="B1151">
        <f t="shared" si="948"/>
        <v>10</v>
      </c>
      <c r="C1151">
        <f t="shared" si="911"/>
        <v>102</v>
      </c>
      <c r="D1151">
        <f>D1069</f>
        <v>32</v>
      </c>
      <c r="E1151" t="str">
        <f>VLOOKUP(D1151,name!A:B,2,1)</f>
        <v>Asha</v>
      </c>
      <c r="F1151" t="str">
        <f t="shared" si="932"/>
        <v>そう、今日は夏のバンク ホリデイ。</v>
      </c>
      <c r="G1151" t="str">
        <f t="shared" si="914"/>
        <v>a</v>
      </c>
      <c r="H1151" t="str">
        <f>VLOOKUP(D1151,name!A:C,3,1)</f>
        <v>assets/icons/image235.png</v>
      </c>
      <c r="I1151" t="s">
        <v>402</v>
      </c>
    </row>
    <row r="1152" spans="1:9" x14ac:dyDescent="0.15">
      <c r="A1152" t="str">
        <f t="shared" ref="A1152:B1152" si="949">A1151</f>
        <v>英語</v>
      </c>
      <c r="B1152">
        <f t="shared" si="949"/>
        <v>10</v>
      </c>
      <c r="C1152">
        <f t="shared" si="911"/>
        <v>103</v>
      </c>
      <c r="D1152">
        <v>0</v>
      </c>
      <c r="E1152" t="str">
        <f>VLOOKUP(D1152,name!A:B,2,1)</f>
        <v>Player</v>
      </c>
      <c r="F1152" t="str">
        <f t="shared" si="932"/>
        <v>Yeah, it's the Summer Bank Holiday today.</v>
      </c>
      <c r="G1152" t="str">
        <f t="shared" si="914"/>
        <v>q</v>
      </c>
      <c r="H1152" t="str">
        <f>VLOOKUP(D1152,name!A:C,3,1)</f>
        <v>assets/icons/image326.png</v>
      </c>
      <c r="I1152" t="str">
        <f>IF(A1152="","",VLOOKUP(A1152,lng!A:B,2,0))</f>
        <v>en-GB</v>
      </c>
    </row>
    <row r="1153" spans="1:9" x14ac:dyDescent="0.15">
      <c r="A1153" t="str">
        <f t="shared" ref="A1153:B1153" si="950">A1152</f>
        <v>英語</v>
      </c>
      <c r="B1153">
        <f t="shared" si="950"/>
        <v>10</v>
      </c>
      <c r="C1153">
        <f t="shared" si="911"/>
        <v>104</v>
      </c>
      <c r="D1153">
        <f>D1071</f>
        <v>32</v>
      </c>
      <c r="E1153" t="str">
        <f>VLOOKUP(D1153,name!A:B,2,1)</f>
        <v>Asha</v>
      </c>
      <c r="F1153" t="str">
        <f t="shared" si="932"/>
        <v>それは一種の公休日です。</v>
      </c>
      <c r="G1153" t="str">
        <f t="shared" si="914"/>
        <v>a</v>
      </c>
      <c r="H1153" t="str">
        <f>VLOOKUP(D1153,name!A:C,3,1)</f>
        <v>assets/icons/image235.png</v>
      </c>
      <c r="I1153" t="s">
        <v>402</v>
      </c>
    </row>
    <row r="1154" spans="1:9" x14ac:dyDescent="0.15">
      <c r="A1154" t="str">
        <f t="shared" ref="A1154:B1154" si="951">A1153</f>
        <v>英語</v>
      </c>
      <c r="B1154">
        <f t="shared" si="951"/>
        <v>10</v>
      </c>
      <c r="C1154">
        <f t="shared" si="911"/>
        <v>105</v>
      </c>
      <c r="D1154">
        <v>0</v>
      </c>
      <c r="E1154" t="str">
        <f>VLOOKUP(D1154,name!A:B,2,1)</f>
        <v>Player</v>
      </c>
      <c r="F1154" t="str">
        <f t="shared" si="932"/>
        <v xml:space="preserve"> It's a kind of public　holiday.</v>
      </c>
      <c r="G1154" t="str">
        <f t="shared" si="914"/>
        <v>q</v>
      </c>
      <c r="H1154" t="str">
        <f>VLOOKUP(D1154,name!A:C,3,1)</f>
        <v>assets/icons/image326.png</v>
      </c>
      <c r="I1154" t="str">
        <f>IF(A1154="","",VLOOKUP(A1154,lng!A:B,2,0))</f>
        <v>en-GB</v>
      </c>
    </row>
    <row r="1155" spans="1:9" x14ac:dyDescent="0.15">
      <c r="A1155" t="str">
        <f t="shared" ref="A1155:B1155" si="952">A1154</f>
        <v>英語</v>
      </c>
      <c r="B1155">
        <f t="shared" si="952"/>
        <v>10</v>
      </c>
      <c r="C1155">
        <f t="shared" si="911"/>
        <v>106</v>
      </c>
      <c r="D1155">
        <f>D1073</f>
        <v>32</v>
      </c>
      <c r="E1155" t="str">
        <f>VLOOKUP(D1155,name!A:B,2,1)</f>
        <v>Asha</v>
      </c>
      <c r="F1155" t="str">
        <f t="shared" si="932"/>
        <v>だから、それはあなた次第、</v>
      </c>
      <c r="G1155" t="str">
        <f t="shared" si="914"/>
        <v>a</v>
      </c>
      <c r="H1155" t="str">
        <f>VLOOKUP(D1155,name!A:C,3,1)</f>
        <v>assets/icons/image235.png</v>
      </c>
      <c r="I1155" t="s">
        <v>402</v>
      </c>
    </row>
    <row r="1156" spans="1:9" x14ac:dyDescent="0.15">
      <c r="A1156" t="str">
        <f t="shared" ref="A1156:B1156" si="953">A1155</f>
        <v>英語</v>
      </c>
      <c r="B1156">
        <f t="shared" si="953"/>
        <v>10</v>
      </c>
      <c r="C1156">
        <f t="shared" si="911"/>
        <v>107</v>
      </c>
      <c r="D1156">
        <v>0</v>
      </c>
      <c r="E1156" t="str">
        <f>VLOOKUP(D1156,name!A:B,2,1)</f>
        <v>Player</v>
      </c>
      <c r="F1156" t="str">
        <f t="shared" si="932"/>
        <v xml:space="preserve"> So, it's up to you,</v>
      </c>
      <c r="G1156" t="str">
        <f t="shared" si="914"/>
        <v>q</v>
      </c>
      <c r="H1156" t="str">
        <f>VLOOKUP(D1156,name!A:C,3,1)</f>
        <v>assets/icons/image326.png</v>
      </c>
      <c r="I1156" t="str">
        <f>IF(A1156="","",VLOOKUP(A1156,lng!A:B,2,0))</f>
        <v>en-GB</v>
      </c>
    </row>
    <row r="1157" spans="1:9" x14ac:dyDescent="0.15">
      <c r="A1157" t="str">
        <f t="shared" ref="A1157:B1157" si="954">A1156</f>
        <v>英語</v>
      </c>
      <c r="B1157">
        <f t="shared" si="954"/>
        <v>10</v>
      </c>
      <c r="C1157">
        <f t="shared" si="911"/>
        <v>108</v>
      </c>
      <c r="D1157">
        <f>D1075</f>
        <v>32</v>
      </c>
      <c r="E1157" t="str">
        <f>VLOOKUP(D1157,name!A:B,2,1)</f>
        <v>Asha</v>
      </c>
      <c r="F1157" t="str">
        <f t="shared" si="932"/>
        <v>ファイブウェイズにある大きなテスコに行くか、</v>
      </c>
      <c r="G1157" t="str">
        <f t="shared" si="914"/>
        <v>a</v>
      </c>
      <c r="H1157" t="str">
        <f>VLOOKUP(D1157,name!A:C,3,1)</f>
        <v>assets/icons/image235.png</v>
      </c>
      <c r="I1157" t="s">
        <v>402</v>
      </c>
    </row>
    <row r="1158" spans="1:9" x14ac:dyDescent="0.15">
      <c r="A1158" t="str">
        <f t="shared" ref="A1158:B1158" si="955">A1157</f>
        <v>英語</v>
      </c>
      <c r="B1158">
        <f t="shared" si="955"/>
        <v>10</v>
      </c>
      <c r="C1158">
        <f t="shared" si="911"/>
        <v>109</v>
      </c>
      <c r="D1158">
        <v>0</v>
      </c>
      <c r="E1158" t="str">
        <f>VLOOKUP(D1158,name!A:B,2,1)</f>
        <v>Player</v>
      </c>
      <c r="F1158" t="str">
        <f t="shared" si="932"/>
        <v xml:space="preserve"> you can either go to the big Tesco's　at Five Ways, </v>
      </c>
      <c r="G1158" t="str">
        <f t="shared" si="914"/>
        <v>q</v>
      </c>
      <c r="H1158" t="str">
        <f>VLOOKUP(D1158,name!A:C,3,1)</f>
        <v>assets/icons/image326.png</v>
      </c>
      <c r="I1158" t="str">
        <f>IF(A1158="","",VLOOKUP(A1158,lng!A:B,2,0))</f>
        <v>en-GB</v>
      </c>
    </row>
    <row r="1159" spans="1:9" x14ac:dyDescent="0.15">
      <c r="A1159" t="str">
        <f t="shared" ref="A1159:B1159" si="956">A1158</f>
        <v>英語</v>
      </c>
      <c r="B1159">
        <f t="shared" si="956"/>
        <v>10</v>
      </c>
      <c r="C1159">
        <f t="shared" si="911"/>
        <v>110</v>
      </c>
      <c r="D1159">
        <f>D1077</f>
        <v>32</v>
      </c>
      <c r="E1159" t="str">
        <f>VLOOKUP(D1159,name!A:B,2,1)</f>
        <v>Asha</v>
      </c>
      <c r="F1159" t="str">
        <f t="shared" si="932"/>
        <v>または中心部にある本物のワインショップ。</v>
      </c>
      <c r="G1159" t="str">
        <f t="shared" si="914"/>
        <v>a</v>
      </c>
      <c r="H1159" t="str">
        <f>VLOOKUP(D1159,name!A:C,3,1)</f>
        <v>assets/icons/image235.png</v>
      </c>
      <c r="I1159" t="s">
        <v>402</v>
      </c>
    </row>
    <row r="1160" spans="1:9" x14ac:dyDescent="0.15">
      <c r="A1160" t="str">
        <f t="shared" ref="A1160:B1160" si="957">A1159</f>
        <v>英語</v>
      </c>
      <c r="B1160">
        <f t="shared" si="957"/>
        <v>10</v>
      </c>
      <c r="C1160">
        <f t="shared" si="911"/>
        <v>111</v>
      </c>
      <c r="D1160">
        <v>0</v>
      </c>
      <c r="E1160" t="str">
        <f>VLOOKUP(D1160,name!A:B,2,1)</f>
        <v>Player</v>
      </c>
      <c r="F1160" t="str">
        <f t="shared" si="932"/>
        <v xml:space="preserve"> or a real wine shop in the centre.</v>
      </c>
      <c r="G1160" t="str">
        <f t="shared" si="914"/>
        <v>q</v>
      </c>
      <c r="H1160" t="str">
        <f>VLOOKUP(D1160,name!A:C,3,1)</f>
        <v>assets/icons/image326.png</v>
      </c>
      <c r="I1160" t="str">
        <f>IF(A1160="","",VLOOKUP(A1160,lng!A:B,2,0))</f>
        <v>en-GB</v>
      </c>
    </row>
    <row r="1161" spans="1:9" x14ac:dyDescent="0.15">
      <c r="A1161" t="str">
        <f t="shared" ref="A1161:B1161" si="958">A1160</f>
        <v>英語</v>
      </c>
      <c r="B1161">
        <f t="shared" si="958"/>
        <v>10</v>
      </c>
      <c r="C1161">
        <f t="shared" si="911"/>
        <v>112</v>
      </c>
      <c r="D1161">
        <f>D1079</f>
        <v>32</v>
      </c>
      <c r="E1161" t="str">
        <f>VLOOKUP(D1161,name!A:B,2,1)</f>
        <v>Asha</v>
      </c>
      <c r="F1161" t="str">
        <f t="shared" si="932"/>
        <v>コルモア・ロウのバス停の近くに良い店があります。</v>
      </c>
      <c r="G1161" t="str">
        <f t="shared" si="914"/>
        <v>a</v>
      </c>
      <c r="H1161" t="str">
        <f>VLOOKUP(D1161,name!A:C,3,1)</f>
        <v>assets/icons/image235.png</v>
      </c>
      <c r="I1161" t="s">
        <v>402</v>
      </c>
    </row>
    <row r="1162" spans="1:9" x14ac:dyDescent="0.15">
      <c r="A1162" t="str">
        <f t="shared" ref="A1162:B1162" si="959">A1161</f>
        <v>英語</v>
      </c>
      <c r="B1162">
        <f t="shared" si="959"/>
        <v>10</v>
      </c>
      <c r="C1162">
        <f t="shared" si="911"/>
        <v>113</v>
      </c>
      <c r="D1162">
        <v>0</v>
      </c>
      <c r="E1162" t="str">
        <f>VLOOKUP(D1162,name!A:B,2,1)</f>
        <v>Player</v>
      </c>
      <c r="F1162" t="str">
        <f t="shared" si="932"/>
        <v>There's a　good one near the bus stops on Colmore Row.</v>
      </c>
      <c r="G1162" t="str">
        <f t="shared" si="914"/>
        <v>q</v>
      </c>
      <c r="H1162" t="str">
        <f>VLOOKUP(D1162,name!A:C,3,1)</f>
        <v>assets/icons/image326.png</v>
      </c>
      <c r="I1162" t="str">
        <f>IF(A1162="","",VLOOKUP(A1162,lng!A:B,2,0))</f>
        <v>en-GB</v>
      </c>
    </row>
    <row r="1163" spans="1:9" x14ac:dyDescent="0.15">
      <c r="A1163" t="str">
        <f t="shared" ref="A1163:B1163" si="960">A1162</f>
        <v>英語</v>
      </c>
      <c r="B1163">
        <f t="shared" si="960"/>
        <v>10</v>
      </c>
      <c r="C1163">
        <f t="shared" si="911"/>
        <v>114</v>
      </c>
      <c r="D1163">
        <f>D1081</f>
        <v>29</v>
      </c>
      <c r="E1163" t="str">
        <f>VLOOKUP(D1163,name!A:B,2,1)</f>
        <v>Eri</v>
      </c>
      <c r="F1163" t="str">
        <f t="shared" si="932"/>
        <v>バカみたい</v>
      </c>
      <c r="G1163" t="str">
        <f t="shared" si="914"/>
        <v>a</v>
      </c>
      <c r="H1163" t="str">
        <f>VLOOKUP(D1163,name!A:C,3,1)</f>
        <v>assets/icons/image209.png</v>
      </c>
      <c r="I1163" t="s">
        <v>402</v>
      </c>
    </row>
    <row r="1164" spans="1:9" x14ac:dyDescent="0.15">
      <c r="A1164" t="str">
        <f t="shared" ref="A1164:B1164" si="961">A1163</f>
        <v>英語</v>
      </c>
      <c r="B1164">
        <f t="shared" si="961"/>
        <v>10</v>
      </c>
      <c r="C1164">
        <f t="shared" si="911"/>
        <v>115</v>
      </c>
      <c r="D1164">
        <v>0</v>
      </c>
      <c r="E1164" t="str">
        <f>VLOOKUP(D1164,name!A:B,2,1)</f>
        <v>Player</v>
      </c>
      <c r="F1164" t="str">
        <f t="shared" si="932"/>
        <v>I feel stupid.</v>
      </c>
      <c r="G1164" t="str">
        <f t="shared" si="914"/>
        <v>q</v>
      </c>
      <c r="H1164" t="str">
        <f>VLOOKUP(D1164,name!A:C,3,1)</f>
        <v>assets/icons/image326.png</v>
      </c>
      <c r="I1164" t="str">
        <f>IF(A1164="","",VLOOKUP(A1164,lng!A:B,2,0))</f>
        <v>en-GB</v>
      </c>
    </row>
    <row r="1165" spans="1:9" x14ac:dyDescent="0.15">
      <c r="A1165" t="str">
        <f t="shared" ref="A1165:B1165" si="962">A1164</f>
        <v>英語</v>
      </c>
      <c r="B1165">
        <f t="shared" si="962"/>
        <v>10</v>
      </c>
      <c r="C1165">
        <f t="shared" si="911"/>
        <v>116</v>
      </c>
      <c r="D1165">
        <f>D1083</f>
        <v>29</v>
      </c>
      <c r="E1165" t="str">
        <f>VLOOKUP(D1165,name!A:B,2,1)</f>
        <v>Eri</v>
      </c>
      <c r="F1165" t="str">
        <f t="shared" si="932"/>
        <v>バンク・ホリデイは銀行が閉まっているだけだと思っていました。</v>
      </c>
      <c r="G1165" t="str">
        <f t="shared" si="914"/>
        <v>a</v>
      </c>
      <c r="H1165" t="str">
        <f>VLOOKUP(D1165,name!A:C,3,1)</f>
        <v>assets/icons/image209.png</v>
      </c>
      <c r="I1165" t="s">
        <v>402</v>
      </c>
    </row>
    <row r="1166" spans="1:9" x14ac:dyDescent="0.15">
      <c r="A1166" t="str">
        <f t="shared" ref="A1166:B1166" si="963">A1165</f>
        <v>英語</v>
      </c>
      <c r="B1166">
        <f t="shared" si="963"/>
        <v>10</v>
      </c>
      <c r="C1166">
        <f t="shared" si="911"/>
        <v>117</v>
      </c>
      <c r="D1166">
        <v>0</v>
      </c>
      <c r="E1166" t="str">
        <f>VLOOKUP(D1166,name!A:B,2,1)</f>
        <v>Player</v>
      </c>
      <c r="F1166" t="str">
        <f t="shared" si="932"/>
        <v>I thought a bank holiday just meant the banks　were closed.</v>
      </c>
      <c r="G1166" t="str">
        <f t="shared" si="914"/>
        <v>q</v>
      </c>
      <c r="H1166" t="str">
        <f>VLOOKUP(D1166,name!A:C,3,1)</f>
        <v>assets/icons/image326.png</v>
      </c>
      <c r="I1166" t="str">
        <f>IF(A1166="","",VLOOKUP(A1166,lng!A:B,2,0))</f>
        <v>en-GB</v>
      </c>
    </row>
    <row r="1167" spans="1:9" x14ac:dyDescent="0.15">
      <c r="A1167" t="str">
        <f t="shared" ref="A1167:B1167" si="964">A1166</f>
        <v>英語</v>
      </c>
      <c r="B1167">
        <f t="shared" si="964"/>
        <v>10</v>
      </c>
      <c r="C1167">
        <f t="shared" si="911"/>
        <v>118</v>
      </c>
      <c r="D1167">
        <v>1</v>
      </c>
      <c r="E1167" t="str">
        <f>VLOOKUP(D1167,name!A:B,2,1)</f>
        <v>Navigator</v>
      </c>
      <c r="F1167" t="str">
        <f>"とても良くできました。レッスン"&amp;B1167&amp;"はこれで終了です。"</f>
        <v>とても良くできました。レッスン10はこれで終了です。</v>
      </c>
      <c r="G1167" t="str">
        <f t="shared" si="914"/>
        <v>e</v>
      </c>
      <c r="H1167" t="str">
        <f>VLOOKUP(D1167,name!A:C,3,1)</f>
        <v>assets/icons/image014.png</v>
      </c>
      <c r="I1167" t="s">
        <v>402</v>
      </c>
    </row>
    <row r="1168" spans="1:9" x14ac:dyDescent="0.15">
      <c r="A1168" t="str">
        <f>A1167</f>
        <v>英語</v>
      </c>
      <c r="B1168">
        <f>B1167+1</f>
        <v>11</v>
      </c>
      <c r="C1168">
        <v>1</v>
      </c>
      <c r="D1168">
        <v>1</v>
      </c>
      <c r="E1168" t="str">
        <f>VLOOKUP(D1168,name!A:B,2,1)</f>
        <v>Navigator</v>
      </c>
      <c r="F1168" t="s">
        <v>778</v>
      </c>
      <c r="G1168" t="str">
        <f t="shared" si="914"/>
        <v>a</v>
      </c>
      <c r="H1168" t="str">
        <f>VLOOKUP(D1168,name!A:C,3,1)</f>
        <v>assets/icons/image014.png</v>
      </c>
      <c r="I1168" t="str">
        <f>IF(A1168="","",VLOOKUP(A1168,lng!A:B,2,0))</f>
        <v>en-GB</v>
      </c>
    </row>
    <row r="1169" spans="1:12" x14ac:dyDescent="0.15">
      <c r="A1169" t="str">
        <f t="shared" ref="A1169:B1184" si="965">A1168</f>
        <v>英語</v>
      </c>
      <c r="B1169">
        <f>B1168</f>
        <v>11</v>
      </c>
      <c r="C1169">
        <f>C1168+1</f>
        <v>2</v>
      </c>
      <c r="D1169">
        <v>1</v>
      </c>
      <c r="E1169" t="str">
        <f>VLOOKUP(D1169,name!A:B,2,1)</f>
        <v>Navigator</v>
      </c>
      <c r="F1169" t="str">
        <f>"レッスン"&amp;B1169</f>
        <v>レッスン11</v>
      </c>
      <c r="G1169" t="str">
        <f t="shared" si="914"/>
        <v>a</v>
      </c>
      <c r="H1169" t="str">
        <f>VLOOKUP(D1169,name!A:C,3,1)</f>
        <v>assets/icons/image014.png</v>
      </c>
      <c r="I1169" t="s">
        <v>402</v>
      </c>
    </row>
    <row r="1170" spans="1:12" ht="40.5" x14ac:dyDescent="0.15">
      <c r="A1170" t="str">
        <f t="shared" si="965"/>
        <v>英語</v>
      </c>
      <c r="B1170">
        <f t="shared" si="965"/>
        <v>11</v>
      </c>
      <c r="C1170">
        <f t="shared" ref="C1170:C1233" si="966">C1169+1</f>
        <v>3</v>
      </c>
      <c r="D1170">
        <v>1</v>
      </c>
      <c r="E1170" t="str">
        <f>VLOOKUP(D1170,name!A:B,2,1)</f>
        <v>Navigator</v>
      </c>
      <c r="F1170" s="1" t="str">
        <f>"まずは対話文を流します。その後に、日本語と"&amp;A1170&amp;"を一文ずつ流すので"&amp;A1170&amp;"を真似して下さい。最後に日本語のみを流すので、"&amp;A1170&amp;"で答えてください。"</f>
        <v>まずは対話文を流します。その後に、日本語と英語を一文ずつ流すので英語を真似して下さい。最後に日本語のみを流すので、英語で答えてください。</v>
      </c>
      <c r="G1170" t="str">
        <f t="shared" si="914"/>
        <v>a</v>
      </c>
      <c r="H1170" t="str">
        <f>VLOOKUP(D1170,name!A:C,3,1)</f>
        <v>assets/icons/image014.png</v>
      </c>
      <c r="I1170" t="s">
        <v>402</v>
      </c>
      <c r="L1170" s="1"/>
    </row>
    <row r="1171" spans="1:12" x14ac:dyDescent="0.15">
      <c r="A1171" t="str">
        <f t="shared" si="965"/>
        <v>英語</v>
      </c>
      <c r="B1171">
        <f t="shared" si="965"/>
        <v>11</v>
      </c>
      <c r="C1171">
        <f t="shared" si="966"/>
        <v>4</v>
      </c>
      <c r="D1171">
        <f>D1172</f>
        <v>34</v>
      </c>
      <c r="E1171" t="str">
        <f>VLOOKUP(D1171,name!A:B,2,1)</f>
        <v>Prof. Owen</v>
      </c>
      <c r="F1171" t="s">
        <v>792</v>
      </c>
      <c r="G1171" t="str">
        <f t="shared" si="914"/>
        <v>a</v>
      </c>
      <c r="H1171" t="str">
        <f>VLOOKUP(D1171,name!A:C,3,1)</f>
        <v>assets/icons/image287.png</v>
      </c>
      <c r="I1171" t="s">
        <v>402</v>
      </c>
    </row>
    <row r="1172" spans="1:12" x14ac:dyDescent="0.15">
      <c r="A1172" t="str">
        <f t="shared" si="965"/>
        <v>英語</v>
      </c>
      <c r="B1172">
        <f t="shared" si="965"/>
        <v>11</v>
      </c>
      <c r="C1172">
        <f t="shared" si="966"/>
        <v>5</v>
      </c>
      <c r="D1172">
        <v>34</v>
      </c>
      <c r="E1172" t="str">
        <f>VLOOKUP(D1172,name!A:B,2,1)</f>
        <v>Prof. Owen</v>
      </c>
      <c r="F1172" t="s">
        <v>781</v>
      </c>
      <c r="G1172" t="str">
        <f t="shared" si="914"/>
        <v>a</v>
      </c>
      <c r="H1172" t="str">
        <f>VLOOKUP(D1172,name!A:C,3,1)</f>
        <v>assets/icons/image287.png</v>
      </c>
      <c r="I1172" t="str">
        <f>IF(A1172="","",VLOOKUP(A1172,lng!A:B,2,0))</f>
        <v>en-GB</v>
      </c>
    </row>
    <row r="1173" spans="1:12" x14ac:dyDescent="0.15">
      <c r="A1173" t="str">
        <f t="shared" si="965"/>
        <v>英語</v>
      </c>
      <c r="B1173">
        <f t="shared" si="965"/>
        <v>11</v>
      </c>
      <c r="C1173">
        <f t="shared" si="966"/>
        <v>6</v>
      </c>
      <c r="D1173">
        <f t="shared" ref="D1173:D1195" si="967">D1174</f>
        <v>29</v>
      </c>
      <c r="E1173" t="str">
        <f>VLOOKUP(D1173,name!A:B,2,1)</f>
        <v>Eri</v>
      </c>
      <c r="F1173" t="s">
        <v>793</v>
      </c>
      <c r="G1173" t="str">
        <f t="shared" si="914"/>
        <v>a</v>
      </c>
      <c r="H1173" t="str">
        <f>VLOOKUP(D1173,name!A:C,3,1)</f>
        <v>assets/icons/image209.png</v>
      </c>
      <c r="I1173" t="s">
        <v>402</v>
      </c>
    </row>
    <row r="1174" spans="1:12" x14ac:dyDescent="0.15">
      <c r="A1174" t="str">
        <f t="shared" si="965"/>
        <v>英語</v>
      </c>
      <c r="B1174">
        <f t="shared" si="965"/>
        <v>11</v>
      </c>
      <c r="C1174">
        <f t="shared" si="966"/>
        <v>7</v>
      </c>
      <c r="D1174">
        <v>29</v>
      </c>
      <c r="E1174" t="str">
        <f>VLOOKUP(D1174,name!A:B,2,1)</f>
        <v>Eri</v>
      </c>
      <c r="F1174" t="s">
        <v>548</v>
      </c>
      <c r="G1174" t="str">
        <f t="shared" si="914"/>
        <v>a</v>
      </c>
      <c r="H1174" t="str">
        <f>VLOOKUP(D1174,name!A:C,3,1)</f>
        <v>assets/icons/image209.png</v>
      </c>
      <c r="I1174" t="str">
        <f>IF(A1174="","",VLOOKUP(A1174,lng!A:B,2,0))</f>
        <v>en-GB</v>
      </c>
    </row>
    <row r="1175" spans="1:12" x14ac:dyDescent="0.15">
      <c r="A1175" t="str">
        <f t="shared" si="965"/>
        <v>英語</v>
      </c>
      <c r="B1175">
        <f t="shared" si="965"/>
        <v>11</v>
      </c>
      <c r="C1175">
        <f t="shared" si="966"/>
        <v>8</v>
      </c>
      <c r="D1175">
        <f t="shared" si="967"/>
        <v>29</v>
      </c>
      <c r="E1175" t="str">
        <f>VLOOKUP(D1175,name!A:B,2,1)</f>
        <v>Eri</v>
      </c>
      <c r="F1175" t="s">
        <v>794</v>
      </c>
      <c r="G1175" t="str">
        <f t="shared" si="914"/>
        <v>a</v>
      </c>
      <c r="H1175" t="str">
        <f>VLOOKUP(D1175,name!A:C,3,1)</f>
        <v>assets/icons/image209.png</v>
      </c>
      <c r="I1175" t="s">
        <v>402</v>
      </c>
    </row>
    <row r="1176" spans="1:12" x14ac:dyDescent="0.15">
      <c r="A1176" t="str">
        <f t="shared" si="965"/>
        <v>英語</v>
      </c>
      <c r="B1176">
        <f t="shared" si="965"/>
        <v>11</v>
      </c>
      <c r="C1176">
        <f t="shared" si="966"/>
        <v>9</v>
      </c>
      <c r="D1176">
        <v>29</v>
      </c>
      <c r="E1176" t="str">
        <f>VLOOKUP(D1176,name!A:B,2,1)</f>
        <v>Eri</v>
      </c>
      <c r="F1176" t="s">
        <v>782</v>
      </c>
      <c r="G1176" t="str">
        <f t="shared" si="914"/>
        <v>a</v>
      </c>
      <c r="H1176" t="str">
        <f>VLOOKUP(D1176,name!A:C,3,1)</f>
        <v>assets/icons/image209.png</v>
      </c>
      <c r="I1176" t="str">
        <f>IF(A1176="","",VLOOKUP(A1176,lng!A:B,2,0))</f>
        <v>en-GB</v>
      </c>
    </row>
    <row r="1177" spans="1:12" x14ac:dyDescent="0.15">
      <c r="A1177" t="str">
        <f t="shared" si="965"/>
        <v>英語</v>
      </c>
      <c r="B1177">
        <f t="shared" si="965"/>
        <v>11</v>
      </c>
      <c r="C1177">
        <f t="shared" si="966"/>
        <v>10</v>
      </c>
      <c r="D1177">
        <f t="shared" si="967"/>
        <v>34</v>
      </c>
      <c r="E1177" t="str">
        <f>VLOOKUP(D1177,name!A:B,2,1)</f>
        <v>Prof. Owen</v>
      </c>
      <c r="F1177" t="s">
        <v>795</v>
      </c>
      <c r="G1177" t="str">
        <f t="shared" si="914"/>
        <v>a</v>
      </c>
      <c r="H1177" t="str">
        <f>VLOOKUP(D1177,name!A:C,3,1)</f>
        <v>assets/icons/image287.png</v>
      </c>
      <c r="I1177" t="s">
        <v>402</v>
      </c>
    </row>
    <row r="1178" spans="1:12" x14ac:dyDescent="0.15">
      <c r="A1178" t="str">
        <f t="shared" si="965"/>
        <v>英語</v>
      </c>
      <c r="B1178">
        <f t="shared" si="965"/>
        <v>11</v>
      </c>
      <c r="C1178">
        <f t="shared" si="966"/>
        <v>11</v>
      </c>
      <c r="D1178">
        <f t="shared" si="967"/>
        <v>34</v>
      </c>
      <c r="E1178" t="str">
        <f>VLOOKUP(D1178,name!A:B,2,1)</f>
        <v>Prof. Owen</v>
      </c>
      <c r="F1178" t="s">
        <v>783</v>
      </c>
      <c r="G1178" t="str">
        <f t="shared" si="914"/>
        <v>a</v>
      </c>
      <c r="H1178" t="str">
        <f>VLOOKUP(D1178,name!A:C,3,1)</f>
        <v>assets/icons/image287.png</v>
      </c>
      <c r="I1178" t="str">
        <f>IF(A1178="","",VLOOKUP(A1178,lng!A:B,2,0))</f>
        <v>en-GB</v>
      </c>
    </row>
    <row r="1179" spans="1:12" x14ac:dyDescent="0.15">
      <c r="A1179" t="str">
        <f t="shared" si="965"/>
        <v>英語</v>
      </c>
      <c r="B1179">
        <f t="shared" si="965"/>
        <v>11</v>
      </c>
      <c r="C1179">
        <f t="shared" si="966"/>
        <v>12</v>
      </c>
      <c r="D1179">
        <f t="shared" si="967"/>
        <v>34</v>
      </c>
      <c r="E1179" t="str">
        <f>VLOOKUP(D1179,name!A:B,2,1)</f>
        <v>Prof. Owen</v>
      </c>
      <c r="F1179" t="s">
        <v>796</v>
      </c>
      <c r="G1179" t="str">
        <f t="shared" si="914"/>
        <v>a</v>
      </c>
      <c r="H1179" t="str">
        <f>VLOOKUP(D1179,name!A:C,3,1)</f>
        <v>assets/icons/image287.png</v>
      </c>
      <c r="I1179" t="s">
        <v>402</v>
      </c>
    </row>
    <row r="1180" spans="1:12" x14ac:dyDescent="0.15">
      <c r="A1180" t="str">
        <f t="shared" si="965"/>
        <v>英語</v>
      </c>
      <c r="B1180">
        <f t="shared" si="965"/>
        <v>11</v>
      </c>
      <c r="C1180">
        <f t="shared" si="966"/>
        <v>13</v>
      </c>
      <c r="D1180">
        <f t="shared" si="967"/>
        <v>34</v>
      </c>
      <c r="E1180" t="str">
        <f>VLOOKUP(D1180,name!A:B,2,1)</f>
        <v>Prof. Owen</v>
      </c>
      <c r="F1180" t="s">
        <v>784</v>
      </c>
      <c r="G1180" t="str">
        <f t="shared" si="914"/>
        <v>a</v>
      </c>
      <c r="H1180" t="str">
        <f>VLOOKUP(D1180,name!A:C,3,1)</f>
        <v>assets/icons/image287.png</v>
      </c>
      <c r="I1180" t="str">
        <f>IF(A1180="","",VLOOKUP(A1180,lng!A:B,2,0))</f>
        <v>en-GB</v>
      </c>
    </row>
    <row r="1181" spans="1:12" x14ac:dyDescent="0.15">
      <c r="A1181" t="str">
        <f t="shared" si="965"/>
        <v>英語</v>
      </c>
      <c r="B1181">
        <f t="shared" si="965"/>
        <v>11</v>
      </c>
      <c r="C1181">
        <f t="shared" si="966"/>
        <v>14</v>
      </c>
      <c r="D1181">
        <f t="shared" si="967"/>
        <v>34</v>
      </c>
      <c r="E1181" t="str">
        <f>VLOOKUP(D1181,name!A:B,2,1)</f>
        <v>Prof. Owen</v>
      </c>
      <c r="F1181" t="s">
        <v>797</v>
      </c>
      <c r="G1181" t="str">
        <f t="shared" si="914"/>
        <v>a</v>
      </c>
      <c r="H1181" t="str">
        <f>VLOOKUP(D1181,name!A:C,3,1)</f>
        <v>assets/icons/image287.png</v>
      </c>
      <c r="I1181" t="s">
        <v>402</v>
      </c>
    </row>
    <row r="1182" spans="1:12" x14ac:dyDescent="0.15">
      <c r="A1182" t="str">
        <f t="shared" si="965"/>
        <v>英語</v>
      </c>
      <c r="B1182">
        <f t="shared" si="965"/>
        <v>11</v>
      </c>
      <c r="C1182">
        <f t="shared" si="966"/>
        <v>15</v>
      </c>
      <c r="D1182">
        <f t="shared" si="967"/>
        <v>34</v>
      </c>
      <c r="E1182" t="str">
        <f>VLOOKUP(D1182,name!A:B,2,1)</f>
        <v>Prof. Owen</v>
      </c>
      <c r="F1182" t="s">
        <v>785</v>
      </c>
      <c r="G1182" t="str">
        <f t="shared" ref="G1182:G1245" si="968">IF(B1182&lt;&gt;B1183,"e",IF(D1182=0,"q","a"))</f>
        <v>a</v>
      </c>
      <c r="H1182" t="str">
        <f>VLOOKUP(D1182,name!A:C,3,1)</f>
        <v>assets/icons/image287.png</v>
      </c>
      <c r="I1182" t="str">
        <f>IF(A1182="","",VLOOKUP(A1182,lng!A:B,2,0))</f>
        <v>en-GB</v>
      </c>
    </row>
    <row r="1183" spans="1:12" x14ac:dyDescent="0.15">
      <c r="A1183" t="str">
        <f t="shared" si="965"/>
        <v>英語</v>
      </c>
      <c r="B1183">
        <f t="shared" si="965"/>
        <v>11</v>
      </c>
      <c r="C1183">
        <f t="shared" si="966"/>
        <v>16</v>
      </c>
      <c r="D1183">
        <f t="shared" si="967"/>
        <v>34</v>
      </c>
      <c r="E1183" t="str">
        <f>VLOOKUP(D1183,name!A:B,2,1)</f>
        <v>Prof. Owen</v>
      </c>
      <c r="F1183" t="s">
        <v>799</v>
      </c>
      <c r="G1183" t="str">
        <f t="shared" si="968"/>
        <v>a</v>
      </c>
      <c r="H1183" t="str">
        <f>VLOOKUP(D1183,name!A:C,3,1)</f>
        <v>assets/icons/image287.png</v>
      </c>
      <c r="I1183" t="s">
        <v>402</v>
      </c>
    </row>
    <row r="1184" spans="1:12" x14ac:dyDescent="0.15">
      <c r="A1184" t="str">
        <f t="shared" si="965"/>
        <v>英語</v>
      </c>
      <c r="B1184">
        <f t="shared" si="965"/>
        <v>11</v>
      </c>
      <c r="C1184">
        <f t="shared" si="966"/>
        <v>17</v>
      </c>
      <c r="D1184">
        <v>34</v>
      </c>
      <c r="E1184" t="str">
        <f>VLOOKUP(D1184,name!A:B,2,1)</f>
        <v>Prof. Owen</v>
      </c>
      <c r="F1184" t="s">
        <v>798</v>
      </c>
      <c r="G1184" t="str">
        <f t="shared" si="968"/>
        <v>a</v>
      </c>
      <c r="H1184" t="str">
        <f>VLOOKUP(D1184,name!A:C,3,1)</f>
        <v>assets/icons/image287.png</v>
      </c>
      <c r="I1184" t="str">
        <f>IF(A1184="","",VLOOKUP(A1184,lng!A:B,2,0))</f>
        <v>en-GB</v>
      </c>
    </row>
    <row r="1185" spans="1:9" x14ac:dyDescent="0.15">
      <c r="A1185" t="str">
        <f t="shared" ref="A1185:B1185" si="969">A1184</f>
        <v>英語</v>
      </c>
      <c r="B1185">
        <f t="shared" si="969"/>
        <v>11</v>
      </c>
      <c r="C1185">
        <f t="shared" si="966"/>
        <v>18</v>
      </c>
      <c r="D1185">
        <f t="shared" si="967"/>
        <v>34</v>
      </c>
      <c r="E1185" t="str">
        <f>VLOOKUP(D1185,name!A:B,2,1)</f>
        <v>Prof. Owen</v>
      </c>
      <c r="F1185" t="s">
        <v>800</v>
      </c>
      <c r="G1185" t="str">
        <f t="shared" si="968"/>
        <v>a</v>
      </c>
      <c r="H1185" t="str">
        <f>VLOOKUP(D1185,name!A:C,3,1)</f>
        <v>assets/icons/image287.png</v>
      </c>
      <c r="I1185" t="s">
        <v>402</v>
      </c>
    </row>
    <row r="1186" spans="1:9" x14ac:dyDescent="0.15">
      <c r="A1186" t="str">
        <f t="shared" ref="A1186:B1186" si="970">A1185</f>
        <v>英語</v>
      </c>
      <c r="B1186">
        <f t="shared" si="970"/>
        <v>11</v>
      </c>
      <c r="C1186">
        <f t="shared" si="966"/>
        <v>19</v>
      </c>
      <c r="D1186">
        <f t="shared" si="967"/>
        <v>34</v>
      </c>
      <c r="E1186" t="str">
        <f>VLOOKUP(D1186,name!A:B,2,1)</f>
        <v>Prof. Owen</v>
      </c>
      <c r="F1186" t="s">
        <v>786</v>
      </c>
      <c r="G1186" t="str">
        <f t="shared" si="968"/>
        <v>a</v>
      </c>
      <c r="H1186" t="str">
        <f>VLOOKUP(D1186,name!A:C,3,1)</f>
        <v>assets/icons/image287.png</v>
      </c>
      <c r="I1186" t="str">
        <f>IF(A1186="","",VLOOKUP(A1186,lng!A:B,2,0))</f>
        <v>en-GB</v>
      </c>
    </row>
    <row r="1187" spans="1:9" x14ac:dyDescent="0.15">
      <c r="A1187" t="str">
        <f t="shared" ref="A1187:B1187" si="971">A1186</f>
        <v>英語</v>
      </c>
      <c r="B1187">
        <f t="shared" si="971"/>
        <v>11</v>
      </c>
      <c r="C1187">
        <f t="shared" si="966"/>
        <v>20</v>
      </c>
      <c r="D1187">
        <f t="shared" si="967"/>
        <v>34</v>
      </c>
      <c r="E1187" t="str">
        <f>VLOOKUP(D1187,name!A:B,2,1)</f>
        <v>Prof. Owen</v>
      </c>
      <c r="F1187" t="s">
        <v>801</v>
      </c>
      <c r="G1187" t="str">
        <f t="shared" si="968"/>
        <v>a</v>
      </c>
      <c r="H1187" t="str">
        <f>VLOOKUP(D1187,name!A:C,3,1)</f>
        <v>assets/icons/image287.png</v>
      </c>
      <c r="I1187" t="s">
        <v>402</v>
      </c>
    </row>
    <row r="1188" spans="1:9" x14ac:dyDescent="0.15">
      <c r="A1188" t="str">
        <f t="shared" ref="A1188:B1188" si="972">A1187</f>
        <v>英語</v>
      </c>
      <c r="B1188">
        <f t="shared" si="972"/>
        <v>11</v>
      </c>
      <c r="C1188">
        <f t="shared" si="966"/>
        <v>21</v>
      </c>
      <c r="D1188">
        <v>34</v>
      </c>
      <c r="E1188" t="str">
        <f>VLOOKUP(D1188,name!A:B,2,1)</f>
        <v>Prof. Owen</v>
      </c>
      <c r="F1188" t="s">
        <v>787</v>
      </c>
      <c r="G1188" t="str">
        <f t="shared" si="968"/>
        <v>a</v>
      </c>
      <c r="H1188" t="str">
        <f>VLOOKUP(D1188,name!A:C,3,1)</f>
        <v>assets/icons/image287.png</v>
      </c>
      <c r="I1188" t="str">
        <f>IF(A1188="","",VLOOKUP(A1188,lng!A:B,2,0))</f>
        <v>en-GB</v>
      </c>
    </row>
    <row r="1189" spans="1:9" x14ac:dyDescent="0.15">
      <c r="A1189" t="str">
        <f t="shared" ref="A1189:B1189" si="973">A1188</f>
        <v>英語</v>
      </c>
      <c r="B1189">
        <f t="shared" si="973"/>
        <v>11</v>
      </c>
      <c r="C1189">
        <f t="shared" si="966"/>
        <v>22</v>
      </c>
      <c r="D1189">
        <f t="shared" si="967"/>
        <v>29</v>
      </c>
      <c r="E1189" t="str">
        <f>VLOOKUP(D1189,name!A:B,2,1)</f>
        <v>Eri</v>
      </c>
      <c r="F1189" t="s">
        <v>802</v>
      </c>
      <c r="G1189" t="str">
        <f t="shared" si="968"/>
        <v>a</v>
      </c>
      <c r="H1189" t="str">
        <f>VLOOKUP(D1189,name!A:C,3,1)</f>
        <v>assets/icons/image209.png</v>
      </c>
      <c r="I1189" t="s">
        <v>402</v>
      </c>
    </row>
    <row r="1190" spans="1:9" x14ac:dyDescent="0.15">
      <c r="A1190" t="str">
        <f t="shared" ref="A1190:B1190" si="974">A1189</f>
        <v>英語</v>
      </c>
      <c r="B1190">
        <f t="shared" si="974"/>
        <v>11</v>
      </c>
      <c r="C1190">
        <f t="shared" si="966"/>
        <v>23</v>
      </c>
      <c r="D1190">
        <f t="shared" si="967"/>
        <v>29</v>
      </c>
      <c r="E1190" t="str">
        <f>VLOOKUP(D1190,name!A:B,2,1)</f>
        <v>Eri</v>
      </c>
      <c r="F1190" t="s">
        <v>788</v>
      </c>
      <c r="G1190" t="str">
        <f t="shared" si="968"/>
        <v>a</v>
      </c>
      <c r="H1190" t="str">
        <f>VLOOKUP(D1190,name!A:C,3,1)</f>
        <v>assets/icons/image209.png</v>
      </c>
      <c r="I1190" t="str">
        <f>IF(A1190="","",VLOOKUP(A1190,lng!A:B,2,0))</f>
        <v>en-GB</v>
      </c>
    </row>
    <row r="1191" spans="1:9" x14ac:dyDescent="0.15">
      <c r="A1191" t="str">
        <f t="shared" ref="A1191:B1191" si="975">A1190</f>
        <v>英語</v>
      </c>
      <c r="B1191">
        <f t="shared" si="975"/>
        <v>11</v>
      </c>
      <c r="C1191">
        <f t="shared" si="966"/>
        <v>24</v>
      </c>
      <c r="D1191">
        <f t="shared" si="967"/>
        <v>29</v>
      </c>
      <c r="E1191" t="str">
        <f>VLOOKUP(D1191,name!A:B,2,1)</f>
        <v>Eri</v>
      </c>
      <c r="F1191" t="s">
        <v>803</v>
      </c>
      <c r="G1191" t="str">
        <f t="shared" si="968"/>
        <v>a</v>
      </c>
      <c r="H1191" t="str">
        <f>VLOOKUP(D1191,name!A:C,3,1)</f>
        <v>assets/icons/image209.png</v>
      </c>
      <c r="I1191" t="s">
        <v>402</v>
      </c>
    </row>
    <row r="1192" spans="1:9" x14ac:dyDescent="0.15">
      <c r="A1192" t="str">
        <f t="shared" ref="A1192:B1192" si="976">A1191</f>
        <v>英語</v>
      </c>
      <c r="B1192">
        <f t="shared" si="976"/>
        <v>11</v>
      </c>
      <c r="C1192">
        <f t="shared" si="966"/>
        <v>25</v>
      </c>
      <c r="D1192">
        <v>29</v>
      </c>
      <c r="E1192" t="str">
        <f>VLOOKUP(D1192,name!A:B,2,1)</f>
        <v>Eri</v>
      </c>
      <c r="F1192" t="s">
        <v>789</v>
      </c>
      <c r="G1192" t="str">
        <f t="shared" si="968"/>
        <v>a</v>
      </c>
      <c r="H1192" t="str">
        <f>VLOOKUP(D1192,name!A:C,3,1)</f>
        <v>assets/icons/image209.png</v>
      </c>
      <c r="I1192" t="str">
        <f>IF(A1192="","",VLOOKUP(A1192,lng!A:B,2,0))</f>
        <v>en-GB</v>
      </c>
    </row>
    <row r="1193" spans="1:9" x14ac:dyDescent="0.15">
      <c r="A1193" t="str">
        <f t="shared" ref="A1193:B1193" si="977">A1192</f>
        <v>英語</v>
      </c>
      <c r="B1193">
        <f t="shared" si="977"/>
        <v>11</v>
      </c>
      <c r="C1193">
        <f t="shared" si="966"/>
        <v>26</v>
      </c>
      <c r="D1193">
        <f t="shared" si="967"/>
        <v>34</v>
      </c>
      <c r="E1193" t="str">
        <f>VLOOKUP(D1193,name!A:B,2,1)</f>
        <v>Prof. Owen</v>
      </c>
      <c r="F1193" t="s">
        <v>804</v>
      </c>
      <c r="G1193" t="str">
        <f t="shared" si="968"/>
        <v>a</v>
      </c>
      <c r="H1193" t="str">
        <f>VLOOKUP(D1193,name!A:C,3,1)</f>
        <v>assets/icons/image287.png</v>
      </c>
      <c r="I1193" t="s">
        <v>402</v>
      </c>
    </row>
    <row r="1194" spans="1:9" x14ac:dyDescent="0.15">
      <c r="A1194" t="str">
        <f t="shared" ref="A1194:B1194" si="978">A1193</f>
        <v>英語</v>
      </c>
      <c r="B1194">
        <f t="shared" si="978"/>
        <v>11</v>
      </c>
      <c r="C1194">
        <f t="shared" si="966"/>
        <v>27</v>
      </c>
      <c r="D1194">
        <f t="shared" si="967"/>
        <v>34</v>
      </c>
      <c r="E1194" t="str">
        <f>VLOOKUP(D1194,name!A:B,2,1)</f>
        <v>Prof. Owen</v>
      </c>
      <c r="F1194" t="s">
        <v>790</v>
      </c>
      <c r="G1194" t="str">
        <f t="shared" si="968"/>
        <v>a</v>
      </c>
      <c r="H1194" t="str">
        <f>VLOOKUP(D1194,name!A:C,3,1)</f>
        <v>assets/icons/image287.png</v>
      </c>
      <c r="I1194" t="str">
        <f>IF(A1194="","",VLOOKUP(A1194,lng!A:B,2,0))</f>
        <v>en-GB</v>
      </c>
    </row>
    <row r="1195" spans="1:9" x14ac:dyDescent="0.15">
      <c r="A1195" t="str">
        <f t="shared" ref="A1195:B1195" si="979">A1194</f>
        <v>英語</v>
      </c>
      <c r="B1195">
        <f t="shared" si="979"/>
        <v>11</v>
      </c>
      <c r="C1195">
        <f t="shared" si="966"/>
        <v>28</v>
      </c>
      <c r="D1195">
        <f t="shared" si="967"/>
        <v>34</v>
      </c>
      <c r="E1195" t="str">
        <f>VLOOKUP(D1195,name!A:B,2,1)</f>
        <v>Prof. Owen</v>
      </c>
      <c r="F1195" t="s">
        <v>805</v>
      </c>
      <c r="G1195" t="str">
        <f t="shared" si="968"/>
        <v>a</v>
      </c>
      <c r="H1195" t="str">
        <f>VLOOKUP(D1195,name!A:C,3,1)</f>
        <v>assets/icons/image287.png</v>
      </c>
      <c r="I1195" t="s">
        <v>402</v>
      </c>
    </row>
    <row r="1196" spans="1:9" x14ac:dyDescent="0.15">
      <c r="A1196" t="str">
        <f t="shared" ref="A1196:B1196" si="980">A1195</f>
        <v>英語</v>
      </c>
      <c r="B1196">
        <f t="shared" si="980"/>
        <v>11</v>
      </c>
      <c r="C1196">
        <f t="shared" si="966"/>
        <v>29</v>
      </c>
      <c r="D1196">
        <v>34</v>
      </c>
      <c r="E1196" t="str">
        <f>VLOOKUP(D1196,name!A:B,2,1)</f>
        <v>Prof. Owen</v>
      </c>
      <c r="F1196" t="s">
        <v>791</v>
      </c>
      <c r="G1196" t="str">
        <f t="shared" si="968"/>
        <v>a</v>
      </c>
      <c r="H1196" t="str">
        <f>VLOOKUP(D1196,name!A:C,3,1)</f>
        <v>assets/icons/image287.png</v>
      </c>
      <c r="I1196" t="str">
        <f>IF(A1196="","",VLOOKUP(A1196,lng!A:B,2,0))</f>
        <v>en-GB</v>
      </c>
    </row>
    <row r="1197" spans="1:9" x14ac:dyDescent="0.15">
      <c r="A1197" t="str">
        <f t="shared" ref="A1197:B1197" si="981">A1196</f>
        <v>英語</v>
      </c>
      <c r="B1197">
        <f t="shared" si="981"/>
        <v>11</v>
      </c>
      <c r="C1197">
        <f t="shared" si="966"/>
        <v>30</v>
      </c>
      <c r="D1197">
        <v>1</v>
      </c>
      <c r="E1197" t="str">
        <f>VLOOKUP(D1197,name!A:B,2,1)</f>
        <v>Navigator</v>
      </c>
      <c r="F1197" t="str">
        <f>"次の"&amp;A1197&amp;"を真似してね！"</f>
        <v>次の英語を真似してね！</v>
      </c>
      <c r="G1197" t="str">
        <f t="shared" si="968"/>
        <v>a</v>
      </c>
      <c r="H1197" t="str">
        <f>VLOOKUP(D1197,name!A:C,3,1)</f>
        <v>assets/icons/image014.png</v>
      </c>
      <c r="I1197" t="s">
        <v>402</v>
      </c>
    </row>
    <row r="1198" spans="1:9" x14ac:dyDescent="0.15">
      <c r="A1198" t="str">
        <f t="shared" ref="A1198:B1198" si="982">A1197</f>
        <v>英語</v>
      </c>
      <c r="B1198">
        <f t="shared" si="982"/>
        <v>11</v>
      </c>
      <c r="C1198">
        <f t="shared" si="966"/>
        <v>31</v>
      </c>
      <c r="D1198">
        <f>D1171</f>
        <v>34</v>
      </c>
      <c r="E1198" t="str">
        <f>VLOOKUP(D1198,name!A:B,2,1)</f>
        <v>Prof. Owen</v>
      </c>
      <c r="F1198" t="str">
        <f>F1171</f>
        <v>えりさん、急に来てくれてありがとう。</v>
      </c>
      <c r="G1198" t="str">
        <f t="shared" si="968"/>
        <v>a</v>
      </c>
      <c r="H1198" t="str">
        <f>VLOOKUP(D1198,name!A:C,3,1)</f>
        <v>assets/icons/image287.png</v>
      </c>
      <c r="I1198" t="s">
        <v>402</v>
      </c>
    </row>
    <row r="1199" spans="1:9" x14ac:dyDescent="0.15">
      <c r="A1199" t="str">
        <f t="shared" ref="A1199:B1199" si="983">A1198</f>
        <v>英語</v>
      </c>
      <c r="B1199">
        <f t="shared" si="983"/>
        <v>11</v>
      </c>
      <c r="C1199">
        <f t="shared" si="966"/>
        <v>32</v>
      </c>
      <c r="D1199">
        <f>D1172</f>
        <v>34</v>
      </c>
      <c r="E1199" t="str">
        <f>VLOOKUP(D1199,name!A:B,2,1)</f>
        <v>Prof. Owen</v>
      </c>
      <c r="F1199" t="str">
        <f>F1172</f>
        <v>Thanks for coming at such short notice, Eri.</v>
      </c>
      <c r="G1199" t="str">
        <f t="shared" si="968"/>
        <v>a</v>
      </c>
      <c r="H1199" t="str">
        <f>VLOOKUP(D1199,name!A:C,3,1)</f>
        <v>assets/icons/image287.png</v>
      </c>
      <c r="I1199" t="str">
        <f>IF(A1199="","",VLOOKUP(A1199,lng!A:B,2,0))</f>
        <v>en-GB</v>
      </c>
    </row>
    <row r="1200" spans="1:9" x14ac:dyDescent="0.15">
      <c r="A1200" t="str">
        <f t="shared" ref="A1200:B1200" si="984">A1199</f>
        <v>英語</v>
      </c>
      <c r="B1200">
        <f t="shared" si="984"/>
        <v>11</v>
      </c>
      <c r="C1200">
        <f t="shared" si="966"/>
        <v>33</v>
      </c>
      <c r="D1200">
        <v>0</v>
      </c>
      <c r="E1200" t="str">
        <f>VLOOKUP(D1200,name!A:B,2,1)</f>
        <v>Player</v>
      </c>
      <c r="F1200" t="str">
        <f>F1172</f>
        <v>Thanks for coming at such short notice, Eri.</v>
      </c>
      <c r="G1200" t="str">
        <f t="shared" si="968"/>
        <v>q</v>
      </c>
      <c r="H1200" t="str">
        <f>VLOOKUP(D1200,name!A:C,3,1)</f>
        <v>assets/icons/image326.png</v>
      </c>
      <c r="I1200" t="str">
        <f>IF(A1200="","",VLOOKUP(A1200,lng!A:B,2,0))</f>
        <v>en-GB</v>
      </c>
    </row>
    <row r="1201" spans="1:9" x14ac:dyDescent="0.15">
      <c r="A1201" t="str">
        <f t="shared" ref="A1201:B1201" si="985">A1200</f>
        <v>英語</v>
      </c>
      <c r="B1201">
        <f t="shared" si="985"/>
        <v>11</v>
      </c>
      <c r="C1201">
        <f t="shared" si="966"/>
        <v>34</v>
      </c>
      <c r="D1201">
        <f>D1173</f>
        <v>29</v>
      </c>
      <c r="E1201" t="str">
        <f>VLOOKUP(D1201,name!A:B,2,1)</f>
        <v>Eri</v>
      </c>
      <c r="F1201" t="str">
        <f>F1173</f>
        <v>どういたしまして。</v>
      </c>
      <c r="G1201" t="str">
        <f t="shared" si="968"/>
        <v>a</v>
      </c>
      <c r="H1201" t="str">
        <f>VLOOKUP(D1201,name!A:C,3,1)</f>
        <v>assets/icons/image209.png</v>
      </c>
      <c r="I1201" t="s">
        <v>402</v>
      </c>
    </row>
    <row r="1202" spans="1:9" x14ac:dyDescent="0.15">
      <c r="A1202" t="str">
        <f t="shared" ref="A1202:B1202" si="986">A1201</f>
        <v>英語</v>
      </c>
      <c r="B1202">
        <f t="shared" si="986"/>
        <v>11</v>
      </c>
      <c r="C1202">
        <f t="shared" si="966"/>
        <v>35</v>
      </c>
      <c r="D1202">
        <f>D1174</f>
        <v>29</v>
      </c>
      <c r="E1202" t="str">
        <f>VLOOKUP(D1202,name!A:B,2,1)</f>
        <v>Eri</v>
      </c>
      <c r="F1202" t="str">
        <f>F1174</f>
        <v>Not at all.</v>
      </c>
      <c r="G1202" t="str">
        <f t="shared" si="968"/>
        <v>a</v>
      </c>
      <c r="H1202" t="str">
        <f>VLOOKUP(D1202,name!A:C,3,1)</f>
        <v>assets/icons/image209.png</v>
      </c>
      <c r="I1202" t="str">
        <f>IF(A1202="","",VLOOKUP(A1202,lng!A:B,2,0))</f>
        <v>en-GB</v>
      </c>
    </row>
    <row r="1203" spans="1:9" x14ac:dyDescent="0.15">
      <c r="A1203" t="str">
        <f t="shared" ref="A1203:B1203" si="987">A1202</f>
        <v>英語</v>
      </c>
      <c r="B1203">
        <f t="shared" si="987"/>
        <v>11</v>
      </c>
      <c r="C1203">
        <f t="shared" si="966"/>
        <v>36</v>
      </c>
      <c r="D1203">
        <v>0</v>
      </c>
      <c r="E1203" t="str">
        <f>VLOOKUP(D1203,name!A:B,2,1)</f>
        <v>Player</v>
      </c>
      <c r="F1203" t="str">
        <f>F1174</f>
        <v>Not at all.</v>
      </c>
      <c r="G1203" t="str">
        <f t="shared" si="968"/>
        <v>q</v>
      </c>
      <c r="H1203" t="str">
        <f>VLOOKUP(D1203,name!A:C,3,1)</f>
        <v>assets/icons/image326.png</v>
      </c>
      <c r="I1203" t="str">
        <f>IF(A1203="","",VLOOKUP(A1203,lng!A:B,2,0))</f>
        <v>en-GB</v>
      </c>
    </row>
    <row r="1204" spans="1:9" x14ac:dyDescent="0.15">
      <c r="A1204" t="str">
        <f t="shared" ref="A1204:B1204" si="988">A1203</f>
        <v>英語</v>
      </c>
      <c r="B1204">
        <f t="shared" si="988"/>
        <v>11</v>
      </c>
      <c r="C1204">
        <f t="shared" si="966"/>
        <v>37</v>
      </c>
      <c r="D1204">
        <f>D1175</f>
        <v>29</v>
      </c>
      <c r="E1204" t="str">
        <f>VLOOKUP(D1204,name!A:B,2,1)</f>
        <v>Eri</v>
      </c>
      <c r="F1204" t="str">
        <f>F1175</f>
        <v>しかられないといいんですけど。</v>
      </c>
      <c r="G1204" t="str">
        <f t="shared" si="968"/>
        <v>a</v>
      </c>
      <c r="H1204" t="str">
        <f>VLOOKUP(D1204,name!A:C,3,1)</f>
        <v>assets/icons/image209.png</v>
      </c>
      <c r="I1204" t="s">
        <v>402</v>
      </c>
    </row>
    <row r="1205" spans="1:9" x14ac:dyDescent="0.15">
      <c r="A1205" t="str">
        <f t="shared" ref="A1205:B1205" si="989">A1204</f>
        <v>英語</v>
      </c>
      <c r="B1205">
        <f t="shared" si="989"/>
        <v>11</v>
      </c>
      <c r="C1205">
        <f t="shared" si="966"/>
        <v>38</v>
      </c>
      <c r="D1205">
        <f>D1176</f>
        <v>29</v>
      </c>
      <c r="E1205" t="str">
        <f>VLOOKUP(D1205,name!A:B,2,1)</f>
        <v>Eri</v>
      </c>
      <c r="F1205" t="str">
        <f>F1176</f>
        <v>I hope I'm not in trouble.</v>
      </c>
      <c r="G1205" t="str">
        <f t="shared" si="968"/>
        <v>a</v>
      </c>
      <c r="H1205" t="str">
        <f>VLOOKUP(D1205,name!A:C,3,1)</f>
        <v>assets/icons/image209.png</v>
      </c>
      <c r="I1205" t="str">
        <f>IF(A1205="","",VLOOKUP(A1205,lng!A:B,2,0))</f>
        <v>en-GB</v>
      </c>
    </row>
    <row r="1206" spans="1:9" x14ac:dyDescent="0.15">
      <c r="A1206" t="str">
        <f t="shared" ref="A1206:B1206" si="990">A1205</f>
        <v>英語</v>
      </c>
      <c r="B1206">
        <f t="shared" si="990"/>
        <v>11</v>
      </c>
      <c r="C1206">
        <f t="shared" si="966"/>
        <v>39</v>
      </c>
      <c r="D1206">
        <v>0</v>
      </c>
      <c r="E1206" t="str">
        <f>VLOOKUP(D1206,name!A:B,2,1)</f>
        <v>Player</v>
      </c>
      <c r="F1206" t="str">
        <f>F1176</f>
        <v>I hope I'm not in trouble.</v>
      </c>
      <c r="G1206" t="str">
        <f t="shared" si="968"/>
        <v>q</v>
      </c>
      <c r="H1206" t="str">
        <f>VLOOKUP(D1206,name!A:C,3,1)</f>
        <v>assets/icons/image326.png</v>
      </c>
      <c r="I1206" t="str">
        <f>IF(A1206="","",VLOOKUP(A1206,lng!A:B,2,0))</f>
        <v>en-GB</v>
      </c>
    </row>
    <row r="1207" spans="1:9" x14ac:dyDescent="0.15">
      <c r="A1207" t="str">
        <f t="shared" ref="A1207:B1207" si="991">A1206</f>
        <v>英語</v>
      </c>
      <c r="B1207">
        <f t="shared" si="991"/>
        <v>11</v>
      </c>
      <c r="C1207">
        <f t="shared" si="966"/>
        <v>40</v>
      </c>
      <c r="D1207">
        <f>D1177</f>
        <v>34</v>
      </c>
      <c r="E1207" t="str">
        <f>VLOOKUP(D1207,name!A:B,2,1)</f>
        <v>Prof. Owen</v>
      </c>
      <c r="F1207" t="str">
        <f>F1177</f>
        <v>いやいや。</v>
      </c>
      <c r="G1207" t="str">
        <f t="shared" si="968"/>
        <v>a</v>
      </c>
      <c r="H1207" t="str">
        <f>VLOOKUP(D1207,name!A:C,3,1)</f>
        <v>assets/icons/image287.png</v>
      </c>
      <c r="I1207" t="s">
        <v>402</v>
      </c>
    </row>
    <row r="1208" spans="1:9" x14ac:dyDescent="0.15">
      <c r="A1208" t="str">
        <f t="shared" ref="A1208:B1208" si="992">A1207</f>
        <v>英語</v>
      </c>
      <c r="B1208">
        <f t="shared" si="992"/>
        <v>11</v>
      </c>
      <c r="C1208">
        <f t="shared" si="966"/>
        <v>41</v>
      </c>
      <c r="D1208">
        <f>D1178</f>
        <v>34</v>
      </c>
      <c r="E1208" t="str">
        <f>VLOOKUP(D1208,name!A:B,2,1)</f>
        <v>Prof. Owen</v>
      </c>
      <c r="F1208" t="str">
        <f>F1178</f>
        <v>No, no.</v>
      </c>
      <c r="G1208" t="str">
        <f t="shared" si="968"/>
        <v>a</v>
      </c>
      <c r="H1208" t="str">
        <f>VLOOKUP(D1208,name!A:C,3,1)</f>
        <v>assets/icons/image287.png</v>
      </c>
      <c r="I1208" t="str">
        <f>IF(A1208="","",VLOOKUP(A1208,lng!A:B,2,0))</f>
        <v>en-GB</v>
      </c>
    </row>
    <row r="1209" spans="1:9" x14ac:dyDescent="0.15">
      <c r="A1209" t="str">
        <f t="shared" ref="A1209:B1209" si="993">A1208</f>
        <v>英語</v>
      </c>
      <c r="B1209">
        <f t="shared" si="993"/>
        <v>11</v>
      </c>
      <c r="C1209">
        <f t="shared" si="966"/>
        <v>42</v>
      </c>
      <c r="D1209">
        <v>0</v>
      </c>
      <c r="E1209" t="str">
        <f>VLOOKUP(D1209,name!A:B,2,1)</f>
        <v>Player</v>
      </c>
      <c r="F1209" t="str">
        <f>F1178</f>
        <v>No, no.</v>
      </c>
      <c r="G1209" t="str">
        <f t="shared" si="968"/>
        <v>q</v>
      </c>
      <c r="H1209" t="str">
        <f>VLOOKUP(D1209,name!A:C,3,1)</f>
        <v>assets/icons/image326.png</v>
      </c>
      <c r="I1209" t="str">
        <f>IF(A1209="","",VLOOKUP(A1209,lng!A:B,2,0))</f>
        <v>en-GB</v>
      </c>
    </row>
    <row r="1210" spans="1:9" x14ac:dyDescent="0.15">
      <c r="A1210" t="str">
        <f t="shared" ref="A1210:B1210" si="994">A1209</f>
        <v>英語</v>
      </c>
      <c r="B1210">
        <f t="shared" si="994"/>
        <v>11</v>
      </c>
      <c r="C1210">
        <f t="shared" si="966"/>
        <v>43</v>
      </c>
      <c r="D1210">
        <f>D1179</f>
        <v>34</v>
      </c>
      <c r="E1210" t="str">
        <f>VLOOKUP(D1210,name!A:B,2,1)</f>
        <v>Prof. Owen</v>
      </c>
      <c r="F1210" t="str">
        <f>F1179</f>
        <v>最終レポートでケルト研究に焦点を当てたいとのことですが、</v>
      </c>
      <c r="G1210" t="str">
        <f t="shared" si="968"/>
        <v>a</v>
      </c>
      <c r="H1210" t="str">
        <f>VLOOKUP(D1210,name!A:C,3,1)</f>
        <v>assets/icons/image287.png</v>
      </c>
      <c r="I1210" t="s">
        <v>402</v>
      </c>
    </row>
    <row r="1211" spans="1:9" x14ac:dyDescent="0.15">
      <c r="A1211" t="str">
        <f t="shared" ref="A1211:B1211" si="995">A1210</f>
        <v>英語</v>
      </c>
      <c r="B1211">
        <f t="shared" si="995"/>
        <v>11</v>
      </c>
      <c r="C1211">
        <f t="shared" si="966"/>
        <v>44</v>
      </c>
      <c r="D1211">
        <f>D1180</f>
        <v>34</v>
      </c>
      <c r="E1211" t="str">
        <f>VLOOKUP(D1211,name!A:B,2,1)</f>
        <v>Prof. Owen</v>
      </c>
      <c r="F1211" t="str">
        <f>F1180</f>
        <v xml:space="preserve"> I understand you want to focus on Celtic studies in your final report,</v>
      </c>
      <c r="G1211" t="str">
        <f t="shared" si="968"/>
        <v>a</v>
      </c>
      <c r="H1211" t="str">
        <f>VLOOKUP(D1211,name!A:C,3,1)</f>
        <v>assets/icons/image287.png</v>
      </c>
      <c r="I1211" t="str">
        <f>IF(A1211="","",VLOOKUP(A1211,lng!A:B,2,0))</f>
        <v>en-GB</v>
      </c>
    </row>
    <row r="1212" spans="1:9" x14ac:dyDescent="0.15">
      <c r="A1212" t="str">
        <f t="shared" ref="A1212:B1212" si="996">A1211</f>
        <v>英語</v>
      </c>
      <c r="B1212">
        <f t="shared" si="996"/>
        <v>11</v>
      </c>
      <c r="C1212">
        <f t="shared" si="966"/>
        <v>45</v>
      </c>
      <c r="D1212">
        <v>0</v>
      </c>
      <c r="E1212" t="str">
        <f>VLOOKUP(D1212,name!A:B,2,1)</f>
        <v>Player</v>
      </c>
      <c r="F1212" t="str">
        <f>F1180</f>
        <v xml:space="preserve"> I understand you want to focus on Celtic studies in your final report,</v>
      </c>
      <c r="G1212" t="str">
        <f t="shared" si="968"/>
        <v>q</v>
      </c>
      <c r="H1212" t="str">
        <f>VLOOKUP(D1212,name!A:C,3,1)</f>
        <v>assets/icons/image326.png</v>
      </c>
      <c r="I1212" t="str">
        <f>IF(A1212="","",VLOOKUP(A1212,lng!A:B,2,0))</f>
        <v>en-GB</v>
      </c>
    </row>
    <row r="1213" spans="1:9" x14ac:dyDescent="0.15">
      <c r="A1213" t="str">
        <f t="shared" ref="A1213:B1213" si="997">A1212</f>
        <v>英語</v>
      </c>
      <c r="B1213">
        <f t="shared" si="997"/>
        <v>11</v>
      </c>
      <c r="C1213">
        <f t="shared" si="966"/>
        <v>46</v>
      </c>
      <c r="D1213">
        <f>D1181</f>
        <v>34</v>
      </c>
      <c r="E1213" t="str">
        <f>VLOOKUP(D1213,name!A:B,2,1)</f>
        <v>Prof. Owen</v>
      </c>
      <c r="F1213" t="str">
        <f>F1181</f>
        <v xml:space="preserve">ということだね。 来週ウェールズ大学のグレガノーグ・ホールで非常に役に立ちそうな学会があります。 </v>
      </c>
      <c r="G1213" t="str">
        <f t="shared" si="968"/>
        <v>a</v>
      </c>
      <c r="H1213" t="str">
        <f>VLOOKUP(D1213,name!A:C,3,1)</f>
        <v>assets/icons/image287.png</v>
      </c>
      <c r="I1213" t="s">
        <v>402</v>
      </c>
    </row>
    <row r="1214" spans="1:9" x14ac:dyDescent="0.15">
      <c r="A1214" t="str">
        <f t="shared" ref="A1214:B1214" si="998">A1213</f>
        <v>英語</v>
      </c>
      <c r="B1214">
        <f t="shared" si="998"/>
        <v>11</v>
      </c>
      <c r="C1214">
        <f t="shared" si="966"/>
        <v>47</v>
      </c>
      <c r="D1214">
        <f>D1182</f>
        <v>34</v>
      </c>
      <c r="E1214" t="str">
        <f>VLOOKUP(D1214,name!A:B,2,1)</f>
        <v>Prof. Owen</v>
      </c>
      <c r="F1214" t="str">
        <f>F1182</f>
        <v>and there's a very useful conference on next week at the University of Wales' Gregynog Hall,</v>
      </c>
      <c r="G1214" t="str">
        <f t="shared" si="968"/>
        <v>a</v>
      </c>
      <c r="H1214" t="str">
        <f>VLOOKUP(D1214,name!A:C,3,1)</f>
        <v>assets/icons/image287.png</v>
      </c>
      <c r="I1214" t="str">
        <f>IF(A1214="","",VLOOKUP(A1214,lng!A:B,2,0))</f>
        <v>en-GB</v>
      </c>
    </row>
    <row r="1215" spans="1:9" x14ac:dyDescent="0.15">
      <c r="A1215" t="str">
        <f t="shared" ref="A1215:B1215" si="999">A1214</f>
        <v>英語</v>
      </c>
      <c r="B1215">
        <f t="shared" si="999"/>
        <v>11</v>
      </c>
      <c r="C1215">
        <f t="shared" si="966"/>
        <v>48</v>
      </c>
      <c r="D1215">
        <v>0</v>
      </c>
      <c r="E1215" t="str">
        <f>VLOOKUP(D1215,name!A:B,2,1)</f>
        <v>Player</v>
      </c>
      <c r="F1215" t="str">
        <f>F1182</f>
        <v>and there's a very useful conference on next week at the University of Wales' Gregynog Hall,</v>
      </c>
      <c r="G1215" t="str">
        <f t="shared" si="968"/>
        <v>q</v>
      </c>
      <c r="H1215" t="str">
        <f>VLOOKUP(D1215,name!A:C,3,1)</f>
        <v>assets/icons/image326.png</v>
      </c>
      <c r="I1215" t="str">
        <f>IF(A1215="","",VLOOKUP(A1215,lng!A:B,2,0))</f>
        <v>en-GB</v>
      </c>
    </row>
    <row r="1216" spans="1:9" x14ac:dyDescent="0.15">
      <c r="A1216" t="str">
        <f t="shared" ref="A1216:B1216" si="1000">A1215</f>
        <v>英語</v>
      </c>
      <c r="B1216">
        <f t="shared" si="1000"/>
        <v>11</v>
      </c>
      <c r="C1216">
        <f t="shared" si="966"/>
        <v>49</v>
      </c>
      <c r="D1216">
        <f>D1183</f>
        <v>34</v>
      </c>
      <c r="E1216" t="str">
        <f>VLOOKUP(D1216,name!A:B,2,1)</f>
        <v>Prof. Owen</v>
      </c>
      <c r="F1216" t="str">
        <f>F1183</f>
        <v>すぐ隣にあるスノードニア国立公園への小旅行付き。</v>
      </c>
      <c r="G1216" t="str">
        <f t="shared" si="968"/>
        <v>a</v>
      </c>
      <c r="H1216" t="str">
        <f>VLOOKUP(D1216,name!A:C,3,1)</f>
        <v>assets/icons/image287.png</v>
      </c>
      <c r="I1216" t="s">
        <v>402</v>
      </c>
    </row>
    <row r="1217" spans="1:9" x14ac:dyDescent="0.15">
      <c r="A1217" t="str">
        <f t="shared" ref="A1217:B1217" si="1001">A1216</f>
        <v>英語</v>
      </c>
      <c r="B1217">
        <f t="shared" si="1001"/>
        <v>11</v>
      </c>
      <c r="C1217">
        <f t="shared" si="966"/>
        <v>50</v>
      </c>
      <c r="D1217">
        <f>D1184</f>
        <v>34</v>
      </c>
      <c r="E1217" t="str">
        <f>VLOOKUP(D1217,name!A:B,2,1)</f>
        <v>Prof. Owen</v>
      </c>
      <c r="F1217" t="str">
        <f>F1184</f>
        <v>with an excursion to Snowdonia National Park, which is just next door.</v>
      </c>
      <c r="G1217" t="str">
        <f t="shared" si="968"/>
        <v>a</v>
      </c>
      <c r="H1217" t="str">
        <f>VLOOKUP(D1217,name!A:C,3,1)</f>
        <v>assets/icons/image287.png</v>
      </c>
      <c r="I1217" t="str">
        <f>IF(A1217="","",VLOOKUP(A1217,lng!A:B,2,0))</f>
        <v>en-GB</v>
      </c>
    </row>
    <row r="1218" spans="1:9" x14ac:dyDescent="0.15">
      <c r="A1218" t="str">
        <f t="shared" ref="A1218:B1218" si="1002">A1217</f>
        <v>英語</v>
      </c>
      <c r="B1218">
        <f t="shared" si="1002"/>
        <v>11</v>
      </c>
      <c r="C1218">
        <f t="shared" si="966"/>
        <v>51</v>
      </c>
      <c r="D1218">
        <v>0</v>
      </c>
      <c r="E1218" t="str">
        <f>VLOOKUP(D1218,name!A:B,2,1)</f>
        <v>Player</v>
      </c>
      <c r="F1218" t="str">
        <f>F1184</f>
        <v>with an excursion to Snowdonia National Park, which is just next door.</v>
      </c>
      <c r="G1218" t="str">
        <f t="shared" si="968"/>
        <v>q</v>
      </c>
      <c r="H1218" t="str">
        <f>VLOOKUP(D1218,name!A:C,3,1)</f>
        <v>assets/icons/image326.png</v>
      </c>
      <c r="I1218" t="str">
        <f>IF(A1218="","",VLOOKUP(A1218,lng!A:B,2,0))</f>
        <v>en-GB</v>
      </c>
    </row>
    <row r="1219" spans="1:9" x14ac:dyDescent="0.15">
      <c r="A1219" t="str">
        <f t="shared" ref="A1219:B1219" si="1003">A1218</f>
        <v>英語</v>
      </c>
      <c r="B1219">
        <f t="shared" si="1003"/>
        <v>11</v>
      </c>
      <c r="C1219">
        <f t="shared" si="966"/>
        <v>52</v>
      </c>
      <c r="D1219">
        <f>D1185</f>
        <v>34</v>
      </c>
      <c r="E1219" t="str">
        <f>VLOOKUP(D1219,name!A:B,2,1)</f>
        <v>Prof. Owen</v>
      </c>
      <c r="F1219" t="str">
        <f>F1185</f>
        <v>一石二鳥の絶好のチャンスとなるが、</v>
      </c>
      <c r="G1219" t="str">
        <f t="shared" si="968"/>
        <v>a</v>
      </c>
      <c r="H1219" t="str">
        <f>VLOOKUP(D1219,name!A:C,3,1)</f>
        <v>assets/icons/image287.png</v>
      </c>
      <c r="I1219" t="s">
        <v>402</v>
      </c>
    </row>
    <row r="1220" spans="1:9" x14ac:dyDescent="0.15">
      <c r="A1220" t="str">
        <f t="shared" ref="A1220:B1220" si="1004">A1219</f>
        <v>英語</v>
      </c>
      <c r="B1220">
        <f t="shared" si="1004"/>
        <v>11</v>
      </c>
      <c r="C1220">
        <f t="shared" si="966"/>
        <v>53</v>
      </c>
      <c r="D1220">
        <f>D1186</f>
        <v>34</v>
      </c>
      <c r="E1220" t="str">
        <f>VLOOKUP(D1220,name!A:B,2,1)</f>
        <v>Prof. Owen</v>
      </c>
      <c r="F1220" t="str">
        <f>F1186</f>
        <v>It would be an excellent opportunity for you to kill two birds with one stone,</v>
      </c>
      <c r="G1220" t="str">
        <f t="shared" si="968"/>
        <v>a</v>
      </c>
      <c r="H1220" t="str">
        <f>VLOOKUP(D1220,name!A:C,3,1)</f>
        <v>assets/icons/image287.png</v>
      </c>
      <c r="I1220" t="str">
        <f>IF(A1220="","",VLOOKUP(A1220,lng!A:B,2,0))</f>
        <v>en-GB</v>
      </c>
    </row>
    <row r="1221" spans="1:9" x14ac:dyDescent="0.15">
      <c r="A1221" t="str">
        <f t="shared" ref="A1221:B1221" si="1005">A1220</f>
        <v>英語</v>
      </c>
      <c r="B1221">
        <f t="shared" si="1005"/>
        <v>11</v>
      </c>
      <c r="C1221">
        <f t="shared" si="966"/>
        <v>54</v>
      </c>
      <c r="D1221">
        <v>0</v>
      </c>
      <c r="E1221" t="str">
        <f>VLOOKUP(D1221,name!A:B,2,1)</f>
        <v>Player</v>
      </c>
      <c r="F1221" t="str">
        <f>F1186</f>
        <v>It would be an excellent opportunity for you to kill two birds with one stone,</v>
      </c>
      <c r="G1221" t="str">
        <f t="shared" si="968"/>
        <v>q</v>
      </c>
      <c r="H1221" t="str">
        <f>VLOOKUP(D1221,name!A:C,3,1)</f>
        <v>assets/icons/image326.png</v>
      </c>
      <c r="I1221" t="str">
        <f>IF(A1221="","",VLOOKUP(A1221,lng!A:B,2,0))</f>
        <v>en-GB</v>
      </c>
    </row>
    <row r="1222" spans="1:9" x14ac:dyDescent="0.15">
      <c r="A1222" t="str">
        <f t="shared" ref="A1222:B1222" si="1006">A1221</f>
        <v>英語</v>
      </c>
      <c r="B1222">
        <f t="shared" si="1006"/>
        <v>11</v>
      </c>
      <c r="C1222">
        <f t="shared" si="966"/>
        <v>55</v>
      </c>
      <c r="D1222">
        <f>D1187</f>
        <v>34</v>
      </c>
      <c r="E1222" t="str">
        <f>VLOOKUP(D1222,name!A:B,2,1)</f>
        <v>Prof. Owen</v>
      </c>
      <c r="F1222" t="str">
        <f>F1187</f>
        <v>暇ならね。</v>
      </c>
      <c r="G1222" t="str">
        <f t="shared" si="968"/>
        <v>a</v>
      </c>
      <c r="H1222" t="str">
        <f>VLOOKUP(D1222,name!A:C,3,1)</f>
        <v>assets/icons/image287.png</v>
      </c>
      <c r="I1222" t="s">
        <v>402</v>
      </c>
    </row>
    <row r="1223" spans="1:9" x14ac:dyDescent="0.15">
      <c r="A1223" t="str">
        <f t="shared" ref="A1223:B1223" si="1007">A1222</f>
        <v>英語</v>
      </c>
      <c r="B1223">
        <f t="shared" si="1007"/>
        <v>11</v>
      </c>
      <c r="C1223">
        <f t="shared" si="966"/>
        <v>56</v>
      </c>
      <c r="D1223">
        <f>D1188</f>
        <v>34</v>
      </c>
      <c r="E1223" t="str">
        <f>VLOOKUP(D1223,name!A:B,2,1)</f>
        <v>Prof. Owen</v>
      </c>
      <c r="F1223" t="str">
        <f>F1188</f>
        <v>if you're free.</v>
      </c>
      <c r="G1223" t="str">
        <f t="shared" si="968"/>
        <v>a</v>
      </c>
      <c r="H1223" t="str">
        <f>VLOOKUP(D1223,name!A:C,3,1)</f>
        <v>assets/icons/image287.png</v>
      </c>
      <c r="I1223" t="str">
        <f>IF(A1223="","",VLOOKUP(A1223,lng!A:B,2,0))</f>
        <v>en-GB</v>
      </c>
    </row>
    <row r="1224" spans="1:9" x14ac:dyDescent="0.15">
      <c r="A1224" t="str">
        <f t="shared" ref="A1224:B1224" si="1008">A1223</f>
        <v>英語</v>
      </c>
      <c r="B1224">
        <f t="shared" si="1008"/>
        <v>11</v>
      </c>
      <c r="C1224">
        <f t="shared" si="966"/>
        <v>57</v>
      </c>
      <c r="D1224">
        <v>0</v>
      </c>
      <c r="E1224" t="str">
        <f>VLOOKUP(D1224,name!A:B,2,1)</f>
        <v>Player</v>
      </c>
      <c r="F1224" t="str">
        <f>F1188</f>
        <v>if you're free.</v>
      </c>
      <c r="G1224" t="str">
        <f t="shared" si="968"/>
        <v>q</v>
      </c>
      <c r="H1224" t="str">
        <f>VLOOKUP(D1224,name!A:C,3,1)</f>
        <v>assets/icons/image326.png</v>
      </c>
      <c r="I1224" t="str">
        <f>IF(A1224="","",VLOOKUP(A1224,lng!A:B,2,0))</f>
        <v>en-GB</v>
      </c>
    </row>
    <row r="1225" spans="1:9" x14ac:dyDescent="0.15">
      <c r="A1225" t="str">
        <f t="shared" ref="A1225:B1225" si="1009">A1224</f>
        <v>英語</v>
      </c>
      <c r="B1225">
        <f t="shared" si="1009"/>
        <v>11</v>
      </c>
      <c r="C1225">
        <f t="shared" si="966"/>
        <v>58</v>
      </c>
      <c r="D1225">
        <f>D1189</f>
        <v>29</v>
      </c>
      <c r="E1225" t="str">
        <f>VLOOKUP(D1225,name!A:B,2,1)</f>
        <v>Eri</v>
      </c>
      <c r="F1225" t="str">
        <f>F1189</f>
        <v>すみません</v>
      </c>
      <c r="G1225" t="str">
        <f t="shared" si="968"/>
        <v>a</v>
      </c>
      <c r="H1225" t="str">
        <f>VLOOKUP(D1225,name!A:C,3,1)</f>
        <v>assets/icons/image209.png</v>
      </c>
      <c r="I1225" t="s">
        <v>402</v>
      </c>
    </row>
    <row r="1226" spans="1:9" x14ac:dyDescent="0.15">
      <c r="A1226" t="str">
        <f t="shared" ref="A1226:B1226" si="1010">A1225</f>
        <v>英語</v>
      </c>
      <c r="B1226">
        <f t="shared" si="1010"/>
        <v>11</v>
      </c>
      <c r="C1226">
        <f t="shared" si="966"/>
        <v>59</v>
      </c>
      <c r="D1226">
        <f>D1190</f>
        <v>29</v>
      </c>
      <c r="E1226" t="str">
        <f>VLOOKUP(D1226,name!A:B,2,1)</f>
        <v>Eri</v>
      </c>
      <c r="F1226" t="str">
        <f>F1190</f>
        <v>Sorry.</v>
      </c>
      <c r="G1226" t="str">
        <f t="shared" si="968"/>
        <v>a</v>
      </c>
      <c r="H1226" t="str">
        <f>VLOOKUP(D1226,name!A:C,3,1)</f>
        <v>assets/icons/image209.png</v>
      </c>
      <c r="I1226" t="str">
        <f>IF(A1226="","",VLOOKUP(A1226,lng!A:B,2,0))</f>
        <v>en-GB</v>
      </c>
    </row>
    <row r="1227" spans="1:9" x14ac:dyDescent="0.15">
      <c r="A1227" t="str">
        <f t="shared" ref="A1227:B1227" si="1011">A1226</f>
        <v>英語</v>
      </c>
      <c r="B1227">
        <f t="shared" si="1011"/>
        <v>11</v>
      </c>
      <c r="C1227">
        <f t="shared" si="966"/>
        <v>60</v>
      </c>
      <c r="D1227">
        <v>0</v>
      </c>
      <c r="E1227" t="str">
        <f>VLOOKUP(D1227,name!A:B,2,1)</f>
        <v>Player</v>
      </c>
      <c r="F1227" t="str">
        <f>F1190</f>
        <v>Sorry.</v>
      </c>
      <c r="G1227" t="str">
        <f t="shared" si="968"/>
        <v>q</v>
      </c>
      <c r="H1227" t="str">
        <f>VLOOKUP(D1227,name!A:C,3,1)</f>
        <v>assets/icons/image326.png</v>
      </c>
      <c r="I1227" t="str">
        <f>IF(A1227="","",VLOOKUP(A1227,lng!A:B,2,0))</f>
        <v>en-GB</v>
      </c>
    </row>
    <row r="1228" spans="1:9" x14ac:dyDescent="0.15">
      <c r="A1228" t="str">
        <f t="shared" ref="A1228:B1228" si="1012">A1227</f>
        <v>英語</v>
      </c>
      <c r="B1228">
        <f t="shared" si="1012"/>
        <v>11</v>
      </c>
      <c r="C1228">
        <f t="shared" si="966"/>
        <v>61</v>
      </c>
      <c r="D1228">
        <f>D1191</f>
        <v>29</v>
      </c>
      <c r="E1228" t="str">
        <f>VLOOKUP(D1228,name!A:B,2,1)</f>
        <v>Eri</v>
      </c>
      <c r="F1228" t="str">
        <f>F1191</f>
        <v>「一石二鳥」とはどういう意味なのかよくわかりません。</v>
      </c>
      <c r="G1228" t="str">
        <f t="shared" si="968"/>
        <v>a</v>
      </c>
      <c r="H1228" t="str">
        <f>VLOOKUP(D1228,name!A:C,3,1)</f>
        <v>assets/icons/image209.png</v>
      </c>
      <c r="I1228" t="s">
        <v>402</v>
      </c>
    </row>
    <row r="1229" spans="1:9" x14ac:dyDescent="0.15">
      <c r="A1229" t="str">
        <f t="shared" ref="A1229:B1229" si="1013">A1228</f>
        <v>英語</v>
      </c>
      <c r="B1229">
        <f t="shared" si="1013"/>
        <v>11</v>
      </c>
      <c r="C1229">
        <f t="shared" si="966"/>
        <v>62</v>
      </c>
      <c r="D1229">
        <f>D1192</f>
        <v>29</v>
      </c>
      <c r="E1229" t="str">
        <f>VLOOKUP(D1229,name!A:B,2,1)</f>
        <v>Eri</v>
      </c>
      <c r="F1229" t="str">
        <f>F1192</f>
        <v>I'm not sure what you mean about killing two birds with one stone.</v>
      </c>
      <c r="G1229" t="str">
        <f t="shared" si="968"/>
        <v>a</v>
      </c>
      <c r="H1229" t="str">
        <f>VLOOKUP(D1229,name!A:C,3,1)</f>
        <v>assets/icons/image209.png</v>
      </c>
      <c r="I1229" t="str">
        <f>IF(A1229="","",VLOOKUP(A1229,lng!A:B,2,0))</f>
        <v>en-GB</v>
      </c>
    </row>
    <row r="1230" spans="1:9" x14ac:dyDescent="0.15">
      <c r="A1230" t="str">
        <f t="shared" ref="A1230:B1230" si="1014">A1229</f>
        <v>英語</v>
      </c>
      <c r="B1230">
        <f t="shared" si="1014"/>
        <v>11</v>
      </c>
      <c r="C1230">
        <f t="shared" si="966"/>
        <v>63</v>
      </c>
      <c r="D1230">
        <v>0</v>
      </c>
      <c r="E1230" t="str">
        <f>VLOOKUP(D1230,name!A:B,2,1)</f>
        <v>Player</v>
      </c>
      <c r="F1230" t="str">
        <f>F1192</f>
        <v>I'm not sure what you mean about killing two birds with one stone.</v>
      </c>
      <c r="G1230" t="str">
        <f t="shared" si="968"/>
        <v>q</v>
      </c>
      <c r="H1230" t="str">
        <f>VLOOKUP(D1230,name!A:C,3,1)</f>
        <v>assets/icons/image326.png</v>
      </c>
      <c r="I1230" t="str">
        <f>IF(A1230="","",VLOOKUP(A1230,lng!A:B,2,0))</f>
        <v>en-GB</v>
      </c>
    </row>
    <row r="1231" spans="1:9" x14ac:dyDescent="0.15">
      <c r="A1231" t="str">
        <f t="shared" ref="A1231:B1231" si="1015">A1230</f>
        <v>英語</v>
      </c>
      <c r="B1231">
        <f t="shared" si="1015"/>
        <v>11</v>
      </c>
      <c r="C1231">
        <f t="shared" si="966"/>
        <v>64</v>
      </c>
      <c r="D1231">
        <f>D1193</f>
        <v>34</v>
      </c>
      <c r="E1231" t="str">
        <f>VLOOKUP(D1231,name!A:B,2,1)</f>
        <v>Prof. Owen</v>
      </c>
      <c r="F1231" t="str">
        <f>F1193</f>
        <v>ああ、ごめんなさい。</v>
      </c>
      <c r="G1231" t="str">
        <f t="shared" si="968"/>
        <v>a</v>
      </c>
      <c r="H1231" t="str">
        <f>VLOOKUP(D1231,name!A:C,3,1)</f>
        <v>assets/icons/image287.png</v>
      </c>
      <c r="I1231" t="s">
        <v>402</v>
      </c>
    </row>
    <row r="1232" spans="1:9" x14ac:dyDescent="0.15">
      <c r="A1232" t="str">
        <f t="shared" ref="A1232:B1232" si="1016">A1231</f>
        <v>英語</v>
      </c>
      <c r="B1232">
        <f t="shared" si="1016"/>
        <v>11</v>
      </c>
      <c r="C1232">
        <f t="shared" si="966"/>
        <v>65</v>
      </c>
      <c r="D1232">
        <f>D1194</f>
        <v>34</v>
      </c>
      <c r="E1232" t="str">
        <f>VLOOKUP(D1232,name!A:B,2,1)</f>
        <v>Prof. Owen</v>
      </c>
      <c r="F1232" t="str">
        <f>F1194</f>
        <v>Ah, sorry.</v>
      </c>
      <c r="G1232" t="str">
        <f t="shared" si="968"/>
        <v>a</v>
      </c>
      <c r="H1232" t="str">
        <f>VLOOKUP(D1232,name!A:C,3,1)</f>
        <v>assets/icons/image287.png</v>
      </c>
      <c r="I1232" t="str">
        <f>IF(A1232="","",VLOOKUP(A1232,lng!A:B,2,0))</f>
        <v>en-GB</v>
      </c>
    </row>
    <row r="1233" spans="1:9" x14ac:dyDescent="0.15">
      <c r="A1233" t="str">
        <f t="shared" ref="A1233:B1233" si="1017">A1232</f>
        <v>英語</v>
      </c>
      <c r="B1233">
        <f t="shared" si="1017"/>
        <v>11</v>
      </c>
      <c r="C1233">
        <f t="shared" si="966"/>
        <v>66</v>
      </c>
      <c r="D1233">
        <v>0</v>
      </c>
      <c r="E1233" t="str">
        <f>VLOOKUP(D1233,name!A:B,2,1)</f>
        <v>Player</v>
      </c>
      <c r="F1233" t="str">
        <f>F1194</f>
        <v>Ah, sorry.</v>
      </c>
      <c r="G1233" t="str">
        <f t="shared" si="968"/>
        <v>q</v>
      </c>
      <c r="H1233" t="str">
        <f>VLOOKUP(D1233,name!A:C,3,1)</f>
        <v>assets/icons/image326.png</v>
      </c>
      <c r="I1233" t="str">
        <f>IF(A1233="","",VLOOKUP(A1233,lng!A:B,2,0))</f>
        <v>en-GB</v>
      </c>
    </row>
    <row r="1234" spans="1:9" x14ac:dyDescent="0.15">
      <c r="A1234" t="str">
        <f t="shared" ref="A1234:B1234" si="1018">A1233</f>
        <v>英語</v>
      </c>
      <c r="B1234">
        <f t="shared" si="1018"/>
        <v>11</v>
      </c>
      <c r="C1234">
        <f t="shared" ref="C1234:C1264" si="1019">C1233+1</f>
        <v>67</v>
      </c>
      <c r="D1234">
        <f>D1195</f>
        <v>34</v>
      </c>
      <c r="E1234" t="str">
        <f>VLOOKUP(D1234,name!A:B,2,1)</f>
        <v>Prof. Owen</v>
      </c>
      <c r="F1234" t="str">
        <f>F1195</f>
        <v>勉強と有意義な観光を同時にできるということです。</v>
      </c>
      <c r="G1234" t="str">
        <f t="shared" si="968"/>
        <v>a</v>
      </c>
      <c r="H1234" t="str">
        <f>VLOOKUP(D1234,name!A:C,3,1)</f>
        <v>assets/icons/image287.png</v>
      </c>
      <c r="I1234" t="s">
        <v>402</v>
      </c>
    </row>
    <row r="1235" spans="1:9" x14ac:dyDescent="0.15">
      <c r="A1235" t="str">
        <f t="shared" ref="A1235:B1235" si="1020">A1234</f>
        <v>英語</v>
      </c>
      <c r="B1235">
        <f t="shared" si="1020"/>
        <v>11</v>
      </c>
      <c r="C1235">
        <f t="shared" si="1019"/>
        <v>68</v>
      </c>
      <c r="D1235">
        <f>D1196</f>
        <v>34</v>
      </c>
      <c r="E1235" t="str">
        <f>VLOOKUP(D1235,name!A:B,2,1)</f>
        <v>Prof. Owen</v>
      </c>
      <c r="F1235" t="str">
        <f>F1196</f>
        <v>I just mean you can study and get some useful sightseeing in at the same time.</v>
      </c>
      <c r="G1235" t="str">
        <f t="shared" si="968"/>
        <v>a</v>
      </c>
      <c r="H1235" t="str">
        <f>VLOOKUP(D1235,name!A:C,3,1)</f>
        <v>assets/icons/image287.png</v>
      </c>
      <c r="I1235" t="str">
        <f>IF(A1235="","",VLOOKUP(A1235,lng!A:B,2,0))</f>
        <v>en-GB</v>
      </c>
    </row>
    <row r="1236" spans="1:9" x14ac:dyDescent="0.15">
      <c r="A1236" t="str">
        <f t="shared" ref="A1236:B1236" si="1021">A1235</f>
        <v>英語</v>
      </c>
      <c r="B1236">
        <f t="shared" si="1021"/>
        <v>11</v>
      </c>
      <c r="C1236">
        <f t="shared" si="1019"/>
        <v>69</v>
      </c>
      <c r="D1236">
        <v>0</v>
      </c>
      <c r="E1236" t="str">
        <f>VLOOKUP(D1236,name!A:B,2,1)</f>
        <v>Player</v>
      </c>
      <c r="F1236" t="str">
        <f>F1196</f>
        <v>I just mean you can study and get some useful sightseeing in at the same time.</v>
      </c>
      <c r="G1236" t="str">
        <f t="shared" si="968"/>
        <v>q</v>
      </c>
      <c r="H1236" t="str">
        <f>VLOOKUP(D1236,name!A:C,3,1)</f>
        <v>assets/icons/image326.png</v>
      </c>
      <c r="I1236" t="str">
        <f>IF(A1236="","",VLOOKUP(A1236,lng!A:B,2,0))</f>
        <v>en-GB</v>
      </c>
    </row>
    <row r="1237" spans="1:9" x14ac:dyDescent="0.15">
      <c r="A1237" t="str">
        <f t="shared" ref="A1237:B1237" si="1022">A1236</f>
        <v>英語</v>
      </c>
      <c r="B1237">
        <f t="shared" si="1022"/>
        <v>11</v>
      </c>
      <c r="C1237">
        <f t="shared" si="1019"/>
        <v>70</v>
      </c>
      <c r="D1237">
        <v>1</v>
      </c>
      <c r="E1237" t="str">
        <f>VLOOKUP(D1237,name!A:B,2,1)</f>
        <v>Navigator</v>
      </c>
      <c r="F1237" t="str">
        <f>"次の日本語を"&amp;A1237&amp;"に訳して答えてね！"</f>
        <v>次の日本語を英語に訳して答えてね！</v>
      </c>
      <c r="G1237" t="str">
        <f t="shared" si="968"/>
        <v>a</v>
      </c>
      <c r="H1237" t="str">
        <f>VLOOKUP(D1237,name!A:C,3,1)</f>
        <v>assets/icons/image014.png</v>
      </c>
      <c r="I1237" t="s">
        <v>402</v>
      </c>
    </row>
    <row r="1238" spans="1:9" x14ac:dyDescent="0.15">
      <c r="A1238" t="str">
        <f t="shared" ref="A1238:B1238" si="1023">A1237</f>
        <v>英語</v>
      </c>
      <c r="B1238">
        <f t="shared" si="1023"/>
        <v>11</v>
      </c>
      <c r="C1238">
        <f t="shared" si="1019"/>
        <v>71</v>
      </c>
      <c r="D1238">
        <f>D1171</f>
        <v>34</v>
      </c>
      <c r="E1238" t="str">
        <f>VLOOKUP(D1238,name!A:B,2,1)</f>
        <v>Prof. Owen</v>
      </c>
      <c r="F1238" t="str">
        <f t="shared" ref="F1238:F1263" si="1024">F1171</f>
        <v>えりさん、急に来てくれてありがとう。</v>
      </c>
      <c r="G1238" t="str">
        <f t="shared" si="968"/>
        <v>a</v>
      </c>
      <c r="H1238" t="str">
        <f>VLOOKUP(D1238,name!A:C,3,1)</f>
        <v>assets/icons/image287.png</v>
      </c>
      <c r="I1238" t="s">
        <v>402</v>
      </c>
    </row>
    <row r="1239" spans="1:9" x14ac:dyDescent="0.15">
      <c r="A1239" t="str">
        <f t="shared" ref="A1239:B1239" si="1025">A1238</f>
        <v>英語</v>
      </c>
      <c r="B1239">
        <f t="shared" si="1025"/>
        <v>11</v>
      </c>
      <c r="C1239">
        <f t="shared" si="1019"/>
        <v>72</v>
      </c>
      <c r="D1239">
        <v>0</v>
      </c>
      <c r="E1239" t="str">
        <f>VLOOKUP(D1239,name!A:B,2,1)</f>
        <v>Player</v>
      </c>
      <c r="F1239" t="str">
        <f t="shared" si="1024"/>
        <v>Thanks for coming at such short notice, Eri.</v>
      </c>
      <c r="G1239" t="str">
        <f t="shared" si="968"/>
        <v>q</v>
      </c>
      <c r="H1239" t="str">
        <f>VLOOKUP(D1239,name!A:C,3,1)</f>
        <v>assets/icons/image326.png</v>
      </c>
      <c r="I1239" t="str">
        <f>IF(A1239="","",VLOOKUP(A1239,lng!A:B,2,0))</f>
        <v>en-GB</v>
      </c>
    </row>
    <row r="1240" spans="1:9" x14ac:dyDescent="0.15">
      <c r="A1240" t="str">
        <f t="shared" ref="A1240:B1240" si="1026">A1239</f>
        <v>英語</v>
      </c>
      <c r="B1240">
        <f t="shared" si="1026"/>
        <v>11</v>
      </c>
      <c r="C1240">
        <f t="shared" si="1019"/>
        <v>73</v>
      </c>
      <c r="D1240">
        <f>D1173</f>
        <v>29</v>
      </c>
      <c r="E1240" t="str">
        <f>VLOOKUP(D1240,name!A:B,2,1)</f>
        <v>Eri</v>
      </c>
      <c r="F1240" t="str">
        <f t="shared" si="1024"/>
        <v>どういたしまして。</v>
      </c>
      <c r="G1240" t="str">
        <f t="shared" si="968"/>
        <v>a</v>
      </c>
      <c r="H1240" t="str">
        <f>VLOOKUP(D1240,name!A:C,3,1)</f>
        <v>assets/icons/image209.png</v>
      </c>
      <c r="I1240" t="s">
        <v>402</v>
      </c>
    </row>
    <row r="1241" spans="1:9" x14ac:dyDescent="0.15">
      <c r="A1241" t="str">
        <f t="shared" ref="A1241:B1241" si="1027">A1240</f>
        <v>英語</v>
      </c>
      <c r="B1241">
        <f t="shared" si="1027"/>
        <v>11</v>
      </c>
      <c r="C1241">
        <f t="shared" si="1019"/>
        <v>74</v>
      </c>
      <c r="D1241">
        <v>0</v>
      </c>
      <c r="E1241" t="str">
        <f>VLOOKUP(D1241,name!A:B,2,1)</f>
        <v>Player</v>
      </c>
      <c r="F1241" t="str">
        <f t="shared" si="1024"/>
        <v>Not at all.</v>
      </c>
      <c r="G1241" t="str">
        <f t="shared" si="968"/>
        <v>q</v>
      </c>
      <c r="H1241" t="str">
        <f>VLOOKUP(D1241,name!A:C,3,1)</f>
        <v>assets/icons/image326.png</v>
      </c>
      <c r="I1241" t="str">
        <f>IF(A1241="","",VLOOKUP(A1241,lng!A:B,2,0))</f>
        <v>en-GB</v>
      </c>
    </row>
    <row r="1242" spans="1:9" x14ac:dyDescent="0.15">
      <c r="A1242" t="str">
        <f t="shared" ref="A1242:B1242" si="1028">A1241</f>
        <v>英語</v>
      </c>
      <c r="B1242">
        <f t="shared" si="1028"/>
        <v>11</v>
      </c>
      <c r="C1242">
        <f t="shared" si="1019"/>
        <v>75</v>
      </c>
      <c r="D1242">
        <f>D1175</f>
        <v>29</v>
      </c>
      <c r="E1242" t="str">
        <f>VLOOKUP(D1242,name!A:B,2,1)</f>
        <v>Eri</v>
      </c>
      <c r="F1242" t="str">
        <f t="shared" si="1024"/>
        <v>しかられないといいんですけど。</v>
      </c>
      <c r="G1242" t="str">
        <f t="shared" si="968"/>
        <v>a</v>
      </c>
      <c r="H1242" t="str">
        <f>VLOOKUP(D1242,name!A:C,3,1)</f>
        <v>assets/icons/image209.png</v>
      </c>
      <c r="I1242" t="s">
        <v>402</v>
      </c>
    </row>
    <row r="1243" spans="1:9" x14ac:dyDescent="0.15">
      <c r="A1243" t="str">
        <f t="shared" ref="A1243:B1243" si="1029">A1242</f>
        <v>英語</v>
      </c>
      <c r="B1243">
        <f t="shared" si="1029"/>
        <v>11</v>
      </c>
      <c r="C1243">
        <f t="shared" si="1019"/>
        <v>76</v>
      </c>
      <c r="D1243">
        <v>0</v>
      </c>
      <c r="E1243" t="str">
        <f>VLOOKUP(D1243,name!A:B,2,1)</f>
        <v>Player</v>
      </c>
      <c r="F1243" t="str">
        <f t="shared" si="1024"/>
        <v>I hope I'm not in trouble.</v>
      </c>
      <c r="G1243" t="str">
        <f t="shared" si="968"/>
        <v>q</v>
      </c>
      <c r="H1243" t="str">
        <f>VLOOKUP(D1243,name!A:C,3,1)</f>
        <v>assets/icons/image326.png</v>
      </c>
      <c r="I1243" t="str">
        <f>IF(A1243="","",VLOOKUP(A1243,lng!A:B,2,0))</f>
        <v>en-GB</v>
      </c>
    </row>
    <row r="1244" spans="1:9" x14ac:dyDescent="0.15">
      <c r="A1244" t="str">
        <f t="shared" ref="A1244:B1244" si="1030">A1243</f>
        <v>英語</v>
      </c>
      <c r="B1244">
        <f t="shared" si="1030"/>
        <v>11</v>
      </c>
      <c r="C1244">
        <f t="shared" si="1019"/>
        <v>77</v>
      </c>
      <c r="D1244">
        <f>D1177</f>
        <v>34</v>
      </c>
      <c r="E1244" t="str">
        <f>VLOOKUP(D1244,name!A:B,2,1)</f>
        <v>Prof. Owen</v>
      </c>
      <c r="F1244" t="str">
        <f t="shared" si="1024"/>
        <v>いやいや。</v>
      </c>
      <c r="G1244" t="str">
        <f t="shared" si="968"/>
        <v>a</v>
      </c>
      <c r="H1244" t="str">
        <f>VLOOKUP(D1244,name!A:C,3,1)</f>
        <v>assets/icons/image287.png</v>
      </c>
      <c r="I1244" t="s">
        <v>402</v>
      </c>
    </row>
    <row r="1245" spans="1:9" x14ac:dyDescent="0.15">
      <c r="A1245" t="str">
        <f t="shared" ref="A1245:B1245" si="1031">A1244</f>
        <v>英語</v>
      </c>
      <c r="B1245">
        <f t="shared" si="1031"/>
        <v>11</v>
      </c>
      <c r="C1245">
        <f t="shared" si="1019"/>
        <v>78</v>
      </c>
      <c r="D1245">
        <v>0</v>
      </c>
      <c r="E1245" t="str">
        <f>VLOOKUP(D1245,name!A:B,2,1)</f>
        <v>Player</v>
      </c>
      <c r="F1245" t="str">
        <f t="shared" si="1024"/>
        <v>No, no.</v>
      </c>
      <c r="G1245" t="str">
        <f t="shared" si="968"/>
        <v>q</v>
      </c>
      <c r="H1245" t="str">
        <f>VLOOKUP(D1245,name!A:C,3,1)</f>
        <v>assets/icons/image326.png</v>
      </c>
      <c r="I1245" t="str">
        <f>IF(A1245="","",VLOOKUP(A1245,lng!A:B,2,0))</f>
        <v>en-GB</v>
      </c>
    </row>
    <row r="1246" spans="1:9" x14ac:dyDescent="0.15">
      <c r="A1246" t="str">
        <f t="shared" ref="A1246:B1246" si="1032">A1245</f>
        <v>英語</v>
      </c>
      <c r="B1246">
        <f t="shared" si="1032"/>
        <v>11</v>
      </c>
      <c r="C1246">
        <f t="shared" si="1019"/>
        <v>79</v>
      </c>
      <c r="D1246">
        <f>D1179</f>
        <v>34</v>
      </c>
      <c r="E1246" t="str">
        <f>VLOOKUP(D1246,name!A:B,2,1)</f>
        <v>Prof. Owen</v>
      </c>
      <c r="F1246" t="str">
        <f t="shared" si="1024"/>
        <v>最終レポートでケルト研究に焦点を当てたいとのことですが、</v>
      </c>
      <c r="G1246" t="str">
        <f t="shared" ref="G1246:G1309" si="1033">IF(B1246&lt;&gt;B1247,"e",IF(D1246=0,"q","a"))</f>
        <v>a</v>
      </c>
      <c r="H1246" t="str">
        <f>VLOOKUP(D1246,name!A:C,3,1)</f>
        <v>assets/icons/image287.png</v>
      </c>
      <c r="I1246" t="s">
        <v>402</v>
      </c>
    </row>
    <row r="1247" spans="1:9" x14ac:dyDescent="0.15">
      <c r="A1247" t="str">
        <f t="shared" ref="A1247:B1247" si="1034">A1246</f>
        <v>英語</v>
      </c>
      <c r="B1247">
        <f t="shared" si="1034"/>
        <v>11</v>
      </c>
      <c r="C1247">
        <f t="shared" si="1019"/>
        <v>80</v>
      </c>
      <c r="D1247">
        <v>0</v>
      </c>
      <c r="E1247" t="str">
        <f>VLOOKUP(D1247,name!A:B,2,1)</f>
        <v>Player</v>
      </c>
      <c r="F1247" t="str">
        <f t="shared" si="1024"/>
        <v xml:space="preserve"> I understand you want to focus on Celtic studies in your final report,</v>
      </c>
      <c r="G1247" t="str">
        <f t="shared" si="1033"/>
        <v>q</v>
      </c>
      <c r="H1247" t="str">
        <f>VLOOKUP(D1247,name!A:C,3,1)</f>
        <v>assets/icons/image326.png</v>
      </c>
      <c r="I1247" t="str">
        <f>IF(A1247="","",VLOOKUP(A1247,lng!A:B,2,0))</f>
        <v>en-GB</v>
      </c>
    </row>
    <row r="1248" spans="1:9" x14ac:dyDescent="0.15">
      <c r="A1248" t="str">
        <f t="shared" ref="A1248:B1248" si="1035">A1247</f>
        <v>英語</v>
      </c>
      <c r="B1248">
        <f t="shared" si="1035"/>
        <v>11</v>
      </c>
      <c r="C1248">
        <f t="shared" si="1019"/>
        <v>81</v>
      </c>
      <c r="D1248">
        <f>D1181</f>
        <v>34</v>
      </c>
      <c r="E1248" t="str">
        <f>VLOOKUP(D1248,name!A:B,2,1)</f>
        <v>Prof. Owen</v>
      </c>
      <c r="F1248" t="str">
        <f t="shared" si="1024"/>
        <v xml:space="preserve">ということだね。 来週ウェールズ大学のグレガノーグ・ホールで非常に役に立ちそうな学会があります。 </v>
      </c>
      <c r="G1248" t="str">
        <f t="shared" si="1033"/>
        <v>a</v>
      </c>
      <c r="H1248" t="str">
        <f>VLOOKUP(D1248,name!A:C,3,1)</f>
        <v>assets/icons/image287.png</v>
      </c>
      <c r="I1248" t="s">
        <v>402</v>
      </c>
    </row>
    <row r="1249" spans="1:9" x14ac:dyDescent="0.15">
      <c r="A1249" t="str">
        <f t="shared" ref="A1249:B1249" si="1036">A1248</f>
        <v>英語</v>
      </c>
      <c r="B1249">
        <f t="shared" si="1036"/>
        <v>11</v>
      </c>
      <c r="C1249">
        <f t="shared" si="1019"/>
        <v>82</v>
      </c>
      <c r="D1249">
        <v>0</v>
      </c>
      <c r="E1249" t="str">
        <f>VLOOKUP(D1249,name!A:B,2,1)</f>
        <v>Player</v>
      </c>
      <c r="F1249" t="str">
        <f t="shared" si="1024"/>
        <v>and there's a very useful conference on next week at the University of Wales' Gregynog Hall,</v>
      </c>
      <c r="G1249" t="str">
        <f t="shared" si="1033"/>
        <v>q</v>
      </c>
      <c r="H1249" t="str">
        <f>VLOOKUP(D1249,name!A:C,3,1)</f>
        <v>assets/icons/image326.png</v>
      </c>
      <c r="I1249" t="str">
        <f>IF(A1249="","",VLOOKUP(A1249,lng!A:B,2,0))</f>
        <v>en-GB</v>
      </c>
    </row>
    <row r="1250" spans="1:9" x14ac:dyDescent="0.15">
      <c r="A1250" t="str">
        <f t="shared" ref="A1250:B1250" si="1037">A1249</f>
        <v>英語</v>
      </c>
      <c r="B1250">
        <f t="shared" si="1037"/>
        <v>11</v>
      </c>
      <c r="C1250">
        <f t="shared" si="1019"/>
        <v>83</v>
      </c>
      <c r="D1250">
        <f>D1183</f>
        <v>34</v>
      </c>
      <c r="E1250" t="str">
        <f>VLOOKUP(D1250,name!A:B,2,1)</f>
        <v>Prof. Owen</v>
      </c>
      <c r="F1250" t="str">
        <f t="shared" si="1024"/>
        <v>すぐ隣にあるスノードニア国立公園への小旅行付き。</v>
      </c>
      <c r="G1250" t="str">
        <f t="shared" si="1033"/>
        <v>a</v>
      </c>
      <c r="H1250" t="str">
        <f>VLOOKUP(D1250,name!A:C,3,1)</f>
        <v>assets/icons/image287.png</v>
      </c>
      <c r="I1250" t="s">
        <v>402</v>
      </c>
    </row>
    <row r="1251" spans="1:9" x14ac:dyDescent="0.15">
      <c r="A1251" t="str">
        <f t="shared" ref="A1251:B1251" si="1038">A1250</f>
        <v>英語</v>
      </c>
      <c r="B1251">
        <f t="shared" si="1038"/>
        <v>11</v>
      </c>
      <c r="C1251">
        <f t="shared" si="1019"/>
        <v>84</v>
      </c>
      <c r="D1251">
        <v>0</v>
      </c>
      <c r="E1251" t="str">
        <f>VLOOKUP(D1251,name!A:B,2,1)</f>
        <v>Player</v>
      </c>
      <c r="F1251" t="str">
        <f t="shared" si="1024"/>
        <v>with an excursion to Snowdonia National Park, which is just next door.</v>
      </c>
      <c r="G1251" t="str">
        <f t="shared" si="1033"/>
        <v>q</v>
      </c>
      <c r="H1251" t="str">
        <f>VLOOKUP(D1251,name!A:C,3,1)</f>
        <v>assets/icons/image326.png</v>
      </c>
      <c r="I1251" t="str">
        <f>IF(A1251="","",VLOOKUP(A1251,lng!A:B,2,0))</f>
        <v>en-GB</v>
      </c>
    </row>
    <row r="1252" spans="1:9" x14ac:dyDescent="0.15">
      <c r="A1252" t="str">
        <f t="shared" ref="A1252:B1252" si="1039">A1251</f>
        <v>英語</v>
      </c>
      <c r="B1252">
        <f t="shared" si="1039"/>
        <v>11</v>
      </c>
      <c r="C1252">
        <f t="shared" si="1019"/>
        <v>85</v>
      </c>
      <c r="D1252">
        <f>D1185</f>
        <v>34</v>
      </c>
      <c r="E1252" t="str">
        <f>VLOOKUP(D1252,name!A:B,2,1)</f>
        <v>Prof. Owen</v>
      </c>
      <c r="F1252" t="str">
        <f t="shared" si="1024"/>
        <v>一石二鳥の絶好のチャンスとなるが、</v>
      </c>
      <c r="G1252" t="str">
        <f t="shared" si="1033"/>
        <v>a</v>
      </c>
      <c r="H1252" t="str">
        <f>VLOOKUP(D1252,name!A:C,3,1)</f>
        <v>assets/icons/image287.png</v>
      </c>
      <c r="I1252" t="s">
        <v>402</v>
      </c>
    </row>
    <row r="1253" spans="1:9" x14ac:dyDescent="0.15">
      <c r="A1253" t="str">
        <f t="shared" ref="A1253:B1253" si="1040">A1252</f>
        <v>英語</v>
      </c>
      <c r="B1253">
        <f t="shared" si="1040"/>
        <v>11</v>
      </c>
      <c r="C1253">
        <f t="shared" si="1019"/>
        <v>86</v>
      </c>
      <c r="D1253">
        <v>0</v>
      </c>
      <c r="E1253" t="str">
        <f>VLOOKUP(D1253,name!A:B,2,1)</f>
        <v>Player</v>
      </c>
      <c r="F1253" t="str">
        <f t="shared" si="1024"/>
        <v>It would be an excellent opportunity for you to kill two birds with one stone,</v>
      </c>
      <c r="G1253" t="str">
        <f t="shared" si="1033"/>
        <v>q</v>
      </c>
      <c r="H1253" t="str">
        <f>VLOOKUP(D1253,name!A:C,3,1)</f>
        <v>assets/icons/image326.png</v>
      </c>
      <c r="I1253" t="str">
        <f>IF(A1253="","",VLOOKUP(A1253,lng!A:B,2,0))</f>
        <v>en-GB</v>
      </c>
    </row>
    <row r="1254" spans="1:9" x14ac:dyDescent="0.15">
      <c r="A1254" t="str">
        <f t="shared" ref="A1254:B1254" si="1041">A1253</f>
        <v>英語</v>
      </c>
      <c r="B1254">
        <f t="shared" si="1041"/>
        <v>11</v>
      </c>
      <c r="C1254">
        <f t="shared" si="1019"/>
        <v>87</v>
      </c>
      <c r="D1254">
        <f>D1187</f>
        <v>34</v>
      </c>
      <c r="E1254" t="str">
        <f>VLOOKUP(D1254,name!A:B,2,1)</f>
        <v>Prof. Owen</v>
      </c>
      <c r="F1254" t="str">
        <f t="shared" si="1024"/>
        <v>暇ならね。</v>
      </c>
      <c r="G1254" t="str">
        <f t="shared" si="1033"/>
        <v>a</v>
      </c>
      <c r="H1254" t="str">
        <f>VLOOKUP(D1254,name!A:C,3,1)</f>
        <v>assets/icons/image287.png</v>
      </c>
      <c r="I1254" t="s">
        <v>402</v>
      </c>
    </row>
    <row r="1255" spans="1:9" x14ac:dyDescent="0.15">
      <c r="A1255" t="str">
        <f t="shared" ref="A1255:B1255" si="1042">A1254</f>
        <v>英語</v>
      </c>
      <c r="B1255">
        <f t="shared" si="1042"/>
        <v>11</v>
      </c>
      <c r="C1255">
        <f t="shared" si="1019"/>
        <v>88</v>
      </c>
      <c r="D1255">
        <v>0</v>
      </c>
      <c r="E1255" t="str">
        <f>VLOOKUP(D1255,name!A:B,2,1)</f>
        <v>Player</v>
      </c>
      <c r="F1255" t="str">
        <f t="shared" si="1024"/>
        <v>if you're free.</v>
      </c>
      <c r="G1255" t="str">
        <f t="shared" si="1033"/>
        <v>q</v>
      </c>
      <c r="H1255" t="str">
        <f>VLOOKUP(D1255,name!A:C,3,1)</f>
        <v>assets/icons/image326.png</v>
      </c>
      <c r="I1255" t="str">
        <f>IF(A1255="","",VLOOKUP(A1255,lng!A:B,2,0))</f>
        <v>en-GB</v>
      </c>
    </row>
    <row r="1256" spans="1:9" x14ac:dyDescent="0.15">
      <c r="A1256" t="str">
        <f t="shared" ref="A1256:B1256" si="1043">A1255</f>
        <v>英語</v>
      </c>
      <c r="B1256">
        <f t="shared" si="1043"/>
        <v>11</v>
      </c>
      <c r="C1256">
        <f t="shared" si="1019"/>
        <v>89</v>
      </c>
      <c r="D1256">
        <f>D1189</f>
        <v>29</v>
      </c>
      <c r="E1256" t="str">
        <f>VLOOKUP(D1256,name!A:B,2,1)</f>
        <v>Eri</v>
      </c>
      <c r="F1256" t="str">
        <f t="shared" si="1024"/>
        <v>すみません</v>
      </c>
      <c r="G1256" t="str">
        <f t="shared" si="1033"/>
        <v>a</v>
      </c>
      <c r="H1256" t="str">
        <f>VLOOKUP(D1256,name!A:C,3,1)</f>
        <v>assets/icons/image209.png</v>
      </c>
      <c r="I1256" t="s">
        <v>402</v>
      </c>
    </row>
    <row r="1257" spans="1:9" x14ac:dyDescent="0.15">
      <c r="A1257" t="str">
        <f t="shared" ref="A1257:B1257" si="1044">A1256</f>
        <v>英語</v>
      </c>
      <c r="B1257">
        <f t="shared" si="1044"/>
        <v>11</v>
      </c>
      <c r="C1257">
        <f t="shared" si="1019"/>
        <v>90</v>
      </c>
      <c r="D1257">
        <v>0</v>
      </c>
      <c r="E1257" t="str">
        <f>VLOOKUP(D1257,name!A:B,2,1)</f>
        <v>Player</v>
      </c>
      <c r="F1257" t="str">
        <f t="shared" si="1024"/>
        <v>Sorry.</v>
      </c>
      <c r="G1257" t="str">
        <f t="shared" si="1033"/>
        <v>q</v>
      </c>
      <c r="H1257" t="str">
        <f>VLOOKUP(D1257,name!A:C,3,1)</f>
        <v>assets/icons/image326.png</v>
      </c>
      <c r="I1257" t="str">
        <f>IF(A1257="","",VLOOKUP(A1257,lng!A:B,2,0))</f>
        <v>en-GB</v>
      </c>
    </row>
    <row r="1258" spans="1:9" x14ac:dyDescent="0.15">
      <c r="A1258" t="str">
        <f t="shared" ref="A1258:B1258" si="1045">A1257</f>
        <v>英語</v>
      </c>
      <c r="B1258">
        <f t="shared" si="1045"/>
        <v>11</v>
      </c>
      <c r="C1258">
        <f t="shared" si="1019"/>
        <v>91</v>
      </c>
      <c r="D1258">
        <f>D1191</f>
        <v>29</v>
      </c>
      <c r="E1258" t="str">
        <f>VLOOKUP(D1258,name!A:B,2,1)</f>
        <v>Eri</v>
      </c>
      <c r="F1258" t="str">
        <f t="shared" si="1024"/>
        <v>「一石二鳥」とはどういう意味なのかよくわかりません。</v>
      </c>
      <c r="G1258" t="str">
        <f t="shared" si="1033"/>
        <v>a</v>
      </c>
      <c r="H1258" t="str">
        <f>VLOOKUP(D1258,name!A:C,3,1)</f>
        <v>assets/icons/image209.png</v>
      </c>
      <c r="I1258" t="s">
        <v>402</v>
      </c>
    </row>
    <row r="1259" spans="1:9" x14ac:dyDescent="0.15">
      <c r="A1259" t="str">
        <f t="shared" ref="A1259:B1259" si="1046">A1258</f>
        <v>英語</v>
      </c>
      <c r="B1259">
        <f t="shared" si="1046"/>
        <v>11</v>
      </c>
      <c r="C1259">
        <f t="shared" si="1019"/>
        <v>92</v>
      </c>
      <c r="D1259">
        <v>0</v>
      </c>
      <c r="E1259" t="str">
        <f>VLOOKUP(D1259,name!A:B,2,1)</f>
        <v>Player</v>
      </c>
      <c r="F1259" t="str">
        <f t="shared" si="1024"/>
        <v>I'm not sure what you mean about killing two birds with one stone.</v>
      </c>
      <c r="G1259" t="str">
        <f t="shared" si="1033"/>
        <v>q</v>
      </c>
      <c r="H1259" t="str">
        <f>VLOOKUP(D1259,name!A:C,3,1)</f>
        <v>assets/icons/image326.png</v>
      </c>
      <c r="I1259" t="str">
        <f>IF(A1259="","",VLOOKUP(A1259,lng!A:B,2,0))</f>
        <v>en-GB</v>
      </c>
    </row>
    <row r="1260" spans="1:9" x14ac:dyDescent="0.15">
      <c r="A1260" t="str">
        <f t="shared" ref="A1260:B1260" si="1047">A1259</f>
        <v>英語</v>
      </c>
      <c r="B1260">
        <f t="shared" si="1047"/>
        <v>11</v>
      </c>
      <c r="C1260">
        <f t="shared" si="1019"/>
        <v>93</v>
      </c>
      <c r="D1260">
        <f>D1193</f>
        <v>34</v>
      </c>
      <c r="E1260" t="str">
        <f>VLOOKUP(D1260,name!A:B,2,1)</f>
        <v>Prof. Owen</v>
      </c>
      <c r="F1260" t="str">
        <f t="shared" si="1024"/>
        <v>ああ、ごめんなさい。</v>
      </c>
      <c r="G1260" t="str">
        <f t="shared" si="1033"/>
        <v>a</v>
      </c>
      <c r="H1260" t="str">
        <f>VLOOKUP(D1260,name!A:C,3,1)</f>
        <v>assets/icons/image287.png</v>
      </c>
      <c r="I1260" t="s">
        <v>402</v>
      </c>
    </row>
    <row r="1261" spans="1:9" x14ac:dyDescent="0.15">
      <c r="A1261" t="str">
        <f t="shared" ref="A1261:B1261" si="1048">A1260</f>
        <v>英語</v>
      </c>
      <c r="B1261">
        <f t="shared" si="1048"/>
        <v>11</v>
      </c>
      <c r="C1261">
        <f t="shared" si="1019"/>
        <v>94</v>
      </c>
      <c r="D1261">
        <v>0</v>
      </c>
      <c r="E1261" t="str">
        <f>VLOOKUP(D1261,name!A:B,2,1)</f>
        <v>Player</v>
      </c>
      <c r="F1261" t="str">
        <f t="shared" si="1024"/>
        <v>Ah, sorry.</v>
      </c>
      <c r="G1261" t="str">
        <f t="shared" si="1033"/>
        <v>q</v>
      </c>
      <c r="H1261" t="str">
        <f>VLOOKUP(D1261,name!A:C,3,1)</f>
        <v>assets/icons/image326.png</v>
      </c>
      <c r="I1261" t="str">
        <f>IF(A1261="","",VLOOKUP(A1261,lng!A:B,2,0))</f>
        <v>en-GB</v>
      </c>
    </row>
    <row r="1262" spans="1:9" x14ac:dyDescent="0.15">
      <c r="A1262" t="str">
        <f t="shared" ref="A1262:B1262" si="1049">A1261</f>
        <v>英語</v>
      </c>
      <c r="B1262">
        <f t="shared" si="1049"/>
        <v>11</v>
      </c>
      <c r="C1262">
        <f t="shared" si="1019"/>
        <v>95</v>
      </c>
      <c r="D1262">
        <f>D1195</f>
        <v>34</v>
      </c>
      <c r="E1262" t="str">
        <f>VLOOKUP(D1262,name!A:B,2,1)</f>
        <v>Prof. Owen</v>
      </c>
      <c r="F1262" t="str">
        <f t="shared" si="1024"/>
        <v>勉強と有意義な観光を同時にできるということです。</v>
      </c>
      <c r="G1262" t="str">
        <f t="shared" si="1033"/>
        <v>a</v>
      </c>
      <c r="H1262" t="str">
        <f>VLOOKUP(D1262,name!A:C,3,1)</f>
        <v>assets/icons/image287.png</v>
      </c>
      <c r="I1262" t="s">
        <v>402</v>
      </c>
    </row>
    <row r="1263" spans="1:9" x14ac:dyDescent="0.15">
      <c r="A1263" t="str">
        <f t="shared" ref="A1263:B1263" si="1050">A1262</f>
        <v>英語</v>
      </c>
      <c r="B1263">
        <f t="shared" si="1050"/>
        <v>11</v>
      </c>
      <c r="C1263">
        <f t="shared" si="1019"/>
        <v>96</v>
      </c>
      <c r="D1263">
        <v>0</v>
      </c>
      <c r="E1263" t="str">
        <f>VLOOKUP(D1263,name!A:B,2,1)</f>
        <v>Player</v>
      </c>
      <c r="F1263" t="str">
        <f t="shared" si="1024"/>
        <v>I just mean you can study and get some useful sightseeing in at the same time.</v>
      </c>
      <c r="G1263" t="str">
        <f t="shared" si="1033"/>
        <v>q</v>
      </c>
      <c r="H1263" t="str">
        <f>VLOOKUP(D1263,name!A:C,3,1)</f>
        <v>assets/icons/image326.png</v>
      </c>
      <c r="I1263" t="str">
        <f>IF(A1263="","",VLOOKUP(A1263,lng!A:B,2,0))</f>
        <v>en-GB</v>
      </c>
    </row>
    <row r="1264" spans="1:9" x14ac:dyDescent="0.15">
      <c r="A1264" t="str">
        <f t="shared" ref="A1264:B1264" si="1051">A1263</f>
        <v>英語</v>
      </c>
      <c r="B1264">
        <f t="shared" si="1051"/>
        <v>11</v>
      </c>
      <c r="C1264">
        <f t="shared" si="1019"/>
        <v>97</v>
      </c>
      <c r="D1264">
        <v>1</v>
      </c>
      <c r="E1264" t="str">
        <f>VLOOKUP(D1264,name!A:B,2,1)</f>
        <v>Navigator</v>
      </c>
      <c r="F1264" t="str">
        <f>"とても良くできました。レッスン"&amp;B1264&amp;"はこれで終了です。"</f>
        <v>とても良くできました。レッスン11はこれで終了です。</v>
      </c>
      <c r="G1264" t="str">
        <f t="shared" si="1033"/>
        <v>e</v>
      </c>
      <c r="H1264" t="str">
        <f>VLOOKUP(D1264,name!A:C,3,1)</f>
        <v>assets/icons/image014.png</v>
      </c>
      <c r="I1264" t="s">
        <v>402</v>
      </c>
    </row>
    <row r="1265" spans="1:9" x14ac:dyDescent="0.15">
      <c r="A1265" t="str">
        <f>A1264</f>
        <v>英語</v>
      </c>
      <c r="B1265">
        <f>B1264+1</f>
        <v>12</v>
      </c>
      <c r="C1265">
        <v>1</v>
      </c>
      <c r="D1265">
        <v>1</v>
      </c>
      <c r="E1265" t="str">
        <f>VLOOKUP(D1265,name!A:B,2,1)</f>
        <v>Navigator</v>
      </c>
      <c r="F1265" t="s">
        <v>806</v>
      </c>
      <c r="G1265" t="str">
        <f t="shared" si="1033"/>
        <v>a</v>
      </c>
      <c r="H1265" t="str">
        <f>VLOOKUP(D1265,name!A:C,3,1)</f>
        <v>assets/icons/image014.png</v>
      </c>
      <c r="I1265" t="str">
        <f>IF(A1265="","",VLOOKUP(A1265,lng!A:B,2,0))</f>
        <v>en-GB</v>
      </c>
    </row>
    <row r="1266" spans="1:9" x14ac:dyDescent="0.15">
      <c r="A1266" t="str">
        <f t="shared" ref="A1266:B1281" si="1052">A1265</f>
        <v>英語</v>
      </c>
      <c r="B1266">
        <f>B1265</f>
        <v>12</v>
      </c>
      <c r="C1266">
        <f>C1265+1</f>
        <v>2</v>
      </c>
      <c r="D1266">
        <v>1</v>
      </c>
      <c r="E1266" t="str">
        <f>VLOOKUP(D1266,name!A:B,2,1)</f>
        <v>Navigator</v>
      </c>
      <c r="F1266" t="str">
        <f>"レッスン"&amp;B1266</f>
        <v>レッスン12</v>
      </c>
      <c r="G1266" t="str">
        <f t="shared" si="1033"/>
        <v>a</v>
      </c>
      <c r="H1266" t="str">
        <f>VLOOKUP(D1266,name!A:C,3,1)</f>
        <v>assets/icons/image014.png</v>
      </c>
      <c r="I1266" t="s">
        <v>402</v>
      </c>
    </row>
    <row r="1267" spans="1:9" ht="40.5" x14ac:dyDescent="0.15">
      <c r="A1267" t="str">
        <f t="shared" si="1052"/>
        <v>英語</v>
      </c>
      <c r="B1267">
        <f t="shared" si="1052"/>
        <v>12</v>
      </c>
      <c r="C1267">
        <f t="shared" ref="C1267:C1330" si="1053">C1266+1</f>
        <v>3</v>
      </c>
      <c r="D1267">
        <v>1</v>
      </c>
      <c r="E1267" t="str">
        <f>VLOOKUP(D1267,name!A:B,2,1)</f>
        <v>Navigator</v>
      </c>
      <c r="F1267" s="1" t="str">
        <f>"まずは対話文を流します。その後に、日本語と"&amp;A1267&amp;"を一文ずつ流すので"&amp;A1267&amp;"を真似して下さい。最後に日本語のみを流すので、"&amp;A1267&amp;"で答えてください。"</f>
        <v>まずは対話文を流します。その後に、日本語と英語を一文ずつ流すので英語を真似して下さい。最後に日本語のみを流すので、英語で答えてください。</v>
      </c>
      <c r="G1267" t="str">
        <f t="shared" si="1033"/>
        <v>a</v>
      </c>
      <c r="H1267" t="str">
        <f>VLOOKUP(D1267,name!A:C,3,1)</f>
        <v>assets/icons/image014.png</v>
      </c>
      <c r="I1267" t="s">
        <v>402</v>
      </c>
    </row>
    <row r="1268" spans="1:9" x14ac:dyDescent="0.15">
      <c r="A1268" t="str">
        <f t="shared" si="1052"/>
        <v>英語</v>
      </c>
      <c r="B1268">
        <f t="shared" si="1052"/>
        <v>12</v>
      </c>
      <c r="C1268">
        <f t="shared" si="1053"/>
        <v>4</v>
      </c>
      <c r="D1268">
        <f>D1269</f>
        <v>31</v>
      </c>
      <c r="E1268" t="str">
        <f>VLOOKUP(D1268,name!A:B,2,1)</f>
        <v>Mrs. Bennett</v>
      </c>
      <c r="F1268" t="s">
        <v>807</v>
      </c>
      <c r="G1268" t="str">
        <f t="shared" si="1033"/>
        <v>a</v>
      </c>
      <c r="H1268" t="str">
        <f>VLOOKUP(D1268,name!A:C,3,1)</f>
        <v>assets/icons/image149.png</v>
      </c>
      <c r="I1268" t="s">
        <v>402</v>
      </c>
    </row>
    <row r="1269" spans="1:9" x14ac:dyDescent="0.15">
      <c r="A1269" t="str">
        <f t="shared" si="1052"/>
        <v>英語</v>
      </c>
      <c r="B1269">
        <f t="shared" si="1052"/>
        <v>12</v>
      </c>
      <c r="C1269">
        <f t="shared" si="1053"/>
        <v>5</v>
      </c>
      <c r="D1269">
        <v>31</v>
      </c>
      <c r="E1269" t="str">
        <f>VLOOKUP(D1269,name!A:B,2,1)</f>
        <v>Mrs. Bennett</v>
      </c>
      <c r="F1269" t="s">
        <v>808</v>
      </c>
      <c r="G1269" t="str">
        <f t="shared" si="1033"/>
        <v>a</v>
      </c>
      <c r="H1269" t="str">
        <f>VLOOKUP(D1269,name!A:C,3,1)</f>
        <v>assets/icons/image149.png</v>
      </c>
      <c r="I1269" t="str">
        <f>IF(A1269="","",VLOOKUP(A1269,lng!A:B,2,0))</f>
        <v>en-GB</v>
      </c>
    </row>
    <row r="1270" spans="1:9" x14ac:dyDescent="0.15">
      <c r="A1270" t="str">
        <f t="shared" si="1052"/>
        <v>英語</v>
      </c>
      <c r="B1270">
        <f t="shared" si="1052"/>
        <v>12</v>
      </c>
      <c r="C1270">
        <f t="shared" si="1053"/>
        <v>6</v>
      </c>
      <c r="D1270">
        <f t="shared" ref="D1270:D1294" si="1054">D1271</f>
        <v>29</v>
      </c>
      <c r="E1270" t="str">
        <f>VLOOKUP(D1270,name!A:B,2,1)</f>
        <v>Eri</v>
      </c>
      <c r="F1270" t="s">
        <v>820</v>
      </c>
      <c r="G1270" t="str">
        <f t="shared" si="1033"/>
        <v>a</v>
      </c>
      <c r="H1270" t="str">
        <f>VLOOKUP(D1270,name!A:C,3,1)</f>
        <v>assets/icons/image209.png</v>
      </c>
      <c r="I1270" t="s">
        <v>402</v>
      </c>
    </row>
    <row r="1271" spans="1:9" x14ac:dyDescent="0.15">
      <c r="A1271" t="str">
        <f t="shared" si="1052"/>
        <v>英語</v>
      </c>
      <c r="B1271">
        <f t="shared" si="1052"/>
        <v>12</v>
      </c>
      <c r="C1271">
        <f t="shared" si="1053"/>
        <v>7</v>
      </c>
      <c r="D1271">
        <f t="shared" si="1054"/>
        <v>29</v>
      </c>
      <c r="E1271" t="str">
        <f>VLOOKUP(D1271,name!A:B,2,1)</f>
        <v>Eri</v>
      </c>
      <c r="F1271" t="s">
        <v>809</v>
      </c>
      <c r="G1271" t="str">
        <f t="shared" si="1033"/>
        <v>a</v>
      </c>
      <c r="H1271" t="str">
        <f>VLOOKUP(D1271,name!A:C,3,1)</f>
        <v>assets/icons/image209.png</v>
      </c>
      <c r="I1271" t="str">
        <f>IF(A1271="","",VLOOKUP(A1271,lng!A:B,2,0))</f>
        <v>en-GB</v>
      </c>
    </row>
    <row r="1272" spans="1:9" x14ac:dyDescent="0.15">
      <c r="A1272" t="str">
        <f t="shared" si="1052"/>
        <v>英語</v>
      </c>
      <c r="B1272">
        <f t="shared" si="1052"/>
        <v>12</v>
      </c>
      <c r="C1272">
        <f t="shared" si="1053"/>
        <v>8</v>
      </c>
      <c r="D1272">
        <f t="shared" si="1054"/>
        <v>29</v>
      </c>
      <c r="E1272" t="str">
        <f>VLOOKUP(D1272,name!A:B,2,1)</f>
        <v>Eri</v>
      </c>
      <c r="F1272" t="s">
        <v>821</v>
      </c>
      <c r="G1272" t="str">
        <f t="shared" si="1033"/>
        <v>a</v>
      </c>
      <c r="H1272" t="str">
        <f>VLOOKUP(D1272,name!A:C,3,1)</f>
        <v>assets/icons/image209.png</v>
      </c>
      <c r="I1272" t="s">
        <v>402</v>
      </c>
    </row>
    <row r="1273" spans="1:9" x14ac:dyDescent="0.15">
      <c r="A1273" t="str">
        <f t="shared" si="1052"/>
        <v>英語</v>
      </c>
      <c r="B1273">
        <f t="shared" si="1052"/>
        <v>12</v>
      </c>
      <c r="C1273">
        <f t="shared" si="1053"/>
        <v>9</v>
      </c>
      <c r="D1273">
        <v>29</v>
      </c>
      <c r="E1273" t="str">
        <f>VLOOKUP(D1273,name!A:B,2,1)</f>
        <v>Eri</v>
      </c>
      <c r="F1273" t="s">
        <v>810</v>
      </c>
      <c r="G1273" t="str">
        <f t="shared" si="1033"/>
        <v>a</v>
      </c>
      <c r="H1273" t="str">
        <f>VLOOKUP(D1273,name!A:C,3,1)</f>
        <v>assets/icons/image209.png</v>
      </c>
      <c r="I1273" t="str">
        <f>IF(A1273="","",VLOOKUP(A1273,lng!A:B,2,0))</f>
        <v>en-GB</v>
      </c>
    </row>
    <row r="1274" spans="1:9" x14ac:dyDescent="0.15">
      <c r="A1274" t="str">
        <f t="shared" si="1052"/>
        <v>英語</v>
      </c>
      <c r="B1274">
        <f t="shared" si="1052"/>
        <v>12</v>
      </c>
      <c r="C1274">
        <f t="shared" si="1053"/>
        <v>10</v>
      </c>
      <c r="D1274">
        <f t="shared" si="1054"/>
        <v>31</v>
      </c>
      <c r="E1274" t="str">
        <f>VLOOKUP(D1274,name!A:B,2,1)</f>
        <v>Mrs. Bennett</v>
      </c>
      <c r="F1274" t="s">
        <v>822</v>
      </c>
      <c r="G1274" t="str">
        <f t="shared" si="1033"/>
        <v>a</v>
      </c>
      <c r="H1274" t="str">
        <f>VLOOKUP(D1274,name!A:C,3,1)</f>
        <v>assets/icons/image149.png</v>
      </c>
      <c r="I1274" t="s">
        <v>402</v>
      </c>
    </row>
    <row r="1275" spans="1:9" x14ac:dyDescent="0.15">
      <c r="A1275" t="str">
        <f t="shared" si="1052"/>
        <v>英語</v>
      </c>
      <c r="B1275">
        <f t="shared" si="1052"/>
        <v>12</v>
      </c>
      <c r="C1275">
        <f t="shared" si="1053"/>
        <v>11</v>
      </c>
      <c r="D1275">
        <f t="shared" si="1054"/>
        <v>31</v>
      </c>
      <c r="E1275" t="str">
        <f>VLOOKUP(D1275,name!A:B,2,1)</f>
        <v>Mrs. Bennett</v>
      </c>
      <c r="F1275" t="s">
        <v>811</v>
      </c>
      <c r="G1275" t="str">
        <f t="shared" si="1033"/>
        <v>a</v>
      </c>
      <c r="H1275" t="str">
        <f>VLOOKUP(D1275,name!A:C,3,1)</f>
        <v>assets/icons/image149.png</v>
      </c>
      <c r="I1275" t="str">
        <f>IF(A1275="","",VLOOKUP(A1275,lng!A:B,2,0))</f>
        <v>en-GB</v>
      </c>
    </row>
    <row r="1276" spans="1:9" x14ac:dyDescent="0.15">
      <c r="A1276" t="str">
        <f t="shared" si="1052"/>
        <v>英語</v>
      </c>
      <c r="B1276">
        <f t="shared" si="1052"/>
        <v>12</v>
      </c>
      <c r="C1276">
        <f t="shared" si="1053"/>
        <v>12</v>
      </c>
      <c r="D1276">
        <f t="shared" si="1054"/>
        <v>31</v>
      </c>
      <c r="E1276" t="str">
        <f>VLOOKUP(D1276,name!A:B,2,1)</f>
        <v>Mrs. Bennett</v>
      </c>
      <c r="F1276" t="s">
        <v>823</v>
      </c>
      <c r="G1276" t="str">
        <f t="shared" si="1033"/>
        <v>a</v>
      </c>
      <c r="H1276" t="str">
        <f>VLOOKUP(D1276,name!A:C,3,1)</f>
        <v>assets/icons/image149.png</v>
      </c>
      <c r="I1276" t="s">
        <v>402</v>
      </c>
    </row>
    <row r="1277" spans="1:9" x14ac:dyDescent="0.15">
      <c r="A1277" t="str">
        <f t="shared" si="1052"/>
        <v>英語</v>
      </c>
      <c r="B1277">
        <f t="shared" si="1052"/>
        <v>12</v>
      </c>
      <c r="C1277">
        <f t="shared" si="1053"/>
        <v>13</v>
      </c>
      <c r="D1277">
        <v>31</v>
      </c>
      <c r="E1277" t="str">
        <f>VLOOKUP(D1277,name!A:B,2,1)</f>
        <v>Mrs. Bennett</v>
      </c>
      <c r="F1277" t="s">
        <v>1038</v>
      </c>
      <c r="G1277" t="str">
        <f t="shared" si="1033"/>
        <v>a</v>
      </c>
      <c r="H1277" t="str">
        <f>VLOOKUP(D1277,name!A:C,3,1)</f>
        <v>assets/icons/image149.png</v>
      </c>
      <c r="I1277" t="str">
        <f>IF(A1277="","",VLOOKUP(A1277,lng!A:B,2,0))</f>
        <v>en-GB</v>
      </c>
    </row>
    <row r="1278" spans="1:9" x14ac:dyDescent="0.15">
      <c r="A1278" t="str">
        <f t="shared" si="1052"/>
        <v>英語</v>
      </c>
      <c r="B1278">
        <f t="shared" si="1052"/>
        <v>12</v>
      </c>
      <c r="C1278">
        <f t="shared" si="1053"/>
        <v>14</v>
      </c>
      <c r="D1278">
        <f t="shared" si="1054"/>
        <v>29</v>
      </c>
      <c r="E1278" t="str">
        <f>VLOOKUP(D1278,name!A:B,2,1)</f>
        <v>Eri</v>
      </c>
      <c r="F1278" t="s">
        <v>824</v>
      </c>
      <c r="G1278" t="str">
        <f t="shared" si="1033"/>
        <v>a</v>
      </c>
      <c r="H1278" t="str">
        <f>VLOOKUP(D1278,name!A:C,3,1)</f>
        <v>assets/icons/image209.png</v>
      </c>
      <c r="I1278" t="s">
        <v>402</v>
      </c>
    </row>
    <row r="1279" spans="1:9" x14ac:dyDescent="0.15">
      <c r="A1279" t="str">
        <f t="shared" si="1052"/>
        <v>英語</v>
      </c>
      <c r="B1279">
        <f t="shared" si="1052"/>
        <v>12</v>
      </c>
      <c r="C1279">
        <f t="shared" si="1053"/>
        <v>15</v>
      </c>
      <c r="D1279">
        <f t="shared" si="1054"/>
        <v>29</v>
      </c>
      <c r="E1279" t="str">
        <f>VLOOKUP(D1279,name!A:B,2,1)</f>
        <v>Eri</v>
      </c>
      <c r="F1279" t="s">
        <v>516</v>
      </c>
      <c r="G1279" t="str">
        <f t="shared" si="1033"/>
        <v>a</v>
      </c>
      <c r="H1279" t="str">
        <f>VLOOKUP(D1279,name!A:C,3,1)</f>
        <v>assets/icons/image209.png</v>
      </c>
      <c r="I1279" t="str">
        <f>IF(A1279="","",VLOOKUP(A1279,lng!A:B,2,0))</f>
        <v>en-GB</v>
      </c>
    </row>
    <row r="1280" spans="1:9" x14ac:dyDescent="0.15">
      <c r="A1280" t="str">
        <f t="shared" si="1052"/>
        <v>英語</v>
      </c>
      <c r="B1280">
        <f t="shared" si="1052"/>
        <v>12</v>
      </c>
      <c r="C1280">
        <f t="shared" si="1053"/>
        <v>16</v>
      </c>
      <c r="D1280">
        <f t="shared" si="1054"/>
        <v>29</v>
      </c>
      <c r="E1280" t="str">
        <f>VLOOKUP(D1280,name!A:B,2,1)</f>
        <v>Eri</v>
      </c>
      <c r="F1280" t="s">
        <v>825</v>
      </c>
      <c r="G1280" t="str">
        <f t="shared" si="1033"/>
        <v>a</v>
      </c>
      <c r="H1280" t="str">
        <f>VLOOKUP(D1280,name!A:C,3,1)</f>
        <v>assets/icons/image209.png</v>
      </c>
      <c r="I1280" t="s">
        <v>402</v>
      </c>
    </row>
    <row r="1281" spans="1:9" x14ac:dyDescent="0.15">
      <c r="A1281" t="str">
        <f t="shared" si="1052"/>
        <v>英語</v>
      </c>
      <c r="B1281">
        <f t="shared" si="1052"/>
        <v>12</v>
      </c>
      <c r="C1281">
        <f t="shared" si="1053"/>
        <v>17</v>
      </c>
      <c r="D1281">
        <f t="shared" si="1054"/>
        <v>29</v>
      </c>
      <c r="E1281" t="str">
        <f>VLOOKUP(D1281,name!A:B,2,1)</f>
        <v>Eri</v>
      </c>
      <c r="F1281" t="s">
        <v>812</v>
      </c>
      <c r="G1281" t="str">
        <f t="shared" si="1033"/>
        <v>a</v>
      </c>
      <c r="H1281" t="str">
        <f>VLOOKUP(D1281,name!A:C,3,1)</f>
        <v>assets/icons/image209.png</v>
      </c>
      <c r="I1281" t="str">
        <f>IF(A1281="","",VLOOKUP(A1281,lng!A:B,2,0))</f>
        <v>en-GB</v>
      </c>
    </row>
    <row r="1282" spans="1:9" x14ac:dyDescent="0.15">
      <c r="A1282" t="str">
        <f t="shared" ref="A1282:B1291" si="1055">A1281</f>
        <v>英語</v>
      </c>
      <c r="B1282">
        <f t="shared" si="1055"/>
        <v>12</v>
      </c>
      <c r="C1282">
        <f t="shared" si="1053"/>
        <v>18</v>
      </c>
      <c r="D1282">
        <f t="shared" si="1054"/>
        <v>29</v>
      </c>
      <c r="E1282" t="str">
        <f>VLOOKUP(D1282,name!A:B,2,1)</f>
        <v>Eri</v>
      </c>
      <c r="F1282" t="s">
        <v>826</v>
      </c>
      <c r="G1282" t="str">
        <f t="shared" si="1033"/>
        <v>a</v>
      </c>
      <c r="H1282" t="str">
        <f>VLOOKUP(D1282,name!A:C,3,1)</f>
        <v>assets/icons/image209.png</v>
      </c>
      <c r="I1282" t="s">
        <v>402</v>
      </c>
    </row>
    <row r="1283" spans="1:9" x14ac:dyDescent="0.15">
      <c r="A1283" t="str">
        <f t="shared" si="1055"/>
        <v>英語</v>
      </c>
      <c r="B1283">
        <f t="shared" si="1055"/>
        <v>12</v>
      </c>
      <c r="C1283">
        <f t="shared" si="1053"/>
        <v>19</v>
      </c>
      <c r="D1283">
        <f t="shared" si="1054"/>
        <v>29</v>
      </c>
      <c r="E1283" t="str">
        <f>VLOOKUP(D1283,name!A:B,2,1)</f>
        <v>Eri</v>
      </c>
      <c r="F1283" t="s">
        <v>813</v>
      </c>
      <c r="G1283" t="str">
        <f t="shared" si="1033"/>
        <v>a</v>
      </c>
      <c r="H1283" t="str">
        <f>VLOOKUP(D1283,name!A:C,3,1)</f>
        <v>assets/icons/image209.png</v>
      </c>
      <c r="I1283" t="str">
        <f>IF(A1283="","",VLOOKUP(A1283,lng!A:B,2,0))</f>
        <v>en-GB</v>
      </c>
    </row>
    <row r="1284" spans="1:9" x14ac:dyDescent="0.15">
      <c r="A1284" t="str">
        <f t="shared" si="1055"/>
        <v>英語</v>
      </c>
      <c r="B1284">
        <f t="shared" si="1055"/>
        <v>12</v>
      </c>
      <c r="C1284">
        <f t="shared" si="1053"/>
        <v>20</v>
      </c>
      <c r="D1284">
        <f t="shared" si="1054"/>
        <v>29</v>
      </c>
      <c r="E1284" t="str">
        <f>VLOOKUP(D1284,name!A:B,2,1)</f>
        <v>Eri</v>
      </c>
      <c r="F1284" t="s">
        <v>827</v>
      </c>
      <c r="G1284" t="str">
        <f t="shared" si="1033"/>
        <v>a</v>
      </c>
      <c r="H1284" t="str">
        <f>VLOOKUP(D1284,name!A:C,3,1)</f>
        <v>assets/icons/image209.png</v>
      </c>
      <c r="I1284" t="s">
        <v>402</v>
      </c>
    </row>
    <row r="1285" spans="1:9" x14ac:dyDescent="0.15">
      <c r="A1285" t="str">
        <f t="shared" si="1055"/>
        <v>英語</v>
      </c>
      <c r="B1285">
        <f t="shared" si="1055"/>
        <v>12</v>
      </c>
      <c r="C1285">
        <f t="shared" si="1053"/>
        <v>21</v>
      </c>
      <c r="D1285">
        <f t="shared" si="1054"/>
        <v>29</v>
      </c>
      <c r="E1285" t="str">
        <f>VLOOKUP(D1285,name!A:B,2,1)</f>
        <v>Eri</v>
      </c>
      <c r="F1285" t="s">
        <v>814</v>
      </c>
      <c r="G1285" t="str">
        <f t="shared" si="1033"/>
        <v>a</v>
      </c>
      <c r="H1285" t="str">
        <f>VLOOKUP(D1285,name!A:C,3,1)</f>
        <v>assets/icons/image209.png</v>
      </c>
      <c r="I1285" t="str">
        <f>IF(A1285="","",VLOOKUP(A1285,lng!A:B,2,0))</f>
        <v>en-GB</v>
      </c>
    </row>
    <row r="1286" spans="1:9" x14ac:dyDescent="0.15">
      <c r="A1286" t="str">
        <f t="shared" si="1055"/>
        <v>英語</v>
      </c>
      <c r="B1286">
        <f t="shared" si="1055"/>
        <v>12</v>
      </c>
      <c r="C1286">
        <f t="shared" si="1053"/>
        <v>22</v>
      </c>
      <c r="D1286">
        <f t="shared" si="1054"/>
        <v>29</v>
      </c>
      <c r="E1286" t="str">
        <f>VLOOKUP(D1286,name!A:B,2,1)</f>
        <v>Eri</v>
      </c>
      <c r="F1286" t="s">
        <v>828</v>
      </c>
      <c r="G1286" t="str">
        <f t="shared" si="1033"/>
        <v>a</v>
      </c>
      <c r="H1286" t="str">
        <f>VLOOKUP(D1286,name!A:C,3,1)</f>
        <v>assets/icons/image209.png</v>
      </c>
      <c r="I1286" t="s">
        <v>402</v>
      </c>
    </row>
    <row r="1287" spans="1:9" x14ac:dyDescent="0.15">
      <c r="A1287" t="str">
        <f t="shared" si="1055"/>
        <v>英語</v>
      </c>
      <c r="B1287">
        <f t="shared" si="1055"/>
        <v>12</v>
      </c>
      <c r="C1287">
        <f t="shared" si="1053"/>
        <v>23</v>
      </c>
      <c r="D1287">
        <f t="shared" si="1054"/>
        <v>29</v>
      </c>
      <c r="E1287" t="str">
        <f>VLOOKUP(D1287,name!A:B,2,1)</f>
        <v>Eri</v>
      </c>
      <c r="F1287" t="s">
        <v>815</v>
      </c>
      <c r="G1287" t="str">
        <f t="shared" si="1033"/>
        <v>a</v>
      </c>
      <c r="H1287" t="str">
        <f>VLOOKUP(D1287,name!A:C,3,1)</f>
        <v>assets/icons/image209.png</v>
      </c>
      <c r="I1287" t="str">
        <f>IF(A1287="","",VLOOKUP(A1287,lng!A:B,2,0))</f>
        <v>en-GB</v>
      </c>
    </row>
    <row r="1288" spans="1:9" x14ac:dyDescent="0.15">
      <c r="A1288" t="str">
        <f t="shared" si="1055"/>
        <v>英語</v>
      </c>
      <c r="B1288">
        <f t="shared" si="1055"/>
        <v>12</v>
      </c>
      <c r="C1288">
        <f t="shared" si="1053"/>
        <v>24</v>
      </c>
      <c r="D1288">
        <f t="shared" si="1054"/>
        <v>29</v>
      </c>
      <c r="E1288" t="str">
        <f>VLOOKUP(D1288,name!A:B,2,1)</f>
        <v>Eri</v>
      </c>
      <c r="F1288" t="s">
        <v>829</v>
      </c>
      <c r="G1288" t="str">
        <f t="shared" si="1033"/>
        <v>a</v>
      </c>
      <c r="H1288" t="str">
        <f>VLOOKUP(D1288,name!A:C,3,1)</f>
        <v>assets/icons/image209.png</v>
      </c>
      <c r="I1288" t="s">
        <v>402</v>
      </c>
    </row>
    <row r="1289" spans="1:9" x14ac:dyDescent="0.15">
      <c r="A1289" t="str">
        <f t="shared" si="1055"/>
        <v>英語</v>
      </c>
      <c r="B1289">
        <f t="shared" si="1055"/>
        <v>12</v>
      </c>
      <c r="C1289">
        <f t="shared" si="1053"/>
        <v>25</v>
      </c>
      <c r="D1289">
        <f t="shared" si="1054"/>
        <v>29</v>
      </c>
      <c r="E1289" t="str">
        <f>VLOOKUP(D1289,name!A:B,2,1)</f>
        <v>Eri</v>
      </c>
      <c r="F1289" t="s">
        <v>816</v>
      </c>
      <c r="G1289" t="str">
        <f t="shared" si="1033"/>
        <v>a</v>
      </c>
      <c r="H1289" t="str">
        <f>VLOOKUP(D1289,name!A:C,3,1)</f>
        <v>assets/icons/image209.png</v>
      </c>
      <c r="I1289" t="str">
        <f>IF(A1289="","",VLOOKUP(A1289,lng!A:B,2,0))</f>
        <v>en-GB</v>
      </c>
    </row>
    <row r="1290" spans="1:9" x14ac:dyDescent="0.15">
      <c r="A1290" t="str">
        <f t="shared" si="1055"/>
        <v>英語</v>
      </c>
      <c r="B1290">
        <f t="shared" si="1055"/>
        <v>12</v>
      </c>
      <c r="C1290">
        <f t="shared" si="1053"/>
        <v>26</v>
      </c>
      <c r="D1290">
        <f t="shared" si="1054"/>
        <v>29</v>
      </c>
      <c r="E1290" t="str">
        <f>VLOOKUP(D1290,name!A:B,2,1)</f>
        <v>Eri</v>
      </c>
      <c r="F1290" t="s">
        <v>830</v>
      </c>
      <c r="G1290" t="str">
        <f t="shared" si="1033"/>
        <v>a</v>
      </c>
      <c r="H1290" t="str">
        <f>VLOOKUP(D1290,name!A:C,3,1)</f>
        <v>assets/icons/image209.png</v>
      </c>
      <c r="I1290" t="s">
        <v>402</v>
      </c>
    </row>
    <row r="1291" spans="1:9" x14ac:dyDescent="0.15">
      <c r="A1291" t="str">
        <f t="shared" si="1055"/>
        <v>英語</v>
      </c>
      <c r="B1291">
        <f t="shared" si="1055"/>
        <v>12</v>
      </c>
      <c r="C1291">
        <f t="shared" si="1053"/>
        <v>27</v>
      </c>
      <c r="D1291">
        <f t="shared" si="1054"/>
        <v>29</v>
      </c>
      <c r="E1291" t="str">
        <f>VLOOKUP(D1291,name!A:B,2,1)</f>
        <v>Eri</v>
      </c>
      <c r="F1291" t="s">
        <v>817</v>
      </c>
      <c r="G1291" t="str">
        <f t="shared" si="1033"/>
        <v>a</v>
      </c>
      <c r="H1291" t="str">
        <f>VLOOKUP(D1291,name!A:C,3,1)</f>
        <v>assets/icons/image209.png</v>
      </c>
      <c r="I1291" t="str">
        <f>IF(A1291="","",VLOOKUP(A1291,lng!A:B,2,0))</f>
        <v>en-GB</v>
      </c>
    </row>
    <row r="1292" spans="1:9" x14ac:dyDescent="0.15">
      <c r="A1292" t="str">
        <f t="shared" ref="A1292:B1292" si="1056">A1291</f>
        <v>英語</v>
      </c>
      <c r="B1292">
        <f t="shared" si="1056"/>
        <v>12</v>
      </c>
      <c r="C1292">
        <f t="shared" si="1053"/>
        <v>28</v>
      </c>
      <c r="D1292">
        <f t="shared" si="1054"/>
        <v>29</v>
      </c>
      <c r="E1292" t="str">
        <f>VLOOKUP(D1292,name!A:B,2,1)</f>
        <v>Eri</v>
      </c>
      <c r="F1292" t="s">
        <v>831</v>
      </c>
      <c r="G1292" t="str">
        <f t="shared" si="1033"/>
        <v>a</v>
      </c>
      <c r="H1292" t="str">
        <f>VLOOKUP(D1292,name!A:C,3,1)</f>
        <v>assets/icons/image209.png</v>
      </c>
      <c r="I1292" t="s">
        <v>402</v>
      </c>
    </row>
    <row r="1293" spans="1:9" x14ac:dyDescent="0.15">
      <c r="A1293" t="str">
        <f t="shared" ref="A1293:B1293" si="1057">A1292</f>
        <v>英語</v>
      </c>
      <c r="B1293">
        <f t="shared" si="1057"/>
        <v>12</v>
      </c>
      <c r="C1293">
        <f t="shared" si="1053"/>
        <v>29</v>
      </c>
      <c r="D1293">
        <f t="shared" si="1054"/>
        <v>29</v>
      </c>
      <c r="E1293" t="str">
        <f>VLOOKUP(D1293,name!A:B,2,1)</f>
        <v>Eri</v>
      </c>
      <c r="F1293" t="s">
        <v>818</v>
      </c>
      <c r="G1293" t="str">
        <f t="shared" si="1033"/>
        <v>a</v>
      </c>
      <c r="H1293" t="str">
        <f>VLOOKUP(D1293,name!A:C,3,1)</f>
        <v>assets/icons/image209.png</v>
      </c>
      <c r="I1293" t="str">
        <f>IF(A1293="","",VLOOKUP(A1293,lng!A:B,2,0))</f>
        <v>en-GB</v>
      </c>
    </row>
    <row r="1294" spans="1:9" x14ac:dyDescent="0.15">
      <c r="A1294" t="str">
        <f t="shared" ref="A1294:B1294" si="1058">A1293</f>
        <v>英語</v>
      </c>
      <c r="B1294">
        <f t="shared" si="1058"/>
        <v>12</v>
      </c>
      <c r="C1294">
        <f t="shared" si="1053"/>
        <v>30</v>
      </c>
      <c r="D1294">
        <f t="shared" si="1054"/>
        <v>29</v>
      </c>
      <c r="E1294" t="str">
        <f>VLOOKUP(D1294,name!A:B,2,1)</f>
        <v>Eri</v>
      </c>
      <c r="F1294" t="s">
        <v>832</v>
      </c>
      <c r="G1294" t="str">
        <f t="shared" si="1033"/>
        <v>a</v>
      </c>
      <c r="H1294" t="str">
        <f>VLOOKUP(D1294,name!A:C,3,1)</f>
        <v>assets/icons/image209.png</v>
      </c>
      <c r="I1294" t="s">
        <v>402</v>
      </c>
    </row>
    <row r="1295" spans="1:9" x14ac:dyDescent="0.15">
      <c r="A1295" t="str">
        <f t="shared" ref="A1295:B1295" si="1059">A1294</f>
        <v>英語</v>
      </c>
      <c r="B1295">
        <f t="shared" si="1059"/>
        <v>12</v>
      </c>
      <c r="C1295">
        <f t="shared" si="1053"/>
        <v>31</v>
      </c>
      <c r="D1295">
        <v>29</v>
      </c>
      <c r="E1295" t="str">
        <f>VLOOKUP(D1295,name!A:B,2,1)</f>
        <v>Eri</v>
      </c>
      <c r="F1295" t="s">
        <v>819</v>
      </c>
      <c r="G1295" t="str">
        <f t="shared" si="1033"/>
        <v>a</v>
      </c>
      <c r="H1295" t="str">
        <f>VLOOKUP(D1295,name!A:C,3,1)</f>
        <v>assets/icons/image209.png</v>
      </c>
      <c r="I1295" t="str">
        <f>IF(A1295="","",VLOOKUP(A1295,lng!A:B,2,0))</f>
        <v>en-GB</v>
      </c>
    </row>
    <row r="1296" spans="1:9" x14ac:dyDescent="0.15">
      <c r="A1296" t="str">
        <f t="shared" ref="A1296:B1296" si="1060">A1295</f>
        <v>英語</v>
      </c>
      <c r="B1296">
        <f t="shared" si="1060"/>
        <v>12</v>
      </c>
      <c r="C1296">
        <f t="shared" si="1053"/>
        <v>32</v>
      </c>
      <c r="D1296">
        <v>1</v>
      </c>
      <c r="E1296" t="str">
        <f>VLOOKUP(D1296,name!A:B,2,1)</f>
        <v>Navigator</v>
      </c>
      <c r="F1296" t="str">
        <f>"次の"&amp;A1296&amp;"を真似してね！"</f>
        <v>次の英語を真似してね！</v>
      </c>
      <c r="G1296" t="str">
        <f t="shared" si="1033"/>
        <v>a</v>
      </c>
      <c r="H1296" t="str">
        <f>VLOOKUP(D1296,name!A:C,3,1)</f>
        <v>assets/icons/image014.png</v>
      </c>
      <c r="I1296" t="s">
        <v>402</v>
      </c>
    </row>
    <row r="1297" spans="1:9" x14ac:dyDescent="0.15">
      <c r="A1297" t="str">
        <f t="shared" ref="A1297:B1297" si="1061">A1296</f>
        <v>英語</v>
      </c>
      <c r="B1297">
        <f t="shared" si="1061"/>
        <v>12</v>
      </c>
      <c r="C1297">
        <f t="shared" si="1053"/>
        <v>33</v>
      </c>
      <c r="D1297">
        <f>D1268</f>
        <v>31</v>
      </c>
      <c r="E1297" t="str">
        <f>VLOOKUP(D1297,name!A:B,2,1)</f>
        <v>Mrs. Bennett</v>
      </c>
      <c r="F1297" t="str">
        <f>F1268</f>
        <v>ベネット夫人:エリ、私の故郷への旅はどうだったのかしら?</v>
      </c>
      <c r="G1297" t="str">
        <f t="shared" si="1033"/>
        <v>a</v>
      </c>
      <c r="H1297" t="str">
        <f>VLOOKUP(D1297,name!A:C,3,1)</f>
        <v>assets/icons/image149.png</v>
      </c>
      <c r="I1297" t="s">
        <v>402</v>
      </c>
    </row>
    <row r="1298" spans="1:9" x14ac:dyDescent="0.15">
      <c r="A1298" t="str">
        <f t="shared" ref="A1298:B1298" si="1062">A1297</f>
        <v>英語</v>
      </c>
      <c r="B1298">
        <f t="shared" si="1062"/>
        <v>12</v>
      </c>
      <c r="C1298">
        <f t="shared" si="1053"/>
        <v>34</v>
      </c>
      <c r="D1298">
        <f>D1269</f>
        <v>31</v>
      </c>
      <c r="E1298" t="str">
        <f>VLOOKUP(D1298,name!A:B,2,1)</f>
        <v>Mrs. Bennett</v>
      </c>
      <c r="F1298" t="str">
        <f>F1269</f>
        <v>Well, Eri, how did you enjoy your visit to my native country?</v>
      </c>
      <c r="G1298" t="str">
        <f t="shared" si="1033"/>
        <v>a</v>
      </c>
      <c r="H1298" t="str">
        <f>VLOOKUP(D1298,name!A:C,3,1)</f>
        <v>assets/icons/image149.png</v>
      </c>
      <c r="I1298" t="str">
        <f>IF(A1298="","",VLOOKUP(A1298,lng!A:B,2,0))</f>
        <v>en-GB</v>
      </c>
    </row>
    <row r="1299" spans="1:9" x14ac:dyDescent="0.15">
      <c r="A1299" t="str">
        <f t="shared" ref="A1299:B1299" si="1063">A1298</f>
        <v>英語</v>
      </c>
      <c r="B1299">
        <f t="shared" si="1063"/>
        <v>12</v>
      </c>
      <c r="C1299">
        <f t="shared" si="1053"/>
        <v>35</v>
      </c>
      <c r="D1299">
        <v>0</v>
      </c>
      <c r="E1299" t="str">
        <f>VLOOKUP(D1299,name!A:B,2,1)</f>
        <v>Player</v>
      </c>
      <c r="F1299" t="str">
        <f>F1269</f>
        <v>Well, Eri, how did you enjoy your visit to my native country?</v>
      </c>
      <c r="G1299" t="str">
        <f t="shared" si="1033"/>
        <v>q</v>
      </c>
      <c r="H1299" t="str">
        <f>VLOOKUP(D1299,name!A:C,3,1)</f>
        <v>assets/icons/image326.png</v>
      </c>
      <c r="I1299" t="str">
        <f>IF(A1299="","",VLOOKUP(A1299,lng!A:B,2,0))</f>
        <v>en-GB</v>
      </c>
    </row>
    <row r="1300" spans="1:9" x14ac:dyDescent="0.15">
      <c r="A1300" t="str">
        <f t="shared" ref="A1300:B1300" si="1064">A1299</f>
        <v>英語</v>
      </c>
      <c r="B1300">
        <f t="shared" si="1064"/>
        <v>12</v>
      </c>
      <c r="C1300">
        <f t="shared" si="1053"/>
        <v>36</v>
      </c>
      <c r="D1300">
        <f>D1270</f>
        <v>29</v>
      </c>
      <c r="E1300" t="str">
        <f>VLOOKUP(D1300,name!A:B,2,1)</f>
        <v>Eri</v>
      </c>
      <c r="F1300" t="str">
        <f>F1270</f>
        <v>ああ、それは素晴らしかったです！</v>
      </c>
      <c r="G1300" t="str">
        <f t="shared" si="1033"/>
        <v>a</v>
      </c>
      <c r="H1300" t="str">
        <f>VLOOKUP(D1300,name!A:C,3,1)</f>
        <v>assets/icons/image209.png</v>
      </c>
      <c r="I1300" t="s">
        <v>402</v>
      </c>
    </row>
    <row r="1301" spans="1:9" x14ac:dyDescent="0.15">
      <c r="A1301" t="str">
        <f t="shared" ref="A1301:B1301" si="1065">A1300</f>
        <v>英語</v>
      </c>
      <c r="B1301">
        <f t="shared" si="1065"/>
        <v>12</v>
      </c>
      <c r="C1301">
        <f t="shared" si="1053"/>
        <v>37</v>
      </c>
      <c r="D1301">
        <f>D1271</f>
        <v>29</v>
      </c>
      <c r="E1301" t="str">
        <f>VLOOKUP(D1301,name!A:B,2,1)</f>
        <v>Eri</v>
      </c>
      <c r="F1301" t="str">
        <f>F1271</f>
        <v>Oh, it was fantastic!</v>
      </c>
      <c r="G1301" t="str">
        <f t="shared" si="1033"/>
        <v>a</v>
      </c>
      <c r="H1301" t="str">
        <f>VLOOKUP(D1301,name!A:C,3,1)</f>
        <v>assets/icons/image209.png</v>
      </c>
      <c r="I1301" t="str">
        <f>IF(A1301="","",VLOOKUP(A1301,lng!A:B,2,0))</f>
        <v>en-GB</v>
      </c>
    </row>
    <row r="1302" spans="1:9" x14ac:dyDescent="0.15">
      <c r="A1302" t="str">
        <f t="shared" ref="A1302:B1302" si="1066">A1301</f>
        <v>英語</v>
      </c>
      <c r="B1302">
        <f t="shared" si="1066"/>
        <v>12</v>
      </c>
      <c r="C1302">
        <f t="shared" si="1053"/>
        <v>38</v>
      </c>
      <c r="D1302">
        <v>0</v>
      </c>
      <c r="E1302" t="str">
        <f>VLOOKUP(D1302,name!A:B,2,1)</f>
        <v>Player</v>
      </c>
      <c r="F1302" t="str">
        <f>F1271</f>
        <v>Oh, it was fantastic!</v>
      </c>
      <c r="G1302" t="str">
        <f t="shared" si="1033"/>
        <v>q</v>
      </c>
      <c r="H1302" t="str">
        <f>VLOOKUP(D1302,name!A:C,3,1)</f>
        <v>assets/icons/image326.png</v>
      </c>
      <c r="I1302" t="str">
        <f>IF(A1302="","",VLOOKUP(A1302,lng!A:B,2,0))</f>
        <v>en-GB</v>
      </c>
    </row>
    <row r="1303" spans="1:9" x14ac:dyDescent="0.15">
      <c r="A1303" t="str">
        <f t="shared" ref="A1303:B1303" si="1067">A1302</f>
        <v>英語</v>
      </c>
      <c r="B1303">
        <f t="shared" si="1067"/>
        <v>12</v>
      </c>
      <c r="C1303">
        <f t="shared" si="1053"/>
        <v>39</v>
      </c>
      <c r="D1303">
        <f>D1272</f>
        <v>29</v>
      </c>
      <c r="E1303" t="str">
        <f>VLOOKUP(D1303,name!A:B,2,1)</f>
        <v>Eri</v>
      </c>
      <c r="F1303" t="str">
        <f>F1272</f>
        <v>スノードニアはとてもきれいでした。</v>
      </c>
      <c r="G1303" t="str">
        <f t="shared" si="1033"/>
        <v>a</v>
      </c>
      <c r="H1303" t="str">
        <f>VLOOKUP(D1303,name!A:C,3,1)</f>
        <v>assets/icons/image209.png</v>
      </c>
      <c r="I1303" t="s">
        <v>402</v>
      </c>
    </row>
    <row r="1304" spans="1:9" x14ac:dyDescent="0.15">
      <c r="A1304" t="str">
        <f t="shared" ref="A1304:B1304" si="1068">A1303</f>
        <v>英語</v>
      </c>
      <c r="B1304">
        <f t="shared" si="1068"/>
        <v>12</v>
      </c>
      <c r="C1304">
        <f t="shared" si="1053"/>
        <v>40</v>
      </c>
      <c r="D1304">
        <f>D1273</f>
        <v>29</v>
      </c>
      <c r="E1304" t="str">
        <f>VLOOKUP(D1304,name!A:B,2,1)</f>
        <v>Eri</v>
      </c>
      <c r="F1304" t="str">
        <f>F1273</f>
        <v>Snowdonia was so beautiful.</v>
      </c>
      <c r="G1304" t="str">
        <f t="shared" si="1033"/>
        <v>a</v>
      </c>
      <c r="H1304" t="str">
        <f>VLOOKUP(D1304,name!A:C,3,1)</f>
        <v>assets/icons/image209.png</v>
      </c>
      <c r="I1304" t="str">
        <f>IF(A1304="","",VLOOKUP(A1304,lng!A:B,2,0))</f>
        <v>en-GB</v>
      </c>
    </row>
    <row r="1305" spans="1:9" x14ac:dyDescent="0.15">
      <c r="A1305" t="str">
        <f t="shared" ref="A1305:B1305" si="1069">A1304</f>
        <v>英語</v>
      </c>
      <c r="B1305">
        <f t="shared" si="1069"/>
        <v>12</v>
      </c>
      <c r="C1305">
        <f t="shared" si="1053"/>
        <v>41</v>
      </c>
      <c r="D1305">
        <v>0</v>
      </c>
      <c r="E1305" t="str">
        <f>VLOOKUP(D1305,name!A:B,2,1)</f>
        <v>Player</v>
      </c>
      <c r="F1305" t="str">
        <f>F1273</f>
        <v>Snowdonia was so beautiful.</v>
      </c>
      <c r="G1305" t="str">
        <f t="shared" si="1033"/>
        <v>q</v>
      </c>
      <c r="H1305" t="str">
        <f>VLOOKUP(D1305,name!A:C,3,1)</f>
        <v>assets/icons/image326.png</v>
      </c>
      <c r="I1305" t="str">
        <f>IF(A1305="","",VLOOKUP(A1305,lng!A:B,2,0))</f>
        <v>en-GB</v>
      </c>
    </row>
    <row r="1306" spans="1:9" x14ac:dyDescent="0.15">
      <c r="A1306" t="str">
        <f t="shared" ref="A1306:B1306" si="1070">A1305</f>
        <v>英語</v>
      </c>
      <c r="B1306">
        <f t="shared" si="1070"/>
        <v>12</v>
      </c>
      <c r="C1306">
        <f t="shared" si="1053"/>
        <v>42</v>
      </c>
      <c r="D1306">
        <f>D1274</f>
        <v>31</v>
      </c>
      <c r="E1306" t="str">
        <f>VLOOKUP(D1306,name!A:B,2,1)</f>
        <v>Mrs. Bennett</v>
      </c>
      <c r="F1306" t="str">
        <f>F1274</f>
        <v>全部聞かせて</v>
      </c>
      <c r="G1306" t="str">
        <f t="shared" si="1033"/>
        <v>a</v>
      </c>
      <c r="H1306" t="str">
        <f>VLOOKUP(D1306,name!A:C,3,1)</f>
        <v>assets/icons/image149.png</v>
      </c>
      <c r="I1306" t="s">
        <v>402</v>
      </c>
    </row>
    <row r="1307" spans="1:9" x14ac:dyDescent="0.15">
      <c r="A1307" t="str">
        <f t="shared" ref="A1307:B1307" si="1071">A1306</f>
        <v>英語</v>
      </c>
      <c r="B1307">
        <f t="shared" si="1071"/>
        <v>12</v>
      </c>
      <c r="C1307">
        <f t="shared" si="1053"/>
        <v>43</v>
      </c>
      <c r="D1307">
        <f>D1275</f>
        <v>31</v>
      </c>
      <c r="E1307" t="str">
        <f>VLOOKUP(D1307,name!A:B,2,1)</f>
        <v>Mrs. Bennett</v>
      </c>
      <c r="F1307" t="str">
        <f>F1275</f>
        <v>Come and tell me all about it.</v>
      </c>
      <c r="G1307" t="str">
        <f t="shared" si="1033"/>
        <v>a</v>
      </c>
      <c r="H1307" t="str">
        <f>VLOOKUP(D1307,name!A:C,3,1)</f>
        <v>assets/icons/image149.png</v>
      </c>
      <c r="I1307" t="str">
        <f>IF(A1307="","",VLOOKUP(A1307,lng!A:B,2,0))</f>
        <v>en-GB</v>
      </c>
    </row>
    <row r="1308" spans="1:9" x14ac:dyDescent="0.15">
      <c r="A1308" t="str">
        <f t="shared" ref="A1308:B1308" si="1072">A1307</f>
        <v>英語</v>
      </c>
      <c r="B1308">
        <f t="shared" si="1072"/>
        <v>12</v>
      </c>
      <c r="C1308">
        <f t="shared" si="1053"/>
        <v>44</v>
      </c>
      <c r="D1308">
        <v>0</v>
      </c>
      <c r="E1308" t="str">
        <f>VLOOKUP(D1308,name!A:B,2,1)</f>
        <v>Player</v>
      </c>
      <c r="F1308" t="str">
        <f>F1275</f>
        <v>Come and tell me all about it.</v>
      </c>
      <c r="G1308" t="str">
        <f t="shared" si="1033"/>
        <v>q</v>
      </c>
      <c r="H1308" t="str">
        <f>VLOOKUP(D1308,name!A:C,3,1)</f>
        <v>assets/icons/image326.png</v>
      </c>
      <c r="I1308" t="str">
        <f>IF(A1308="","",VLOOKUP(A1308,lng!A:B,2,0))</f>
        <v>en-GB</v>
      </c>
    </row>
    <row r="1309" spans="1:9" x14ac:dyDescent="0.15">
      <c r="A1309" t="str">
        <f t="shared" ref="A1309:B1309" si="1073">A1308</f>
        <v>英語</v>
      </c>
      <c r="B1309">
        <f t="shared" si="1073"/>
        <v>12</v>
      </c>
      <c r="C1309">
        <f t="shared" si="1053"/>
        <v>45</v>
      </c>
      <c r="D1309">
        <f>D1276</f>
        <v>31</v>
      </c>
      <c r="E1309" t="str">
        <f>VLOOKUP(D1309,name!A:B,2,1)</f>
        <v>Mrs. Bennett</v>
      </c>
      <c r="F1309" t="str">
        <f>F1276</f>
        <v>「小さな鉄道」の 1 つに乗ることができましたか?</v>
      </c>
      <c r="G1309" t="str">
        <f t="shared" si="1033"/>
        <v>a</v>
      </c>
      <c r="H1309" t="str">
        <f>VLOOKUP(D1309,name!A:C,3,1)</f>
        <v>assets/icons/image149.png</v>
      </c>
      <c r="I1309" t="s">
        <v>402</v>
      </c>
    </row>
    <row r="1310" spans="1:9" x14ac:dyDescent="0.15">
      <c r="A1310" t="str">
        <f t="shared" ref="A1310:B1310" si="1074">A1309</f>
        <v>英語</v>
      </c>
      <c r="B1310">
        <f t="shared" si="1074"/>
        <v>12</v>
      </c>
      <c r="C1310">
        <f t="shared" si="1053"/>
        <v>46</v>
      </c>
      <c r="D1310">
        <f>D1277</f>
        <v>31</v>
      </c>
      <c r="E1310" t="str">
        <f>VLOOKUP(D1310,name!A:B,2,1)</f>
        <v>Mrs. Bennett</v>
      </c>
      <c r="F1310" t="str">
        <f>F1277</f>
        <v>Did you get to ride on one of the 'little railways'?</v>
      </c>
      <c r="G1310" t="str">
        <f t="shared" ref="G1310:G1373" si="1075">IF(B1310&lt;&gt;B1311,"e",IF(D1310=0,"q","a"))</f>
        <v>a</v>
      </c>
      <c r="H1310" t="str">
        <f>VLOOKUP(D1310,name!A:C,3,1)</f>
        <v>assets/icons/image149.png</v>
      </c>
      <c r="I1310" t="str">
        <f>IF(A1310="","",VLOOKUP(A1310,lng!A:B,2,0))</f>
        <v>en-GB</v>
      </c>
    </row>
    <row r="1311" spans="1:9" x14ac:dyDescent="0.15">
      <c r="A1311" t="str">
        <f t="shared" ref="A1311:B1311" si="1076">A1310</f>
        <v>英語</v>
      </c>
      <c r="B1311">
        <f t="shared" si="1076"/>
        <v>12</v>
      </c>
      <c r="C1311">
        <f t="shared" si="1053"/>
        <v>47</v>
      </c>
      <c r="D1311">
        <v>0</v>
      </c>
      <c r="E1311" t="str">
        <f>VLOOKUP(D1311,name!A:B,2,1)</f>
        <v>Player</v>
      </c>
      <c r="F1311" t="str">
        <f>F1277</f>
        <v>Did you get to ride on one of the 'little railways'?</v>
      </c>
      <c r="G1311" t="str">
        <f t="shared" si="1075"/>
        <v>q</v>
      </c>
      <c r="H1311" t="str">
        <f>VLOOKUP(D1311,name!A:C,3,1)</f>
        <v>assets/icons/image326.png</v>
      </c>
      <c r="I1311" t="str">
        <f>IF(A1311="","",VLOOKUP(A1311,lng!A:B,2,0))</f>
        <v>en-GB</v>
      </c>
    </row>
    <row r="1312" spans="1:9" x14ac:dyDescent="0.15">
      <c r="A1312" t="str">
        <f t="shared" ref="A1312:B1312" si="1077">A1311</f>
        <v>英語</v>
      </c>
      <c r="B1312">
        <f t="shared" si="1077"/>
        <v>12</v>
      </c>
      <c r="C1312">
        <f t="shared" si="1053"/>
        <v>48</v>
      </c>
      <c r="D1312">
        <f>D1278</f>
        <v>29</v>
      </c>
      <c r="E1312" t="str">
        <f>VLOOKUP(D1312,name!A:B,2,1)</f>
        <v>Eri</v>
      </c>
      <c r="F1312" t="str">
        <f>F1278</f>
        <v>はい。</v>
      </c>
      <c r="G1312" t="str">
        <f t="shared" si="1075"/>
        <v>a</v>
      </c>
      <c r="H1312" t="str">
        <f>VLOOKUP(D1312,name!A:C,3,1)</f>
        <v>assets/icons/image209.png</v>
      </c>
      <c r="I1312" t="s">
        <v>402</v>
      </c>
    </row>
    <row r="1313" spans="1:9" x14ac:dyDescent="0.15">
      <c r="A1313" t="str">
        <f t="shared" ref="A1313:B1313" si="1078">A1312</f>
        <v>英語</v>
      </c>
      <c r="B1313">
        <f t="shared" si="1078"/>
        <v>12</v>
      </c>
      <c r="C1313">
        <f t="shared" si="1053"/>
        <v>49</v>
      </c>
      <c r="D1313">
        <f>D1279</f>
        <v>29</v>
      </c>
      <c r="E1313" t="str">
        <f>VLOOKUP(D1313,name!A:B,2,1)</f>
        <v>Eri</v>
      </c>
      <c r="F1313" t="str">
        <f>F1279</f>
        <v>Yes.</v>
      </c>
      <c r="G1313" t="str">
        <f t="shared" si="1075"/>
        <v>a</v>
      </c>
      <c r="H1313" t="str">
        <f>VLOOKUP(D1313,name!A:C,3,1)</f>
        <v>assets/icons/image209.png</v>
      </c>
      <c r="I1313" t="str">
        <f>IF(A1313="","",VLOOKUP(A1313,lng!A:B,2,0))</f>
        <v>en-GB</v>
      </c>
    </row>
    <row r="1314" spans="1:9" x14ac:dyDescent="0.15">
      <c r="A1314" t="str">
        <f t="shared" ref="A1314:B1314" si="1079">A1313</f>
        <v>英語</v>
      </c>
      <c r="B1314">
        <f t="shared" si="1079"/>
        <v>12</v>
      </c>
      <c r="C1314">
        <f t="shared" si="1053"/>
        <v>50</v>
      </c>
      <c r="D1314">
        <v>0</v>
      </c>
      <c r="E1314" t="str">
        <f>VLOOKUP(D1314,name!A:B,2,1)</f>
        <v>Player</v>
      </c>
      <c r="F1314" t="str">
        <f>F1279</f>
        <v>Yes.</v>
      </c>
      <c r="G1314" t="str">
        <f t="shared" si="1075"/>
        <v>q</v>
      </c>
      <c r="H1314" t="str">
        <f>VLOOKUP(D1314,name!A:C,3,1)</f>
        <v>assets/icons/image326.png</v>
      </c>
      <c r="I1314" t="str">
        <f>IF(A1314="","",VLOOKUP(A1314,lng!A:B,2,0))</f>
        <v>en-GB</v>
      </c>
    </row>
    <row r="1315" spans="1:9" x14ac:dyDescent="0.15">
      <c r="A1315" t="str">
        <f t="shared" ref="A1315:B1315" si="1080">A1314</f>
        <v>英語</v>
      </c>
      <c r="B1315">
        <f t="shared" si="1080"/>
        <v>12</v>
      </c>
      <c r="C1315">
        <f t="shared" si="1053"/>
        <v>51</v>
      </c>
      <c r="D1315">
        <f>D1280</f>
        <v>29</v>
      </c>
      <c r="E1315" t="str">
        <f>VLOOKUP(D1315,name!A:B,2,1)</f>
        <v>Eri</v>
      </c>
      <c r="F1315" t="str">
        <f>F1280</f>
        <v>まずタリスリン鉄道までバスで行きました。</v>
      </c>
      <c r="G1315" t="str">
        <f t="shared" si="1075"/>
        <v>a</v>
      </c>
      <c r="H1315" t="str">
        <f>VLOOKUP(D1315,name!A:C,3,1)</f>
        <v>assets/icons/image209.png</v>
      </c>
      <c r="I1315" t="s">
        <v>402</v>
      </c>
    </row>
    <row r="1316" spans="1:9" x14ac:dyDescent="0.15">
      <c r="A1316" t="str">
        <f t="shared" ref="A1316:B1316" si="1081">A1315</f>
        <v>英語</v>
      </c>
      <c r="B1316">
        <f t="shared" si="1081"/>
        <v>12</v>
      </c>
      <c r="C1316">
        <f t="shared" si="1053"/>
        <v>52</v>
      </c>
      <c r="D1316">
        <f>D1281</f>
        <v>29</v>
      </c>
      <c r="E1316" t="str">
        <f>VLOOKUP(D1316,name!A:B,2,1)</f>
        <v>Eri</v>
      </c>
      <c r="F1316" t="str">
        <f>F1281</f>
        <v>We went by coach to the Tallylyn Railway first.</v>
      </c>
      <c r="G1316" t="str">
        <f t="shared" si="1075"/>
        <v>a</v>
      </c>
      <c r="H1316" t="str">
        <f>VLOOKUP(D1316,name!A:C,3,1)</f>
        <v>assets/icons/image209.png</v>
      </c>
      <c r="I1316" t="str">
        <f>IF(A1316="","",VLOOKUP(A1316,lng!A:B,2,0))</f>
        <v>en-GB</v>
      </c>
    </row>
    <row r="1317" spans="1:9" x14ac:dyDescent="0.15">
      <c r="A1317" t="str">
        <f t="shared" ref="A1317:B1317" si="1082">A1316</f>
        <v>英語</v>
      </c>
      <c r="B1317">
        <f t="shared" si="1082"/>
        <v>12</v>
      </c>
      <c r="C1317">
        <f t="shared" si="1053"/>
        <v>53</v>
      </c>
      <c r="D1317">
        <v>0</v>
      </c>
      <c r="E1317" t="str">
        <f>VLOOKUP(D1317,name!A:B,2,1)</f>
        <v>Player</v>
      </c>
      <c r="F1317" t="str">
        <f>F1281</f>
        <v>We went by coach to the Tallylyn Railway first.</v>
      </c>
      <c r="G1317" t="str">
        <f t="shared" si="1075"/>
        <v>q</v>
      </c>
      <c r="H1317" t="str">
        <f>VLOOKUP(D1317,name!A:C,3,1)</f>
        <v>assets/icons/image326.png</v>
      </c>
      <c r="I1317" t="str">
        <f>IF(A1317="","",VLOOKUP(A1317,lng!A:B,2,0))</f>
        <v>en-GB</v>
      </c>
    </row>
    <row r="1318" spans="1:9" x14ac:dyDescent="0.15">
      <c r="A1318" t="str">
        <f t="shared" ref="A1318:B1318" si="1083">A1317</f>
        <v>英語</v>
      </c>
      <c r="B1318">
        <f t="shared" si="1083"/>
        <v>12</v>
      </c>
      <c r="C1318">
        <f t="shared" si="1053"/>
        <v>54</v>
      </c>
      <c r="D1318">
        <f>D1282</f>
        <v>29</v>
      </c>
      <c r="E1318" t="str">
        <f>VLOOKUP(D1318,name!A:B,2,1)</f>
        <v>Eri</v>
      </c>
      <c r="F1318" t="str">
        <f>F1282</f>
        <v>ずっとトーマスのファンだったので、わくわくしました。</v>
      </c>
      <c r="G1318" t="str">
        <f t="shared" si="1075"/>
        <v>a</v>
      </c>
      <c r="H1318" t="str">
        <f>VLOOKUP(D1318,name!A:C,3,1)</f>
        <v>assets/icons/image209.png</v>
      </c>
      <c r="I1318" t="s">
        <v>402</v>
      </c>
    </row>
    <row r="1319" spans="1:9" x14ac:dyDescent="0.15">
      <c r="A1319" t="str">
        <f t="shared" ref="A1319:B1319" si="1084">A1318</f>
        <v>英語</v>
      </c>
      <c r="B1319">
        <f t="shared" si="1084"/>
        <v>12</v>
      </c>
      <c r="C1319">
        <f t="shared" si="1053"/>
        <v>55</v>
      </c>
      <c r="D1319">
        <f>D1283</f>
        <v>29</v>
      </c>
      <c r="E1319" t="str">
        <f>VLOOKUP(D1319,name!A:B,2,1)</f>
        <v>Eri</v>
      </c>
      <c r="F1319" t="str">
        <f>F1283</f>
        <v>I was thrilled because I've always been a Thomas fan.</v>
      </c>
      <c r="G1319" t="str">
        <f t="shared" si="1075"/>
        <v>a</v>
      </c>
      <c r="H1319" t="str">
        <f>VLOOKUP(D1319,name!A:C,3,1)</f>
        <v>assets/icons/image209.png</v>
      </c>
      <c r="I1319" t="str">
        <f>IF(A1319="","",VLOOKUP(A1319,lng!A:B,2,0))</f>
        <v>en-GB</v>
      </c>
    </row>
    <row r="1320" spans="1:9" x14ac:dyDescent="0.15">
      <c r="A1320" t="str">
        <f t="shared" ref="A1320:B1320" si="1085">A1319</f>
        <v>英語</v>
      </c>
      <c r="B1320">
        <f t="shared" si="1085"/>
        <v>12</v>
      </c>
      <c r="C1320">
        <f t="shared" si="1053"/>
        <v>56</v>
      </c>
      <c r="D1320">
        <v>0</v>
      </c>
      <c r="E1320" t="str">
        <f>VLOOKUP(D1320,name!A:B,2,1)</f>
        <v>Player</v>
      </c>
      <c r="F1320" t="str">
        <f>F1283</f>
        <v>I was thrilled because I've always been a Thomas fan.</v>
      </c>
      <c r="G1320" t="str">
        <f t="shared" si="1075"/>
        <v>q</v>
      </c>
      <c r="H1320" t="str">
        <f>VLOOKUP(D1320,name!A:C,3,1)</f>
        <v>assets/icons/image326.png</v>
      </c>
      <c r="I1320" t="str">
        <f>IF(A1320="","",VLOOKUP(A1320,lng!A:B,2,0))</f>
        <v>en-GB</v>
      </c>
    </row>
    <row r="1321" spans="1:9" x14ac:dyDescent="0.15">
      <c r="A1321" t="str">
        <f t="shared" ref="A1321:B1321" si="1086">A1320</f>
        <v>英語</v>
      </c>
      <c r="B1321">
        <f t="shared" si="1086"/>
        <v>12</v>
      </c>
      <c r="C1321">
        <f t="shared" si="1053"/>
        <v>57</v>
      </c>
      <c r="D1321">
        <f>D1284</f>
        <v>29</v>
      </c>
      <c r="E1321" t="str">
        <f>VLOOKUP(D1321,name!A:B,2,1)</f>
        <v>Eri</v>
      </c>
      <c r="F1321" t="str">
        <f>F1284</f>
        <v>それから私たちは大きな森でピクニックをし、素敵な大きな湖を車で通り過ぎました。</v>
      </c>
      <c r="G1321" t="str">
        <f t="shared" si="1075"/>
        <v>a</v>
      </c>
      <c r="H1321" t="str">
        <f>VLOOKUP(D1321,name!A:C,3,1)</f>
        <v>assets/icons/image209.png</v>
      </c>
      <c r="I1321" t="s">
        <v>402</v>
      </c>
    </row>
    <row r="1322" spans="1:9" x14ac:dyDescent="0.15">
      <c r="A1322" t="str">
        <f t="shared" ref="A1322:B1322" si="1087">A1321</f>
        <v>英語</v>
      </c>
      <c r="B1322">
        <f t="shared" si="1087"/>
        <v>12</v>
      </c>
      <c r="C1322">
        <f t="shared" si="1053"/>
        <v>58</v>
      </c>
      <c r="D1322">
        <f>D1285</f>
        <v>29</v>
      </c>
      <c r="E1322" t="str">
        <f>VLOOKUP(D1322,name!A:B,2,1)</f>
        <v>Eri</v>
      </c>
      <c r="F1322" t="str">
        <f>F1285</f>
        <v>Then we picnicked in a big forest and drove past a lovely big lake.</v>
      </c>
      <c r="G1322" t="str">
        <f t="shared" si="1075"/>
        <v>a</v>
      </c>
      <c r="H1322" t="str">
        <f>VLOOKUP(D1322,name!A:C,3,1)</f>
        <v>assets/icons/image209.png</v>
      </c>
      <c r="I1322" t="str">
        <f>IF(A1322="","",VLOOKUP(A1322,lng!A:B,2,0))</f>
        <v>en-GB</v>
      </c>
    </row>
    <row r="1323" spans="1:9" x14ac:dyDescent="0.15">
      <c r="A1323" t="str">
        <f t="shared" ref="A1323:B1323" si="1088">A1322</f>
        <v>英語</v>
      </c>
      <c r="B1323">
        <f t="shared" si="1088"/>
        <v>12</v>
      </c>
      <c r="C1323">
        <f t="shared" si="1053"/>
        <v>59</v>
      </c>
      <c r="D1323">
        <v>0</v>
      </c>
      <c r="E1323" t="str">
        <f>VLOOKUP(D1323,name!A:B,2,1)</f>
        <v>Player</v>
      </c>
      <c r="F1323" t="str">
        <f>F1285</f>
        <v>Then we picnicked in a big forest and drove past a lovely big lake.</v>
      </c>
      <c r="G1323" t="str">
        <f t="shared" si="1075"/>
        <v>q</v>
      </c>
      <c r="H1323" t="str">
        <f>VLOOKUP(D1323,name!A:C,3,1)</f>
        <v>assets/icons/image326.png</v>
      </c>
      <c r="I1323" t="str">
        <f>IF(A1323="","",VLOOKUP(A1323,lng!A:B,2,0))</f>
        <v>en-GB</v>
      </c>
    </row>
    <row r="1324" spans="1:9" x14ac:dyDescent="0.15">
      <c r="A1324" t="str">
        <f t="shared" ref="A1324:B1324" si="1089">A1323</f>
        <v>英語</v>
      </c>
      <c r="B1324">
        <f t="shared" si="1089"/>
        <v>12</v>
      </c>
      <c r="C1324">
        <f t="shared" si="1053"/>
        <v>60</v>
      </c>
      <c r="D1324">
        <f>D1286</f>
        <v>29</v>
      </c>
      <c r="E1324" t="str">
        <f>VLOOKUP(D1324,name!A:B,2,1)</f>
        <v>Eri</v>
      </c>
      <c r="F1324" t="str">
        <f>F1286</f>
        <v>名前を聞き取れなかったのは残念です。</v>
      </c>
      <c r="G1324" t="str">
        <f t="shared" si="1075"/>
        <v>a</v>
      </c>
      <c r="H1324" t="str">
        <f>VLOOKUP(D1324,name!A:C,3,1)</f>
        <v>assets/icons/image209.png</v>
      </c>
      <c r="I1324" t="s">
        <v>402</v>
      </c>
    </row>
    <row r="1325" spans="1:9" x14ac:dyDescent="0.15">
      <c r="A1325" t="str">
        <f t="shared" ref="A1325:B1325" si="1090">A1324</f>
        <v>英語</v>
      </c>
      <c r="B1325">
        <f t="shared" si="1090"/>
        <v>12</v>
      </c>
      <c r="C1325">
        <f t="shared" si="1053"/>
        <v>61</v>
      </c>
      <c r="D1325">
        <f>D1287</f>
        <v>29</v>
      </c>
      <c r="E1325" t="str">
        <f>VLOOKUP(D1325,name!A:B,2,1)</f>
        <v>Eri</v>
      </c>
      <c r="F1325" t="str">
        <f>F1287</f>
        <v xml:space="preserve"> I'm sorry I didn't manage to catch the names.</v>
      </c>
      <c r="G1325" t="str">
        <f t="shared" si="1075"/>
        <v>a</v>
      </c>
      <c r="H1325" t="str">
        <f>VLOOKUP(D1325,name!A:C,3,1)</f>
        <v>assets/icons/image209.png</v>
      </c>
      <c r="I1325" t="str">
        <f>IF(A1325="","",VLOOKUP(A1325,lng!A:B,2,0))</f>
        <v>en-GB</v>
      </c>
    </row>
    <row r="1326" spans="1:9" x14ac:dyDescent="0.15">
      <c r="A1326" t="str">
        <f t="shared" ref="A1326:B1326" si="1091">A1325</f>
        <v>英語</v>
      </c>
      <c r="B1326">
        <f t="shared" si="1091"/>
        <v>12</v>
      </c>
      <c r="C1326">
        <f t="shared" si="1053"/>
        <v>62</v>
      </c>
      <c r="D1326">
        <v>0</v>
      </c>
      <c r="E1326" t="str">
        <f>VLOOKUP(D1326,name!A:B,2,1)</f>
        <v>Player</v>
      </c>
      <c r="F1326" t="str">
        <f>F1287</f>
        <v xml:space="preserve"> I'm sorry I didn't manage to catch the names.</v>
      </c>
      <c r="G1326" t="str">
        <f t="shared" si="1075"/>
        <v>q</v>
      </c>
      <c r="H1326" t="str">
        <f>VLOOKUP(D1326,name!A:C,3,1)</f>
        <v>assets/icons/image326.png</v>
      </c>
      <c r="I1326" t="str">
        <f>IF(A1326="","",VLOOKUP(A1326,lng!A:B,2,0))</f>
        <v>en-GB</v>
      </c>
    </row>
    <row r="1327" spans="1:9" x14ac:dyDescent="0.15">
      <c r="A1327" t="str">
        <f t="shared" ref="A1327:B1327" si="1092">A1326</f>
        <v>英語</v>
      </c>
      <c r="B1327">
        <f t="shared" si="1092"/>
        <v>12</v>
      </c>
      <c r="C1327">
        <f t="shared" si="1053"/>
        <v>63</v>
      </c>
      <c r="D1327">
        <f>D1288</f>
        <v>29</v>
      </c>
      <c r="E1327" t="str">
        <f>VLOOKUP(D1327,name!A:B,2,1)</f>
        <v>Eri</v>
      </c>
      <c r="F1327" t="str">
        <f>F1288</f>
        <v>ウェールズ語は読みにくいことがあります。</v>
      </c>
      <c r="G1327" t="str">
        <f t="shared" si="1075"/>
        <v>a</v>
      </c>
      <c r="H1327" t="str">
        <f>VLOOKUP(D1327,name!A:C,3,1)</f>
        <v>assets/icons/image209.png</v>
      </c>
      <c r="I1327" t="s">
        <v>402</v>
      </c>
    </row>
    <row r="1328" spans="1:9" x14ac:dyDescent="0.15">
      <c r="A1328" t="str">
        <f t="shared" ref="A1328:B1328" si="1093">A1327</f>
        <v>英語</v>
      </c>
      <c r="B1328">
        <f t="shared" si="1093"/>
        <v>12</v>
      </c>
      <c r="C1328">
        <f t="shared" si="1053"/>
        <v>64</v>
      </c>
      <c r="D1328">
        <f>D1289</f>
        <v>29</v>
      </c>
      <c r="E1328" t="str">
        <f>VLOOKUP(D1328,name!A:B,2,1)</f>
        <v>Eri</v>
      </c>
      <c r="F1328" t="str">
        <f>F1289</f>
        <v xml:space="preserve"> Welsh is difficult to read sometimes.</v>
      </c>
      <c r="G1328" t="str">
        <f t="shared" si="1075"/>
        <v>a</v>
      </c>
      <c r="H1328" t="str">
        <f>VLOOKUP(D1328,name!A:C,3,1)</f>
        <v>assets/icons/image209.png</v>
      </c>
      <c r="I1328" t="str">
        <f>IF(A1328="","",VLOOKUP(A1328,lng!A:B,2,0))</f>
        <v>en-GB</v>
      </c>
    </row>
    <row r="1329" spans="1:9" x14ac:dyDescent="0.15">
      <c r="A1329" t="str">
        <f t="shared" ref="A1329:B1329" si="1094">A1328</f>
        <v>英語</v>
      </c>
      <c r="B1329">
        <f t="shared" si="1094"/>
        <v>12</v>
      </c>
      <c r="C1329">
        <f t="shared" si="1053"/>
        <v>65</v>
      </c>
      <c r="D1329">
        <v>0</v>
      </c>
      <c r="E1329" t="str">
        <f>VLOOKUP(D1329,name!A:B,2,1)</f>
        <v>Player</v>
      </c>
      <c r="F1329" t="str">
        <f>F1289</f>
        <v xml:space="preserve"> Welsh is difficult to read sometimes.</v>
      </c>
      <c r="G1329" t="str">
        <f t="shared" si="1075"/>
        <v>q</v>
      </c>
      <c r="H1329" t="str">
        <f>VLOOKUP(D1329,name!A:C,3,1)</f>
        <v>assets/icons/image326.png</v>
      </c>
      <c r="I1329" t="str">
        <f>IF(A1329="","",VLOOKUP(A1329,lng!A:B,2,0))</f>
        <v>en-GB</v>
      </c>
    </row>
    <row r="1330" spans="1:9" x14ac:dyDescent="0.15">
      <c r="A1330" t="str">
        <f t="shared" ref="A1330:B1330" si="1095">A1329</f>
        <v>英語</v>
      </c>
      <c r="B1330">
        <f t="shared" si="1095"/>
        <v>12</v>
      </c>
      <c r="C1330">
        <f t="shared" si="1053"/>
        <v>66</v>
      </c>
      <c r="D1330">
        <f>D1290</f>
        <v>29</v>
      </c>
      <c r="E1330" t="str">
        <f>VLOOKUP(D1330,name!A:B,2,1)</f>
        <v>Eri</v>
      </c>
      <c r="F1330" t="str">
        <f>F1290</f>
        <v>私たちはポートメイリオンに一晩滞在し、素敵なポートメイリオン製のカップを買いました。</v>
      </c>
      <c r="G1330" t="str">
        <f t="shared" si="1075"/>
        <v>a</v>
      </c>
      <c r="H1330" t="str">
        <f>VLOOKUP(D1330,name!A:C,3,1)</f>
        <v>assets/icons/image209.png</v>
      </c>
      <c r="I1330" t="s">
        <v>402</v>
      </c>
    </row>
    <row r="1331" spans="1:9" x14ac:dyDescent="0.15">
      <c r="A1331" t="str">
        <f t="shared" ref="A1331:B1331" si="1096">A1330</f>
        <v>英語</v>
      </c>
      <c r="B1331">
        <f t="shared" si="1096"/>
        <v>12</v>
      </c>
      <c r="C1331">
        <f t="shared" ref="C1331:C1368" si="1097">C1330+1</f>
        <v>67</v>
      </c>
      <c r="D1331">
        <f>D1291</f>
        <v>29</v>
      </c>
      <c r="E1331" t="str">
        <f>VLOOKUP(D1331,name!A:B,2,1)</f>
        <v>Eri</v>
      </c>
      <c r="F1331" t="str">
        <f>F1291</f>
        <v>We stayed in Portmeirion overnight and I bought a lovely Portmeirionware cup.</v>
      </c>
      <c r="G1331" t="str">
        <f t="shared" si="1075"/>
        <v>a</v>
      </c>
      <c r="H1331" t="str">
        <f>VLOOKUP(D1331,name!A:C,3,1)</f>
        <v>assets/icons/image209.png</v>
      </c>
      <c r="I1331" t="str">
        <f>IF(A1331="","",VLOOKUP(A1331,lng!A:B,2,0))</f>
        <v>en-GB</v>
      </c>
    </row>
    <row r="1332" spans="1:9" x14ac:dyDescent="0.15">
      <c r="A1332" t="str">
        <f t="shared" ref="A1332:B1332" si="1098">A1331</f>
        <v>英語</v>
      </c>
      <c r="B1332">
        <f t="shared" si="1098"/>
        <v>12</v>
      </c>
      <c r="C1332">
        <f t="shared" si="1097"/>
        <v>68</v>
      </c>
      <c r="D1332">
        <v>0</v>
      </c>
      <c r="E1332" t="str">
        <f>VLOOKUP(D1332,name!A:B,2,1)</f>
        <v>Player</v>
      </c>
      <c r="F1332" t="str">
        <f>F1291</f>
        <v>We stayed in Portmeirion overnight and I bought a lovely Portmeirionware cup.</v>
      </c>
      <c r="G1332" t="str">
        <f t="shared" si="1075"/>
        <v>q</v>
      </c>
      <c r="H1332" t="str">
        <f>VLOOKUP(D1332,name!A:C,3,1)</f>
        <v>assets/icons/image326.png</v>
      </c>
      <c r="I1332" t="str">
        <f>IF(A1332="","",VLOOKUP(A1332,lng!A:B,2,0))</f>
        <v>en-GB</v>
      </c>
    </row>
    <row r="1333" spans="1:9" x14ac:dyDescent="0.15">
      <c r="A1333" t="str">
        <f t="shared" ref="A1333:B1333" si="1099">A1332</f>
        <v>英語</v>
      </c>
      <c r="B1333">
        <f t="shared" si="1099"/>
        <v>12</v>
      </c>
      <c r="C1333">
        <f t="shared" si="1097"/>
        <v>69</v>
      </c>
      <c r="D1333">
        <f>D1292</f>
        <v>29</v>
      </c>
      <c r="E1333" t="str">
        <f>VLOOKUP(D1333,name!A:B,2,1)</f>
        <v>Eri</v>
      </c>
      <c r="F1333" t="str">
        <f>F1292</f>
        <v xml:space="preserve"> 見てください。</v>
      </c>
      <c r="G1333" t="str">
        <f t="shared" si="1075"/>
        <v>a</v>
      </c>
      <c r="H1333" t="str">
        <f>VLOOKUP(D1333,name!A:C,3,1)</f>
        <v>assets/icons/image209.png</v>
      </c>
      <c r="I1333" t="s">
        <v>402</v>
      </c>
    </row>
    <row r="1334" spans="1:9" x14ac:dyDescent="0.15">
      <c r="A1334" t="str">
        <f t="shared" ref="A1334:B1334" si="1100">A1333</f>
        <v>英語</v>
      </c>
      <c r="B1334">
        <f t="shared" si="1100"/>
        <v>12</v>
      </c>
      <c r="C1334">
        <f t="shared" si="1097"/>
        <v>70</v>
      </c>
      <c r="D1334">
        <f>D1293</f>
        <v>29</v>
      </c>
      <c r="E1334" t="str">
        <f>VLOOKUP(D1334,name!A:B,2,1)</f>
        <v>Eri</v>
      </c>
      <c r="F1334" t="str">
        <f>F1293</f>
        <v>Look.</v>
      </c>
      <c r="G1334" t="str">
        <f t="shared" si="1075"/>
        <v>a</v>
      </c>
      <c r="H1334" t="str">
        <f>VLOOKUP(D1334,name!A:C,3,1)</f>
        <v>assets/icons/image209.png</v>
      </c>
      <c r="I1334" t="str">
        <f>IF(A1334="","",VLOOKUP(A1334,lng!A:B,2,0))</f>
        <v>en-GB</v>
      </c>
    </row>
    <row r="1335" spans="1:9" x14ac:dyDescent="0.15">
      <c r="A1335" t="str">
        <f t="shared" ref="A1335:B1335" si="1101">A1334</f>
        <v>英語</v>
      </c>
      <c r="B1335">
        <f t="shared" si="1101"/>
        <v>12</v>
      </c>
      <c r="C1335">
        <f t="shared" si="1097"/>
        <v>71</v>
      </c>
      <c r="D1335">
        <v>0</v>
      </c>
      <c r="E1335" t="str">
        <f>VLOOKUP(D1335,name!A:B,2,1)</f>
        <v>Player</v>
      </c>
      <c r="F1335" t="str">
        <f>F1293</f>
        <v>Look.</v>
      </c>
      <c r="G1335" t="str">
        <f t="shared" si="1075"/>
        <v>q</v>
      </c>
      <c r="H1335" t="str">
        <f>VLOOKUP(D1335,name!A:C,3,1)</f>
        <v>assets/icons/image326.png</v>
      </c>
      <c r="I1335" t="str">
        <f>IF(A1335="","",VLOOKUP(A1335,lng!A:B,2,0))</f>
        <v>en-GB</v>
      </c>
    </row>
    <row r="1336" spans="1:9" x14ac:dyDescent="0.15">
      <c r="A1336" t="str">
        <f t="shared" ref="A1336:B1336" si="1102">A1335</f>
        <v>英語</v>
      </c>
      <c r="B1336">
        <f t="shared" si="1102"/>
        <v>12</v>
      </c>
      <c r="C1336">
        <f t="shared" si="1097"/>
        <v>72</v>
      </c>
      <c r="D1336">
        <f>D1294</f>
        <v>29</v>
      </c>
      <c r="E1336" t="str">
        <f>VLOOKUP(D1336,name!A:B,2,1)</f>
        <v>Eri</v>
      </c>
      <c r="F1336" t="str">
        <f>F1294</f>
        <v>ベトゥス・ア・コエドのきれいな写真でしょう?</v>
      </c>
      <c r="G1336" t="str">
        <f t="shared" si="1075"/>
        <v>a</v>
      </c>
      <c r="H1336" t="str">
        <f>VLOOKUP(D1336,name!A:C,3,1)</f>
        <v>assets/icons/image209.png</v>
      </c>
      <c r="I1336" t="s">
        <v>402</v>
      </c>
    </row>
    <row r="1337" spans="1:9" x14ac:dyDescent="0.15">
      <c r="A1337" t="str">
        <f t="shared" ref="A1337:B1337" si="1103">A1336</f>
        <v>英語</v>
      </c>
      <c r="B1337">
        <f t="shared" si="1103"/>
        <v>12</v>
      </c>
      <c r="C1337">
        <f t="shared" si="1097"/>
        <v>73</v>
      </c>
      <c r="D1337">
        <f>D1295</f>
        <v>29</v>
      </c>
      <c r="E1337" t="str">
        <f>VLOOKUP(D1337,name!A:B,2,1)</f>
        <v>Eri</v>
      </c>
      <c r="F1337" t="str">
        <f>F1295</f>
        <v>Isn't this a lovely photo of Betws y Coed?</v>
      </c>
      <c r="G1337" t="str">
        <f t="shared" si="1075"/>
        <v>a</v>
      </c>
      <c r="H1337" t="str">
        <f>VLOOKUP(D1337,name!A:C,3,1)</f>
        <v>assets/icons/image209.png</v>
      </c>
      <c r="I1337" t="str">
        <f>IF(A1337="","",VLOOKUP(A1337,lng!A:B,2,0))</f>
        <v>en-GB</v>
      </c>
    </row>
    <row r="1338" spans="1:9" x14ac:dyDescent="0.15">
      <c r="A1338" t="str">
        <f t="shared" ref="A1338:B1338" si="1104">A1337</f>
        <v>英語</v>
      </c>
      <c r="B1338">
        <f t="shared" si="1104"/>
        <v>12</v>
      </c>
      <c r="C1338">
        <f t="shared" si="1097"/>
        <v>74</v>
      </c>
      <c r="D1338">
        <v>0</v>
      </c>
      <c r="E1338" t="str">
        <f>VLOOKUP(D1338,name!A:B,2,1)</f>
        <v>Player</v>
      </c>
      <c r="F1338" t="str">
        <f>F1295</f>
        <v>Isn't this a lovely photo of Betws y Coed?</v>
      </c>
      <c r="G1338" t="str">
        <f t="shared" si="1075"/>
        <v>q</v>
      </c>
      <c r="H1338" t="str">
        <f>VLOOKUP(D1338,name!A:C,3,1)</f>
        <v>assets/icons/image326.png</v>
      </c>
      <c r="I1338" t="str">
        <f>IF(A1338="","",VLOOKUP(A1338,lng!A:B,2,0))</f>
        <v>en-GB</v>
      </c>
    </row>
    <row r="1339" spans="1:9" x14ac:dyDescent="0.15">
      <c r="A1339" t="str">
        <f t="shared" ref="A1339:B1339" si="1105">A1338</f>
        <v>英語</v>
      </c>
      <c r="B1339">
        <f t="shared" si="1105"/>
        <v>12</v>
      </c>
      <c r="C1339">
        <f t="shared" si="1097"/>
        <v>75</v>
      </c>
      <c r="D1339">
        <v>1</v>
      </c>
      <c r="E1339" t="str">
        <f>VLOOKUP(D1339,name!A:B,2,1)</f>
        <v>Navigator</v>
      </c>
      <c r="F1339" t="str">
        <f>"次の日本語を"&amp;A1339&amp;"に訳して答えてね！"</f>
        <v>次の日本語を英語に訳して答えてね！</v>
      </c>
      <c r="G1339" t="str">
        <f t="shared" si="1075"/>
        <v>a</v>
      </c>
      <c r="H1339" t="str">
        <f>VLOOKUP(D1339,name!A:C,3,1)</f>
        <v>assets/icons/image014.png</v>
      </c>
      <c r="I1339" t="s">
        <v>402</v>
      </c>
    </row>
    <row r="1340" spans="1:9" x14ac:dyDescent="0.15">
      <c r="A1340" t="str">
        <f t="shared" ref="A1340:B1340" si="1106">A1339</f>
        <v>英語</v>
      </c>
      <c r="B1340">
        <f t="shared" si="1106"/>
        <v>12</v>
      </c>
      <c r="C1340">
        <f t="shared" si="1097"/>
        <v>76</v>
      </c>
      <c r="D1340">
        <f>D1268</f>
        <v>31</v>
      </c>
      <c r="E1340" t="str">
        <f>VLOOKUP(D1340,name!A:B,2,1)</f>
        <v>Mrs. Bennett</v>
      </c>
      <c r="F1340" t="str">
        <f t="shared" ref="F1340:F1367" si="1107">F1268</f>
        <v>ベネット夫人:エリ、私の故郷への旅はどうだったのかしら?</v>
      </c>
      <c r="G1340" t="str">
        <f t="shared" si="1075"/>
        <v>a</v>
      </c>
      <c r="H1340" t="str">
        <f>VLOOKUP(D1340,name!A:C,3,1)</f>
        <v>assets/icons/image149.png</v>
      </c>
      <c r="I1340" t="s">
        <v>402</v>
      </c>
    </row>
    <row r="1341" spans="1:9" x14ac:dyDescent="0.15">
      <c r="A1341" t="str">
        <f t="shared" ref="A1341:B1341" si="1108">A1340</f>
        <v>英語</v>
      </c>
      <c r="B1341">
        <f t="shared" si="1108"/>
        <v>12</v>
      </c>
      <c r="C1341">
        <f t="shared" si="1097"/>
        <v>77</v>
      </c>
      <c r="D1341">
        <v>0</v>
      </c>
      <c r="E1341" t="str">
        <f>VLOOKUP(D1341,name!A:B,2,1)</f>
        <v>Player</v>
      </c>
      <c r="F1341" t="str">
        <f t="shared" si="1107"/>
        <v>Well, Eri, how did you enjoy your visit to my native country?</v>
      </c>
      <c r="G1341" t="str">
        <f t="shared" si="1075"/>
        <v>q</v>
      </c>
      <c r="H1341" t="str">
        <f>VLOOKUP(D1341,name!A:C,3,1)</f>
        <v>assets/icons/image326.png</v>
      </c>
      <c r="I1341" t="str">
        <f>IF(A1341="","",VLOOKUP(A1341,lng!A:B,2,0))</f>
        <v>en-GB</v>
      </c>
    </row>
    <row r="1342" spans="1:9" x14ac:dyDescent="0.15">
      <c r="A1342" t="str">
        <f t="shared" ref="A1342:B1342" si="1109">A1341</f>
        <v>英語</v>
      </c>
      <c r="B1342">
        <f t="shared" si="1109"/>
        <v>12</v>
      </c>
      <c r="C1342">
        <f t="shared" si="1097"/>
        <v>78</v>
      </c>
      <c r="D1342">
        <f>D1270</f>
        <v>29</v>
      </c>
      <c r="E1342" t="str">
        <f>VLOOKUP(D1342,name!A:B,2,1)</f>
        <v>Eri</v>
      </c>
      <c r="F1342" t="str">
        <f t="shared" si="1107"/>
        <v>ああ、それは素晴らしかったです！</v>
      </c>
      <c r="G1342" t="str">
        <f t="shared" si="1075"/>
        <v>a</v>
      </c>
      <c r="H1342" t="str">
        <f>VLOOKUP(D1342,name!A:C,3,1)</f>
        <v>assets/icons/image209.png</v>
      </c>
      <c r="I1342" t="s">
        <v>402</v>
      </c>
    </row>
    <row r="1343" spans="1:9" x14ac:dyDescent="0.15">
      <c r="A1343" t="str">
        <f t="shared" ref="A1343:B1343" si="1110">A1342</f>
        <v>英語</v>
      </c>
      <c r="B1343">
        <f t="shared" si="1110"/>
        <v>12</v>
      </c>
      <c r="C1343">
        <f t="shared" si="1097"/>
        <v>79</v>
      </c>
      <c r="D1343">
        <v>0</v>
      </c>
      <c r="E1343" t="str">
        <f>VLOOKUP(D1343,name!A:B,2,1)</f>
        <v>Player</v>
      </c>
      <c r="F1343" t="str">
        <f t="shared" si="1107"/>
        <v>Oh, it was fantastic!</v>
      </c>
      <c r="G1343" t="str">
        <f t="shared" si="1075"/>
        <v>q</v>
      </c>
      <c r="H1343" t="str">
        <f>VLOOKUP(D1343,name!A:C,3,1)</f>
        <v>assets/icons/image326.png</v>
      </c>
      <c r="I1343" t="str">
        <f>IF(A1343="","",VLOOKUP(A1343,lng!A:B,2,0))</f>
        <v>en-GB</v>
      </c>
    </row>
    <row r="1344" spans="1:9" x14ac:dyDescent="0.15">
      <c r="A1344" t="str">
        <f t="shared" ref="A1344:B1344" si="1111">A1343</f>
        <v>英語</v>
      </c>
      <c r="B1344">
        <f t="shared" si="1111"/>
        <v>12</v>
      </c>
      <c r="C1344">
        <f t="shared" si="1097"/>
        <v>80</v>
      </c>
      <c r="D1344">
        <f>D1272</f>
        <v>29</v>
      </c>
      <c r="E1344" t="str">
        <f>VLOOKUP(D1344,name!A:B,2,1)</f>
        <v>Eri</v>
      </c>
      <c r="F1344" t="str">
        <f t="shared" si="1107"/>
        <v>スノードニアはとてもきれいでした。</v>
      </c>
      <c r="G1344" t="str">
        <f t="shared" si="1075"/>
        <v>a</v>
      </c>
      <c r="H1344" t="str">
        <f>VLOOKUP(D1344,name!A:C,3,1)</f>
        <v>assets/icons/image209.png</v>
      </c>
      <c r="I1344" t="s">
        <v>402</v>
      </c>
    </row>
    <row r="1345" spans="1:9" x14ac:dyDescent="0.15">
      <c r="A1345" t="str">
        <f t="shared" ref="A1345:B1345" si="1112">A1344</f>
        <v>英語</v>
      </c>
      <c r="B1345">
        <f t="shared" si="1112"/>
        <v>12</v>
      </c>
      <c r="C1345">
        <f t="shared" si="1097"/>
        <v>81</v>
      </c>
      <c r="D1345">
        <v>0</v>
      </c>
      <c r="E1345" t="str">
        <f>VLOOKUP(D1345,name!A:B,2,1)</f>
        <v>Player</v>
      </c>
      <c r="F1345" t="str">
        <f t="shared" si="1107"/>
        <v>Snowdonia was so beautiful.</v>
      </c>
      <c r="G1345" t="str">
        <f t="shared" si="1075"/>
        <v>q</v>
      </c>
      <c r="H1345" t="str">
        <f>VLOOKUP(D1345,name!A:C,3,1)</f>
        <v>assets/icons/image326.png</v>
      </c>
      <c r="I1345" t="str">
        <f>IF(A1345="","",VLOOKUP(A1345,lng!A:B,2,0))</f>
        <v>en-GB</v>
      </c>
    </row>
    <row r="1346" spans="1:9" x14ac:dyDescent="0.15">
      <c r="A1346" t="str">
        <f t="shared" ref="A1346:B1346" si="1113">A1345</f>
        <v>英語</v>
      </c>
      <c r="B1346">
        <f t="shared" si="1113"/>
        <v>12</v>
      </c>
      <c r="C1346">
        <f t="shared" si="1097"/>
        <v>82</v>
      </c>
      <c r="D1346">
        <f>D1274</f>
        <v>31</v>
      </c>
      <c r="E1346" t="str">
        <f>VLOOKUP(D1346,name!A:B,2,1)</f>
        <v>Mrs. Bennett</v>
      </c>
      <c r="F1346" t="str">
        <f t="shared" si="1107"/>
        <v>全部聞かせて</v>
      </c>
      <c r="G1346" t="str">
        <f t="shared" si="1075"/>
        <v>a</v>
      </c>
      <c r="H1346" t="str">
        <f>VLOOKUP(D1346,name!A:C,3,1)</f>
        <v>assets/icons/image149.png</v>
      </c>
      <c r="I1346" t="s">
        <v>402</v>
      </c>
    </row>
    <row r="1347" spans="1:9" x14ac:dyDescent="0.15">
      <c r="A1347" t="str">
        <f t="shared" ref="A1347:B1347" si="1114">A1346</f>
        <v>英語</v>
      </c>
      <c r="B1347">
        <f t="shared" si="1114"/>
        <v>12</v>
      </c>
      <c r="C1347">
        <f t="shared" si="1097"/>
        <v>83</v>
      </c>
      <c r="D1347">
        <v>0</v>
      </c>
      <c r="E1347" t="str">
        <f>VLOOKUP(D1347,name!A:B,2,1)</f>
        <v>Player</v>
      </c>
      <c r="F1347" t="str">
        <f t="shared" si="1107"/>
        <v>Come and tell me all about it.</v>
      </c>
      <c r="G1347" t="str">
        <f t="shared" si="1075"/>
        <v>q</v>
      </c>
      <c r="H1347" t="str">
        <f>VLOOKUP(D1347,name!A:C,3,1)</f>
        <v>assets/icons/image326.png</v>
      </c>
      <c r="I1347" t="str">
        <f>IF(A1347="","",VLOOKUP(A1347,lng!A:B,2,0))</f>
        <v>en-GB</v>
      </c>
    </row>
    <row r="1348" spans="1:9" x14ac:dyDescent="0.15">
      <c r="A1348" t="str">
        <f t="shared" ref="A1348:B1348" si="1115">A1347</f>
        <v>英語</v>
      </c>
      <c r="B1348">
        <f t="shared" si="1115"/>
        <v>12</v>
      </c>
      <c r="C1348">
        <f t="shared" si="1097"/>
        <v>84</v>
      </c>
      <c r="D1348">
        <f>D1276</f>
        <v>31</v>
      </c>
      <c r="E1348" t="str">
        <f>VLOOKUP(D1348,name!A:B,2,1)</f>
        <v>Mrs. Bennett</v>
      </c>
      <c r="F1348" t="str">
        <f t="shared" si="1107"/>
        <v>「小さな鉄道」の 1 つに乗ることができましたか?</v>
      </c>
      <c r="G1348" t="str">
        <f t="shared" si="1075"/>
        <v>a</v>
      </c>
      <c r="H1348" t="str">
        <f>VLOOKUP(D1348,name!A:C,3,1)</f>
        <v>assets/icons/image149.png</v>
      </c>
      <c r="I1348" t="s">
        <v>402</v>
      </c>
    </row>
    <row r="1349" spans="1:9" x14ac:dyDescent="0.15">
      <c r="A1349" t="str">
        <f t="shared" ref="A1349:B1349" si="1116">A1348</f>
        <v>英語</v>
      </c>
      <c r="B1349">
        <f t="shared" si="1116"/>
        <v>12</v>
      </c>
      <c r="C1349">
        <f t="shared" si="1097"/>
        <v>85</v>
      </c>
      <c r="D1349">
        <v>0</v>
      </c>
      <c r="E1349" t="str">
        <f>VLOOKUP(D1349,name!A:B,2,1)</f>
        <v>Player</v>
      </c>
      <c r="F1349" t="str">
        <f t="shared" si="1107"/>
        <v>Did you get to ride on one of the 'little railways'?</v>
      </c>
      <c r="G1349" t="str">
        <f t="shared" si="1075"/>
        <v>q</v>
      </c>
      <c r="H1349" t="str">
        <f>VLOOKUP(D1349,name!A:C,3,1)</f>
        <v>assets/icons/image326.png</v>
      </c>
      <c r="I1349" t="str">
        <f>IF(A1349="","",VLOOKUP(A1349,lng!A:B,2,0))</f>
        <v>en-GB</v>
      </c>
    </row>
    <row r="1350" spans="1:9" x14ac:dyDescent="0.15">
      <c r="A1350" t="str">
        <f t="shared" ref="A1350:B1350" si="1117">A1349</f>
        <v>英語</v>
      </c>
      <c r="B1350">
        <f t="shared" si="1117"/>
        <v>12</v>
      </c>
      <c r="C1350">
        <f t="shared" si="1097"/>
        <v>86</v>
      </c>
      <c r="D1350">
        <f>D1278</f>
        <v>29</v>
      </c>
      <c r="E1350" t="str">
        <f>VLOOKUP(D1350,name!A:B,2,1)</f>
        <v>Eri</v>
      </c>
      <c r="F1350" t="str">
        <f t="shared" si="1107"/>
        <v>はい。</v>
      </c>
      <c r="G1350" t="str">
        <f t="shared" si="1075"/>
        <v>a</v>
      </c>
      <c r="H1350" t="str">
        <f>VLOOKUP(D1350,name!A:C,3,1)</f>
        <v>assets/icons/image209.png</v>
      </c>
      <c r="I1350" t="s">
        <v>402</v>
      </c>
    </row>
    <row r="1351" spans="1:9" x14ac:dyDescent="0.15">
      <c r="A1351" t="str">
        <f t="shared" ref="A1351:B1351" si="1118">A1350</f>
        <v>英語</v>
      </c>
      <c r="B1351">
        <f t="shared" si="1118"/>
        <v>12</v>
      </c>
      <c r="C1351">
        <f t="shared" si="1097"/>
        <v>87</v>
      </c>
      <c r="D1351">
        <v>0</v>
      </c>
      <c r="E1351" t="str">
        <f>VLOOKUP(D1351,name!A:B,2,1)</f>
        <v>Player</v>
      </c>
      <c r="F1351" t="str">
        <f t="shared" si="1107"/>
        <v>Yes.</v>
      </c>
      <c r="G1351" t="str">
        <f t="shared" si="1075"/>
        <v>q</v>
      </c>
      <c r="H1351" t="str">
        <f>VLOOKUP(D1351,name!A:C,3,1)</f>
        <v>assets/icons/image326.png</v>
      </c>
      <c r="I1351" t="str">
        <f>IF(A1351="","",VLOOKUP(A1351,lng!A:B,2,0))</f>
        <v>en-GB</v>
      </c>
    </row>
    <row r="1352" spans="1:9" x14ac:dyDescent="0.15">
      <c r="A1352" t="str">
        <f t="shared" ref="A1352:B1352" si="1119">A1351</f>
        <v>英語</v>
      </c>
      <c r="B1352">
        <f t="shared" si="1119"/>
        <v>12</v>
      </c>
      <c r="C1352">
        <f t="shared" si="1097"/>
        <v>88</v>
      </c>
      <c r="D1352">
        <f>D1280</f>
        <v>29</v>
      </c>
      <c r="E1352" t="str">
        <f>VLOOKUP(D1352,name!A:B,2,1)</f>
        <v>Eri</v>
      </c>
      <c r="F1352" t="str">
        <f t="shared" si="1107"/>
        <v>まずタリスリン鉄道までバスで行きました。</v>
      </c>
      <c r="G1352" t="str">
        <f t="shared" si="1075"/>
        <v>a</v>
      </c>
      <c r="H1352" t="str">
        <f>VLOOKUP(D1352,name!A:C,3,1)</f>
        <v>assets/icons/image209.png</v>
      </c>
      <c r="I1352" t="s">
        <v>402</v>
      </c>
    </row>
    <row r="1353" spans="1:9" x14ac:dyDescent="0.15">
      <c r="A1353" t="str">
        <f t="shared" ref="A1353:B1353" si="1120">A1352</f>
        <v>英語</v>
      </c>
      <c r="B1353">
        <f t="shared" si="1120"/>
        <v>12</v>
      </c>
      <c r="C1353">
        <f t="shared" si="1097"/>
        <v>89</v>
      </c>
      <c r="D1353">
        <v>0</v>
      </c>
      <c r="E1353" t="str">
        <f>VLOOKUP(D1353,name!A:B,2,1)</f>
        <v>Player</v>
      </c>
      <c r="F1353" t="str">
        <f t="shared" si="1107"/>
        <v>We went by coach to the Tallylyn Railway first.</v>
      </c>
      <c r="G1353" t="str">
        <f t="shared" si="1075"/>
        <v>q</v>
      </c>
      <c r="H1353" t="str">
        <f>VLOOKUP(D1353,name!A:C,3,1)</f>
        <v>assets/icons/image326.png</v>
      </c>
      <c r="I1353" t="str">
        <f>IF(A1353="","",VLOOKUP(A1353,lng!A:B,2,0))</f>
        <v>en-GB</v>
      </c>
    </row>
    <row r="1354" spans="1:9" x14ac:dyDescent="0.15">
      <c r="A1354" t="str">
        <f t="shared" ref="A1354:B1354" si="1121">A1353</f>
        <v>英語</v>
      </c>
      <c r="B1354">
        <f t="shared" si="1121"/>
        <v>12</v>
      </c>
      <c r="C1354">
        <f t="shared" si="1097"/>
        <v>90</v>
      </c>
      <c r="D1354">
        <f>D1282</f>
        <v>29</v>
      </c>
      <c r="E1354" t="str">
        <f>VLOOKUP(D1354,name!A:B,2,1)</f>
        <v>Eri</v>
      </c>
      <c r="F1354" t="str">
        <f t="shared" si="1107"/>
        <v>ずっとトーマスのファンだったので、わくわくしました。</v>
      </c>
      <c r="G1354" t="str">
        <f t="shared" si="1075"/>
        <v>a</v>
      </c>
      <c r="H1354" t="str">
        <f>VLOOKUP(D1354,name!A:C,3,1)</f>
        <v>assets/icons/image209.png</v>
      </c>
      <c r="I1354" t="s">
        <v>402</v>
      </c>
    </row>
    <row r="1355" spans="1:9" x14ac:dyDescent="0.15">
      <c r="A1355" t="str">
        <f t="shared" ref="A1355:B1355" si="1122">A1354</f>
        <v>英語</v>
      </c>
      <c r="B1355">
        <f t="shared" si="1122"/>
        <v>12</v>
      </c>
      <c r="C1355">
        <f t="shared" si="1097"/>
        <v>91</v>
      </c>
      <c r="D1355">
        <v>0</v>
      </c>
      <c r="E1355" t="str">
        <f>VLOOKUP(D1355,name!A:B,2,1)</f>
        <v>Player</v>
      </c>
      <c r="F1355" t="str">
        <f t="shared" si="1107"/>
        <v>I was thrilled because I've always been a Thomas fan.</v>
      </c>
      <c r="G1355" t="str">
        <f t="shared" si="1075"/>
        <v>q</v>
      </c>
      <c r="H1355" t="str">
        <f>VLOOKUP(D1355,name!A:C,3,1)</f>
        <v>assets/icons/image326.png</v>
      </c>
      <c r="I1355" t="str">
        <f>IF(A1355="","",VLOOKUP(A1355,lng!A:B,2,0))</f>
        <v>en-GB</v>
      </c>
    </row>
    <row r="1356" spans="1:9" x14ac:dyDescent="0.15">
      <c r="A1356" t="str">
        <f t="shared" ref="A1356:B1356" si="1123">A1355</f>
        <v>英語</v>
      </c>
      <c r="B1356">
        <f t="shared" si="1123"/>
        <v>12</v>
      </c>
      <c r="C1356">
        <f t="shared" si="1097"/>
        <v>92</v>
      </c>
      <c r="D1356">
        <f>D1284</f>
        <v>29</v>
      </c>
      <c r="E1356" t="str">
        <f>VLOOKUP(D1356,name!A:B,2,1)</f>
        <v>Eri</v>
      </c>
      <c r="F1356" t="str">
        <f t="shared" si="1107"/>
        <v>それから私たちは大きな森でピクニックをし、素敵な大きな湖を車で通り過ぎました。</v>
      </c>
      <c r="G1356" t="str">
        <f t="shared" si="1075"/>
        <v>a</v>
      </c>
      <c r="H1356" t="str">
        <f>VLOOKUP(D1356,name!A:C,3,1)</f>
        <v>assets/icons/image209.png</v>
      </c>
      <c r="I1356" t="s">
        <v>402</v>
      </c>
    </row>
    <row r="1357" spans="1:9" x14ac:dyDescent="0.15">
      <c r="A1357" t="str">
        <f t="shared" ref="A1357:B1357" si="1124">A1356</f>
        <v>英語</v>
      </c>
      <c r="B1357">
        <f t="shared" si="1124"/>
        <v>12</v>
      </c>
      <c r="C1357">
        <f t="shared" si="1097"/>
        <v>93</v>
      </c>
      <c r="D1357">
        <v>0</v>
      </c>
      <c r="E1357" t="str">
        <f>VLOOKUP(D1357,name!A:B,2,1)</f>
        <v>Player</v>
      </c>
      <c r="F1357" t="str">
        <f t="shared" si="1107"/>
        <v>Then we picnicked in a big forest and drove past a lovely big lake.</v>
      </c>
      <c r="G1357" t="str">
        <f t="shared" si="1075"/>
        <v>q</v>
      </c>
      <c r="H1357" t="str">
        <f>VLOOKUP(D1357,name!A:C,3,1)</f>
        <v>assets/icons/image326.png</v>
      </c>
      <c r="I1357" t="str">
        <f>IF(A1357="","",VLOOKUP(A1357,lng!A:B,2,0))</f>
        <v>en-GB</v>
      </c>
    </row>
    <row r="1358" spans="1:9" x14ac:dyDescent="0.15">
      <c r="A1358" t="str">
        <f t="shared" ref="A1358:B1358" si="1125">A1357</f>
        <v>英語</v>
      </c>
      <c r="B1358">
        <f t="shared" si="1125"/>
        <v>12</v>
      </c>
      <c r="C1358">
        <f t="shared" si="1097"/>
        <v>94</v>
      </c>
      <c r="D1358">
        <f>D1286</f>
        <v>29</v>
      </c>
      <c r="E1358" t="str">
        <f>VLOOKUP(D1358,name!A:B,2,1)</f>
        <v>Eri</v>
      </c>
      <c r="F1358" t="str">
        <f t="shared" si="1107"/>
        <v>名前を聞き取れなかったのは残念です。</v>
      </c>
      <c r="G1358" t="str">
        <f t="shared" si="1075"/>
        <v>a</v>
      </c>
      <c r="H1358" t="str">
        <f>VLOOKUP(D1358,name!A:C,3,1)</f>
        <v>assets/icons/image209.png</v>
      </c>
      <c r="I1358" t="s">
        <v>402</v>
      </c>
    </row>
    <row r="1359" spans="1:9" x14ac:dyDescent="0.15">
      <c r="A1359" t="str">
        <f t="shared" ref="A1359:B1359" si="1126">A1358</f>
        <v>英語</v>
      </c>
      <c r="B1359">
        <f t="shared" si="1126"/>
        <v>12</v>
      </c>
      <c r="C1359">
        <f t="shared" si="1097"/>
        <v>95</v>
      </c>
      <c r="D1359">
        <v>0</v>
      </c>
      <c r="E1359" t="str">
        <f>VLOOKUP(D1359,name!A:B,2,1)</f>
        <v>Player</v>
      </c>
      <c r="F1359" t="str">
        <f t="shared" si="1107"/>
        <v xml:space="preserve"> I'm sorry I didn't manage to catch the names.</v>
      </c>
      <c r="G1359" t="str">
        <f t="shared" si="1075"/>
        <v>q</v>
      </c>
      <c r="H1359" t="str">
        <f>VLOOKUP(D1359,name!A:C,3,1)</f>
        <v>assets/icons/image326.png</v>
      </c>
      <c r="I1359" t="str">
        <f>IF(A1359="","",VLOOKUP(A1359,lng!A:B,2,0))</f>
        <v>en-GB</v>
      </c>
    </row>
    <row r="1360" spans="1:9" x14ac:dyDescent="0.15">
      <c r="A1360" t="str">
        <f t="shared" ref="A1360:B1360" si="1127">A1359</f>
        <v>英語</v>
      </c>
      <c r="B1360">
        <f t="shared" si="1127"/>
        <v>12</v>
      </c>
      <c r="C1360">
        <f t="shared" si="1097"/>
        <v>96</v>
      </c>
      <c r="D1360">
        <f>D1288</f>
        <v>29</v>
      </c>
      <c r="E1360" t="str">
        <f>VLOOKUP(D1360,name!A:B,2,1)</f>
        <v>Eri</v>
      </c>
      <c r="F1360" t="str">
        <f t="shared" si="1107"/>
        <v>ウェールズ語は読みにくいことがあります。</v>
      </c>
      <c r="G1360" t="str">
        <f t="shared" si="1075"/>
        <v>a</v>
      </c>
      <c r="H1360" t="str">
        <f>VLOOKUP(D1360,name!A:C,3,1)</f>
        <v>assets/icons/image209.png</v>
      </c>
      <c r="I1360" t="s">
        <v>402</v>
      </c>
    </row>
    <row r="1361" spans="1:9" x14ac:dyDescent="0.15">
      <c r="A1361" t="str">
        <f t="shared" ref="A1361:B1361" si="1128">A1360</f>
        <v>英語</v>
      </c>
      <c r="B1361">
        <f t="shared" si="1128"/>
        <v>12</v>
      </c>
      <c r="C1361">
        <f t="shared" si="1097"/>
        <v>97</v>
      </c>
      <c r="D1361">
        <v>0</v>
      </c>
      <c r="E1361" t="str">
        <f>VLOOKUP(D1361,name!A:B,2,1)</f>
        <v>Player</v>
      </c>
      <c r="F1361" t="str">
        <f t="shared" si="1107"/>
        <v xml:space="preserve"> Welsh is difficult to read sometimes.</v>
      </c>
      <c r="G1361" t="str">
        <f t="shared" si="1075"/>
        <v>q</v>
      </c>
      <c r="H1361" t="str">
        <f>VLOOKUP(D1361,name!A:C,3,1)</f>
        <v>assets/icons/image326.png</v>
      </c>
      <c r="I1361" t="str">
        <f>IF(A1361="","",VLOOKUP(A1361,lng!A:B,2,0))</f>
        <v>en-GB</v>
      </c>
    </row>
    <row r="1362" spans="1:9" x14ac:dyDescent="0.15">
      <c r="A1362" t="str">
        <f t="shared" ref="A1362:B1362" si="1129">A1361</f>
        <v>英語</v>
      </c>
      <c r="B1362">
        <f t="shared" si="1129"/>
        <v>12</v>
      </c>
      <c r="C1362">
        <f t="shared" si="1097"/>
        <v>98</v>
      </c>
      <c r="D1362">
        <f>D1290</f>
        <v>29</v>
      </c>
      <c r="E1362" t="str">
        <f>VLOOKUP(D1362,name!A:B,2,1)</f>
        <v>Eri</v>
      </c>
      <c r="F1362" t="str">
        <f t="shared" si="1107"/>
        <v>私たちはポートメイリオンに一晩滞在し、素敵なポートメイリオン製のカップを買いました。</v>
      </c>
      <c r="G1362" t="str">
        <f t="shared" si="1075"/>
        <v>a</v>
      </c>
      <c r="H1362" t="str">
        <f>VLOOKUP(D1362,name!A:C,3,1)</f>
        <v>assets/icons/image209.png</v>
      </c>
      <c r="I1362" t="s">
        <v>402</v>
      </c>
    </row>
    <row r="1363" spans="1:9" x14ac:dyDescent="0.15">
      <c r="A1363" t="str">
        <f t="shared" ref="A1363:B1363" si="1130">A1362</f>
        <v>英語</v>
      </c>
      <c r="B1363">
        <f t="shared" si="1130"/>
        <v>12</v>
      </c>
      <c r="C1363">
        <f t="shared" si="1097"/>
        <v>99</v>
      </c>
      <c r="D1363">
        <v>0</v>
      </c>
      <c r="E1363" t="str">
        <f>VLOOKUP(D1363,name!A:B,2,1)</f>
        <v>Player</v>
      </c>
      <c r="F1363" t="str">
        <f t="shared" si="1107"/>
        <v>We stayed in Portmeirion overnight and I bought a lovely Portmeirionware cup.</v>
      </c>
      <c r="G1363" t="str">
        <f t="shared" si="1075"/>
        <v>q</v>
      </c>
      <c r="H1363" t="str">
        <f>VLOOKUP(D1363,name!A:C,3,1)</f>
        <v>assets/icons/image326.png</v>
      </c>
      <c r="I1363" t="str">
        <f>IF(A1363="","",VLOOKUP(A1363,lng!A:B,2,0))</f>
        <v>en-GB</v>
      </c>
    </row>
    <row r="1364" spans="1:9" x14ac:dyDescent="0.15">
      <c r="A1364" t="str">
        <f t="shared" ref="A1364:B1364" si="1131">A1363</f>
        <v>英語</v>
      </c>
      <c r="B1364">
        <f t="shared" si="1131"/>
        <v>12</v>
      </c>
      <c r="C1364">
        <f t="shared" si="1097"/>
        <v>100</v>
      </c>
      <c r="D1364">
        <f>D1292</f>
        <v>29</v>
      </c>
      <c r="E1364" t="str">
        <f>VLOOKUP(D1364,name!A:B,2,1)</f>
        <v>Eri</v>
      </c>
      <c r="F1364" t="str">
        <f t="shared" si="1107"/>
        <v xml:space="preserve"> 見てください。</v>
      </c>
      <c r="G1364" t="str">
        <f t="shared" si="1075"/>
        <v>a</v>
      </c>
      <c r="H1364" t="str">
        <f>VLOOKUP(D1364,name!A:C,3,1)</f>
        <v>assets/icons/image209.png</v>
      </c>
      <c r="I1364" t="s">
        <v>402</v>
      </c>
    </row>
    <row r="1365" spans="1:9" x14ac:dyDescent="0.15">
      <c r="A1365" t="str">
        <f t="shared" ref="A1365:B1365" si="1132">A1364</f>
        <v>英語</v>
      </c>
      <c r="B1365">
        <f t="shared" si="1132"/>
        <v>12</v>
      </c>
      <c r="C1365">
        <f t="shared" si="1097"/>
        <v>101</v>
      </c>
      <c r="D1365">
        <v>0</v>
      </c>
      <c r="E1365" t="str">
        <f>VLOOKUP(D1365,name!A:B,2,1)</f>
        <v>Player</v>
      </c>
      <c r="F1365" t="str">
        <f t="shared" si="1107"/>
        <v>Look.</v>
      </c>
      <c r="G1365" t="str">
        <f t="shared" si="1075"/>
        <v>q</v>
      </c>
      <c r="H1365" t="str">
        <f>VLOOKUP(D1365,name!A:C,3,1)</f>
        <v>assets/icons/image326.png</v>
      </c>
      <c r="I1365" t="str">
        <f>IF(A1365="","",VLOOKUP(A1365,lng!A:B,2,0))</f>
        <v>en-GB</v>
      </c>
    </row>
    <row r="1366" spans="1:9" x14ac:dyDescent="0.15">
      <c r="A1366" t="str">
        <f t="shared" ref="A1366:B1366" si="1133">A1365</f>
        <v>英語</v>
      </c>
      <c r="B1366">
        <f t="shared" si="1133"/>
        <v>12</v>
      </c>
      <c r="C1366">
        <f t="shared" si="1097"/>
        <v>102</v>
      </c>
      <c r="D1366">
        <f>D1294</f>
        <v>29</v>
      </c>
      <c r="E1366" t="str">
        <f>VLOOKUP(D1366,name!A:B,2,1)</f>
        <v>Eri</v>
      </c>
      <c r="F1366" t="str">
        <f t="shared" si="1107"/>
        <v>ベトゥス・ア・コエドのきれいな写真でしょう?</v>
      </c>
      <c r="G1366" t="str">
        <f t="shared" si="1075"/>
        <v>a</v>
      </c>
      <c r="H1366" t="str">
        <f>VLOOKUP(D1366,name!A:C,3,1)</f>
        <v>assets/icons/image209.png</v>
      </c>
      <c r="I1366" t="s">
        <v>402</v>
      </c>
    </row>
    <row r="1367" spans="1:9" x14ac:dyDescent="0.15">
      <c r="A1367" t="str">
        <f t="shared" ref="A1367:B1367" si="1134">A1366</f>
        <v>英語</v>
      </c>
      <c r="B1367">
        <f t="shared" si="1134"/>
        <v>12</v>
      </c>
      <c r="C1367">
        <f t="shared" si="1097"/>
        <v>103</v>
      </c>
      <c r="D1367">
        <v>0</v>
      </c>
      <c r="E1367" t="str">
        <f>VLOOKUP(D1367,name!A:B,2,1)</f>
        <v>Player</v>
      </c>
      <c r="F1367" t="str">
        <f t="shared" si="1107"/>
        <v>Isn't this a lovely photo of Betws y Coed?</v>
      </c>
      <c r="G1367" t="str">
        <f t="shared" si="1075"/>
        <v>q</v>
      </c>
      <c r="H1367" t="str">
        <f>VLOOKUP(D1367,name!A:C,3,1)</f>
        <v>assets/icons/image326.png</v>
      </c>
      <c r="I1367" t="str">
        <f>IF(A1367="","",VLOOKUP(A1367,lng!A:B,2,0))</f>
        <v>en-GB</v>
      </c>
    </row>
    <row r="1368" spans="1:9" x14ac:dyDescent="0.15">
      <c r="A1368" t="str">
        <f t="shared" ref="A1368:B1368" si="1135">A1367</f>
        <v>英語</v>
      </c>
      <c r="B1368">
        <f t="shared" si="1135"/>
        <v>12</v>
      </c>
      <c r="C1368">
        <f t="shared" si="1097"/>
        <v>104</v>
      </c>
      <c r="D1368">
        <v>1</v>
      </c>
      <c r="E1368" t="str">
        <f>VLOOKUP(D1368,name!A:B,2,1)</f>
        <v>Navigator</v>
      </c>
      <c r="F1368" t="str">
        <f>"とても良くできました。レッスン"&amp;B1368&amp;"はこれで終了です。"</f>
        <v>とても良くできました。レッスン12はこれで終了です。</v>
      </c>
      <c r="G1368" t="str">
        <f t="shared" si="1075"/>
        <v>e</v>
      </c>
      <c r="H1368" t="str">
        <f>VLOOKUP(D1368,name!A:C,3,1)</f>
        <v>assets/icons/image014.png</v>
      </c>
      <c r="I1368" t="s">
        <v>402</v>
      </c>
    </row>
    <row r="1369" spans="1:9" x14ac:dyDescent="0.15">
      <c r="A1369" t="str">
        <f>A1368</f>
        <v>英語</v>
      </c>
      <c r="B1369">
        <f>B1368+1</f>
        <v>13</v>
      </c>
      <c r="C1369">
        <v>1</v>
      </c>
      <c r="D1369">
        <v>1</v>
      </c>
      <c r="E1369" t="str">
        <f>VLOOKUP(D1369,name!A:B,2,1)</f>
        <v>Navigator</v>
      </c>
      <c r="F1369" t="s">
        <v>833</v>
      </c>
      <c r="G1369" t="str">
        <f t="shared" si="1075"/>
        <v>a</v>
      </c>
      <c r="H1369" t="str">
        <f>VLOOKUP(D1369,name!A:C,3,1)</f>
        <v>assets/icons/image014.png</v>
      </c>
      <c r="I1369" t="str">
        <f>IF(A1369="","",VLOOKUP(A1369,lng!A:B,2,0))</f>
        <v>en-GB</v>
      </c>
    </row>
    <row r="1370" spans="1:9" x14ac:dyDescent="0.15">
      <c r="A1370" t="str">
        <f t="shared" ref="A1370:B1385" si="1136">A1369</f>
        <v>英語</v>
      </c>
      <c r="B1370">
        <f>B1369</f>
        <v>13</v>
      </c>
      <c r="C1370">
        <f>C1369+1</f>
        <v>2</v>
      </c>
      <c r="D1370">
        <v>1</v>
      </c>
      <c r="E1370" t="str">
        <f>VLOOKUP(D1370,name!A:B,2,1)</f>
        <v>Navigator</v>
      </c>
      <c r="F1370" t="str">
        <f>"レッスン"&amp;B1370</f>
        <v>レッスン13</v>
      </c>
      <c r="G1370" t="str">
        <f t="shared" si="1075"/>
        <v>a</v>
      </c>
      <c r="H1370" t="str">
        <f>VLOOKUP(D1370,name!A:C,3,1)</f>
        <v>assets/icons/image014.png</v>
      </c>
      <c r="I1370" t="s">
        <v>402</v>
      </c>
    </row>
    <row r="1371" spans="1:9" ht="40.5" x14ac:dyDescent="0.15">
      <c r="A1371" t="str">
        <f t="shared" si="1136"/>
        <v>英語</v>
      </c>
      <c r="B1371">
        <f t="shared" si="1136"/>
        <v>13</v>
      </c>
      <c r="C1371">
        <f t="shared" ref="C1371:C1434" si="1137">C1370+1</f>
        <v>3</v>
      </c>
      <c r="D1371">
        <v>1</v>
      </c>
      <c r="E1371" t="str">
        <f>VLOOKUP(D1371,name!A:B,2,1)</f>
        <v>Navigator</v>
      </c>
      <c r="F1371" s="1" t="str">
        <f>"まずは対話文を流します。その後に、日本語と"&amp;A1371&amp;"を一文ずつ流すので"&amp;A1371&amp;"を真似して下さい。最後に日本語のみを流すので、"&amp;A1371&amp;"で答えてください。"</f>
        <v>まずは対話文を流します。その後に、日本語と英語を一文ずつ流すので英語を真似して下さい。最後に日本語のみを流すので、英語で答えてください。</v>
      </c>
      <c r="G1371" t="str">
        <f t="shared" si="1075"/>
        <v>a</v>
      </c>
      <c r="H1371" t="str">
        <f>VLOOKUP(D1371,name!A:C,3,1)</f>
        <v>assets/icons/image014.png</v>
      </c>
      <c r="I1371" t="s">
        <v>402</v>
      </c>
    </row>
    <row r="1372" spans="1:9" x14ac:dyDescent="0.15">
      <c r="A1372" t="str">
        <f t="shared" si="1136"/>
        <v>英語</v>
      </c>
      <c r="B1372">
        <f t="shared" si="1136"/>
        <v>13</v>
      </c>
      <c r="C1372">
        <f t="shared" si="1137"/>
        <v>4</v>
      </c>
      <c r="D1372">
        <f>D1373</f>
        <v>32</v>
      </c>
      <c r="E1372" t="str">
        <f>VLOOKUP(D1372,name!A:B,2,1)</f>
        <v>Asha</v>
      </c>
      <c r="F1372" t="s">
        <v>845</v>
      </c>
      <c r="G1372" t="str">
        <f t="shared" si="1075"/>
        <v>a</v>
      </c>
      <c r="H1372" t="str">
        <f>VLOOKUP(D1372,name!A:C,3,1)</f>
        <v>assets/icons/image235.png</v>
      </c>
      <c r="I1372" t="s">
        <v>402</v>
      </c>
    </row>
    <row r="1373" spans="1:9" x14ac:dyDescent="0.15">
      <c r="A1373" t="str">
        <f t="shared" si="1136"/>
        <v>英語</v>
      </c>
      <c r="B1373">
        <f t="shared" si="1136"/>
        <v>13</v>
      </c>
      <c r="C1373">
        <f t="shared" si="1137"/>
        <v>5</v>
      </c>
      <c r="D1373">
        <v>32</v>
      </c>
      <c r="E1373" t="str">
        <f>VLOOKUP(D1373,name!A:B,2,1)</f>
        <v>Asha</v>
      </c>
      <c r="F1373" t="s">
        <v>838</v>
      </c>
      <c r="G1373" t="str">
        <f t="shared" si="1075"/>
        <v>a</v>
      </c>
      <c r="H1373" t="str">
        <f>VLOOKUP(D1373,name!A:C,3,1)</f>
        <v>assets/icons/image235.png</v>
      </c>
      <c r="I1373" t="str">
        <f>IF(A1373="","",VLOOKUP(A1373,lng!A:B,2,0))</f>
        <v>en-GB</v>
      </c>
    </row>
    <row r="1374" spans="1:9" x14ac:dyDescent="0.15">
      <c r="A1374" t="str">
        <f t="shared" si="1136"/>
        <v>英語</v>
      </c>
      <c r="B1374">
        <f t="shared" si="1136"/>
        <v>13</v>
      </c>
      <c r="C1374">
        <f t="shared" si="1137"/>
        <v>6</v>
      </c>
      <c r="D1374">
        <f t="shared" ref="D1374:D1392" si="1138">D1375</f>
        <v>32</v>
      </c>
      <c r="E1374" t="str">
        <f>VLOOKUP(D1374,name!A:B,2,1)</f>
        <v>Asha</v>
      </c>
      <c r="F1374" t="s">
        <v>846</v>
      </c>
      <c r="G1374" t="str">
        <f t="shared" ref="G1374:G1437" si="1139">IF(B1374&lt;&gt;B1375,"e",IF(D1374=0,"q","a"))</f>
        <v>a</v>
      </c>
      <c r="H1374" t="str">
        <f>VLOOKUP(D1374,name!A:C,3,1)</f>
        <v>assets/icons/image235.png</v>
      </c>
      <c r="I1374" t="s">
        <v>402</v>
      </c>
    </row>
    <row r="1375" spans="1:9" x14ac:dyDescent="0.15">
      <c r="A1375" t="str">
        <f t="shared" si="1136"/>
        <v>英語</v>
      </c>
      <c r="B1375">
        <f t="shared" si="1136"/>
        <v>13</v>
      </c>
      <c r="C1375">
        <f t="shared" si="1137"/>
        <v>7</v>
      </c>
      <c r="D1375">
        <f t="shared" si="1138"/>
        <v>32</v>
      </c>
      <c r="E1375" t="str">
        <f>VLOOKUP(D1375,name!A:B,2,1)</f>
        <v>Asha</v>
      </c>
      <c r="F1375" t="s">
        <v>839</v>
      </c>
      <c r="G1375" t="str">
        <f t="shared" si="1139"/>
        <v>a</v>
      </c>
      <c r="H1375" t="str">
        <f>VLOOKUP(D1375,name!A:C,3,1)</f>
        <v>assets/icons/image235.png</v>
      </c>
      <c r="I1375" t="str">
        <f>IF(A1375="","",VLOOKUP(A1375,lng!A:B,2,0))</f>
        <v>en-GB</v>
      </c>
    </row>
    <row r="1376" spans="1:9" x14ac:dyDescent="0.15">
      <c r="A1376" t="str">
        <f t="shared" si="1136"/>
        <v>英語</v>
      </c>
      <c r="B1376">
        <f t="shared" si="1136"/>
        <v>13</v>
      </c>
      <c r="C1376">
        <f t="shared" si="1137"/>
        <v>8</v>
      </c>
      <c r="D1376">
        <f t="shared" si="1138"/>
        <v>32</v>
      </c>
      <c r="E1376" t="str">
        <f>VLOOKUP(D1376,name!A:B,2,1)</f>
        <v>Asha</v>
      </c>
      <c r="F1376" t="s">
        <v>847</v>
      </c>
      <c r="G1376" t="str">
        <f t="shared" si="1139"/>
        <v>a</v>
      </c>
      <c r="H1376" t="str">
        <f>VLOOKUP(D1376,name!A:C,3,1)</f>
        <v>assets/icons/image235.png</v>
      </c>
      <c r="I1376" t="s">
        <v>402</v>
      </c>
    </row>
    <row r="1377" spans="1:9" x14ac:dyDescent="0.15">
      <c r="A1377" t="str">
        <f t="shared" si="1136"/>
        <v>英語</v>
      </c>
      <c r="B1377">
        <f t="shared" si="1136"/>
        <v>13</v>
      </c>
      <c r="C1377">
        <f t="shared" si="1137"/>
        <v>9</v>
      </c>
      <c r="D1377">
        <v>32</v>
      </c>
      <c r="E1377" t="str">
        <f>VLOOKUP(D1377,name!A:B,2,1)</f>
        <v>Asha</v>
      </c>
      <c r="F1377" t="s">
        <v>840</v>
      </c>
      <c r="G1377" t="str">
        <f t="shared" si="1139"/>
        <v>a</v>
      </c>
      <c r="H1377" t="str">
        <f>VLOOKUP(D1377,name!A:C,3,1)</f>
        <v>assets/icons/image235.png</v>
      </c>
      <c r="I1377" t="str">
        <f>IF(A1377="","",VLOOKUP(A1377,lng!A:B,2,0))</f>
        <v>en-GB</v>
      </c>
    </row>
    <row r="1378" spans="1:9" x14ac:dyDescent="0.15">
      <c r="A1378" t="str">
        <f t="shared" si="1136"/>
        <v>英語</v>
      </c>
      <c r="B1378">
        <f t="shared" si="1136"/>
        <v>13</v>
      </c>
      <c r="C1378">
        <f t="shared" si="1137"/>
        <v>10</v>
      </c>
      <c r="D1378">
        <f t="shared" si="1138"/>
        <v>29</v>
      </c>
      <c r="E1378" t="str">
        <f>VLOOKUP(D1378,name!A:B,2,1)</f>
        <v>Eri</v>
      </c>
      <c r="F1378" t="s">
        <v>848</v>
      </c>
      <c r="G1378" t="str">
        <f t="shared" si="1139"/>
        <v>a</v>
      </c>
      <c r="H1378" t="str">
        <f>VLOOKUP(D1378,name!A:C,3,1)</f>
        <v>assets/icons/image209.png</v>
      </c>
      <c r="I1378" t="s">
        <v>402</v>
      </c>
    </row>
    <row r="1379" spans="1:9" x14ac:dyDescent="0.15">
      <c r="A1379" t="str">
        <f t="shared" si="1136"/>
        <v>英語</v>
      </c>
      <c r="B1379">
        <f t="shared" si="1136"/>
        <v>13</v>
      </c>
      <c r="C1379">
        <f t="shared" si="1137"/>
        <v>11</v>
      </c>
      <c r="D1379">
        <f t="shared" si="1138"/>
        <v>29</v>
      </c>
      <c r="E1379" t="str">
        <f>VLOOKUP(D1379,name!A:B,2,1)</f>
        <v>Eri</v>
      </c>
      <c r="F1379" t="s">
        <v>841</v>
      </c>
      <c r="G1379" t="str">
        <f t="shared" si="1139"/>
        <v>a</v>
      </c>
      <c r="H1379" t="str">
        <f>VLOOKUP(D1379,name!A:C,3,1)</f>
        <v>assets/icons/image209.png</v>
      </c>
      <c r="I1379" t="str">
        <f>IF(A1379="","",VLOOKUP(A1379,lng!A:B,2,0))</f>
        <v>en-GB</v>
      </c>
    </row>
    <row r="1380" spans="1:9" x14ac:dyDescent="0.15">
      <c r="A1380" t="str">
        <f t="shared" si="1136"/>
        <v>英語</v>
      </c>
      <c r="B1380">
        <f t="shared" si="1136"/>
        <v>13</v>
      </c>
      <c r="C1380">
        <f t="shared" si="1137"/>
        <v>12</v>
      </c>
      <c r="D1380">
        <f t="shared" si="1138"/>
        <v>29</v>
      </c>
      <c r="E1380" t="str">
        <f>VLOOKUP(D1380,name!A:B,2,1)</f>
        <v>Eri</v>
      </c>
      <c r="F1380" t="s">
        <v>849</v>
      </c>
      <c r="G1380" t="str">
        <f t="shared" si="1139"/>
        <v>a</v>
      </c>
      <c r="H1380" t="str">
        <f>VLOOKUP(D1380,name!A:C,3,1)</f>
        <v>assets/icons/image209.png</v>
      </c>
      <c r="I1380" t="s">
        <v>402</v>
      </c>
    </row>
    <row r="1381" spans="1:9" x14ac:dyDescent="0.15">
      <c r="A1381" t="str">
        <f t="shared" si="1136"/>
        <v>英語</v>
      </c>
      <c r="B1381">
        <f t="shared" si="1136"/>
        <v>13</v>
      </c>
      <c r="C1381">
        <f t="shared" si="1137"/>
        <v>13</v>
      </c>
      <c r="D1381">
        <v>29</v>
      </c>
      <c r="E1381" t="str">
        <f>VLOOKUP(D1381,name!A:B,2,1)</f>
        <v>Eri</v>
      </c>
      <c r="F1381" t="s">
        <v>842</v>
      </c>
      <c r="G1381" t="str">
        <f t="shared" si="1139"/>
        <v>a</v>
      </c>
      <c r="H1381" t="str">
        <f>VLOOKUP(D1381,name!A:C,3,1)</f>
        <v>assets/icons/image209.png</v>
      </c>
      <c r="I1381" t="str">
        <f>IF(A1381="","",VLOOKUP(A1381,lng!A:B,2,0))</f>
        <v>en-GB</v>
      </c>
    </row>
    <row r="1382" spans="1:9" x14ac:dyDescent="0.15">
      <c r="A1382" t="str">
        <f t="shared" si="1136"/>
        <v>英語</v>
      </c>
      <c r="B1382">
        <f t="shared" si="1136"/>
        <v>13</v>
      </c>
      <c r="C1382">
        <f t="shared" si="1137"/>
        <v>14</v>
      </c>
      <c r="D1382">
        <f t="shared" si="1138"/>
        <v>32</v>
      </c>
      <c r="E1382" t="str">
        <f>VLOOKUP(D1382,name!A:B,2,1)</f>
        <v>Asha</v>
      </c>
      <c r="F1382" t="s">
        <v>850</v>
      </c>
      <c r="G1382" t="str">
        <f t="shared" si="1139"/>
        <v>a</v>
      </c>
      <c r="H1382" t="str">
        <f>VLOOKUP(D1382,name!A:C,3,1)</f>
        <v>assets/icons/image235.png</v>
      </c>
      <c r="I1382" t="s">
        <v>402</v>
      </c>
    </row>
    <row r="1383" spans="1:9" x14ac:dyDescent="0.15">
      <c r="A1383" t="str">
        <f t="shared" si="1136"/>
        <v>英語</v>
      </c>
      <c r="B1383">
        <f t="shared" si="1136"/>
        <v>13</v>
      </c>
      <c r="C1383">
        <f t="shared" si="1137"/>
        <v>15</v>
      </c>
      <c r="D1383">
        <v>32</v>
      </c>
      <c r="E1383" t="str">
        <f>VLOOKUP(D1383,name!A:B,2,1)</f>
        <v>Asha</v>
      </c>
      <c r="F1383" t="s">
        <v>834</v>
      </c>
      <c r="G1383" t="str">
        <f t="shared" si="1139"/>
        <v>a</v>
      </c>
      <c r="H1383" t="str">
        <f>VLOOKUP(D1383,name!A:C,3,1)</f>
        <v>assets/icons/image235.png</v>
      </c>
      <c r="I1383" t="str">
        <f>IF(A1383="","",VLOOKUP(A1383,lng!A:B,2,0))</f>
        <v>en-GB</v>
      </c>
    </row>
    <row r="1384" spans="1:9" x14ac:dyDescent="0.15">
      <c r="A1384" t="str">
        <f t="shared" si="1136"/>
        <v>英語</v>
      </c>
      <c r="B1384">
        <f t="shared" si="1136"/>
        <v>13</v>
      </c>
      <c r="C1384">
        <f t="shared" si="1137"/>
        <v>16</v>
      </c>
      <c r="D1384">
        <f t="shared" si="1138"/>
        <v>29</v>
      </c>
      <c r="E1384" t="str">
        <f>VLOOKUP(D1384,name!A:B,2,1)</f>
        <v>Eri</v>
      </c>
      <c r="F1384" t="s">
        <v>851</v>
      </c>
      <c r="G1384" t="str">
        <f t="shared" si="1139"/>
        <v>a</v>
      </c>
      <c r="H1384" t="str">
        <f>VLOOKUP(D1384,name!A:C,3,1)</f>
        <v>assets/icons/image209.png</v>
      </c>
      <c r="I1384" t="s">
        <v>402</v>
      </c>
    </row>
    <row r="1385" spans="1:9" x14ac:dyDescent="0.15">
      <c r="A1385" t="str">
        <f t="shared" si="1136"/>
        <v>英語</v>
      </c>
      <c r="B1385">
        <f t="shared" si="1136"/>
        <v>13</v>
      </c>
      <c r="C1385">
        <f t="shared" si="1137"/>
        <v>17</v>
      </c>
      <c r="D1385">
        <v>29</v>
      </c>
      <c r="E1385" t="str">
        <f>VLOOKUP(D1385,name!A:B,2,1)</f>
        <v>Eri</v>
      </c>
      <c r="F1385" t="s">
        <v>843</v>
      </c>
      <c r="G1385" t="str">
        <f t="shared" si="1139"/>
        <v>a</v>
      </c>
      <c r="H1385" t="str">
        <f>VLOOKUP(D1385,name!A:C,3,1)</f>
        <v>assets/icons/image209.png</v>
      </c>
      <c r="I1385" t="str">
        <f>IF(A1385="","",VLOOKUP(A1385,lng!A:B,2,0))</f>
        <v>en-GB</v>
      </c>
    </row>
    <row r="1386" spans="1:9" x14ac:dyDescent="0.15">
      <c r="A1386" t="str">
        <f t="shared" ref="A1386:B1389" si="1140">A1385</f>
        <v>英語</v>
      </c>
      <c r="B1386">
        <f t="shared" si="1140"/>
        <v>13</v>
      </c>
      <c r="C1386">
        <f t="shared" si="1137"/>
        <v>18</v>
      </c>
      <c r="D1386">
        <f t="shared" si="1138"/>
        <v>32</v>
      </c>
      <c r="E1386" t="str">
        <f>VLOOKUP(D1386,name!A:B,2,1)</f>
        <v>Asha</v>
      </c>
      <c r="F1386" t="s">
        <v>852</v>
      </c>
      <c r="G1386" t="str">
        <f t="shared" si="1139"/>
        <v>a</v>
      </c>
      <c r="H1386" t="str">
        <f>VLOOKUP(D1386,name!A:C,3,1)</f>
        <v>assets/icons/image235.png</v>
      </c>
      <c r="I1386" t="s">
        <v>402</v>
      </c>
    </row>
    <row r="1387" spans="1:9" x14ac:dyDescent="0.15">
      <c r="A1387" t="str">
        <f t="shared" si="1140"/>
        <v>英語</v>
      </c>
      <c r="B1387">
        <f t="shared" si="1140"/>
        <v>13</v>
      </c>
      <c r="C1387">
        <f t="shared" si="1137"/>
        <v>19</v>
      </c>
      <c r="D1387">
        <f t="shared" si="1138"/>
        <v>32</v>
      </c>
      <c r="E1387" t="str">
        <f>VLOOKUP(D1387,name!A:B,2,1)</f>
        <v>Asha</v>
      </c>
      <c r="F1387" t="s">
        <v>835</v>
      </c>
      <c r="G1387" t="str">
        <f t="shared" si="1139"/>
        <v>a</v>
      </c>
      <c r="H1387" t="str">
        <f>VLOOKUP(D1387,name!A:C,3,1)</f>
        <v>assets/icons/image235.png</v>
      </c>
      <c r="I1387" t="str">
        <f>IF(A1387="","",VLOOKUP(A1387,lng!A:B,2,0))</f>
        <v>en-GB</v>
      </c>
    </row>
    <row r="1388" spans="1:9" x14ac:dyDescent="0.15">
      <c r="A1388" t="str">
        <f t="shared" si="1140"/>
        <v>英語</v>
      </c>
      <c r="B1388">
        <f t="shared" si="1140"/>
        <v>13</v>
      </c>
      <c r="C1388">
        <f t="shared" si="1137"/>
        <v>20</v>
      </c>
      <c r="D1388">
        <f t="shared" si="1138"/>
        <v>32</v>
      </c>
      <c r="E1388" t="str">
        <f>VLOOKUP(D1388,name!A:B,2,1)</f>
        <v>Asha</v>
      </c>
      <c r="F1388" t="s">
        <v>853</v>
      </c>
      <c r="G1388" t="str">
        <f t="shared" si="1139"/>
        <v>a</v>
      </c>
      <c r="H1388" t="str">
        <f>VLOOKUP(D1388,name!A:C,3,1)</f>
        <v>assets/icons/image235.png</v>
      </c>
      <c r="I1388" t="s">
        <v>402</v>
      </c>
    </row>
    <row r="1389" spans="1:9" x14ac:dyDescent="0.15">
      <c r="A1389" t="str">
        <f t="shared" si="1140"/>
        <v>英語</v>
      </c>
      <c r="B1389">
        <f t="shared" si="1140"/>
        <v>13</v>
      </c>
      <c r="C1389">
        <f t="shared" si="1137"/>
        <v>21</v>
      </c>
      <c r="D1389">
        <f t="shared" si="1138"/>
        <v>32</v>
      </c>
      <c r="E1389" t="str">
        <f>VLOOKUP(D1389,name!A:B,2,1)</f>
        <v>Asha</v>
      </c>
      <c r="F1389" t="s">
        <v>844</v>
      </c>
      <c r="G1389" t="str">
        <f t="shared" si="1139"/>
        <v>a</v>
      </c>
      <c r="H1389" t="str">
        <f>VLOOKUP(D1389,name!A:C,3,1)</f>
        <v>assets/icons/image235.png</v>
      </c>
      <c r="I1389" t="str">
        <f>IF(A1389="","",VLOOKUP(A1389,lng!A:B,2,0))</f>
        <v>en-GB</v>
      </c>
    </row>
    <row r="1390" spans="1:9" x14ac:dyDescent="0.15">
      <c r="A1390" t="str">
        <f t="shared" ref="A1390:B1390" si="1141">A1389</f>
        <v>英語</v>
      </c>
      <c r="B1390">
        <f t="shared" si="1141"/>
        <v>13</v>
      </c>
      <c r="C1390">
        <f t="shared" si="1137"/>
        <v>22</v>
      </c>
      <c r="D1390">
        <f t="shared" si="1138"/>
        <v>32</v>
      </c>
      <c r="E1390" t="str">
        <f>VLOOKUP(D1390,name!A:B,2,1)</f>
        <v>Asha</v>
      </c>
      <c r="F1390" t="s">
        <v>855</v>
      </c>
      <c r="G1390" t="str">
        <f t="shared" si="1139"/>
        <v>a</v>
      </c>
      <c r="H1390" t="str">
        <f>VLOOKUP(D1390,name!A:C,3,1)</f>
        <v>assets/icons/image235.png</v>
      </c>
      <c r="I1390" t="s">
        <v>402</v>
      </c>
    </row>
    <row r="1391" spans="1:9" x14ac:dyDescent="0.15">
      <c r="A1391" t="str">
        <f t="shared" ref="A1391:B1391" si="1142">A1390</f>
        <v>英語</v>
      </c>
      <c r="B1391">
        <f t="shared" si="1142"/>
        <v>13</v>
      </c>
      <c r="C1391">
        <f t="shared" si="1137"/>
        <v>23</v>
      </c>
      <c r="D1391">
        <f t="shared" si="1138"/>
        <v>32</v>
      </c>
      <c r="E1391" t="str">
        <f>VLOOKUP(D1391,name!A:B,2,1)</f>
        <v>Asha</v>
      </c>
      <c r="F1391" t="s">
        <v>836</v>
      </c>
      <c r="G1391" t="str">
        <f t="shared" si="1139"/>
        <v>a</v>
      </c>
      <c r="H1391" t="str">
        <f>VLOOKUP(D1391,name!A:C,3,1)</f>
        <v>assets/icons/image235.png</v>
      </c>
      <c r="I1391" t="str">
        <f>IF(A1391="","",VLOOKUP(A1391,lng!A:B,2,0))</f>
        <v>en-GB</v>
      </c>
    </row>
    <row r="1392" spans="1:9" x14ac:dyDescent="0.15">
      <c r="A1392" t="str">
        <f t="shared" ref="A1392:B1392" si="1143">A1391</f>
        <v>英語</v>
      </c>
      <c r="B1392">
        <f t="shared" si="1143"/>
        <v>13</v>
      </c>
      <c r="C1392">
        <f t="shared" si="1137"/>
        <v>24</v>
      </c>
      <c r="D1392">
        <f t="shared" si="1138"/>
        <v>32</v>
      </c>
      <c r="E1392" t="str">
        <f>VLOOKUP(D1392,name!A:B,2,1)</f>
        <v>Asha</v>
      </c>
      <c r="F1392" t="s">
        <v>854</v>
      </c>
      <c r="G1392" t="str">
        <f t="shared" si="1139"/>
        <v>a</v>
      </c>
      <c r="H1392" t="str">
        <f>VLOOKUP(D1392,name!A:C,3,1)</f>
        <v>assets/icons/image235.png</v>
      </c>
      <c r="I1392" t="s">
        <v>402</v>
      </c>
    </row>
    <row r="1393" spans="1:9" x14ac:dyDescent="0.15">
      <c r="A1393" t="str">
        <f t="shared" ref="A1393:B1393" si="1144">A1392</f>
        <v>英語</v>
      </c>
      <c r="B1393">
        <f t="shared" si="1144"/>
        <v>13</v>
      </c>
      <c r="C1393">
        <f t="shared" si="1137"/>
        <v>25</v>
      </c>
      <c r="D1393">
        <v>32</v>
      </c>
      <c r="E1393" t="str">
        <f>VLOOKUP(D1393,name!A:B,2,1)</f>
        <v>Asha</v>
      </c>
      <c r="F1393" t="s">
        <v>837</v>
      </c>
      <c r="G1393" t="str">
        <f t="shared" si="1139"/>
        <v>a</v>
      </c>
      <c r="H1393" t="str">
        <f>VLOOKUP(D1393,name!A:C,3,1)</f>
        <v>assets/icons/image235.png</v>
      </c>
      <c r="I1393" t="str">
        <f>IF(A1393="","",VLOOKUP(A1393,lng!A:B,2,0))</f>
        <v>en-GB</v>
      </c>
    </row>
    <row r="1394" spans="1:9" x14ac:dyDescent="0.15">
      <c r="A1394" t="str">
        <f t="shared" ref="A1394:B1394" si="1145">A1393</f>
        <v>英語</v>
      </c>
      <c r="B1394">
        <f t="shared" si="1145"/>
        <v>13</v>
      </c>
      <c r="C1394">
        <f t="shared" si="1137"/>
        <v>26</v>
      </c>
      <c r="D1394">
        <v>1</v>
      </c>
      <c r="E1394" t="str">
        <f>VLOOKUP(D1394,name!A:B,2,1)</f>
        <v>Navigator</v>
      </c>
      <c r="F1394" t="str">
        <f>"次の"&amp;A1394&amp;"を真似してね！"</f>
        <v>次の英語を真似してね！</v>
      </c>
      <c r="G1394" t="str">
        <f t="shared" si="1139"/>
        <v>a</v>
      </c>
      <c r="H1394" t="str">
        <f>VLOOKUP(D1394,name!A:C,3,1)</f>
        <v>assets/icons/image014.png</v>
      </c>
      <c r="I1394" t="s">
        <v>402</v>
      </c>
    </row>
    <row r="1395" spans="1:9" x14ac:dyDescent="0.15">
      <c r="A1395" t="str">
        <f t="shared" ref="A1395:B1395" si="1146">A1394</f>
        <v>英語</v>
      </c>
      <c r="B1395">
        <f t="shared" si="1146"/>
        <v>13</v>
      </c>
      <c r="C1395">
        <f t="shared" si="1137"/>
        <v>27</v>
      </c>
      <c r="D1395">
        <f>D1372</f>
        <v>32</v>
      </c>
      <c r="E1395" t="str">
        <f>VLOOKUP(D1395,name!A:B,2,1)</f>
        <v>Asha</v>
      </c>
      <c r="F1395" t="str">
        <f>F1372</f>
        <v>エリ、今晩、 何かする予定がある?</v>
      </c>
      <c r="G1395" t="str">
        <f t="shared" si="1139"/>
        <v>a</v>
      </c>
      <c r="H1395" t="str">
        <f>VLOOKUP(D1395,name!A:C,3,1)</f>
        <v>assets/icons/image235.png</v>
      </c>
      <c r="I1395" t="s">
        <v>402</v>
      </c>
    </row>
    <row r="1396" spans="1:9" x14ac:dyDescent="0.15">
      <c r="A1396" t="str">
        <f t="shared" ref="A1396:B1396" si="1147">A1395</f>
        <v>英語</v>
      </c>
      <c r="B1396">
        <f t="shared" si="1147"/>
        <v>13</v>
      </c>
      <c r="C1396">
        <f t="shared" si="1137"/>
        <v>28</v>
      </c>
      <c r="D1396">
        <f>D1373</f>
        <v>32</v>
      </c>
      <c r="E1396" t="str">
        <f>VLOOKUP(D1396,name!A:B,2,1)</f>
        <v>Asha</v>
      </c>
      <c r="F1396" t="str">
        <f>F1373</f>
        <v>Are you doing anything tonight, Eri?</v>
      </c>
      <c r="G1396" t="str">
        <f t="shared" si="1139"/>
        <v>a</v>
      </c>
      <c r="H1396" t="str">
        <f>VLOOKUP(D1396,name!A:C,3,1)</f>
        <v>assets/icons/image235.png</v>
      </c>
      <c r="I1396" t="str">
        <f>IF(A1396="","",VLOOKUP(A1396,lng!A:B,2,0))</f>
        <v>en-GB</v>
      </c>
    </row>
    <row r="1397" spans="1:9" x14ac:dyDescent="0.15">
      <c r="A1397" t="str">
        <f t="shared" ref="A1397:B1397" si="1148">A1396</f>
        <v>英語</v>
      </c>
      <c r="B1397">
        <f t="shared" si="1148"/>
        <v>13</v>
      </c>
      <c r="C1397">
        <f t="shared" si="1137"/>
        <v>29</v>
      </c>
      <c r="D1397">
        <v>0</v>
      </c>
      <c r="E1397" t="str">
        <f>VLOOKUP(D1397,name!A:B,2,1)</f>
        <v>Player</v>
      </c>
      <c r="F1397" t="str">
        <f>F1373</f>
        <v>Are you doing anything tonight, Eri?</v>
      </c>
      <c r="G1397" t="str">
        <f t="shared" si="1139"/>
        <v>q</v>
      </c>
      <c r="H1397" t="str">
        <f>VLOOKUP(D1397,name!A:C,3,1)</f>
        <v>assets/icons/image326.png</v>
      </c>
      <c r="I1397" t="str">
        <f>IF(A1397="","",VLOOKUP(A1397,lng!A:B,2,0))</f>
        <v>en-GB</v>
      </c>
    </row>
    <row r="1398" spans="1:9" x14ac:dyDescent="0.15">
      <c r="A1398" t="str">
        <f t="shared" ref="A1398:B1398" si="1149">A1397</f>
        <v>英語</v>
      </c>
      <c r="B1398">
        <f t="shared" si="1149"/>
        <v>13</v>
      </c>
      <c r="C1398">
        <f t="shared" si="1137"/>
        <v>30</v>
      </c>
      <c r="D1398">
        <f>D1374</f>
        <v>32</v>
      </c>
      <c r="E1398" t="str">
        <f>VLOOKUP(D1398,name!A:B,2,1)</f>
        <v>Asha</v>
      </c>
      <c r="F1398" t="str">
        <f>F1374</f>
        <v>ゲイルと私はクラブに行く予定です。</v>
      </c>
      <c r="G1398" t="str">
        <f t="shared" si="1139"/>
        <v>a</v>
      </c>
      <c r="H1398" t="str">
        <f>VLOOKUP(D1398,name!A:C,3,1)</f>
        <v>assets/icons/image235.png</v>
      </c>
      <c r="I1398" t="s">
        <v>402</v>
      </c>
    </row>
    <row r="1399" spans="1:9" x14ac:dyDescent="0.15">
      <c r="A1399" t="str">
        <f t="shared" ref="A1399:B1399" si="1150">A1398</f>
        <v>英語</v>
      </c>
      <c r="B1399">
        <f t="shared" si="1150"/>
        <v>13</v>
      </c>
      <c r="C1399">
        <f t="shared" si="1137"/>
        <v>31</v>
      </c>
      <c r="D1399">
        <f>D1375</f>
        <v>32</v>
      </c>
      <c r="E1399" t="str">
        <f>VLOOKUP(D1399,name!A:B,2,1)</f>
        <v>Asha</v>
      </c>
      <c r="F1399" t="str">
        <f>F1375</f>
        <v>Gail and I are going clubbing,</v>
      </c>
      <c r="G1399" t="str">
        <f t="shared" si="1139"/>
        <v>a</v>
      </c>
      <c r="H1399" t="str">
        <f>VLOOKUP(D1399,name!A:C,3,1)</f>
        <v>assets/icons/image235.png</v>
      </c>
      <c r="I1399" t="str">
        <f>IF(A1399="","",VLOOKUP(A1399,lng!A:B,2,0))</f>
        <v>en-GB</v>
      </c>
    </row>
    <row r="1400" spans="1:9" x14ac:dyDescent="0.15">
      <c r="A1400" t="str">
        <f t="shared" ref="A1400:B1400" si="1151">A1399</f>
        <v>英語</v>
      </c>
      <c r="B1400">
        <f t="shared" si="1151"/>
        <v>13</v>
      </c>
      <c r="C1400">
        <f t="shared" si="1137"/>
        <v>32</v>
      </c>
      <c r="D1400">
        <v>0</v>
      </c>
      <c r="E1400" t="str">
        <f>VLOOKUP(D1400,name!A:B,2,1)</f>
        <v>Player</v>
      </c>
      <c r="F1400" t="str">
        <f>F1375</f>
        <v>Gail and I are going clubbing,</v>
      </c>
      <c r="G1400" t="str">
        <f t="shared" si="1139"/>
        <v>q</v>
      </c>
      <c r="H1400" t="str">
        <f>VLOOKUP(D1400,name!A:C,3,1)</f>
        <v>assets/icons/image326.png</v>
      </c>
      <c r="I1400" t="str">
        <f>IF(A1400="","",VLOOKUP(A1400,lng!A:B,2,0))</f>
        <v>en-GB</v>
      </c>
    </row>
    <row r="1401" spans="1:9" x14ac:dyDescent="0.15">
      <c r="A1401" t="str">
        <f t="shared" ref="A1401:B1401" si="1152">A1400</f>
        <v>英語</v>
      </c>
      <c r="B1401">
        <f t="shared" si="1152"/>
        <v>13</v>
      </c>
      <c r="C1401">
        <f t="shared" si="1137"/>
        <v>33</v>
      </c>
      <c r="D1401">
        <f>D1376</f>
        <v>32</v>
      </c>
      <c r="E1401" t="str">
        <f>VLOOKUP(D1401,name!A:B,2,1)</f>
        <v>Asha</v>
      </c>
      <c r="F1401" t="str">
        <f>F1376</f>
        <v>女子会に参加しませんか？</v>
      </c>
      <c r="G1401" t="str">
        <f t="shared" si="1139"/>
        <v>a</v>
      </c>
      <c r="H1401" t="str">
        <f>VLOOKUP(D1401,name!A:C,3,1)</f>
        <v>assets/icons/image235.png</v>
      </c>
      <c r="I1401" t="s">
        <v>402</v>
      </c>
    </row>
    <row r="1402" spans="1:9" x14ac:dyDescent="0.15">
      <c r="A1402" t="str">
        <f t="shared" ref="A1402:B1402" si="1153">A1401</f>
        <v>英語</v>
      </c>
      <c r="B1402">
        <f t="shared" si="1153"/>
        <v>13</v>
      </c>
      <c r="C1402">
        <f t="shared" si="1137"/>
        <v>34</v>
      </c>
      <c r="D1402">
        <f>D1377</f>
        <v>32</v>
      </c>
      <c r="E1402" t="str">
        <f>VLOOKUP(D1402,name!A:B,2,1)</f>
        <v>Asha</v>
      </c>
      <c r="F1402" t="str">
        <f>F1377</f>
        <v>and we wondered if you'd like to join us for a girls' night out.</v>
      </c>
      <c r="G1402" t="str">
        <f t="shared" si="1139"/>
        <v>a</v>
      </c>
      <c r="H1402" t="str">
        <f>VLOOKUP(D1402,name!A:C,3,1)</f>
        <v>assets/icons/image235.png</v>
      </c>
      <c r="I1402" t="str">
        <f>IF(A1402="","",VLOOKUP(A1402,lng!A:B,2,0))</f>
        <v>en-GB</v>
      </c>
    </row>
    <row r="1403" spans="1:9" x14ac:dyDescent="0.15">
      <c r="A1403" t="str">
        <f t="shared" ref="A1403:B1403" si="1154">A1402</f>
        <v>英語</v>
      </c>
      <c r="B1403">
        <f t="shared" si="1154"/>
        <v>13</v>
      </c>
      <c r="C1403">
        <f t="shared" si="1137"/>
        <v>35</v>
      </c>
      <c r="D1403">
        <v>0</v>
      </c>
      <c r="E1403" t="str">
        <f>VLOOKUP(D1403,name!A:B,2,1)</f>
        <v>Player</v>
      </c>
      <c r="F1403" t="str">
        <f>F1377</f>
        <v>and we wondered if you'd like to join us for a girls' night out.</v>
      </c>
      <c r="G1403" t="str">
        <f t="shared" si="1139"/>
        <v>q</v>
      </c>
      <c r="H1403" t="str">
        <f>VLOOKUP(D1403,name!A:C,3,1)</f>
        <v>assets/icons/image326.png</v>
      </c>
      <c r="I1403" t="str">
        <f>IF(A1403="","",VLOOKUP(A1403,lng!A:B,2,0))</f>
        <v>en-GB</v>
      </c>
    </row>
    <row r="1404" spans="1:9" x14ac:dyDescent="0.15">
      <c r="A1404" t="str">
        <f t="shared" ref="A1404:B1404" si="1155">A1403</f>
        <v>英語</v>
      </c>
      <c r="B1404">
        <f t="shared" si="1155"/>
        <v>13</v>
      </c>
      <c r="C1404">
        <f t="shared" si="1137"/>
        <v>36</v>
      </c>
      <c r="D1404">
        <f>D1378</f>
        <v>29</v>
      </c>
      <c r="E1404" t="str">
        <f>VLOOKUP(D1404,name!A:B,2,1)</f>
        <v>Eri</v>
      </c>
      <c r="F1404" t="str">
        <f>F1378</f>
        <v>今夜は特に予定はありませんが、</v>
      </c>
      <c r="G1404" t="str">
        <f t="shared" si="1139"/>
        <v>a</v>
      </c>
      <c r="H1404" t="str">
        <f>VLOOKUP(D1404,name!A:C,3,1)</f>
        <v>assets/icons/image209.png</v>
      </c>
      <c r="I1404" t="s">
        <v>402</v>
      </c>
    </row>
    <row r="1405" spans="1:9" x14ac:dyDescent="0.15">
      <c r="A1405" t="str">
        <f t="shared" ref="A1405:B1405" si="1156">A1404</f>
        <v>英語</v>
      </c>
      <c r="B1405">
        <f t="shared" si="1156"/>
        <v>13</v>
      </c>
      <c r="C1405">
        <f t="shared" si="1137"/>
        <v>37</v>
      </c>
      <c r="D1405">
        <f>D1379</f>
        <v>29</v>
      </c>
      <c r="E1405" t="str">
        <f>VLOOKUP(D1405,name!A:B,2,1)</f>
        <v>Eri</v>
      </c>
      <c r="F1405" t="str">
        <f>F1379</f>
        <v>I don't have any special plans for tonight,</v>
      </c>
      <c r="G1405" t="str">
        <f t="shared" si="1139"/>
        <v>a</v>
      </c>
      <c r="H1405" t="str">
        <f>VLOOKUP(D1405,name!A:C,3,1)</f>
        <v>assets/icons/image209.png</v>
      </c>
      <c r="I1405" t="str">
        <f>IF(A1405="","",VLOOKUP(A1405,lng!A:B,2,0))</f>
        <v>en-GB</v>
      </c>
    </row>
    <row r="1406" spans="1:9" x14ac:dyDescent="0.15">
      <c r="A1406" t="str">
        <f t="shared" ref="A1406:B1406" si="1157">A1405</f>
        <v>英語</v>
      </c>
      <c r="B1406">
        <f t="shared" si="1157"/>
        <v>13</v>
      </c>
      <c r="C1406">
        <f t="shared" si="1137"/>
        <v>38</v>
      </c>
      <c r="D1406">
        <v>0</v>
      </c>
      <c r="E1406" t="str">
        <f>VLOOKUP(D1406,name!A:B,2,1)</f>
        <v>Player</v>
      </c>
      <c r="F1406" t="str">
        <f>F1379</f>
        <v>I don't have any special plans for tonight,</v>
      </c>
      <c r="G1406" t="str">
        <f t="shared" si="1139"/>
        <v>q</v>
      </c>
      <c r="H1406" t="str">
        <f>VLOOKUP(D1406,name!A:C,3,1)</f>
        <v>assets/icons/image326.png</v>
      </c>
      <c r="I1406" t="str">
        <f>IF(A1406="","",VLOOKUP(A1406,lng!A:B,2,0))</f>
        <v>en-GB</v>
      </c>
    </row>
    <row r="1407" spans="1:9" x14ac:dyDescent="0.15">
      <c r="A1407" t="str">
        <f t="shared" ref="A1407:B1407" si="1158">A1406</f>
        <v>英語</v>
      </c>
      <c r="B1407">
        <f t="shared" si="1158"/>
        <v>13</v>
      </c>
      <c r="C1407">
        <f t="shared" si="1137"/>
        <v>39</v>
      </c>
      <c r="D1407">
        <f>D1380</f>
        <v>29</v>
      </c>
      <c r="E1407" t="str">
        <f>VLOOKUP(D1407,name!A:B,2,1)</f>
        <v>Eri</v>
      </c>
      <c r="F1407" t="str">
        <f>F1380</f>
        <v>でも、私が本当にクラブ好きかどうかはわかりません。</v>
      </c>
      <c r="G1407" t="str">
        <f t="shared" si="1139"/>
        <v>a</v>
      </c>
      <c r="H1407" t="str">
        <f>VLOOKUP(D1407,name!A:C,3,1)</f>
        <v>assets/icons/image209.png</v>
      </c>
      <c r="I1407" t="s">
        <v>402</v>
      </c>
    </row>
    <row r="1408" spans="1:9" x14ac:dyDescent="0.15">
      <c r="A1408" t="str">
        <f t="shared" ref="A1408:B1408" si="1159">A1407</f>
        <v>英語</v>
      </c>
      <c r="B1408">
        <f t="shared" si="1159"/>
        <v>13</v>
      </c>
      <c r="C1408">
        <f t="shared" si="1137"/>
        <v>40</v>
      </c>
      <c r="D1408">
        <f>D1381</f>
        <v>29</v>
      </c>
      <c r="E1408" t="str">
        <f>VLOOKUP(D1408,name!A:B,2,1)</f>
        <v>Eri</v>
      </c>
      <c r="F1408" t="str">
        <f>F1381</f>
        <v>but I'm not sure if I'm really cut out for clubbing.</v>
      </c>
      <c r="G1408" t="str">
        <f t="shared" si="1139"/>
        <v>a</v>
      </c>
      <c r="H1408" t="str">
        <f>VLOOKUP(D1408,name!A:C,3,1)</f>
        <v>assets/icons/image209.png</v>
      </c>
      <c r="I1408" t="str">
        <f>IF(A1408="","",VLOOKUP(A1408,lng!A:B,2,0))</f>
        <v>en-GB</v>
      </c>
    </row>
    <row r="1409" spans="1:9" x14ac:dyDescent="0.15">
      <c r="A1409" t="str">
        <f t="shared" ref="A1409:B1409" si="1160">A1408</f>
        <v>英語</v>
      </c>
      <c r="B1409">
        <f t="shared" si="1160"/>
        <v>13</v>
      </c>
      <c r="C1409">
        <f t="shared" si="1137"/>
        <v>41</v>
      </c>
      <c r="D1409">
        <v>0</v>
      </c>
      <c r="E1409" t="str">
        <f>VLOOKUP(D1409,name!A:B,2,1)</f>
        <v>Player</v>
      </c>
      <c r="F1409" t="str">
        <f>F1381</f>
        <v>but I'm not sure if I'm really cut out for clubbing.</v>
      </c>
      <c r="G1409" t="str">
        <f t="shared" si="1139"/>
        <v>q</v>
      </c>
      <c r="H1409" t="str">
        <f>VLOOKUP(D1409,name!A:C,3,1)</f>
        <v>assets/icons/image326.png</v>
      </c>
      <c r="I1409" t="str">
        <f>IF(A1409="","",VLOOKUP(A1409,lng!A:B,2,0))</f>
        <v>en-GB</v>
      </c>
    </row>
    <row r="1410" spans="1:9" x14ac:dyDescent="0.15">
      <c r="A1410" t="str">
        <f t="shared" ref="A1410:B1410" si="1161">A1409</f>
        <v>英語</v>
      </c>
      <c r="B1410">
        <f t="shared" si="1161"/>
        <v>13</v>
      </c>
      <c r="C1410">
        <f t="shared" si="1137"/>
        <v>42</v>
      </c>
      <c r="D1410">
        <f>D1382</f>
        <v>32</v>
      </c>
      <c r="E1410" t="str">
        <f>VLOOKUP(D1410,name!A:B,2,1)</f>
        <v>Asha</v>
      </c>
      <c r="F1410" t="str">
        <f>F1382</f>
        <v>やってみないと分からないですよね？</v>
      </c>
      <c r="G1410" t="str">
        <f t="shared" si="1139"/>
        <v>a</v>
      </c>
      <c r="H1410" t="str">
        <f>VLOOKUP(D1410,name!A:C,3,1)</f>
        <v>assets/icons/image235.png</v>
      </c>
      <c r="I1410" t="s">
        <v>402</v>
      </c>
    </row>
    <row r="1411" spans="1:9" x14ac:dyDescent="0.15">
      <c r="A1411" t="str">
        <f t="shared" ref="A1411:B1411" si="1162">A1410</f>
        <v>英語</v>
      </c>
      <c r="B1411">
        <f t="shared" si="1162"/>
        <v>13</v>
      </c>
      <c r="C1411">
        <f t="shared" si="1137"/>
        <v>43</v>
      </c>
      <c r="D1411">
        <f>D1383</f>
        <v>32</v>
      </c>
      <c r="E1411" t="str">
        <f>VLOOKUP(D1411,name!A:B,2,1)</f>
        <v>Asha</v>
      </c>
      <c r="F1411" t="str">
        <f>F1383</f>
        <v>You won't know till you try, will you?</v>
      </c>
      <c r="G1411" t="str">
        <f t="shared" si="1139"/>
        <v>a</v>
      </c>
      <c r="H1411" t="str">
        <f>VLOOKUP(D1411,name!A:C,3,1)</f>
        <v>assets/icons/image235.png</v>
      </c>
      <c r="I1411" t="str">
        <f>IF(A1411="","",VLOOKUP(A1411,lng!A:B,2,0))</f>
        <v>en-GB</v>
      </c>
    </row>
    <row r="1412" spans="1:9" x14ac:dyDescent="0.15">
      <c r="A1412" t="str">
        <f t="shared" ref="A1412:B1412" si="1163">A1411</f>
        <v>英語</v>
      </c>
      <c r="B1412">
        <f t="shared" si="1163"/>
        <v>13</v>
      </c>
      <c r="C1412">
        <f t="shared" si="1137"/>
        <v>44</v>
      </c>
      <c r="D1412">
        <v>0</v>
      </c>
      <c r="E1412" t="str">
        <f>VLOOKUP(D1412,name!A:B,2,1)</f>
        <v>Player</v>
      </c>
      <c r="F1412" t="str">
        <f>F1383</f>
        <v>You won't know till you try, will you?</v>
      </c>
      <c r="G1412" t="str">
        <f t="shared" si="1139"/>
        <v>q</v>
      </c>
      <c r="H1412" t="str">
        <f>VLOOKUP(D1412,name!A:C,3,1)</f>
        <v>assets/icons/image326.png</v>
      </c>
      <c r="I1412" t="str">
        <f>IF(A1412="","",VLOOKUP(A1412,lng!A:B,2,0))</f>
        <v>en-GB</v>
      </c>
    </row>
    <row r="1413" spans="1:9" x14ac:dyDescent="0.15">
      <c r="A1413" t="str">
        <f t="shared" ref="A1413:B1413" si="1164">A1412</f>
        <v>英語</v>
      </c>
      <c r="B1413">
        <f t="shared" si="1164"/>
        <v>13</v>
      </c>
      <c r="C1413">
        <f t="shared" si="1137"/>
        <v>45</v>
      </c>
      <c r="D1413">
        <f>D1384</f>
        <v>29</v>
      </c>
      <c r="E1413" t="str">
        <f>VLOOKUP(D1413,name!A:B,2,1)</f>
        <v>Eri</v>
      </c>
      <c r="F1413" t="str">
        <f>F1384</f>
        <v>そうですね、若い人たちが飲みすぎてケンカしたりして、ちょっと暴力的になることもあるじゃないですか。</v>
      </c>
      <c r="G1413" t="str">
        <f t="shared" si="1139"/>
        <v>a</v>
      </c>
      <c r="H1413" t="str">
        <f>VLOOKUP(D1413,name!A:C,3,1)</f>
        <v>assets/icons/image209.png</v>
      </c>
      <c r="I1413" t="s">
        <v>402</v>
      </c>
    </row>
    <row r="1414" spans="1:9" x14ac:dyDescent="0.15">
      <c r="A1414" t="str">
        <f t="shared" ref="A1414:B1414" si="1165">A1413</f>
        <v>英語</v>
      </c>
      <c r="B1414">
        <f t="shared" si="1165"/>
        <v>13</v>
      </c>
      <c r="C1414">
        <f t="shared" si="1137"/>
        <v>46</v>
      </c>
      <c r="D1414">
        <f>D1385</f>
        <v>29</v>
      </c>
      <c r="E1414" t="str">
        <f>VLOOKUP(D1414,name!A:B,2,1)</f>
        <v>Eri</v>
      </c>
      <c r="F1414" t="str">
        <f>F1385</f>
        <v>Well, I mean, doesn't it get a bit violent sometimes, with lots of young people drinking too much and having fights?</v>
      </c>
      <c r="G1414" t="str">
        <f t="shared" si="1139"/>
        <v>a</v>
      </c>
      <c r="H1414" t="str">
        <f>VLOOKUP(D1414,name!A:C,3,1)</f>
        <v>assets/icons/image209.png</v>
      </c>
      <c r="I1414" t="str">
        <f>IF(A1414="","",VLOOKUP(A1414,lng!A:B,2,0))</f>
        <v>en-GB</v>
      </c>
    </row>
    <row r="1415" spans="1:9" x14ac:dyDescent="0.15">
      <c r="A1415" t="str">
        <f t="shared" ref="A1415:B1415" si="1166">A1414</f>
        <v>英語</v>
      </c>
      <c r="B1415">
        <f t="shared" si="1166"/>
        <v>13</v>
      </c>
      <c r="C1415">
        <f t="shared" si="1137"/>
        <v>47</v>
      </c>
      <c r="D1415">
        <v>0</v>
      </c>
      <c r="E1415" t="str">
        <f>VLOOKUP(D1415,name!A:B,2,1)</f>
        <v>Player</v>
      </c>
      <c r="F1415" t="str">
        <f>F1385</f>
        <v>Well, I mean, doesn't it get a bit violent sometimes, with lots of young people drinking too much and having fights?</v>
      </c>
      <c r="G1415" t="str">
        <f t="shared" si="1139"/>
        <v>q</v>
      </c>
      <c r="H1415" t="str">
        <f>VLOOKUP(D1415,name!A:C,3,1)</f>
        <v>assets/icons/image326.png</v>
      </c>
      <c r="I1415" t="str">
        <f>IF(A1415="","",VLOOKUP(A1415,lng!A:B,2,0))</f>
        <v>en-GB</v>
      </c>
    </row>
    <row r="1416" spans="1:9" x14ac:dyDescent="0.15">
      <c r="A1416" t="str">
        <f t="shared" ref="A1416:B1416" si="1167">A1415</f>
        <v>英語</v>
      </c>
      <c r="B1416">
        <f t="shared" si="1167"/>
        <v>13</v>
      </c>
      <c r="C1416">
        <f t="shared" si="1137"/>
        <v>48</v>
      </c>
      <c r="D1416">
        <f>D1386</f>
        <v>32</v>
      </c>
      <c r="E1416" t="str">
        <f>VLOOKUP(D1416,name!A:B,2,1)</f>
        <v>Asha</v>
      </c>
      <c r="F1416" t="str">
        <f>F1386</f>
        <v>ああ、悲しいことに、暴飲はまだここの若者文化の一部です.</v>
      </c>
      <c r="G1416" t="str">
        <f t="shared" si="1139"/>
        <v>a</v>
      </c>
      <c r="H1416" t="str">
        <f>VLOOKUP(D1416,name!A:C,3,1)</f>
        <v>assets/icons/image235.png</v>
      </c>
      <c r="I1416" t="s">
        <v>402</v>
      </c>
    </row>
    <row r="1417" spans="1:9" x14ac:dyDescent="0.15">
      <c r="A1417" t="str">
        <f t="shared" ref="A1417:B1417" si="1168">A1416</f>
        <v>英語</v>
      </c>
      <c r="B1417">
        <f t="shared" si="1168"/>
        <v>13</v>
      </c>
      <c r="C1417">
        <f t="shared" si="1137"/>
        <v>49</v>
      </c>
      <c r="D1417">
        <f>D1387</f>
        <v>32</v>
      </c>
      <c r="E1417" t="str">
        <f>VLOOKUP(D1417,name!A:B,2,1)</f>
        <v>Asha</v>
      </c>
      <c r="F1417" t="str">
        <f>F1387</f>
        <v>Ah, binge drinking is still sadly part of youth culture here,</v>
      </c>
      <c r="G1417" t="str">
        <f t="shared" si="1139"/>
        <v>a</v>
      </c>
      <c r="H1417" t="str">
        <f>VLOOKUP(D1417,name!A:C,3,1)</f>
        <v>assets/icons/image235.png</v>
      </c>
      <c r="I1417" t="str">
        <f>IF(A1417="","",VLOOKUP(A1417,lng!A:B,2,0))</f>
        <v>en-GB</v>
      </c>
    </row>
    <row r="1418" spans="1:9" x14ac:dyDescent="0.15">
      <c r="A1418" t="str">
        <f t="shared" ref="A1418:B1418" si="1169">A1417</f>
        <v>英語</v>
      </c>
      <c r="B1418">
        <f t="shared" si="1169"/>
        <v>13</v>
      </c>
      <c r="C1418">
        <f t="shared" si="1137"/>
        <v>50</v>
      </c>
      <c r="D1418">
        <v>0</v>
      </c>
      <c r="E1418" t="str">
        <f>VLOOKUP(D1418,name!A:B,2,1)</f>
        <v>Player</v>
      </c>
      <c r="F1418" t="str">
        <f>F1387</f>
        <v>Ah, binge drinking is still sadly part of youth culture here,</v>
      </c>
      <c r="G1418" t="str">
        <f t="shared" si="1139"/>
        <v>q</v>
      </c>
      <c r="H1418" t="str">
        <f>VLOOKUP(D1418,name!A:C,3,1)</f>
        <v>assets/icons/image326.png</v>
      </c>
      <c r="I1418" t="str">
        <f>IF(A1418="","",VLOOKUP(A1418,lng!A:B,2,0))</f>
        <v>en-GB</v>
      </c>
    </row>
    <row r="1419" spans="1:9" x14ac:dyDescent="0.15">
      <c r="A1419" t="str">
        <f t="shared" ref="A1419:B1419" si="1170">A1418</f>
        <v>英語</v>
      </c>
      <c r="B1419">
        <f t="shared" si="1170"/>
        <v>13</v>
      </c>
      <c r="C1419">
        <f t="shared" si="1137"/>
        <v>51</v>
      </c>
      <c r="D1419">
        <f>D1388</f>
        <v>32</v>
      </c>
      <c r="E1419" t="str">
        <f>VLOOKUP(D1419,name!A:B,2,1)</f>
        <v>Asha</v>
      </c>
      <c r="F1419" t="str">
        <f>F1388</f>
        <v>だけど心配しないで、ゲイルと私は荒れた場所を避けます。</v>
      </c>
      <c r="G1419" t="str">
        <f t="shared" si="1139"/>
        <v>a</v>
      </c>
      <c r="H1419" t="str">
        <f>VLOOKUP(D1419,name!A:C,3,1)</f>
        <v>assets/icons/image235.png</v>
      </c>
      <c r="I1419" t="s">
        <v>402</v>
      </c>
    </row>
    <row r="1420" spans="1:9" x14ac:dyDescent="0.15">
      <c r="A1420" t="str">
        <f t="shared" ref="A1420:B1420" si="1171">A1419</f>
        <v>英語</v>
      </c>
      <c r="B1420">
        <f t="shared" si="1171"/>
        <v>13</v>
      </c>
      <c r="C1420">
        <f t="shared" si="1137"/>
        <v>52</v>
      </c>
      <c r="D1420">
        <f>D1389</f>
        <v>32</v>
      </c>
      <c r="E1420" t="str">
        <f>VLOOKUP(D1420,name!A:B,2,1)</f>
        <v>Asha</v>
      </c>
      <c r="F1420" t="str">
        <f>F1389</f>
        <v>but don't worry, Gail and I will steer clear of any rough spots.</v>
      </c>
      <c r="G1420" t="str">
        <f t="shared" si="1139"/>
        <v>a</v>
      </c>
      <c r="H1420" t="str">
        <f>VLOOKUP(D1420,name!A:C,3,1)</f>
        <v>assets/icons/image235.png</v>
      </c>
      <c r="I1420" t="str">
        <f>IF(A1420="","",VLOOKUP(A1420,lng!A:B,2,0))</f>
        <v>en-GB</v>
      </c>
    </row>
    <row r="1421" spans="1:9" x14ac:dyDescent="0.15">
      <c r="A1421" t="str">
        <f t="shared" ref="A1421:B1421" si="1172">A1420</f>
        <v>英語</v>
      </c>
      <c r="B1421">
        <f t="shared" si="1172"/>
        <v>13</v>
      </c>
      <c r="C1421">
        <f t="shared" si="1137"/>
        <v>53</v>
      </c>
      <c r="D1421">
        <v>0</v>
      </c>
      <c r="E1421" t="str">
        <f>VLOOKUP(D1421,name!A:B,2,1)</f>
        <v>Player</v>
      </c>
      <c r="F1421" t="str">
        <f>F1389</f>
        <v>but don't worry, Gail and I will steer clear of any rough spots.</v>
      </c>
      <c r="G1421" t="str">
        <f t="shared" si="1139"/>
        <v>q</v>
      </c>
      <c r="H1421" t="str">
        <f>VLOOKUP(D1421,name!A:C,3,1)</f>
        <v>assets/icons/image326.png</v>
      </c>
      <c r="I1421" t="str">
        <f>IF(A1421="","",VLOOKUP(A1421,lng!A:B,2,0))</f>
        <v>en-GB</v>
      </c>
    </row>
    <row r="1422" spans="1:9" x14ac:dyDescent="0.15">
      <c r="A1422" t="str">
        <f t="shared" ref="A1422:B1422" si="1173">A1421</f>
        <v>英語</v>
      </c>
      <c r="B1422">
        <f t="shared" si="1173"/>
        <v>13</v>
      </c>
      <c r="C1422">
        <f t="shared" si="1137"/>
        <v>54</v>
      </c>
      <c r="D1422">
        <f>D1390</f>
        <v>32</v>
      </c>
      <c r="E1422" t="str">
        <f>VLOOKUP(D1422,name!A:B,2,1)</f>
        <v>Asha</v>
      </c>
      <c r="F1422" t="str">
        <f>F1390</f>
        <v>私たちは通常、運河盆地周辺の素敵な場所に行きます、</v>
      </c>
      <c r="G1422" t="str">
        <f t="shared" si="1139"/>
        <v>a</v>
      </c>
      <c r="H1422" t="str">
        <f>VLOOKUP(D1422,name!A:C,3,1)</f>
        <v>assets/icons/image235.png</v>
      </c>
      <c r="I1422" t="s">
        <v>402</v>
      </c>
    </row>
    <row r="1423" spans="1:9" x14ac:dyDescent="0.15">
      <c r="A1423" t="str">
        <f t="shared" ref="A1423:B1423" si="1174">A1422</f>
        <v>英語</v>
      </c>
      <c r="B1423">
        <f t="shared" si="1174"/>
        <v>13</v>
      </c>
      <c r="C1423">
        <f t="shared" si="1137"/>
        <v>55</v>
      </c>
      <c r="D1423">
        <f>D1391</f>
        <v>32</v>
      </c>
      <c r="E1423" t="str">
        <f>VLOOKUP(D1423,name!A:B,2,1)</f>
        <v>Asha</v>
      </c>
      <c r="F1423" t="str">
        <f>F1391</f>
        <v>We usually go to the nicer places around the Canal Basin,</v>
      </c>
      <c r="G1423" t="str">
        <f t="shared" si="1139"/>
        <v>a</v>
      </c>
      <c r="H1423" t="str">
        <f>VLOOKUP(D1423,name!A:C,3,1)</f>
        <v>assets/icons/image235.png</v>
      </c>
      <c r="I1423" t="str">
        <f>IF(A1423="","",VLOOKUP(A1423,lng!A:B,2,0))</f>
        <v>en-GB</v>
      </c>
    </row>
    <row r="1424" spans="1:9" x14ac:dyDescent="0.15">
      <c r="A1424" t="str">
        <f t="shared" ref="A1424:B1424" si="1175">A1423</f>
        <v>英語</v>
      </c>
      <c r="B1424">
        <f t="shared" si="1175"/>
        <v>13</v>
      </c>
      <c r="C1424">
        <f t="shared" si="1137"/>
        <v>56</v>
      </c>
      <c r="D1424">
        <v>0</v>
      </c>
      <c r="E1424" t="str">
        <f>VLOOKUP(D1424,name!A:B,2,1)</f>
        <v>Player</v>
      </c>
      <c r="F1424" t="str">
        <f>F1391</f>
        <v>We usually go to the nicer places around the Canal Basin,</v>
      </c>
      <c r="G1424" t="str">
        <f t="shared" si="1139"/>
        <v>q</v>
      </c>
      <c r="H1424" t="str">
        <f>VLOOKUP(D1424,name!A:C,3,1)</f>
        <v>assets/icons/image326.png</v>
      </c>
      <c r="I1424" t="str">
        <f>IF(A1424="","",VLOOKUP(A1424,lng!A:B,2,0))</f>
        <v>en-GB</v>
      </c>
    </row>
    <row r="1425" spans="1:9" x14ac:dyDescent="0.15">
      <c r="A1425" t="str">
        <f t="shared" ref="A1425:B1425" si="1176">A1424</f>
        <v>英語</v>
      </c>
      <c r="B1425">
        <f t="shared" si="1176"/>
        <v>13</v>
      </c>
      <c r="C1425">
        <f t="shared" si="1137"/>
        <v>57</v>
      </c>
      <c r="D1425">
        <f>D1392</f>
        <v>32</v>
      </c>
      <c r="E1425" t="str">
        <f>VLOOKUP(D1425,name!A:B,2,1)</f>
        <v>Asha</v>
      </c>
      <c r="F1425" t="str">
        <f>F1392</f>
        <v>そして、本当に良い夜を過ごします。</v>
      </c>
      <c r="G1425" t="str">
        <f t="shared" si="1139"/>
        <v>a</v>
      </c>
      <c r="H1425" t="str">
        <f>VLOOKUP(D1425,name!A:C,3,1)</f>
        <v>assets/icons/image235.png</v>
      </c>
      <c r="I1425" t="s">
        <v>402</v>
      </c>
    </row>
    <row r="1426" spans="1:9" x14ac:dyDescent="0.15">
      <c r="A1426" t="str">
        <f t="shared" ref="A1426:B1426" si="1177">A1425</f>
        <v>英語</v>
      </c>
      <c r="B1426">
        <f t="shared" si="1177"/>
        <v>13</v>
      </c>
      <c r="C1426">
        <f t="shared" si="1137"/>
        <v>58</v>
      </c>
      <c r="D1426">
        <f>D1393</f>
        <v>32</v>
      </c>
      <c r="E1426" t="str">
        <f>VLOOKUP(D1426,name!A:B,2,1)</f>
        <v>Asha</v>
      </c>
      <c r="F1426" t="str">
        <f>F1393</f>
        <v>and just have a really good night out.</v>
      </c>
      <c r="G1426" t="str">
        <f t="shared" si="1139"/>
        <v>a</v>
      </c>
      <c r="H1426" t="str">
        <f>VLOOKUP(D1426,name!A:C,3,1)</f>
        <v>assets/icons/image235.png</v>
      </c>
      <c r="I1426" t="str">
        <f>IF(A1426="","",VLOOKUP(A1426,lng!A:B,2,0))</f>
        <v>en-GB</v>
      </c>
    </row>
    <row r="1427" spans="1:9" x14ac:dyDescent="0.15">
      <c r="A1427" t="str">
        <f t="shared" ref="A1427:B1427" si="1178">A1426</f>
        <v>英語</v>
      </c>
      <c r="B1427">
        <f t="shared" si="1178"/>
        <v>13</v>
      </c>
      <c r="C1427">
        <f t="shared" si="1137"/>
        <v>59</v>
      </c>
      <c r="D1427">
        <v>0</v>
      </c>
      <c r="E1427" t="str">
        <f>VLOOKUP(D1427,name!A:B,2,1)</f>
        <v>Player</v>
      </c>
      <c r="F1427" t="str">
        <f>F1393</f>
        <v>and just have a really good night out.</v>
      </c>
      <c r="G1427" t="str">
        <f t="shared" si="1139"/>
        <v>q</v>
      </c>
      <c r="H1427" t="str">
        <f>VLOOKUP(D1427,name!A:C,3,1)</f>
        <v>assets/icons/image326.png</v>
      </c>
      <c r="I1427" t="str">
        <f>IF(A1427="","",VLOOKUP(A1427,lng!A:B,2,0))</f>
        <v>en-GB</v>
      </c>
    </row>
    <row r="1428" spans="1:9" x14ac:dyDescent="0.15">
      <c r="A1428" t="str">
        <f t="shared" ref="A1428:B1428" si="1179">A1427</f>
        <v>英語</v>
      </c>
      <c r="B1428">
        <f t="shared" si="1179"/>
        <v>13</v>
      </c>
      <c r="C1428">
        <f t="shared" si="1137"/>
        <v>60</v>
      </c>
      <c r="D1428">
        <v>1</v>
      </c>
      <c r="E1428" t="str">
        <f>VLOOKUP(D1428,name!A:B,2,1)</f>
        <v>Navigator</v>
      </c>
      <c r="F1428" t="str">
        <f>"次の日本語を"&amp;A1428&amp;"に訳して答えてね！"</f>
        <v>次の日本語を英語に訳して答えてね！</v>
      </c>
      <c r="G1428" t="str">
        <f t="shared" si="1139"/>
        <v>a</v>
      </c>
      <c r="H1428" t="str">
        <f>VLOOKUP(D1428,name!A:C,3,1)</f>
        <v>assets/icons/image014.png</v>
      </c>
      <c r="I1428" t="s">
        <v>402</v>
      </c>
    </row>
    <row r="1429" spans="1:9" x14ac:dyDescent="0.15">
      <c r="A1429" t="str">
        <f t="shared" ref="A1429:B1429" si="1180">A1428</f>
        <v>英語</v>
      </c>
      <c r="B1429">
        <f t="shared" si="1180"/>
        <v>13</v>
      </c>
      <c r="C1429">
        <f t="shared" si="1137"/>
        <v>61</v>
      </c>
      <c r="D1429">
        <f>D1372</f>
        <v>32</v>
      </c>
      <c r="E1429" t="str">
        <f>VLOOKUP(D1429,name!A:B,2,1)</f>
        <v>Asha</v>
      </c>
      <c r="F1429" t="str">
        <f t="shared" ref="F1429:F1450" si="1181">F1372</f>
        <v>エリ、今晩、 何かする予定がある?</v>
      </c>
      <c r="G1429" t="str">
        <f t="shared" si="1139"/>
        <v>a</v>
      </c>
      <c r="H1429" t="str">
        <f>VLOOKUP(D1429,name!A:C,3,1)</f>
        <v>assets/icons/image235.png</v>
      </c>
      <c r="I1429" t="s">
        <v>402</v>
      </c>
    </row>
    <row r="1430" spans="1:9" x14ac:dyDescent="0.15">
      <c r="A1430" t="str">
        <f t="shared" ref="A1430:B1430" si="1182">A1429</f>
        <v>英語</v>
      </c>
      <c r="B1430">
        <f t="shared" si="1182"/>
        <v>13</v>
      </c>
      <c r="C1430">
        <f t="shared" si="1137"/>
        <v>62</v>
      </c>
      <c r="D1430">
        <v>0</v>
      </c>
      <c r="E1430" t="str">
        <f>VLOOKUP(D1430,name!A:B,2,1)</f>
        <v>Player</v>
      </c>
      <c r="F1430" t="str">
        <f t="shared" si="1181"/>
        <v>Are you doing anything tonight, Eri?</v>
      </c>
      <c r="G1430" t="str">
        <f t="shared" si="1139"/>
        <v>q</v>
      </c>
      <c r="H1430" t="str">
        <f>VLOOKUP(D1430,name!A:C,3,1)</f>
        <v>assets/icons/image326.png</v>
      </c>
      <c r="I1430" t="str">
        <f>IF(A1430="","",VLOOKUP(A1430,lng!A:B,2,0))</f>
        <v>en-GB</v>
      </c>
    </row>
    <row r="1431" spans="1:9" x14ac:dyDescent="0.15">
      <c r="A1431" t="str">
        <f t="shared" ref="A1431:B1431" si="1183">A1430</f>
        <v>英語</v>
      </c>
      <c r="B1431">
        <f t="shared" si="1183"/>
        <v>13</v>
      </c>
      <c r="C1431">
        <f t="shared" si="1137"/>
        <v>63</v>
      </c>
      <c r="D1431">
        <f>D1374</f>
        <v>32</v>
      </c>
      <c r="E1431" t="str">
        <f>VLOOKUP(D1431,name!A:B,2,1)</f>
        <v>Asha</v>
      </c>
      <c r="F1431" t="str">
        <f t="shared" si="1181"/>
        <v>ゲイルと私はクラブに行く予定です。</v>
      </c>
      <c r="G1431" t="str">
        <f t="shared" si="1139"/>
        <v>a</v>
      </c>
      <c r="H1431" t="str">
        <f>VLOOKUP(D1431,name!A:C,3,1)</f>
        <v>assets/icons/image235.png</v>
      </c>
      <c r="I1431" t="s">
        <v>402</v>
      </c>
    </row>
    <row r="1432" spans="1:9" x14ac:dyDescent="0.15">
      <c r="A1432" t="str">
        <f t="shared" ref="A1432:B1432" si="1184">A1431</f>
        <v>英語</v>
      </c>
      <c r="B1432">
        <f t="shared" si="1184"/>
        <v>13</v>
      </c>
      <c r="C1432">
        <f t="shared" si="1137"/>
        <v>64</v>
      </c>
      <c r="D1432">
        <v>0</v>
      </c>
      <c r="E1432" t="str">
        <f>VLOOKUP(D1432,name!A:B,2,1)</f>
        <v>Player</v>
      </c>
      <c r="F1432" t="str">
        <f t="shared" si="1181"/>
        <v>Gail and I are going clubbing,</v>
      </c>
      <c r="G1432" t="str">
        <f t="shared" si="1139"/>
        <v>q</v>
      </c>
      <c r="H1432" t="str">
        <f>VLOOKUP(D1432,name!A:C,3,1)</f>
        <v>assets/icons/image326.png</v>
      </c>
      <c r="I1432" t="str">
        <f>IF(A1432="","",VLOOKUP(A1432,lng!A:B,2,0))</f>
        <v>en-GB</v>
      </c>
    </row>
    <row r="1433" spans="1:9" x14ac:dyDescent="0.15">
      <c r="A1433" t="str">
        <f t="shared" ref="A1433:B1433" si="1185">A1432</f>
        <v>英語</v>
      </c>
      <c r="B1433">
        <f t="shared" si="1185"/>
        <v>13</v>
      </c>
      <c r="C1433">
        <f t="shared" si="1137"/>
        <v>65</v>
      </c>
      <c r="D1433">
        <f>D1376</f>
        <v>32</v>
      </c>
      <c r="E1433" t="str">
        <f>VLOOKUP(D1433,name!A:B,2,1)</f>
        <v>Asha</v>
      </c>
      <c r="F1433" t="str">
        <f t="shared" si="1181"/>
        <v>女子会に参加しませんか？</v>
      </c>
      <c r="G1433" t="str">
        <f t="shared" si="1139"/>
        <v>a</v>
      </c>
      <c r="H1433" t="str">
        <f>VLOOKUP(D1433,name!A:C,3,1)</f>
        <v>assets/icons/image235.png</v>
      </c>
      <c r="I1433" t="s">
        <v>402</v>
      </c>
    </row>
    <row r="1434" spans="1:9" x14ac:dyDescent="0.15">
      <c r="A1434" t="str">
        <f t="shared" ref="A1434:B1434" si="1186">A1433</f>
        <v>英語</v>
      </c>
      <c r="B1434">
        <f t="shared" si="1186"/>
        <v>13</v>
      </c>
      <c r="C1434">
        <f t="shared" si="1137"/>
        <v>66</v>
      </c>
      <c r="D1434">
        <v>0</v>
      </c>
      <c r="E1434" t="str">
        <f>VLOOKUP(D1434,name!A:B,2,1)</f>
        <v>Player</v>
      </c>
      <c r="F1434" t="str">
        <f t="shared" si="1181"/>
        <v>and we wondered if you'd like to join us for a girls' night out.</v>
      </c>
      <c r="G1434" t="str">
        <f t="shared" si="1139"/>
        <v>q</v>
      </c>
      <c r="H1434" t="str">
        <f>VLOOKUP(D1434,name!A:C,3,1)</f>
        <v>assets/icons/image326.png</v>
      </c>
      <c r="I1434" t="str">
        <f>IF(A1434="","",VLOOKUP(A1434,lng!A:B,2,0))</f>
        <v>en-GB</v>
      </c>
    </row>
    <row r="1435" spans="1:9" x14ac:dyDescent="0.15">
      <c r="A1435" t="str">
        <f t="shared" ref="A1435:B1435" si="1187">A1434</f>
        <v>英語</v>
      </c>
      <c r="B1435">
        <f t="shared" si="1187"/>
        <v>13</v>
      </c>
      <c r="C1435">
        <f t="shared" ref="C1435:C1451" si="1188">C1434+1</f>
        <v>67</v>
      </c>
      <c r="D1435">
        <f>D1378</f>
        <v>29</v>
      </c>
      <c r="E1435" t="str">
        <f>VLOOKUP(D1435,name!A:B,2,1)</f>
        <v>Eri</v>
      </c>
      <c r="F1435" t="str">
        <f t="shared" si="1181"/>
        <v>今夜は特に予定はありませんが、</v>
      </c>
      <c r="G1435" t="str">
        <f t="shared" si="1139"/>
        <v>a</v>
      </c>
      <c r="H1435" t="str">
        <f>VLOOKUP(D1435,name!A:C,3,1)</f>
        <v>assets/icons/image209.png</v>
      </c>
      <c r="I1435" t="s">
        <v>402</v>
      </c>
    </row>
    <row r="1436" spans="1:9" x14ac:dyDescent="0.15">
      <c r="A1436" t="str">
        <f t="shared" ref="A1436:B1436" si="1189">A1435</f>
        <v>英語</v>
      </c>
      <c r="B1436">
        <f t="shared" si="1189"/>
        <v>13</v>
      </c>
      <c r="C1436">
        <f t="shared" si="1188"/>
        <v>68</v>
      </c>
      <c r="D1436">
        <v>0</v>
      </c>
      <c r="E1436" t="str">
        <f>VLOOKUP(D1436,name!A:B,2,1)</f>
        <v>Player</v>
      </c>
      <c r="F1436" t="str">
        <f t="shared" si="1181"/>
        <v>I don't have any special plans for tonight,</v>
      </c>
      <c r="G1436" t="str">
        <f t="shared" si="1139"/>
        <v>q</v>
      </c>
      <c r="H1436" t="str">
        <f>VLOOKUP(D1436,name!A:C,3,1)</f>
        <v>assets/icons/image326.png</v>
      </c>
      <c r="I1436" t="str">
        <f>IF(A1436="","",VLOOKUP(A1436,lng!A:B,2,0))</f>
        <v>en-GB</v>
      </c>
    </row>
    <row r="1437" spans="1:9" x14ac:dyDescent="0.15">
      <c r="A1437" t="str">
        <f t="shared" ref="A1437:B1437" si="1190">A1436</f>
        <v>英語</v>
      </c>
      <c r="B1437">
        <f t="shared" si="1190"/>
        <v>13</v>
      </c>
      <c r="C1437">
        <f t="shared" si="1188"/>
        <v>69</v>
      </c>
      <c r="D1437">
        <f>D1380</f>
        <v>29</v>
      </c>
      <c r="E1437" t="str">
        <f>VLOOKUP(D1437,name!A:B,2,1)</f>
        <v>Eri</v>
      </c>
      <c r="F1437" t="str">
        <f t="shared" si="1181"/>
        <v>でも、私が本当にクラブ好きかどうかはわかりません。</v>
      </c>
      <c r="G1437" t="str">
        <f t="shared" si="1139"/>
        <v>a</v>
      </c>
      <c r="H1437" t="str">
        <f>VLOOKUP(D1437,name!A:C,3,1)</f>
        <v>assets/icons/image209.png</v>
      </c>
      <c r="I1437" t="s">
        <v>402</v>
      </c>
    </row>
    <row r="1438" spans="1:9" x14ac:dyDescent="0.15">
      <c r="A1438" t="str">
        <f t="shared" ref="A1438:B1438" si="1191">A1437</f>
        <v>英語</v>
      </c>
      <c r="B1438">
        <f t="shared" si="1191"/>
        <v>13</v>
      </c>
      <c r="C1438">
        <f t="shared" si="1188"/>
        <v>70</v>
      </c>
      <c r="D1438">
        <v>0</v>
      </c>
      <c r="E1438" t="str">
        <f>VLOOKUP(D1438,name!A:B,2,1)</f>
        <v>Player</v>
      </c>
      <c r="F1438" t="str">
        <f t="shared" si="1181"/>
        <v>but I'm not sure if I'm really cut out for clubbing.</v>
      </c>
      <c r="G1438" t="str">
        <f t="shared" ref="G1438:G1501" si="1192">IF(B1438&lt;&gt;B1439,"e",IF(D1438=0,"q","a"))</f>
        <v>q</v>
      </c>
      <c r="H1438" t="str">
        <f>VLOOKUP(D1438,name!A:C,3,1)</f>
        <v>assets/icons/image326.png</v>
      </c>
      <c r="I1438" t="str">
        <f>IF(A1438="","",VLOOKUP(A1438,lng!A:B,2,0))</f>
        <v>en-GB</v>
      </c>
    </row>
    <row r="1439" spans="1:9" x14ac:dyDescent="0.15">
      <c r="A1439" t="str">
        <f t="shared" ref="A1439:B1439" si="1193">A1438</f>
        <v>英語</v>
      </c>
      <c r="B1439">
        <f t="shared" si="1193"/>
        <v>13</v>
      </c>
      <c r="C1439">
        <f t="shared" si="1188"/>
        <v>71</v>
      </c>
      <c r="D1439">
        <f>D1382</f>
        <v>32</v>
      </c>
      <c r="E1439" t="str">
        <f>VLOOKUP(D1439,name!A:B,2,1)</f>
        <v>Asha</v>
      </c>
      <c r="F1439" t="str">
        <f t="shared" si="1181"/>
        <v>やってみないと分からないですよね？</v>
      </c>
      <c r="G1439" t="str">
        <f t="shared" si="1192"/>
        <v>a</v>
      </c>
      <c r="H1439" t="str">
        <f>VLOOKUP(D1439,name!A:C,3,1)</f>
        <v>assets/icons/image235.png</v>
      </c>
      <c r="I1439" t="s">
        <v>402</v>
      </c>
    </row>
    <row r="1440" spans="1:9" x14ac:dyDescent="0.15">
      <c r="A1440" t="str">
        <f t="shared" ref="A1440:B1440" si="1194">A1439</f>
        <v>英語</v>
      </c>
      <c r="B1440">
        <f t="shared" si="1194"/>
        <v>13</v>
      </c>
      <c r="C1440">
        <f t="shared" si="1188"/>
        <v>72</v>
      </c>
      <c r="D1440">
        <v>0</v>
      </c>
      <c r="E1440" t="str">
        <f>VLOOKUP(D1440,name!A:B,2,1)</f>
        <v>Player</v>
      </c>
      <c r="F1440" t="str">
        <f t="shared" si="1181"/>
        <v>You won't know till you try, will you?</v>
      </c>
      <c r="G1440" t="str">
        <f t="shared" si="1192"/>
        <v>q</v>
      </c>
      <c r="H1440" t="str">
        <f>VLOOKUP(D1440,name!A:C,3,1)</f>
        <v>assets/icons/image326.png</v>
      </c>
      <c r="I1440" t="str">
        <f>IF(A1440="","",VLOOKUP(A1440,lng!A:B,2,0))</f>
        <v>en-GB</v>
      </c>
    </row>
    <row r="1441" spans="1:9" x14ac:dyDescent="0.15">
      <c r="A1441" t="str">
        <f t="shared" ref="A1441:B1441" si="1195">A1440</f>
        <v>英語</v>
      </c>
      <c r="B1441">
        <f t="shared" si="1195"/>
        <v>13</v>
      </c>
      <c r="C1441">
        <f t="shared" si="1188"/>
        <v>73</v>
      </c>
      <c r="D1441">
        <f>D1384</f>
        <v>29</v>
      </c>
      <c r="E1441" t="str">
        <f>VLOOKUP(D1441,name!A:B,2,1)</f>
        <v>Eri</v>
      </c>
      <c r="F1441" t="str">
        <f t="shared" si="1181"/>
        <v>そうですね、若い人たちが飲みすぎてケンカしたりして、ちょっと暴力的になることもあるじゃないですか。</v>
      </c>
      <c r="G1441" t="str">
        <f t="shared" si="1192"/>
        <v>a</v>
      </c>
      <c r="H1441" t="str">
        <f>VLOOKUP(D1441,name!A:C,3,1)</f>
        <v>assets/icons/image209.png</v>
      </c>
      <c r="I1441" t="s">
        <v>402</v>
      </c>
    </row>
    <row r="1442" spans="1:9" x14ac:dyDescent="0.15">
      <c r="A1442" t="str">
        <f t="shared" ref="A1442:B1442" si="1196">A1441</f>
        <v>英語</v>
      </c>
      <c r="B1442">
        <f t="shared" si="1196"/>
        <v>13</v>
      </c>
      <c r="C1442">
        <f t="shared" si="1188"/>
        <v>74</v>
      </c>
      <c r="D1442">
        <v>0</v>
      </c>
      <c r="E1442" t="str">
        <f>VLOOKUP(D1442,name!A:B,2,1)</f>
        <v>Player</v>
      </c>
      <c r="F1442" t="str">
        <f t="shared" si="1181"/>
        <v>Well, I mean, doesn't it get a bit violent sometimes, with lots of young people drinking too much and having fights?</v>
      </c>
      <c r="G1442" t="str">
        <f t="shared" si="1192"/>
        <v>q</v>
      </c>
      <c r="H1442" t="str">
        <f>VLOOKUP(D1442,name!A:C,3,1)</f>
        <v>assets/icons/image326.png</v>
      </c>
      <c r="I1442" t="str">
        <f>IF(A1442="","",VLOOKUP(A1442,lng!A:B,2,0))</f>
        <v>en-GB</v>
      </c>
    </row>
    <row r="1443" spans="1:9" x14ac:dyDescent="0.15">
      <c r="A1443" t="str">
        <f t="shared" ref="A1443:B1443" si="1197">A1442</f>
        <v>英語</v>
      </c>
      <c r="B1443">
        <f t="shared" si="1197"/>
        <v>13</v>
      </c>
      <c r="C1443">
        <f t="shared" si="1188"/>
        <v>75</v>
      </c>
      <c r="D1443">
        <f>D1386</f>
        <v>32</v>
      </c>
      <c r="E1443" t="str">
        <f>VLOOKUP(D1443,name!A:B,2,1)</f>
        <v>Asha</v>
      </c>
      <c r="F1443" t="str">
        <f t="shared" si="1181"/>
        <v>ああ、悲しいことに、暴飲はまだここの若者文化の一部です.</v>
      </c>
      <c r="G1443" t="str">
        <f t="shared" si="1192"/>
        <v>a</v>
      </c>
      <c r="H1443" t="str">
        <f>VLOOKUP(D1443,name!A:C,3,1)</f>
        <v>assets/icons/image235.png</v>
      </c>
      <c r="I1443" t="s">
        <v>402</v>
      </c>
    </row>
    <row r="1444" spans="1:9" x14ac:dyDescent="0.15">
      <c r="A1444" t="str">
        <f t="shared" ref="A1444:B1444" si="1198">A1443</f>
        <v>英語</v>
      </c>
      <c r="B1444">
        <f t="shared" si="1198"/>
        <v>13</v>
      </c>
      <c r="C1444">
        <f t="shared" si="1188"/>
        <v>76</v>
      </c>
      <c r="D1444">
        <v>0</v>
      </c>
      <c r="E1444" t="str">
        <f>VLOOKUP(D1444,name!A:B,2,1)</f>
        <v>Player</v>
      </c>
      <c r="F1444" t="str">
        <f t="shared" si="1181"/>
        <v>Ah, binge drinking is still sadly part of youth culture here,</v>
      </c>
      <c r="G1444" t="str">
        <f t="shared" si="1192"/>
        <v>q</v>
      </c>
      <c r="H1444" t="str">
        <f>VLOOKUP(D1444,name!A:C,3,1)</f>
        <v>assets/icons/image326.png</v>
      </c>
      <c r="I1444" t="str">
        <f>IF(A1444="","",VLOOKUP(A1444,lng!A:B,2,0))</f>
        <v>en-GB</v>
      </c>
    </row>
    <row r="1445" spans="1:9" x14ac:dyDescent="0.15">
      <c r="A1445" t="str">
        <f t="shared" ref="A1445:B1445" si="1199">A1444</f>
        <v>英語</v>
      </c>
      <c r="B1445">
        <f t="shared" si="1199"/>
        <v>13</v>
      </c>
      <c r="C1445">
        <f t="shared" si="1188"/>
        <v>77</v>
      </c>
      <c r="D1445">
        <f>D1388</f>
        <v>32</v>
      </c>
      <c r="E1445" t="str">
        <f>VLOOKUP(D1445,name!A:B,2,1)</f>
        <v>Asha</v>
      </c>
      <c r="F1445" t="str">
        <f t="shared" si="1181"/>
        <v>だけど心配しないで、ゲイルと私は荒れた場所を避けます。</v>
      </c>
      <c r="G1445" t="str">
        <f t="shared" si="1192"/>
        <v>a</v>
      </c>
      <c r="H1445" t="str">
        <f>VLOOKUP(D1445,name!A:C,3,1)</f>
        <v>assets/icons/image235.png</v>
      </c>
      <c r="I1445" t="s">
        <v>402</v>
      </c>
    </row>
    <row r="1446" spans="1:9" x14ac:dyDescent="0.15">
      <c r="A1446" t="str">
        <f t="shared" ref="A1446:B1446" si="1200">A1445</f>
        <v>英語</v>
      </c>
      <c r="B1446">
        <f t="shared" si="1200"/>
        <v>13</v>
      </c>
      <c r="C1446">
        <f t="shared" si="1188"/>
        <v>78</v>
      </c>
      <c r="D1446">
        <v>0</v>
      </c>
      <c r="E1446" t="str">
        <f>VLOOKUP(D1446,name!A:B,2,1)</f>
        <v>Player</v>
      </c>
      <c r="F1446" t="str">
        <f t="shared" si="1181"/>
        <v>but don't worry, Gail and I will steer clear of any rough spots.</v>
      </c>
      <c r="G1446" t="str">
        <f t="shared" si="1192"/>
        <v>q</v>
      </c>
      <c r="H1446" t="str">
        <f>VLOOKUP(D1446,name!A:C,3,1)</f>
        <v>assets/icons/image326.png</v>
      </c>
      <c r="I1446" t="str">
        <f>IF(A1446="","",VLOOKUP(A1446,lng!A:B,2,0))</f>
        <v>en-GB</v>
      </c>
    </row>
    <row r="1447" spans="1:9" x14ac:dyDescent="0.15">
      <c r="A1447" t="str">
        <f t="shared" ref="A1447:B1447" si="1201">A1446</f>
        <v>英語</v>
      </c>
      <c r="B1447">
        <f t="shared" si="1201"/>
        <v>13</v>
      </c>
      <c r="C1447">
        <f t="shared" si="1188"/>
        <v>79</v>
      </c>
      <c r="D1447">
        <f>D1390</f>
        <v>32</v>
      </c>
      <c r="E1447" t="str">
        <f>VLOOKUP(D1447,name!A:B,2,1)</f>
        <v>Asha</v>
      </c>
      <c r="F1447" t="str">
        <f t="shared" si="1181"/>
        <v>私たちは通常、運河盆地周辺の素敵な場所に行きます、</v>
      </c>
      <c r="G1447" t="str">
        <f t="shared" si="1192"/>
        <v>a</v>
      </c>
      <c r="H1447" t="str">
        <f>VLOOKUP(D1447,name!A:C,3,1)</f>
        <v>assets/icons/image235.png</v>
      </c>
      <c r="I1447" t="s">
        <v>402</v>
      </c>
    </row>
    <row r="1448" spans="1:9" x14ac:dyDescent="0.15">
      <c r="A1448" t="str">
        <f t="shared" ref="A1448:B1448" si="1202">A1447</f>
        <v>英語</v>
      </c>
      <c r="B1448">
        <f t="shared" si="1202"/>
        <v>13</v>
      </c>
      <c r="C1448">
        <f t="shared" si="1188"/>
        <v>80</v>
      </c>
      <c r="D1448">
        <v>0</v>
      </c>
      <c r="E1448" t="str">
        <f>VLOOKUP(D1448,name!A:B,2,1)</f>
        <v>Player</v>
      </c>
      <c r="F1448" t="str">
        <f t="shared" si="1181"/>
        <v>We usually go to the nicer places around the Canal Basin,</v>
      </c>
      <c r="G1448" t="str">
        <f t="shared" si="1192"/>
        <v>q</v>
      </c>
      <c r="H1448" t="str">
        <f>VLOOKUP(D1448,name!A:C,3,1)</f>
        <v>assets/icons/image326.png</v>
      </c>
      <c r="I1448" t="str">
        <f>IF(A1448="","",VLOOKUP(A1448,lng!A:B,2,0))</f>
        <v>en-GB</v>
      </c>
    </row>
    <row r="1449" spans="1:9" x14ac:dyDescent="0.15">
      <c r="A1449" t="str">
        <f t="shared" ref="A1449:B1449" si="1203">A1448</f>
        <v>英語</v>
      </c>
      <c r="B1449">
        <f t="shared" si="1203"/>
        <v>13</v>
      </c>
      <c r="C1449">
        <f t="shared" si="1188"/>
        <v>81</v>
      </c>
      <c r="D1449">
        <f>D1392</f>
        <v>32</v>
      </c>
      <c r="E1449" t="str">
        <f>VLOOKUP(D1449,name!A:B,2,1)</f>
        <v>Asha</v>
      </c>
      <c r="F1449" t="str">
        <f t="shared" si="1181"/>
        <v>そして、本当に良い夜を過ごします。</v>
      </c>
      <c r="G1449" t="str">
        <f t="shared" si="1192"/>
        <v>a</v>
      </c>
      <c r="H1449" t="str">
        <f>VLOOKUP(D1449,name!A:C,3,1)</f>
        <v>assets/icons/image235.png</v>
      </c>
      <c r="I1449" t="s">
        <v>402</v>
      </c>
    </row>
    <row r="1450" spans="1:9" x14ac:dyDescent="0.15">
      <c r="A1450" t="str">
        <f t="shared" ref="A1450:B1450" si="1204">A1449</f>
        <v>英語</v>
      </c>
      <c r="B1450">
        <f t="shared" si="1204"/>
        <v>13</v>
      </c>
      <c r="C1450">
        <f t="shared" si="1188"/>
        <v>82</v>
      </c>
      <c r="D1450">
        <v>0</v>
      </c>
      <c r="E1450" t="str">
        <f>VLOOKUP(D1450,name!A:B,2,1)</f>
        <v>Player</v>
      </c>
      <c r="F1450" t="str">
        <f t="shared" si="1181"/>
        <v>and just have a really good night out.</v>
      </c>
      <c r="G1450" t="str">
        <f t="shared" si="1192"/>
        <v>q</v>
      </c>
      <c r="H1450" t="str">
        <f>VLOOKUP(D1450,name!A:C,3,1)</f>
        <v>assets/icons/image326.png</v>
      </c>
      <c r="I1450" t="str">
        <f>IF(A1450="","",VLOOKUP(A1450,lng!A:B,2,0))</f>
        <v>en-GB</v>
      </c>
    </row>
    <row r="1451" spans="1:9" x14ac:dyDescent="0.15">
      <c r="A1451" t="str">
        <f t="shared" ref="A1451:B1451" si="1205">A1450</f>
        <v>英語</v>
      </c>
      <c r="B1451">
        <f t="shared" si="1205"/>
        <v>13</v>
      </c>
      <c r="C1451">
        <f t="shared" si="1188"/>
        <v>83</v>
      </c>
      <c r="D1451">
        <v>1</v>
      </c>
      <c r="E1451" t="str">
        <f>VLOOKUP(D1451,name!A:B,2,1)</f>
        <v>Navigator</v>
      </c>
      <c r="F1451" t="str">
        <f>"とても良くできました。レッスン"&amp;B1451&amp;"はこれで終了です。"</f>
        <v>とても良くできました。レッスン13はこれで終了です。</v>
      </c>
      <c r="G1451" t="str">
        <f t="shared" si="1192"/>
        <v>e</v>
      </c>
      <c r="H1451" t="str">
        <f>VLOOKUP(D1451,name!A:C,3,1)</f>
        <v>assets/icons/image014.png</v>
      </c>
      <c r="I1451" t="s">
        <v>402</v>
      </c>
    </row>
    <row r="1452" spans="1:9" x14ac:dyDescent="0.15">
      <c r="A1452" t="str">
        <f>A1451</f>
        <v>英語</v>
      </c>
      <c r="B1452">
        <f>B1451+1</f>
        <v>14</v>
      </c>
      <c r="C1452">
        <v>1</v>
      </c>
      <c r="D1452">
        <v>1</v>
      </c>
      <c r="E1452" t="str">
        <f>VLOOKUP(D1452,name!A:B,2,1)</f>
        <v>Navigator</v>
      </c>
      <c r="F1452" t="s">
        <v>856</v>
      </c>
      <c r="G1452" t="str">
        <f t="shared" si="1192"/>
        <v>a</v>
      </c>
      <c r="H1452" t="str">
        <f>VLOOKUP(D1452,name!A:C,3,1)</f>
        <v>assets/icons/image014.png</v>
      </c>
      <c r="I1452" t="str">
        <f>IF(A1452="","",VLOOKUP(A1452,lng!A:B,2,0))</f>
        <v>en-GB</v>
      </c>
    </row>
    <row r="1453" spans="1:9" x14ac:dyDescent="0.15">
      <c r="A1453" t="str">
        <f t="shared" ref="A1453:B1467" si="1206">A1452</f>
        <v>英語</v>
      </c>
      <c r="B1453">
        <f>B1452</f>
        <v>14</v>
      </c>
      <c r="C1453">
        <f>C1452+1</f>
        <v>2</v>
      </c>
      <c r="D1453">
        <v>1</v>
      </c>
      <c r="E1453" t="str">
        <f>VLOOKUP(D1453,name!A:B,2,1)</f>
        <v>Navigator</v>
      </c>
      <c r="F1453" t="str">
        <f>"レッスン"&amp;B1453</f>
        <v>レッスン14</v>
      </c>
      <c r="G1453" t="str">
        <f t="shared" si="1192"/>
        <v>a</v>
      </c>
      <c r="H1453" t="str">
        <f>VLOOKUP(D1453,name!A:C,3,1)</f>
        <v>assets/icons/image014.png</v>
      </c>
      <c r="I1453" t="s">
        <v>402</v>
      </c>
    </row>
    <row r="1454" spans="1:9" ht="40.5" x14ac:dyDescent="0.15">
      <c r="A1454" t="str">
        <f t="shared" si="1206"/>
        <v>英語</v>
      </c>
      <c r="B1454">
        <f t="shared" si="1206"/>
        <v>14</v>
      </c>
      <c r="C1454">
        <f t="shared" ref="C1454:C1517" si="1207">C1453+1</f>
        <v>3</v>
      </c>
      <c r="D1454">
        <v>1</v>
      </c>
      <c r="E1454" t="str">
        <f>VLOOKUP(D1454,name!A:B,2,1)</f>
        <v>Navigator</v>
      </c>
      <c r="F1454" s="1" t="str">
        <f>"まずは対話文を流します。その後に、日本語と"&amp;A1454&amp;"を一文ずつ流すので"&amp;A1454&amp;"を真似して下さい。最後に日本語のみを流すので、"&amp;A1454&amp;"で答えてください。"</f>
        <v>まずは対話文を流します。その後に、日本語と英語を一文ずつ流すので英語を真似して下さい。最後に日本語のみを流すので、英語で答えてください。</v>
      </c>
      <c r="G1454" t="str">
        <f t="shared" si="1192"/>
        <v>a</v>
      </c>
      <c r="H1454" t="str">
        <f>VLOOKUP(D1454,name!A:C,3,1)</f>
        <v>assets/icons/image014.png</v>
      </c>
      <c r="I1454" t="s">
        <v>402</v>
      </c>
    </row>
    <row r="1455" spans="1:9" x14ac:dyDescent="0.15">
      <c r="A1455" t="str">
        <f t="shared" si="1206"/>
        <v>英語</v>
      </c>
      <c r="B1455">
        <f t="shared" si="1206"/>
        <v>14</v>
      </c>
      <c r="C1455">
        <f t="shared" si="1207"/>
        <v>4</v>
      </c>
      <c r="D1455">
        <f>D1456</f>
        <v>33</v>
      </c>
      <c r="E1455" t="str">
        <f>VLOOKUP(D1455,name!A:B,2,1)</f>
        <v>Simon</v>
      </c>
      <c r="F1455" t="s">
        <v>866</v>
      </c>
      <c r="G1455" t="str">
        <f t="shared" si="1192"/>
        <v>a</v>
      </c>
      <c r="H1455" t="str">
        <f>VLOOKUP(D1455,name!A:C,3,1)</f>
        <v>assets/icons/image250.png</v>
      </c>
      <c r="I1455" t="s">
        <v>402</v>
      </c>
    </row>
    <row r="1456" spans="1:9" x14ac:dyDescent="0.15">
      <c r="A1456" t="str">
        <f t="shared" si="1206"/>
        <v>英語</v>
      </c>
      <c r="B1456">
        <f t="shared" si="1206"/>
        <v>14</v>
      </c>
      <c r="C1456">
        <f t="shared" si="1207"/>
        <v>5</v>
      </c>
      <c r="D1456">
        <v>33</v>
      </c>
      <c r="E1456" t="str">
        <f>VLOOKUP(D1456,name!A:B,2,1)</f>
        <v>Simon</v>
      </c>
      <c r="F1456" t="s">
        <v>857</v>
      </c>
      <c r="G1456" t="str">
        <f t="shared" si="1192"/>
        <v>a</v>
      </c>
      <c r="H1456" t="str">
        <f>VLOOKUP(D1456,name!A:C,3,1)</f>
        <v>assets/icons/image250.png</v>
      </c>
      <c r="I1456" t="str">
        <f>IF(A1456="","",VLOOKUP(A1456,lng!A:B,2,0))</f>
        <v>en-GB</v>
      </c>
    </row>
    <row r="1457" spans="1:9" x14ac:dyDescent="0.15">
      <c r="A1457" t="str">
        <f t="shared" si="1206"/>
        <v>英語</v>
      </c>
      <c r="B1457">
        <f t="shared" si="1206"/>
        <v>14</v>
      </c>
      <c r="C1457">
        <f t="shared" si="1207"/>
        <v>6</v>
      </c>
      <c r="D1457">
        <f t="shared" ref="D1457:D1473" si="1208">D1458</f>
        <v>33</v>
      </c>
      <c r="E1457" t="str">
        <f>VLOOKUP(D1457,name!A:B,2,1)</f>
        <v>Simon</v>
      </c>
      <c r="F1457" t="s">
        <v>867</v>
      </c>
      <c r="G1457" t="str">
        <f t="shared" si="1192"/>
        <v>a</v>
      </c>
      <c r="H1457" t="str">
        <f>VLOOKUP(D1457,name!A:C,3,1)</f>
        <v>assets/icons/image250.png</v>
      </c>
      <c r="I1457" t="s">
        <v>402</v>
      </c>
    </row>
    <row r="1458" spans="1:9" x14ac:dyDescent="0.15">
      <c r="A1458" t="str">
        <f t="shared" si="1206"/>
        <v>英語</v>
      </c>
      <c r="B1458">
        <f t="shared" si="1206"/>
        <v>14</v>
      </c>
      <c r="C1458">
        <f t="shared" si="1207"/>
        <v>7</v>
      </c>
      <c r="D1458">
        <v>33</v>
      </c>
      <c r="E1458" t="str">
        <f>VLOOKUP(D1458,name!A:B,2,1)</f>
        <v>Simon</v>
      </c>
      <c r="F1458" t="s">
        <v>858</v>
      </c>
      <c r="G1458" t="str">
        <f t="shared" si="1192"/>
        <v>a</v>
      </c>
      <c r="H1458" t="str">
        <f>VLOOKUP(D1458,name!A:C,3,1)</f>
        <v>assets/icons/image250.png</v>
      </c>
      <c r="I1458" t="str">
        <f>IF(A1458="","",VLOOKUP(A1458,lng!A:B,2,0))</f>
        <v>en-GB</v>
      </c>
    </row>
    <row r="1459" spans="1:9" x14ac:dyDescent="0.15">
      <c r="A1459" t="str">
        <f t="shared" si="1206"/>
        <v>英語</v>
      </c>
      <c r="B1459">
        <f t="shared" si="1206"/>
        <v>14</v>
      </c>
      <c r="C1459">
        <f t="shared" si="1207"/>
        <v>8</v>
      </c>
      <c r="D1459">
        <f t="shared" si="1208"/>
        <v>29</v>
      </c>
      <c r="E1459" t="str">
        <f>VLOOKUP(D1459,name!A:B,2,1)</f>
        <v>Eri</v>
      </c>
      <c r="F1459" t="s">
        <v>868</v>
      </c>
      <c r="G1459" t="str">
        <f t="shared" si="1192"/>
        <v>a</v>
      </c>
      <c r="H1459" t="str">
        <f>VLOOKUP(D1459,name!A:C,3,1)</f>
        <v>assets/icons/image209.png</v>
      </c>
      <c r="I1459" t="s">
        <v>402</v>
      </c>
    </row>
    <row r="1460" spans="1:9" x14ac:dyDescent="0.15">
      <c r="A1460" t="str">
        <f t="shared" si="1206"/>
        <v>英語</v>
      </c>
      <c r="B1460">
        <f t="shared" si="1206"/>
        <v>14</v>
      </c>
      <c r="C1460">
        <f t="shared" si="1207"/>
        <v>9</v>
      </c>
      <c r="D1460">
        <v>29</v>
      </c>
      <c r="E1460" t="str">
        <f>VLOOKUP(D1460,name!A:B,2,1)</f>
        <v>Eri</v>
      </c>
      <c r="F1460" t="s">
        <v>1037</v>
      </c>
      <c r="G1460" t="str">
        <f t="shared" si="1192"/>
        <v>a</v>
      </c>
      <c r="H1460" t="str">
        <f>VLOOKUP(D1460,name!A:C,3,1)</f>
        <v>assets/icons/image209.png</v>
      </c>
      <c r="I1460" t="str">
        <f>IF(A1460="","",VLOOKUP(A1460,lng!A:B,2,0))</f>
        <v>en-GB</v>
      </c>
    </row>
    <row r="1461" spans="1:9" x14ac:dyDescent="0.15">
      <c r="A1461" t="str">
        <f t="shared" si="1206"/>
        <v>英語</v>
      </c>
      <c r="B1461">
        <f t="shared" si="1206"/>
        <v>14</v>
      </c>
      <c r="C1461">
        <f t="shared" si="1207"/>
        <v>10</v>
      </c>
      <c r="D1461">
        <f t="shared" si="1208"/>
        <v>33</v>
      </c>
      <c r="E1461" t="str">
        <f>VLOOKUP(D1461,name!A:B,2,1)</f>
        <v>Simon</v>
      </c>
      <c r="F1461" t="s">
        <v>869</v>
      </c>
      <c r="G1461" t="str">
        <f t="shared" si="1192"/>
        <v>a</v>
      </c>
      <c r="H1461" t="str">
        <f>VLOOKUP(D1461,name!A:C,3,1)</f>
        <v>assets/icons/image250.png</v>
      </c>
      <c r="I1461" t="s">
        <v>402</v>
      </c>
    </row>
    <row r="1462" spans="1:9" x14ac:dyDescent="0.15">
      <c r="A1462" t="str">
        <f t="shared" si="1206"/>
        <v>英語</v>
      </c>
      <c r="B1462">
        <f t="shared" si="1206"/>
        <v>14</v>
      </c>
      <c r="C1462">
        <f t="shared" si="1207"/>
        <v>11</v>
      </c>
      <c r="D1462">
        <f t="shared" si="1208"/>
        <v>33</v>
      </c>
      <c r="E1462" t="str">
        <f>VLOOKUP(D1462,name!A:B,2,1)</f>
        <v>Simon</v>
      </c>
      <c r="F1462" t="s">
        <v>859</v>
      </c>
      <c r="G1462" t="str">
        <f t="shared" si="1192"/>
        <v>a</v>
      </c>
      <c r="H1462" t="str">
        <f>VLOOKUP(D1462,name!A:C,3,1)</f>
        <v>assets/icons/image250.png</v>
      </c>
      <c r="I1462" t="str">
        <f>IF(A1462="","",VLOOKUP(A1462,lng!A:B,2,0))</f>
        <v>en-GB</v>
      </c>
    </row>
    <row r="1463" spans="1:9" x14ac:dyDescent="0.15">
      <c r="A1463" t="str">
        <f t="shared" si="1206"/>
        <v>英語</v>
      </c>
      <c r="B1463">
        <f t="shared" si="1206"/>
        <v>14</v>
      </c>
      <c r="C1463">
        <f t="shared" si="1207"/>
        <v>12</v>
      </c>
      <c r="D1463">
        <f t="shared" si="1208"/>
        <v>33</v>
      </c>
      <c r="E1463" t="str">
        <f>VLOOKUP(D1463,name!A:B,2,1)</f>
        <v>Simon</v>
      </c>
      <c r="F1463" t="s">
        <v>870</v>
      </c>
      <c r="G1463" t="str">
        <f t="shared" si="1192"/>
        <v>a</v>
      </c>
      <c r="H1463" t="str">
        <f>VLOOKUP(D1463,name!A:C,3,1)</f>
        <v>assets/icons/image250.png</v>
      </c>
      <c r="I1463" t="s">
        <v>402</v>
      </c>
    </row>
    <row r="1464" spans="1:9" x14ac:dyDescent="0.15">
      <c r="A1464" t="str">
        <f t="shared" si="1206"/>
        <v>英語</v>
      </c>
      <c r="B1464">
        <f t="shared" si="1206"/>
        <v>14</v>
      </c>
      <c r="C1464">
        <f t="shared" si="1207"/>
        <v>13</v>
      </c>
      <c r="D1464">
        <f t="shared" si="1208"/>
        <v>33</v>
      </c>
      <c r="E1464" t="str">
        <f>VLOOKUP(D1464,name!A:B,2,1)</f>
        <v>Simon</v>
      </c>
      <c r="F1464" t="s">
        <v>860</v>
      </c>
      <c r="G1464" t="str">
        <f t="shared" si="1192"/>
        <v>a</v>
      </c>
      <c r="H1464" t="str">
        <f>VLOOKUP(D1464,name!A:C,3,1)</f>
        <v>assets/icons/image250.png</v>
      </c>
      <c r="I1464" t="str">
        <f>IF(A1464="","",VLOOKUP(A1464,lng!A:B,2,0))</f>
        <v>en-GB</v>
      </c>
    </row>
    <row r="1465" spans="1:9" x14ac:dyDescent="0.15">
      <c r="A1465" t="str">
        <f t="shared" si="1206"/>
        <v>英語</v>
      </c>
      <c r="B1465">
        <f t="shared" si="1206"/>
        <v>14</v>
      </c>
      <c r="C1465">
        <f t="shared" si="1207"/>
        <v>14</v>
      </c>
      <c r="D1465">
        <f t="shared" si="1208"/>
        <v>33</v>
      </c>
      <c r="E1465" t="str">
        <f>VLOOKUP(D1465,name!A:B,2,1)</f>
        <v>Simon</v>
      </c>
      <c r="F1465" t="s">
        <v>871</v>
      </c>
      <c r="G1465" t="str">
        <f t="shared" si="1192"/>
        <v>a</v>
      </c>
      <c r="H1465" t="str">
        <f>VLOOKUP(D1465,name!A:C,3,1)</f>
        <v>assets/icons/image250.png</v>
      </c>
      <c r="I1465" t="s">
        <v>402</v>
      </c>
    </row>
    <row r="1466" spans="1:9" x14ac:dyDescent="0.15">
      <c r="A1466" t="str">
        <f t="shared" si="1206"/>
        <v>英語</v>
      </c>
      <c r="B1466">
        <f t="shared" si="1206"/>
        <v>14</v>
      </c>
      <c r="C1466">
        <f t="shared" si="1207"/>
        <v>15</v>
      </c>
      <c r="D1466">
        <f t="shared" si="1208"/>
        <v>33</v>
      </c>
      <c r="E1466" t="str">
        <f>VLOOKUP(D1466,name!A:B,2,1)</f>
        <v>Simon</v>
      </c>
      <c r="F1466" t="s">
        <v>861</v>
      </c>
      <c r="G1466" t="str">
        <f t="shared" si="1192"/>
        <v>a</v>
      </c>
      <c r="H1466" t="str">
        <f>VLOOKUP(D1466,name!A:C,3,1)</f>
        <v>assets/icons/image250.png</v>
      </c>
      <c r="I1466" t="str">
        <f>IF(A1466="","",VLOOKUP(A1466,lng!A:B,2,0))</f>
        <v>en-GB</v>
      </c>
    </row>
    <row r="1467" spans="1:9" x14ac:dyDescent="0.15">
      <c r="A1467" t="str">
        <f t="shared" si="1206"/>
        <v>英語</v>
      </c>
      <c r="B1467">
        <f t="shared" si="1206"/>
        <v>14</v>
      </c>
      <c r="C1467">
        <f t="shared" si="1207"/>
        <v>16</v>
      </c>
      <c r="D1467">
        <f t="shared" si="1208"/>
        <v>33</v>
      </c>
      <c r="E1467" t="str">
        <f>VLOOKUP(D1467,name!A:B,2,1)</f>
        <v>Simon</v>
      </c>
      <c r="F1467" t="s">
        <v>872</v>
      </c>
      <c r="G1467" t="str">
        <f t="shared" si="1192"/>
        <v>a</v>
      </c>
      <c r="H1467" t="str">
        <f>VLOOKUP(D1467,name!A:C,3,1)</f>
        <v>assets/icons/image250.png</v>
      </c>
      <c r="I1467" t="s">
        <v>402</v>
      </c>
    </row>
    <row r="1468" spans="1:9" x14ac:dyDescent="0.15">
      <c r="A1468" t="str">
        <f t="shared" ref="A1468:B1468" si="1209">A1467</f>
        <v>英語</v>
      </c>
      <c r="B1468">
        <f t="shared" si="1209"/>
        <v>14</v>
      </c>
      <c r="C1468">
        <f t="shared" si="1207"/>
        <v>17</v>
      </c>
      <c r="D1468">
        <v>33</v>
      </c>
      <c r="E1468" t="str">
        <f>VLOOKUP(D1468,name!A:B,2,1)</f>
        <v>Simon</v>
      </c>
      <c r="F1468" t="s">
        <v>862</v>
      </c>
      <c r="G1468" t="str">
        <f t="shared" si="1192"/>
        <v>a</v>
      </c>
      <c r="H1468" t="str">
        <f>VLOOKUP(D1468,name!A:C,3,1)</f>
        <v>assets/icons/image250.png</v>
      </c>
      <c r="I1468" t="str">
        <f>IF(A1468="","",VLOOKUP(A1468,lng!A:B,2,0))</f>
        <v>en-GB</v>
      </c>
    </row>
    <row r="1469" spans="1:9" x14ac:dyDescent="0.15">
      <c r="A1469" t="str">
        <f t="shared" ref="A1469:B1469" si="1210">A1468</f>
        <v>英語</v>
      </c>
      <c r="B1469">
        <f t="shared" si="1210"/>
        <v>14</v>
      </c>
      <c r="C1469">
        <f t="shared" si="1207"/>
        <v>18</v>
      </c>
      <c r="D1469">
        <f t="shared" si="1208"/>
        <v>29</v>
      </c>
      <c r="E1469" t="str">
        <f>VLOOKUP(D1469,name!A:B,2,1)</f>
        <v>Eri</v>
      </c>
      <c r="F1469" t="s">
        <v>873</v>
      </c>
      <c r="G1469" t="str">
        <f t="shared" si="1192"/>
        <v>a</v>
      </c>
      <c r="H1469" t="str">
        <f>VLOOKUP(D1469,name!A:C,3,1)</f>
        <v>assets/icons/image209.png</v>
      </c>
      <c r="I1469" t="s">
        <v>402</v>
      </c>
    </row>
    <row r="1470" spans="1:9" x14ac:dyDescent="0.15">
      <c r="A1470" t="str">
        <f t="shared" ref="A1470:B1470" si="1211">A1469</f>
        <v>英語</v>
      </c>
      <c r="B1470">
        <f t="shared" si="1211"/>
        <v>14</v>
      </c>
      <c r="C1470">
        <f t="shared" si="1207"/>
        <v>19</v>
      </c>
      <c r="D1470">
        <f t="shared" si="1208"/>
        <v>29</v>
      </c>
      <c r="E1470" t="str">
        <f>VLOOKUP(D1470,name!A:B,2,1)</f>
        <v>Eri</v>
      </c>
      <c r="F1470" t="s">
        <v>863</v>
      </c>
      <c r="G1470" t="str">
        <f t="shared" si="1192"/>
        <v>a</v>
      </c>
      <c r="H1470" t="str">
        <f>VLOOKUP(D1470,name!A:C,3,1)</f>
        <v>assets/icons/image209.png</v>
      </c>
      <c r="I1470" t="str">
        <f>IF(A1470="","",VLOOKUP(A1470,lng!A:B,2,0))</f>
        <v>en-GB</v>
      </c>
    </row>
    <row r="1471" spans="1:9" x14ac:dyDescent="0.15">
      <c r="A1471" t="str">
        <f t="shared" ref="A1471:B1471" si="1212">A1470</f>
        <v>英語</v>
      </c>
      <c r="B1471">
        <f t="shared" si="1212"/>
        <v>14</v>
      </c>
      <c r="C1471">
        <f t="shared" si="1207"/>
        <v>20</v>
      </c>
      <c r="D1471">
        <f t="shared" si="1208"/>
        <v>29</v>
      </c>
      <c r="E1471" t="str">
        <f>VLOOKUP(D1471,name!A:B,2,1)</f>
        <v>Eri</v>
      </c>
      <c r="F1471" t="s">
        <v>874</v>
      </c>
      <c r="G1471" t="str">
        <f t="shared" si="1192"/>
        <v>a</v>
      </c>
      <c r="H1471" t="str">
        <f>VLOOKUP(D1471,name!A:C,3,1)</f>
        <v>assets/icons/image209.png</v>
      </c>
      <c r="I1471" t="s">
        <v>402</v>
      </c>
    </row>
    <row r="1472" spans="1:9" x14ac:dyDescent="0.15">
      <c r="A1472" t="str">
        <f t="shared" ref="A1472:B1472" si="1213">A1471</f>
        <v>英語</v>
      </c>
      <c r="B1472">
        <f t="shared" si="1213"/>
        <v>14</v>
      </c>
      <c r="C1472">
        <f t="shared" si="1207"/>
        <v>21</v>
      </c>
      <c r="D1472">
        <f t="shared" si="1208"/>
        <v>29</v>
      </c>
      <c r="E1472" t="str">
        <f>VLOOKUP(D1472,name!A:B,2,1)</f>
        <v>Eri</v>
      </c>
      <c r="F1472" t="s">
        <v>864</v>
      </c>
      <c r="G1472" t="str">
        <f t="shared" si="1192"/>
        <v>a</v>
      </c>
      <c r="H1472" t="str">
        <f>VLOOKUP(D1472,name!A:C,3,1)</f>
        <v>assets/icons/image209.png</v>
      </c>
      <c r="I1472" t="str">
        <f>IF(A1472="","",VLOOKUP(A1472,lng!A:B,2,0))</f>
        <v>en-GB</v>
      </c>
    </row>
    <row r="1473" spans="1:9" x14ac:dyDescent="0.15">
      <c r="A1473" t="str">
        <f t="shared" ref="A1473:B1473" si="1214">A1472</f>
        <v>英語</v>
      </c>
      <c r="B1473">
        <f t="shared" si="1214"/>
        <v>14</v>
      </c>
      <c r="C1473">
        <f t="shared" si="1207"/>
        <v>22</v>
      </c>
      <c r="D1473">
        <f t="shared" si="1208"/>
        <v>29</v>
      </c>
      <c r="E1473" t="str">
        <f>VLOOKUP(D1473,name!A:B,2,1)</f>
        <v>Eri</v>
      </c>
      <c r="F1473" t="s">
        <v>875</v>
      </c>
      <c r="G1473" t="str">
        <f t="shared" si="1192"/>
        <v>a</v>
      </c>
      <c r="H1473" t="str">
        <f>VLOOKUP(D1473,name!A:C,3,1)</f>
        <v>assets/icons/image209.png</v>
      </c>
      <c r="I1473" t="s">
        <v>402</v>
      </c>
    </row>
    <row r="1474" spans="1:9" x14ac:dyDescent="0.15">
      <c r="A1474" t="str">
        <f t="shared" ref="A1474:B1474" si="1215">A1473</f>
        <v>英語</v>
      </c>
      <c r="B1474">
        <f t="shared" si="1215"/>
        <v>14</v>
      </c>
      <c r="C1474">
        <f t="shared" si="1207"/>
        <v>23</v>
      </c>
      <c r="D1474">
        <v>29</v>
      </c>
      <c r="E1474" t="str">
        <f>VLOOKUP(D1474,name!A:B,2,1)</f>
        <v>Eri</v>
      </c>
      <c r="F1474" t="s">
        <v>865</v>
      </c>
      <c r="G1474" t="str">
        <f t="shared" si="1192"/>
        <v>a</v>
      </c>
      <c r="H1474" t="str">
        <f>VLOOKUP(D1474,name!A:C,3,1)</f>
        <v>assets/icons/image209.png</v>
      </c>
      <c r="I1474" t="str">
        <f>IF(A1474="","",VLOOKUP(A1474,lng!A:B,2,0))</f>
        <v>en-GB</v>
      </c>
    </row>
    <row r="1475" spans="1:9" x14ac:dyDescent="0.15">
      <c r="A1475" t="str">
        <f t="shared" ref="A1475:B1475" si="1216">A1474</f>
        <v>英語</v>
      </c>
      <c r="B1475">
        <f t="shared" si="1216"/>
        <v>14</v>
      </c>
      <c r="C1475">
        <f t="shared" si="1207"/>
        <v>24</v>
      </c>
      <c r="D1475">
        <v>1</v>
      </c>
      <c r="E1475" t="str">
        <f>VLOOKUP(D1475,name!A:B,2,1)</f>
        <v>Navigator</v>
      </c>
      <c r="F1475" t="str">
        <f>"次の"&amp;A1475&amp;"を真似してね！"</f>
        <v>次の英語を真似してね！</v>
      </c>
      <c r="G1475" t="str">
        <f t="shared" si="1192"/>
        <v>a</v>
      </c>
      <c r="H1475" t="str">
        <f>VLOOKUP(D1475,name!A:C,3,1)</f>
        <v>assets/icons/image014.png</v>
      </c>
      <c r="I1475" t="s">
        <v>402</v>
      </c>
    </row>
    <row r="1476" spans="1:9" x14ac:dyDescent="0.15">
      <c r="A1476" t="str">
        <f t="shared" ref="A1476:B1476" si="1217">A1475</f>
        <v>英語</v>
      </c>
      <c r="B1476">
        <f t="shared" si="1217"/>
        <v>14</v>
      </c>
      <c r="C1476">
        <f t="shared" si="1207"/>
        <v>25</v>
      </c>
      <c r="D1476">
        <f>D1455</f>
        <v>33</v>
      </c>
      <c r="E1476" t="str">
        <f>VLOOKUP(D1476,name!A:B,2,1)</f>
        <v>Simon</v>
      </c>
      <c r="F1476" t="str">
        <f>F1455</f>
        <v>ちゃんと計画することが重要だ</v>
      </c>
      <c r="G1476" t="str">
        <f t="shared" si="1192"/>
        <v>a</v>
      </c>
      <c r="H1476" t="str">
        <f>VLOOKUP(D1476,name!A:C,3,1)</f>
        <v>assets/icons/image250.png</v>
      </c>
      <c r="I1476" t="s">
        <v>402</v>
      </c>
    </row>
    <row r="1477" spans="1:9" x14ac:dyDescent="0.15">
      <c r="A1477" t="str">
        <f t="shared" ref="A1477:B1477" si="1218">A1476</f>
        <v>英語</v>
      </c>
      <c r="B1477">
        <f t="shared" si="1218"/>
        <v>14</v>
      </c>
      <c r="C1477">
        <f t="shared" si="1207"/>
        <v>26</v>
      </c>
      <c r="D1477">
        <f>D1456</f>
        <v>33</v>
      </c>
      <c r="E1477" t="str">
        <f>VLOOKUP(D1477,name!A:B,2,1)</f>
        <v>Simon</v>
      </c>
      <c r="F1477" t="str">
        <f>F1456</f>
        <v>It's important to plan well.</v>
      </c>
      <c r="G1477" t="str">
        <f t="shared" si="1192"/>
        <v>a</v>
      </c>
      <c r="H1477" t="str">
        <f>VLOOKUP(D1477,name!A:C,3,1)</f>
        <v>assets/icons/image250.png</v>
      </c>
      <c r="I1477" t="str">
        <f>IF(A1477="","",VLOOKUP(A1477,lng!A:B,2,0))</f>
        <v>en-GB</v>
      </c>
    </row>
    <row r="1478" spans="1:9" x14ac:dyDescent="0.15">
      <c r="A1478" t="str">
        <f t="shared" ref="A1478:B1478" si="1219">A1477</f>
        <v>英語</v>
      </c>
      <c r="B1478">
        <f t="shared" si="1219"/>
        <v>14</v>
      </c>
      <c r="C1478">
        <f t="shared" si="1207"/>
        <v>27</v>
      </c>
      <c r="D1478">
        <v>0</v>
      </c>
      <c r="E1478" t="str">
        <f>VLOOKUP(D1478,name!A:B,2,1)</f>
        <v>Player</v>
      </c>
      <c r="F1478" t="str">
        <f>F1456</f>
        <v>It's important to plan well.</v>
      </c>
      <c r="G1478" t="str">
        <f t="shared" si="1192"/>
        <v>q</v>
      </c>
      <c r="H1478" t="str">
        <f>VLOOKUP(D1478,name!A:C,3,1)</f>
        <v>assets/icons/image326.png</v>
      </c>
      <c r="I1478" t="str">
        <f>IF(A1478="","",VLOOKUP(A1478,lng!A:B,2,0))</f>
        <v>en-GB</v>
      </c>
    </row>
    <row r="1479" spans="1:9" x14ac:dyDescent="0.15">
      <c r="A1479" t="str">
        <f t="shared" ref="A1479:B1479" si="1220">A1478</f>
        <v>英語</v>
      </c>
      <c r="B1479">
        <f t="shared" si="1220"/>
        <v>14</v>
      </c>
      <c r="C1479">
        <f t="shared" si="1207"/>
        <v>28</v>
      </c>
      <c r="D1479">
        <f>D1457</f>
        <v>33</v>
      </c>
      <c r="E1479" t="str">
        <f>VLOOKUP(D1479,name!A:B,2,1)</f>
        <v>Simon</v>
      </c>
      <c r="F1479" t="str">
        <f>F1457</f>
        <v>ロンドンで本当にやりたいことは何ですか？</v>
      </c>
      <c r="G1479" t="str">
        <f t="shared" si="1192"/>
        <v>a</v>
      </c>
      <c r="H1479" t="str">
        <f>VLOOKUP(D1479,name!A:C,3,1)</f>
        <v>assets/icons/image250.png</v>
      </c>
      <c r="I1479" t="s">
        <v>402</v>
      </c>
    </row>
    <row r="1480" spans="1:9" x14ac:dyDescent="0.15">
      <c r="A1480" t="str">
        <f t="shared" ref="A1480:B1480" si="1221">A1479</f>
        <v>英語</v>
      </c>
      <c r="B1480">
        <f t="shared" si="1221"/>
        <v>14</v>
      </c>
      <c r="C1480">
        <f t="shared" si="1207"/>
        <v>29</v>
      </c>
      <c r="D1480">
        <f>D1458</f>
        <v>33</v>
      </c>
      <c r="E1480" t="str">
        <f>VLOOKUP(D1480,name!A:B,2,1)</f>
        <v>Simon</v>
      </c>
      <c r="F1480" t="str">
        <f>F1458</f>
        <v>What do you really want to do in London?</v>
      </c>
      <c r="G1480" t="str">
        <f t="shared" si="1192"/>
        <v>a</v>
      </c>
      <c r="H1480" t="str">
        <f>VLOOKUP(D1480,name!A:C,3,1)</f>
        <v>assets/icons/image250.png</v>
      </c>
      <c r="I1480" t="str">
        <f>IF(A1480="","",VLOOKUP(A1480,lng!A:B,2,0))</f>
        <v>en-GB</v>
      </c>
    </row>
    <row r="1481" spans="1:9" x14ac:dyDescent="0.15">
      <c r="A1481" t="str">
        <f t="shared" ref="A1481:B1481" si="1222">A1480</f>
        <v>英語</v>
      </c>
      <c r="B1481">
        <f t="shared" si="1222"/>
        <v>14</v>
      </c>
      <c r="C1481">
        <f t="shared" si="1207"/>
        <v>30</v>
      </c>
      <c r="D1481">
        <v>0</v>
      </c>
      <c r="E1481" t="str">
        <f>VLOOKUP(D1481,name!A:B,2,1)</f>
        <v>Player</v>
      </c>
      <c r="F1481" t="str">
        <f>F1458</f>
        <v>What do you really want to do in London?</v>
      </c>
      <c r="G1481" t="str">
        <f t="shared" si="1192"/>
        <v>q</v>
      </c>
      <c r="H1481" t="str">
        <f>VLOOKUP(D1481,name!A:C,3,1)</f>
        <v>assets/icons/image326.png</v>
      </c>
      <c r="I1481" t="str">
        <f>IF(A1481="","",VLOOKUP(A1481,lng!A:B,2,0))</f>
        <v>en-GB</v>
      </c>
    </row>
    <row r="1482" spans="1:9" x14ac:dyDescent="0.15">
      <c r="A1482" t="str">
        <f t="shared" ref="A1482:B1482" si="1223">A1481</f>
        <v>英語</v>
      </c>
      <c r="B1482">
        <f t="shared" si="1223"/>
        <v>14</v>
      </c>
      <c r="C1482">
        <f t="shared" si="1207"/>
        <v>31</v>
      </c>
      <c r="D1482">
        <f>D1459</f>
        <v>29</v>
      </c>
      <c r="E1482" t="str">
        <f>VLOOKUP(D1482,name!A:B,2,1)</f>
        <v>Eri</v>
      </c>
      <c r="F1482" t="str">
        <f>F1459</f>
        <v>無料リバークルーズ付きの乗り降り自由のツアーバスに乗ってみませんか？</v>
      </c>
      <c r="G1482" t="str">
        <f t="shared" si="1192"/>
        <v>a</v>
      </c>
      <c r="H1482" t="str">
        <f>VLOOKUP(D1482,name!A:C,3,1)</f>
        <v>assets/icons/image209.png</v>
      </c>
      <c r="I1482" t="s">
        <v>402</v>
      </c>
    </row>
    <row r="1483" spans="1:9" x14ac:dyDescent="0.15">
      <c r="A1483" t="str">
        <f t="shared" ref="A1483:B1483" si="1224">A1482</f>
        <v>英語</v>
      </c>
      <c r="B1483">
        <f t="shared" si="1224"/>
        <v>14</v>
      </c>
      <c r="C1483">
        <f t="shared" si="1207"/>
        <v>32</v>
      </c>
      <c r="D1483">
        <f>D1460</f>
        <v>29</v>
      </c>
      <c r="E1483" t="str">
        <f>VLOOKUP(D1483,name!A:B,2,1)</f>
        <v>Eri</v>
      </c>
      <c r="F1483" t="str">
        <f>F1460</f>
        <v>Why don't we take this 'hop on, hop off' type tour bus with a free river cruise?</v>
      </c>
      <c r="G1483" t="str">
        <f t="shared" si="1192"/>
        <v>a</v>
      </c>
      <c r="H1483" t="str">
        <f>VLOOKUP(D1483,name!A:C,3,1)</f>
        <v>assets/icons/image209.png</v>
      </c>
      <c r="I1483" t="str">
        <f>IF(A1483="","",VLOOKUP(A1483,lng!A:B,2,0))</f>
        <v>en-GB</v>
      </c>
    </row>
    <row r="1484" spans="1:9" x14ac:dyDescent="0.15">
      <c r="A1484" t="str">
        <f t="shared" ref="A1484:B1484" si="1225">A1483</f>
        <v>英語</v>
      </c>
      <c r="B1484">
        <f t="shared" si="1225"/>
        <v>14</v>
      </c>
      <c r="C1484">
        <f t="shared" si="1207"/>
        <v>33</v>
      </c>
      <c r="D1484">
        <v>0</v>
      </c>
      <c r="E1484" t="str">
        <f>VLOOKUP(D1484,name!A:B,2,1)</f>
        <v>Player</v>
      </c>
      <c r="F1484" t="str">
        <f>F1460</f>
        <v>Why don't we take this 'hop on, hop off' type tour bus with a free river cruise?</v>
      </c>
      <c r="G1484" t="str">
        <f t="shared" si="1192"/>
        <v>q</v>
      </c>
      <c r="H1484" t="str">
        <f>VLOOKUP(D1484,name!A:C,3,1)</f>
        <v>assets/icons/image326.png</v>
      </c>
      <c r="I1484" t="str">
        <f>IF(A1484="","",VLOOKUP(A1484,lng!A:B,2,0))</f>
        <v>en-GB</v>
      </c>
    </row>
    <row r="1485" spans="1:9" x14ac:dyDescent="0.15">
      <c r="A1485" t="str">
        <f t="shared" ref="A1485:B1485" si="1226">A1484</f>
        <v>英語</v>
      </c>
      <c r="B1485">
        <f t="shared" si="1226"/>
        <v>14</v>
      </c>
      <c r="C1485">
        <f t="shared" si="1207"/>
        <v>34</v>
      </c>
      <c r="D1485">
        <f>D1461</f>
        <v>33</v>
      </c>
      <c r="E1485" t="str">
        <f>VLOOKUP(D1485,name!A:B,2,1)</f>
        <v>Simon</v>
      </c>
      <c r="F1485" t="str">
        <f>F1461</f>
        <v>いいですね、地下鉄でトラファルガー広場まで行き、そこからバスに乗ります。</v>
      </c>
      <c r="G1485" t="str">
        <f t="shared" si="1192"/>
        <v>a</v>
      </c>
      <c r="H1485" t="str">
        <f>VLOOKUP(D1485,name!A:C,3,1)</f>
        <v>assets/icons/image250.png</v>
      </c>
      <c r="I1485" t="s">
        <v>402</v>
      </c>
    </row>
    <row r="1486" spans="1:9" x14ac:dyDescent="0.15">
      <c r="A1486" t="str">
        <f t="shared" ref="A1486:B1486" si="1227">A1485</f>
        <v>英語</v>
      </c>
      <c r="B1486">
        <f t="shared" si="1227"/>
        <v>14</v>
      </c>
      <c r="C1486">
        <f t="shared" si="1207"/>
        <v>35</v>
      </c>
      <c r="D1486">
        <f>D1462</f>
        <v>33</v>
      </c>
      <c r="E1486" t="str">
        <f>VLOOKUP(D1486,name!A:B,2,1)</f>
        <v>Simon</v>
      </c>
      <c r="F1486" t="str">
        <f>F1462</f>
        <v xml:space="preserve">Yes, we can get the tube to Trafalgar Square and take the bus from there. </v>
      </c>
      <c r="G1486" t="str">
        <f t="shared" si="1192"/>
        <v>a</v>
      </c>
      <c r="H1486" t="str">
        <f>VLOOKUP(D1486,name!A:C,3,1)</f>
        <v>assets/icons/image250.png</v>
      </c>
      <c r="I1486" t="str">
        <f>IF(A1486="","",VLOOKUP(A1486,lng!A:B,2,0))</f>
        <v>en-GB</v>
      </c>
    </row>
    <row r="1487" spans="1:9" x14ac:dyDescent="0.15">
      <c r="A1487" t="str">
        <f t="shared" ref="A1487:B1487" si="1228">A1486</f>
        <v>英語</v>
      </c>
      <c r="B1487">
        <f t="shared" si="1228"/>
        <v>14</v>
      </c>
      <c r="C1487">
        <f t="shared" si="1207"/>
        <v>36</v>
      </c>
      <c r="D1487">
        <v>0</v>
      </c>
      <c r="E1487" t="str">
        <f>VLOOKUP(D1487,name!A:B,2,1)</f>
        <v>Player</v>
      </c>
      <c r="F1487" t="str">
        <f>F1462</f>
        <v xml:space="preserve">Yes, we can get the tube to Trafalgar Square and take the bus from there. </v>
      </c>
      <c r="G1487" t="str">
        <f t="shared" si="1192"/>
        <v>q</v>
      </c>
      <c r="H1487" t="str">
        <f>VLOOKUP(D1487,name!A:C,3,1)</f>
        <v>assets/icons/image326.png</v>
      </c>
      <c r="I1487" t="str">
        <f>IF(A1487="","",VLOOKUP(A1487,lng!A:B,2,0))</f>
        <v>en-GB</v>
      </c>
    </row>
    <row r="1488" spans="1:9" x14ac:dyDescent="0.15">
      <c r="A1488" t="str">
        <f t="shared" ref="A1488:B1488" si="1229">A1487</f>
        <v>英語</v>
      </c>
      <c r="B1488">
        <f t="shared" si="1229"/>
        <v>14</v>
      </c>
      <c r="C1488">
        <f t="shared" si="1207"/>
        <v>37</v>
      </c>
      <c r="D1488">
        <f>D1463</f>
        <v>33</v>
      </c>
      <c r="E1488" t="str">
        <f>VLOOKUP(D1488,name!A:B,2,1)</f>
        <v>Simon</v>
      </c>
      <c r="F1488" t="str">
        <f>F1463</f>
        <v>それから降りて、ウェストミンスター寺院とビッグ・ベンを眺めることができます。</v>
      </c>
      <c r="G1488" t="str">
        <f t="shared" si="1192"/>
        <v>a</v>
      </c>
      <c r="H1488" t="str">
        <f>VLOOKUP(D1488,name!A:C,3,1)</f>
        <v>assets/icons/image250.png</v>
      </c>
      <c r="I1488" t="s">
        <v>402</v>
      </c>
    </row>
    <row r="1489" spans="1:9" x14ac:dyDescent="0.15">
      <c r="A1489" t="str">
        <f t="shared" ref="A1489:B1489" si="1230">A1488</f>
        <v>英語</v>
      </c>
      <c r="B1489">
        <f t="shared" si="1230"/>
        <v>14</v>
      </c>
      <c r="C1489">
        <f t="shared" si="1207"/>
        <v>38</v>
      </c>
      <c r="D1489">
        <f>D1464</f>
        <v>33</v>
      </c>
      <c r="E1489" t="str">
        <f>VLOOKUP(D1489,name!A:B,2,1)</f>
        <v>Simon</v>
      </c>
      <c r="F1489" t="str">
        <f>F1464</f>
        <v xml:space="preserve">Then we can get off and look at Westminster Abbey and Big Ben, </v>
      </c>
      <c r="G1489" t="str">
        <f t="shared" si="1192"/>
        <v>a</v>
      </c>
      <c r="H1489" t="str">
        <f>VLOOKUP(D1489,name!A:C,3,1)</f>
        <v>assets/icons/image250.png</v>
      </c>
      <c r="I1489" t="str">
        <f>IF(A1489="","",VLOOKUP(A1489,lng!A:B,2,0))</f>
        <v>en-GB</v>
      </c>
    </row>
    <row r="1490" spans="1:9" x14ac:dyDescent="0.15">
      <c r="A1490" t="str">
        <f t="shared" ref="A1490:B1490" si="1231">A1489</f>
        <v>英語</v>
      </c>
      <c r="B1490">
        <f t="shared" si="1231"/>
        <v>14</v>
      </c>
      <c r="C1490">
        <f t="shared" si="1207"/>
        <v>39</v>
      </c>
      <c r="D1490">
        <v>0</v>
      </c>
      <c r="E1490" t="str">
        <f>VLOOKUP(D1490,name!A:B,2,1)</f>
        <v>Player</v>
      </c>
      <c r="F1490" t="str">
        <f>F1464</f>
        <v xml:space="preserve">Then we can get off and look at Westminster Abbey and Big Ben, </v>
      </c>
      <c r="G1490" t="str">
        <f t="shared" si="1192"/>
        <v>q</v>
      </c>
      <c r="H1490" t="str">
        <f>VLOOKUP(D1490,name!A:C,3,1)</f>
        <v>assets/icons/image326.png</v>
      </c>
      <c r="I1490" t="str">
        <f>IF(A1490="","",VLOOKUP(A1490,lng!A:B,2,0))</f>
        <v>en-GB</v>
      </c>
    </row>
    <row r="1491" spans="1:9" x14ac:dyDescent="0.15">
      <c r="A1491" t="str">
        <f t="shared" ref="A1491:B1491" si="1232">A1490</f>
        <v>英語</v>
      </c>
      <c r="B1491">
        <f t="shared" si="1232"/>
        <v>14</v>
      </c>
      <c r="C1491">
        <f t="shared" si="1207"/>
        <v>40</v>
      </c>
      <c r="D1491">
        <f>D1465</f>
        <v>33</v>
      </c>
      <c r="E1491" t="str">
        <f>VLOOKUP(D1491,name!A:B,2,1)</f>
        <v>Simon</v>
      </c>
      <c r="F1491" t="str">
        <f>F1465</f>
        <v>ボートに乗って川を下り、タワーを見に行きます。</v>
      </c>
      <c r="G1491" t="str">
        <f t="shared" si="1192"/>
        <v>a</v>
      </c>
      <c r="H1491" t="str">
        <f>VLOOKUP(D1491,name!A:C,3,1)</f>
        <v>assets/icons/image250.png</v>
      </c>
      <c r="I1491" t="s">
        <v>402</v>
      </c>
    </row>
    <row r="1492" spans="1:9" x14ac:dyDescent="0.15">
      <c r="A1492" t="str">
        <f t="shared" ref="A1492:B1492" si="1233">A1491</f>
        <v>英語</v>
      </c>
      <c r="B1492">
        <f t="shared" si="1233"/>
        <v>14</v>
      </c>
      <c r="C1492">
        <f t="shared" si="1207"/>
        <v>41</v>
      </c>
      <c r="D1492">
        <f>D1466</f>
        <v>33</v>
      </c>
      <c r="E1492" t="str">
        <f>VLOOKUP(D1492,name!A:B,2,1)</f>
        <v>Simon</v>
      </c>
      <c r="F1492" t="str">
        <f>F1466</f>
        <v xml:space="preserve">take the boat downriver to see the Tower, </v>
      </c>
      <c r="G1492" t="str">
        <f t="shared" si="1192"/>
        <v>a</v>
      </c>
      <c r="H1492" t="str">
        <f>VLOOKUP(D1492,name!A:C,3,1)</f>
        <v>assets/icons/image250.png</v>
      </c>
      <c r="I1492" t="str">
        <f>IF(A1492="","",VLOOKUP(A1492,lng!A:B,2,0))</f>
        <v>en-GB</v>
      </c>
    </row>
    <row r="1493" spans="1:9" x14ac:dyDescent="0.15">
      <c r="A1493" t="str">
        <f t="shared" ref="A1493:B1493" si="1234">A1492</f>
        <v>英語</v>
      </c>
      <c r="B1493">
        <f t="shared" si="1234"/>
        <v>14</v>
      </c>
      <c r="C1493">
        <f t="shared" si="1207"/>
        <v>42</v>
      </c>
      <c r="D1493">
        <v>0</v>
      </c>
      <c r="E1493" t="str">
        <f>VLOOKUP(D1493,name!A:B,2,1)</f>
        <v>Player</v>
      </c>
      <c r="F1493" t="str">
        <f>F1466</f>
        <v xml:space="preserve">take the boat downriver to see the Tower, </v>
      </c>
      <c r="G1493" t="str">
        <f t="shared" si="1192"/>
        <v>q</v>
      </c>
      <c r="H1493" t="str">
        <f>VLOOKUP(D1493,name!A:C,3,1)</f>
        <v>assets/icons/image326.png</v>
      </c>
      <c r="I1493" t="str">
        <f>IF(A1493="","",VLOOKUP(A1493,lng!A:B,2,0))</f>
        <v>en-GB</v>
      </c>
    </row>
    <row r="1494" spans="1:9" x14ac:dyDescent="0.15">
      <c r="A1494" t="str">
        <f t="shared" ref="A1494:B1494" si="1235">A1493</f>
        <v>英語</v>
      </c>
      <c r="B1494">
        <f t="shared" si="1235"/>
        <v>14</v>
      </c>
      <c r="C1494">
        <f t="shared" si="1207"/>
        <v>43</v>
      </c>
      <c r="D1494">
        <f>D1467</f>
        <v>33</v>
      </c>
      <c r="E1494" t="str">
        <f>VLOOKUP(D1494,name!A:B,2,1)</f>
        <v>Simon</v>
      </c>
      <c r="F1494" t="str">
        <f>F1467</f>
        <v>バスに戻って、バッキンガム宮殿やマダム タッソー蝋人形館を訪れましょう。</v>
      </c>
      <c r="G1494" t="str">
        <f t="shared" si="1192"/>
        <v>a</v>
      </c>
      <c r="H1494" t="str">
        <f>VLOOKUP(D1494,name!A:C,3,1)</f>
        <v>assets/icons/image250.png</v>
      </c>
      <c r="I1494" t="s">
        <v>402</v>
      </c>
    </row>
    <row r="1495" spans="1:9" x14ac:dyDescent="0.15">
      <c r="A1495" t="str">
        <f t="shared" ref="A1495:B1495" si="1236">A1494</f>
        <v>英語</v>
      </c>
      <c r="B1495">
        <f t="shared" si="1236"/>
        <v>14</v>
      </c>
      <c r="C1495">
        <f t="shared" si="1207"/>
        <v>44</v>
      </c>
      <c r="D1495">
        <f>D1468</f>
        <v>33</v>
      </c>
      <c r="E1495" t="str">
        <f>VLOOKUP(D1495,name!A:B,2,1)</f>
        <v>Simon</v>
      </c>
      <c r="F1495" t="str">
        <f>F1468</f>
        <v>catch the bus back to visit Buckingham Palace and perhaps Madame Tussaud's.</v>
      </c>
      <c r="G1495" t="str">
        <f t="shared" si="1192"/>
        <v>a</v>
      </c>
      <c r="H1495" t="str">
        <f>VLOOKUP(D1495,name!A:C,3,1)</f>
        <v>assets/icons/image250.png</v>
      </c>
      <c r="I1495" t="str">
        <f>IF(A1495="","",VLOOKUP(A1495,lng!A:B,2,0))</f>
        <v>en-GB</v>
      </c>
    </row>
    <row r="1496" spans="1:9" x14ac:dyDescent="0.15">
      <c r="A1496" t="str">
        <f t="shared" ref="A1496:B1496" si="1237">A1495</f>
        <v>英語</v>
      </c>
      <c r="B1496">
        <f t="shared" si="1237"/>
        <v>14</v>
      </c>
      <c r="C1496">
        <f t="shared" si="1207"/>
        <v>45</v>
      </c>
      <c r="D1496">
        <v>0</v>
      </c>
      <c r="E1496" t="str">
        <f>VLOOKUP(D1496,name!A:B,2,1)</f>
        <v>Player</v>
      </c>
      <c r="F1496" t="str">
        <f>F1468</f>
        <v>catch the bus back to visit Buckingham Palace and perhaps Madame Tussaud's.</v>
      </c>
      <c r="G1496" t="str">
        <f t="shared" si="1192"/>
        <v>q</v>
      </c>
      <c r="H1496" t="str">
        <f>VLOOKUP(D1496,name!A:C,3,1)</f>
        <v>assets/icons/image326.png</v>
      </c>
      <c r="I1496" t="str">
        <f>IF(A1496="","",VLOOKUP(A1496,lng!A:B,2,0))</f>
        <v>en-GB</v>
      </c>
    </row>
    <row r="1497" spans="1:9" x14ac:dyDescent="0.15">
      <c r="A1497" t="str">
        <f t="shared" ref="A1497:B1497" si="1238">A1496</f>
        <v>英語</v>
      </c>
      <c r="B1497">
        <f t="shared" si="1238"/>
        <v>14</v>
      </c>
      <c r="C1497">
        <f t="shared" si="1207"/>
        <v>46</v>
      </c>
      <c r="D1497">
        <f>D1469</f>
        <v>29</v>
      </c>
      <c r="E1497" t="str">
        <f>VLOOKUP(D1497,name!A:B,2,1)</f>
        <v>Eri</v>
      </c>
      <c r="F1497" t="str">
        <f>F1469</f>
        <v>1日に対しては多すぎると思います。</v>
      </c>
      <c r="G1497" t="str">
        <f t="shared" si="1192"/>
        <v>a</v>
      </c>
      <c r="H1497" t="str">
        <f>VLOOKUP(D1497,name!A:C,3,1)</f>
        <v>assets/icons/image209.png</v>
      </c>
      <c r="I1497" t="s">
        <v>402</v>
      </c>
    </row>
    <row r="1498" spans="1:9" x14ac:dyDescent="0.15">
      <c r="A1498" t="str">
        <f t="shared" ref="A1498:B1498" si="1239">A1497</f>
        <v>英語</v>
      </c>
      <c r="B1498">
        <f t="shared" si="1239"/>
        <v>14</v>
      </c>
      <c r="C1498">
        <f t="shared" si="1207"/>
        <v>47</v>
      </c>
      <c r="D1498">
        <f>D1470</f>
        <v>29</v>
      </c>
      <c r="E1498" t="str">
        <f>VLOOKUP(D1498,name!A:B,2,1)</f>
        <v>Eri</v>
      </c>
      <c r="F1498" t="str">
        <f>F1470</f>
        <v>I think that's too much for one day.</v>
      </c>
      <c r="G1498" t="str">
        <f t="shared" si="1192"/>
        <v>a</v>
      </c>
      <c r="H1498" t="str">
        <f>VLOOKUP(D1498,name!A:C,3,1)</f>
        <v>assets/icons/image209.png</v>
      </c>
      <c r="I1498" t="str">
        <f>IF(A1498="","",VLOOKUP(A1498,lng!A:B,2,0))</f>
        <v>en-GB</v>
      </c>
    </row>
    <row r="1499" spans="1:9" x14ac:dyDescent="0.15">
      <c r="A1499" t="str">
        <f t="shared" ref="A1499:B1499" si="1240">A1498</f>
        <v>英語</v>
      </c>
      <c r="B1499">
        <f t="shared" si="1240"/>
        <v>14</v>
      </c>
      <c r="C1499">
        <f t="shared" si="1207"/>
        <v>48</v>
      </c>
      <c r="D1499">
        <v>0</v>
      </c>
      <c r="E1499" t="str">
        <f>VLOOKUP(D1499,name!A:B,2,1)</f>
        <v>Player</v>
      </c>
      <c r="F1499" t="str">
        <f>F1470</f>
        <v>I think that's too much for one day.</v>
      </c>
      <c r="G1499" t="str">
        <f t="shared" si="1192"/>
        <v>q</v>
      </c>
      <c r="H1499" t="str">
        <f>VLOOKUP(D1499,name!A:C,3,1)</f>
        <v>assets/icons/image326.png</v>
      </c>
      <c r="I1499" t="str">
        <f>IF(A1499="","",VLOOKUP(A1499,lng!A:B,2,0))</f>
        <v>en-GB</v>
      </c>
    </row>
    <row r="1500" spans="1:9" x14ac:dyDescent="0.15">
      <c r="A1500" t="str">
        <f t="shared" ref="A1500:B1500" si="1241">A1499</f>
        <v>英語</v>
      </c>
      <c r="B1500">
        <f t="shared" si="1241"/>
        <v>14</v>
      </c>
      <c r="C1500">
        <f t="shared" si="1207"/>
        <v>49</v>
      </c>
      <c r="D1500">
        <f>D1471</f>
        <v>29</v>
      </c>
      <c r="E1500" t="str">
        <f>VLOOKUP(D1500,name!A:B,2,1)</f>
        <v>Eri</v>
      </c>
      <c r="F1500" t="str">
        <f>F1471</f>
        <v>タッソー蝋人形館とロンドン アイを後にして、次の日にしてはいかがですか。</v>
      </c>
      <c r="G1500" t="str">
        <f t="shared" si="1192"/>
        <v>a</v>
      </c>
      <c r="H1500" t="str">
        <f>VLOOKUP(D1500,name!A:C,3,1)</f>
        <v>assets/icons/image209.png</v>
      </c>
      <c r="I1500" t="s">
        <v>402</v>
      </c>
    </row>
    <row r="1501" spans="1:9" x14ac:dyDescent="0.15">
      <c r="A1501" t="str">
        <f t="shared" ref="A1501:B1501" si="1242">A1500</f>
        <v>英語</v>
      </c>
      <c r="B1501">
        <f t="shared" si="1242"/>
        <v>14</v>
      </c>
      <c r="C1501">
        <f t="shared" si="1207"/>
        <v>50</v>
      </c>
      <c r="D1501">
        <f>D1472</f>
        <v>29</v>
      </c>
      <c r="E1501" t="str">
        <f>VLOOKUP(D1501,name!A:B,2,1)</f>
        <v>Eri</v>
      </c>
      <c r="F1501" t="str">
        <f>F1472</f>
        <v>How about leaving Tussaud's and the London Eye for the next day,</v>
      </c>
      <c r="G1501" t="str">
        <f t="shared" si="1192"/>
        <v>a</v>
      </c>
      <c r="H1501" t="str">
        <f>VLOOKUP(D1501,name!A:C,3,1)</f>
        <v>assets/icons/image209.png</v>
      </c>
      <c r="I1501" t="str">
        <f>IF(A1501="","",VLOOKUP(A1501,lng!A:B,2,0))</f>
        <v>en-GB</v>
      </c>
    </row>
    <row r="1502" spans="1:9" x14ac:dyDescent="0.15">
      <c r="A1502" t="str">
        <f t="shared" ref="A1502:B1502" si="1243">A1501</f>
        <v>英語</v>
      </c>
      <c r="B1502">
        <f t="shared" si="1243"/>
        <v>14</v>
      </c>
      <c r="C1502">
        <f t="shared" si="1207"/>
        <v>51</v>
      </c>
      <c r="D1502">
        <v>0</v>
      </c>
      <c r="E1502" t="str">
        <f>VLOOKUP(D1502,name!A:B,2,1)</f>
        <v>Player</v>
      </c>
      <c r="F1502" t="str">
        <f>F1472</f>
        <v>How about leaving Tussaud's and the London Eye for the next day,</v>
      </c>
      <c r="G1502" t="str">
        <f t="shared" ref="G1502:G1565" si="1244">IF(B1502&lt;&gt;B1503,"e",IF(D1502=0,"q","a"))</f>
        <v>q</v>
      </c>
      <c r="H1502" t="str">
        <f>VLOOKUP(D1502,name!A:C,3,1)</f>
        <v>assets/icons/image326.png</v>
      </c>
      <c r="I1502" t="str">
        <f>IF(A1502="","",VLOOKUP(A1502,lng!A:B,2,0))</f>
        <v>en-GB</v>
      </c>
    </row>
    <row r="1503" spans="1:9" x14ac:dyDescent="0.15">
      <c r="A1503" t="str">
        <f t="shared" ref="A1503:B1503" si="1245">A1502</f>
        <v>英語</v>
      </c>
      <c r="B1503">
        <f t="shared" si="1245"/>
        <v>14</v>
      </c>
      <c r="C1503">
        <f t="shared" si="1207"/>
        <v>52</v>
      </c>
      <c r="D1503">
        <f>D1473</f>
        <v>29</v>
      </c>
      <c r="E1503" t="str">
        <f>VLOOKUP(D1503,name!A:B,2,1)</f>
        <v>Eri</v>
      </c>
      <c r="F1503" t="str">
        <f>F1473</f>
        <v>もう一日滞在しませんか？</v>
      </c>
      <c r="G1503" t="str">
        <f t="shared" si="1244"/>
        <v>a</v>
      </c>
      <c r="H1503" t="str">
        <f>VLOOKUP(D1503,name!A:C,3,1)</f>
        <v>assets/icons/image209.png</v>
      </c>
      <c r="I1503" t="s">
        <v>402</v>
      </c>
    </row>
    <row r="1504" spans="1:9" x14ac:dyDescent="0.15">
      <c r="A1504" t="str">
        <f t="shared" ref="A1504:B1504" si="1246">A1503</f>
        <v>英語</v>
      </c>
      <c r="B1504">
        <f t="shared" si="1246"/>
        <v>14</v>
      </c>
      <c r="C1504">
        <f t="shared" si="1207"/>
        <v>53</v>
      </c>
      <c r="D1504">
        <f>D1474</f>
        <v>29</v>
      </c>
      <c r="E1504" t="str">
        <f>VLOOKUP(D1504,name!A:B,2,1)</f>
        <v>Eri</v>
      </c>
      <c r="F1504" t="str">
        <f>F1474</f>
        <v xml:space="preserve"> and staying one more day?</v>
      </c>
      <c r="G1504" t="str">
        <f t="shared" si="1244"/>
        <v>a</v>
      </c>
      <c r="H1504" t="str">
        <f>VLOOKUP(D1504,name!A:C,3,1)</f>
        <v>assets/icons/image209.png</v>
      </c>
      <c r="I1504" t="str">
        <f>IF(A1504="","",VLOOKUP(A1504,lng!A:B,2,0))</f>
        <v>en-GB</v>
      </c>
    </row>
    <row r="1505" spans="1:9" x14ac:dyDescent="0.15">
      <c r="A1505" t="str">
        <f t="shared" ref="A1505:B1505" si="1247">A1504</f>
        <v>英語</v>
      </c>
      <c r="B1505">
        <f t="shared" si="1247"/>
        <v>14</v>
      </c>
      <c r="C1505">
        <f t="shared" si="1207"/>
        <v>54</v>
      </c>
      <c r="D1505">
        <v>0</v>
      </c>
      <c r="E1505" t="str">
        <f>VLOOKUP(D1505,name!A:B,2,1)</f>
        <v>Player</v>
      </c>
      <c r="F1505" t="str">
        <f>F1474</f>
        <v xml:space="preserve"> and staying one more day?</v>
      </c>
      <c r="G1505" t="str">
        <f t="shared" si="1244"/>
        <v>q</v>
      </c>
      <c r="H1505" t="str">
        <f>VLOOKUP(D1505,name!A:C,3,1)</f>
        <v>assets/icons/image326.png</v>
      </c>
      <c r="I1505" t="str">
        <f>IF(A1505="","",VLOOKUP(A1505,lng!A:B,2,0))</f>
        <v>en-GB</v>
      </c>
    </row>
    <row r="1506" spans="1:9" x14ac:dyDescent="0.15">
      <c r="A1506" t="str">
        <f t="shared" ref="A1506:B1506" si="1248">A1505</f>
        <v>英語</v>
      </c>
      <c r="B1506">
        <f t="shared" si="1248"/>
        <v>14</v>
      </c>
      <c r="C1506">
        <f t="shared" si="1207"/>
        <v>55</v>
      </c>
      <c r="D1506">
        <v>1</v>
      </c>
      <c r="E1506" t="str">
        <f>VLOOKUP(D1506,name!A:B,2,1)</f>
        <v>Navigator</v>
      </c>
      <c r="F1506" t="str">
        <f>"次の日本語を"&amp;A1506&amp;"に訳して答えてね！"</f>
        <v>次の日本語を英語に訳して答えてね！</v>
      </c>
      <c r="G1506" t="str">
        <f t="shared" si="1244"/>
        <v>a</v>
      </c>
      <c r="H1506" t="str">
        <f>VLOOKUP(D1506,name!A:C,3,1)</f>
        <v>assets/icons/image014.png</v>
      </c>
      <c r="I1506" t="s">
        <v>402</v>
      </c>
    </row>
    <row r="1507" spans="1:9" x14ac:dyDescent="0.15">
      <c r="A1507" t="str">
        <f t="shared" ref="A1507:B1507" si="1249">A1506</f>
        <v>英語</v>
      </c>
      <c r="B1507">
        <f t="shared" si="1249"/>
        <v>14</v>
      </c>
      <c r="C1507">
        <f t="shared" si="1207"/>
        <v>56</v>
      </c>
      <c r="D1507">
        <f>D1455</f>
        <v>33</v>
      </c>
      <c r="E1507" t="str">
        <f>VLOOKUP(D1507,name!A:B,2,1)</f>
        <v>Simon</v>
      </c>
      <c r="F1507" t="str">
        <f t="shared" ref="F1507:F1526" si="1250">F1455</f>
        <v>ちゃんと計画することが重要だ</v>
      </c>
      <c r="G1507" t="str">
        <f t="shared" si="1244"/>
        <v>a</v>
      </c>
      <c r="H1507" t="str">
        <f>VLOOKUP(D1507,name!A:C,3,1)</f>
        <v>assets/icons/image250.png</v>
      </c>
      <c r="I1507" t="s">
        <v>402</v>
      </c>
    </row>
    <row r="1508" spans="1:9" x14ac:dyDescent="0.15">
      <c r="A1508" t="str">
        <f t="shared" ref="A1508:B1508" si="1251">A1507</f>
        <v>英語</v>
      </c>
      <c r="B1508">
        <f t="shared" si="1251"/>
        <v>14</v>
      </c>
      <c r="C1508">
        <f t="shared" si="1207"/>
        <v>57</v>
      </c>
      <c r="D1508">
        <v>0</v>
      </c>
      <c r="E1508" t="str">
        <f>VLOOKUP(D1508,name!A:B,2,1)</f>
        <v>Player</v>
      </c>
      <c r="F1508" t="str">
        <f t="shared" si="1250"/>
        <v>It's important to plan well.</v>
      </c>
      <c r="G1508" t="str">
        <f t="shared" si="1244"/>
        <v>q</v>
      </c>
      <c r="H1508" t="str">
        <f>VLOOKUP(D1508,name!A:C,3,1)</f>
        <v>assets/icons/image326.png</v>
      </c>
      <c r="I1508" t="str">
        <f>IF(A1508="","",VLOOKUP(A1508,lng!A:B,2,0))</f>
        <v>en-GB</v>
      </c>
    </row>
    <row r="1509" spans="1:9" x14ac:dyDescent="0.15">
      <c r="A1509" t="str">
        <f t="shared" ref="A1509:B1509" si="1252">A1508</f>
        <v>英語</v>
      </c>
      <c r="B1509">
        <f t="shared" si="1252"/>
        <v>14</v>
      </c>
      <c r="C1509">
        <f t="shared" si="1207"/>
        <v>58</v>
      </c>
      <c r="D1509">
        <f>D1457</f>
        <v>33</v>
      </c>
      <c r="E1509" t="str">
        <f>VLOOKUP(D1509,name!A:B,2,1)</f>
        <v>Simon</v>
      </c>
      <c r="F1509" t="str">
        <f t="shared" si="1250"/>
        <v>ロンドンで本当にやりたいことは何ですか？</v>
      </c>
      <c r="G1509" t="str">
        <f t="shared" si="1244"/>
        <v>a</v>
      </c>
      <c r="H1509" t="str">
        <f>VLOOKUP(D1509,name!A:C,3,1)</f>
        <v>assets/icons/image250.png</v>
      </c>
      <c r="I1509" t="s">
        <v>402</v>
      </c>
    </row>
    <row r="1510" spans="1:9" x14ac:dyDescent="0.15">
      <c r="A1510" t="str">
        <f t="shared" ref="A1510:B1510" si="1253">A1509</f>
        <v>英語</v>
      </c>
      <c r="B1510">
        <f t="shared" si="1253"/>
        <v>14</v>
      </c>
      <c r="C1510">
        <f t="shared" si="1207"/>
        <v>59</v>
      </c>
      <c r="D1510">
        <v>0</v>
      </c>
      <c r="E1510" t="str">
        <f>VLOOKUP(D1510,name!A:B,2,1)</f>
        <v>Player</v>
      </c>
      <c r="F1510" t="str">
        <f t="shared" si="1250"/>
        <v>What do you really want to do in London?</v>
      </c>
      <c r="G1510" t="str">
        <f t="shared" si="1244"/>
        <v>q</v>
      </c>
      <c r="H1510" t="str">
        <f>VLOOKUP(D1510,name!A:C,3,1)</f>
        <v>assets/icons/image326.png</v>
      </c>
      <c r="I1510" t="str">
        <f>IF(A1510="","",VLOOKUP(A1510,lng!A:B,2,0))</f>
        <v>en-GB</v>
      </c>
    </row>
    <row r="1511" spans="1:9" x14ac:dyDescent="0.15">
      <c r="A1511" t="str">
        <f t="shared" ref="A1511:B1511" si="1254">A1510</f>
        <v>英語</v>
      </c>
      <c r="B1511">
        <f t="shared" si="1254"/>
        <v>14</v>
      </c>
      <c r="C1511">
        <f t="shared" si="1207"/>
        <v>60</v>
      </c>
      <c r="D1511">
        <f>D1459</f>
        <v>29</v>
      </c>
      <c r="E1511" t="str">
        <f>VLOOKUP(D1511,name!A:B,2,1)</f>
        <v>Eri</v>
      </c>
      <c r="F1511" t="str">
        <f t="shared" si="1250"/>
        <v>無料リバークルーズ付きの乗り降り自由のツアーバスに乗ってみませんか？</v>
      </c>
      <c r="G1511" t="str">
        <f t="shared" si="1244"/>
        <v>a</v>
      </c>
      <c r="H1511" t="str">
        <f>VLOOKUP(D1511,name!A:C,3,1)</f>
        <v>assets/icons/image209.png</v>
      </c>
      <c r="I1511" t="s">
        <v>402</v>
      </c>
    </row>
    <row r="1512" spans="1:9" x14ac:dyDescent="0.15">
      <c r="A1512" t="str">
        <f t="shared" ref="A1512:B1512" si="1255">A1511</f>
        <v>英語</v>
      </c>
      <c r="B1512">
        <f t="shared" si="1255"/>
        <v>14</v>
      </c>
      <c r="C1512">
        <f t="shared" si="1207"/>
        <v>61</v>
      </c>
      <c r="D1512">
        <v>0</v>
      </c>
      <c r="E1512" t="str">
        <f>VLOOKUP(D1512,name!A:B,2,1)</f>
        <v>Player</v>
      </c>
      <c r="F1512" t="str">
        <f t="shared" si="1250"/>
        <v>Why don't we take this 'hop on, hop off' type tour bus with a free river cruise?</v>
      </c>
      <c r="G1512" t="str">
        <f t="shared" si="1244"/>
        <v>q</v>
      </c>
      <c r="H1512" t="str">
        <f>VLOOKUP(D1512,name!A:C,3,1)</f>
        <v>assets/icons/image326.png</v>
      </c>
      <c r="I1512" t="str">
        <f>IF(A1512="","",VLOOKUP(A1512,lng!A:B,2,0))</f>
        <v>en-GB</v>
      </c>
    </row>
    <row r="1513" spans="1:9" x14ac:dyDescent="0.15">
      <c r="A1513" t="str">
        <f t="shared" ref="A1513:B1513" si="1256">A1512</f>
        <v>英語</v>
      </c>
      <c r="B1513">
        <f t="shared" si="1256"/>
        <v>14</v>
      </c>
      <c r="C1513">
        <f t="shared" si="1207"/>
        <v>62</v>
      </c>
      <c r="D1513">
        <f>D1461</f>
        <v>33</v>
      </c>
      <c r="E1513" t="str">
        <f>VLOOKUP(D1513,name!A:B,2,1)</f>
        <v>Simon</v>
      </c>
      <c r="F1513" t="str">
        <f t="shared" si="1250"/>
        <v>いいですね、地下鉄でトラファルガー広場まで行き、そこからバスに乗ります。</v>
      </c>
      <c r="G1513" t="str">
        <f t="shared" si="1244"/>
        <v>a</v>
      </c>
      <c r="H1513" t="str">
        <f>VLOOKUP(D1513,name!A:C,3,1)</f>
        <v>assets/icons/image250.png</v>
      </c>
      <c r="I1513" t="s">
        <v>402</v>
      </c>
    </row>
    <row r="1514" spans="1:9" x14ac:dyDescent="0.15">
      <c r="A1514" t="str">
        <f t="shared" ref="A1514:B1514" si="1257">A1513</f>
        <v>英語</v>
      </c>
      <c r="B1514">
        <f t="shared" si="1257"/>
        <v>14</v>
      </c>
      <c r="C1514">
        <f t="shared" si="1207"/>
        <v>63</v>
      </c>
      <c r="D1514">
        <v>0</v>
      </c>
      <c r="E1514" t="str">
        <f>VLOOKUP(D1514,name!A:B,2,1)</f>
        <v>Player</v>
      </c>
      <c r="F1514" t="str">
        <f t="shared" si="1250"/>
        <v xml:space="preserve">Yes, we can get the tube to Trafalgar Square and take the bus from there. </v>
      </c>
      <c r="G1514" t="str">
        <f t="shared" si="1244"/>
        <v>q</v>
      </c>
      <c r="H1514" t="str">
        <f>VLOOKUP(D1514,name!A:C,3,1)</f>
        <v>assets/icons/image326.png</v>
      </c>
      <c r="I1514" t="str">
        <f>IF(A1514="","",VLOOKUP(A1514,lng!A:B,2,0))</f>
        <v>en-GB</v>
      </c>
    </row>
    <row r="1515" spans="1:9" x14ac:dyDescent="0.15">
      <c r="A1515" t="str">
        <f t="shared" ref="A1515:B1515" si="1258">A1514</f>
        <v>英語</v>
      </c>
      <c r="B1515">
        <f t="shared" si="1258"/>
        <v>14</v>
      </c>
      <c r="C1515">
        <f t="shared" si="1207"/>
        <v>64</v>
      </c>
      <c r="D1515">
        <f>D1463</f>
        <v>33</v>
      </c>
      <c r="E1515" t="str">
        <f>VLOOKUP(D1515,name!A:B,2,1)</f>
        <v>Simon</v>
      </c>
      <c r="F1515" t="str">
        <f t="shared" si="1250"/>
        <v>それから降りて、ウェストミンスター寺院とビッグ・ベンを眺めることができます。</v>
      </c>
      <c r="G1515" t="str">
        <f t="shared" si="1244"/>
        <v>a</v>
      </c>
      <c r="H1515" t="str">
        <f>VLOOKUP(D1515,name!A:C,3,1)</f>
        <v>assets/icons/image250.png</v>
      </c>
      <c r="I1515" t="s">
        <v>402</v>
      </c>
    </row>
    <row r="1516" spans="1:9" x14ac:dyDescent="0.15">
      <c r="A1516" t="str">
        <f t="shared" ref="A1516:B1516" si="1259">A1515</f>
        <v>英語</v>
      </c>
      <c r="B1516">
        <f t="shared" si="1259"/>
        <v>14</v>
      </c>
      <c r="C1516">
        <f t="shared" si="1207"/>
        <v>65</v>
      </c>
      <c r="D1516">
        <v>0</v>
      </c>
      <c r="E1516" t="str">
        <f>VLOOKUP(D1516,name!A:B,2,1)</f>
        <v>Player</v>
      </c>
      <c r="F1516" t="str">
        <f t="shared" si="1250"/>
        <v xml:space="preserve">Then we can get off and look at Westminster Abbey and Big Ben, </v>
      </c>
      <c r="G1516" t="str">
        <f t="shared" si="1244"/>
        <v>q</v>
      </c>
      <c r="H1516" t="str">
        <f>VLOOKUP(D1516,name!A:C,3,1)</f>
        <v>assets/icons/image326.png</v>
      </c>
      <c r="I1516" t="str">
        <f>IF(A1516="","",VLOOKUP(A1516,lng!A:B,2,0))</f>
        <v>en-GB</v>
      </c>
    </row>
    <row r="1517" spans="1:9" x14ac:dyDescent="0.15">
      <c r="A1517" t="str">
        <f t="shared" ref="A1517:B1517" si="1260">A1516</f>
        <v>英語</v>
      </c>
      <c r="B1517">
        <f t="shared" si="1260"/>
        <v>14</v>
      </c>
      <c r="C1517">
        <f t="shared" si="1207"/>
        <v>66</v>
      </c>
      <c r="D1517">
        <f>D1465</f>
        <v>33</v>
      </c>
      <c r="E1517" t="str">
        <f>VLOOKUP(D1517,name!A:B,2,1)</f>
        <v>Simon</v>
      </c>
      <c r="F1517" t="str">
        <f t="shared" si="1250"/>
        <v>ボートに乗って川を下り、タワーを見に行きます。</v>
      </c>
      <c r="G1517" t="str">
        <f t="shared" si="1244"/>
        <v>a</v>
      </c>
      <c r="H1517" t="str">
        <f>VLOOKUP(D1517,name!A:C,3,1)</f>
        <v>assets/icons/image250.png</v>
      </c>
      <c r="I1517" t="s">
        <v>402</v>
      </c>
    </row>
    <row r="1518" spans="1:9" x14ac:dyDescent="0.15">
      <c r="A1518" t="str">
        <f t="shared" ref="A1518:B1518" si="1261">A1517</f>
        <v>英語</v>
      </c>
      <c r="B1518">
        <f t="shared" si="1261"/>
        <v>14</v>
      </c>
      <c r="C1518">
        <f t="shared" ref="C1518:C1527" si="1262">C1517+1</f>
        <v>67</v>
      </c>
      <c r="D1518">
        <v>0</v>
      </c>
      <c r="E1518" t="str">
        <f>VLOOKUP(D1518,name!A:B,2,1)</f>
        <v>Player</v>
      </c>
      <c r="F1518" t="str">
        <f t="shared" si="1250"/>
        <v xml:space="preserve">take the boat downriver to see the Tower, </v>
      </c>
      <c r="G1518" t="str">
        <f t="shared" si="1244"/>
        <v>q</v>
      </c>
      <c r="H1518" t="str">
        <f>VLOOKUP(D1518,name!A:C,3,1)</f>
        <v>assets/icons/image326.png</v>
      </c>
      <c r="I1518" t="str">
        <f>IF(A1518="","",VLOOKUP(A1518,lng!A:B,2,0))</f>
        <v>en-GB</v>
      </c>
    </row>
    <row r="1519" spans="1:9" x14ac:dyDescent="0.15">
      <c r="A1519" t="str">
        <f t="shared" ref="A1519:B1519" si="1263">A1518</f>
        <v>英語</v>
      </c>
      <c r="B1519">
        <f t="shared" si="1263"/>
        <v>14</v>
      </c>
      <c r="C1519">
        <f t="shared" si="1262"/>
        <v>68</v>
      </c>
      <c r="D1519">
        <f>D1467</f>
        <v>33</v>
      </c>
      <c r="E1519" t="str">
        <f>VLOOKUP(D1519,name!A:B,2,1)</f>
        <v>Simon</v>
      </c>
      <c r="F1519" t="str">
        <f t="shared" si="1250"/>
        <v>バスに戻って、バッキンガム宮殿やマダム タッソー蝋人形館を訪れましょう。</v>
      </c>
      <c r="G1519" t="str">
        <f t="shared" si="1244"/>
        <v>a</v>
      </c>
      <c r="H1519" t="str">
        <f>VLOOKUP(D1519,name!A:C,3,1)</f>
        <v>assets/icons/image250.png</v>
      </c>
      <c r="I1519" t="s">
        <v>402</v>
      </c>
    </row>
    <row r="1520" spans="1:9" x14ac:dyDescent="0.15">
      <c r="A1520" t="str">
        <f t="shared" ref="A1520:B1520" si="1264">A1519</f>
        <v>英語</v>
      </c>
      <c r="B1520">
        <f t="shared" si="1264"/>
        <v>14</v>
      </c>
      <c r="C1520">
        <f t="shared" si="1262"/>
        <v>69</v>
      </c>
      <c r="D1520">
        <v>0</v>
      </c>
      <c r="E1520" t="str">
        <f>VLOOKUP(D1520,name!A:B,2,1)</f>
        <v>Player</v>
      </c>
      <c r="F1520" t="str">
        <f t="shared" si="1250"/>
        <v>catch the bus back to visit Buckingham Palace and perhaps Madame Tussaud's.</v>
      </c>
      <c r="G1520" t="str">
        <f t="shared" si="1244"/>
        <v>q</v>
      </c>
      <c r="H1520" t="str">
        <f>VLOOKUP(D1520,name!A:C,3,1)</f>
        <v>assets/icons/image326.png</v>
      </c>
      <c r="I1520" t="str">
        <f>IF(A1520="","",VLOOKUP(A1520,lng!A:B,2,0))</f>
        <v>en-GB</v>
      </c>
    </row>
    <row r="1521" spans="1:9" x14ac:dyDescent="0.15">
      <c r="A1521" t="str">
        <f t="shared" ref="A1521:B1521" si="1265">A1520</f>
        <v>英語</v>
      </c>
      <c r="B1521">
        <f t="shared" si="1265"/>
        <v>14</v>
      </c>
      <c r="C1521">
        <f t="shared" si="1262"/>
        <v>70</v>
      </c>
      <c r="D1521">
        <f>D1469</f>
        <v>29</v>
      </c>
      <c r="E1521" t="str">
        <f>VLOOKUP(D1521,name!A:B,2,1)</f>
        <v>Eri</v>
      </c>
      <c r="F1521" t="str">
        <f t="shared" si="1250"/>
        <v>1日に対しては多すぎると思います。</v>
      </c>
      <c r="G1521" t="str">
        <f t="shared" si="1244"/>
        <v>a</v>
      </c>
      <c r="H1521" t="str">
        <f>VLOOKUP(D1521,name!A:C,3,1)</f>
        <v>assets/icons/image209.png</v>
      </c>
      <c r="I1521" t="s">
        <v>402</v>
      </c>
    </row>
    <row r="1522" spans="1:9" x14ac:dyDescent="0.15">
      <c r="A1522" t="str">
        <f t="shared" ref="A1522:B1522" si="1266">A1521</f>
        <v>英語</v>
      </c>
      <c r="B1522">
        <f t="shared" si="1266"/>
        <v>14</v>
      </c>
      <c r="C1522">
        <f t="shared" si="1262"/>
        <v>71</v>
      </c>
      <c r="D1522">
        <v>0</v>
      </c>
      <c r="E1522" t="str">
        <f>VLOOKUP(D1522,name!A:B,2,1)</f>
        <v>Player</v>
      </c>
      <c r="F1522" t="str">
        <f t="shared" si="1250"/>
        <v>I think that's too much for one day.</v>
      </c>
      <c r="G1522" t="str">
        <f t="shared" si="1244"/>
        <v>q</v>
      </c>
      <c r="H1522" t="str">
        <f>VLOOKUP(D1522,name!A:C,3,1)</f>
        <v>assets/icons/image326.png</v>
      </c>
      <c r="I1522" t="str">
        <f>IF(A1522="","",VLOOKUP(A1522,lng!A:B,2,0))</f>
        <v>en-GB</v>
      </c>
    </row>
    <row r="1523" spans="1:9" x14ac:dyDescent="0.15">
      <c r="A1523" t="str">
        <f t="shared" ref="A1523:B1523" si="1267">A1522</f>
        <v>英語</v>
      </c>
      <c r="B1523">
        <f t="shared" si="1267"/>
        <v>14</v>
      </c>
      <c r="C1523">
        <f t="shared" si="1262"/>
        <v>72</v>
      </c>
      <c r="D1523">
        <f>D1471</f>
        <v>29</v>
      </c>
      <c r="E1523" t="str">
        <f>VLOOKUP(D1523,name!A:B,2,1)</f>
        <v>Eri</v>
      </c>
      <c r="F1523" t="str">
        <f t="shared" si="1250"/>
        <v>タッソー蝋人形館とロンドン アイを後にして、次の日にしてはいかがですか。</v>
      </c>
      <c r="G1523" t="str">
        <f t="shared" si="1244"/>
        <v>a</v>
      </c>
      <c r="H1523" t="str">
        <f>VLOOKUP(D1523,name!A:C,3,1)</f>
        <v>assets/icons/image209.png</v>
      </c>
      <c r="I1523" t="s">
        <v>402</v>
      </c>
    </row>
    <row r="1524" spans="1:9" x14ac:dyDescent="0.15">
      <c r="A1524" t="str">
        <f t="shared" ref="A1524:B1524" si="1268">A1523</f>
        <v>英語</v>
      </c>
      <c r="B1524">
        <f t="shared" si="1268"/>
        <v>14</v>
      </c>
      <c r="C1524">
        <f t="shared" si="1262"/>
        <v>73</v>
      </c>
      <c r="D1524">
        <v>0</v>
      </c>
      <c r="E1524" t="str">
        <f>VLOOKUP(D1524,name!A:B,2,1)</f>
        <v>Player</v>
      </c>
      <c r="F1524" t="str">
        <f t="shared" si="1250"/>
        <v>How about leaving Tussaud's and the London Eye for the next day,</v>
      </c>
      <c r="G1524" t="str">
        <f t="shared" si="1244"/>
        <v>q</v>
      </c>
      <c r="H1524" t="str">
        <f>VLOOKUP(D1524,name!A:C,3,1)</f>
        <v>assets/icons/image326.png</v>
      </c>
      <c r="I1524" t="str">
        <f>IF(A1524="","",VLOOKUP(A1524,lng!A:B,2,0))</f>
        <v>en-GB</v>
      </c>
    </row>
    <row r="1525" spans="1:9" x14ac:dyDescent="0.15">
      <c r="A1525" t="str">
        <f t="shared" ref="A1525:B1525" si="1269">A1524</f>
        <v>英語</v>
      </c>
      <c r="B1525">
        <f t="shared" si="1269"/>
        <v>14</v>
      </c>
      <c r="C1525">
        <f t="shared" si="1262"/>
        <v>74</v>
      </c>
      <c r="D1525">
        <f>D1473</f>
        <v>29</v>
      </c>
      <c r="E1525" t="str">
        <f>VLOOKUP(D1525,name!A:B,2,1)</f>
        <v>Eri</v>
      </c>
      <c r="F1525" t="str">
        <f t="shared" si="1250"/>
        <v>もう一日滞在しませんか？</v>
      </c>
      <c r="G1525" t="str">
        <f t="shared" si="1244"/>
        <v>a</v>
      </c>
      <c r="H1525" t="str">
        <f>VLOOKUP(D1525,name!A:C,3,1)</f>
        <v>assets/icons/image209.png</v>
      </c>
      <c r="I1525" t="s">
        <v>402</v>
      </c>
    </row>
    <row r="1526" spans="1:9" x14ac:dyDescent="0.15">
      <c r="A1526" t="str">
        <f t="shared" ref="A1526:B1526" si="1270">A1525</f>
        <v>英語</v>
      </c>
      <c r="B1526">
        <f t="shared" si="1270"/>
        <v>14</v>
      </c>
      <c r="C1526">
        <f t="shared" si="1262"/>
        <v>75</v>
      </c>
      <c r="D1526">
        <v>0</v>
      </c>
      <c r="E1526" t="str">
        <f>VLOOKUP(D1526,name!A:B,2,1)</f>
        <v>Player</v>
      </c>
      <c r="F1526" t="str">
        <f t="shared" si="1250"/>
        <v xml:space="preserve"> and staying one more day?</v>
      </c>
      <c r="G1526" t="str">
        <f t="shared" si="1244"/>
        <v>q</v>
      </c>
      <c r="H1526" t="str">
        <f>VLOOKUP(D1526,name!A:C,3,1)</f>
        <v>assets/icons/image326.png</v>
      </c>
      <c r="I1526" t="str">
        <f>IF(A1526="","",VLOOKUP(A1526,lng!A:B,2,0))</f>
        <v>en-GB</v>
      </c>
    </row>
    <row r="1527" spans="1:9" x14ac:dyDescent="0.15">
      <c r="A1527" t="str">
        <f t="shared" ref="A1527:B1527" si="1271">A1526</f>
        <v>英語</v>
      </c>
      <c r="B1527">
        <f t="shared" si="1271"/>
        <v>14</v>
      </c>
      <c r="C1527">
        <f t="shared" si="1262"/>
        <v>76</v>
      </c>
      <c r="D1527">
        <v>1</v>
      </c>
      <c r="E1527" t="str">
        <f>VLOOKUP(D1527,name!A:B,2,1)</f>
        <v>Navigator</v>
      </c>
      <c r="F1527" t="str">
        <f>"とても良くできました。レッスン"&amp;B1527&amp;"はこれで終了です。"</f>
        <v>とても良くできました。レッスン14はこれで終了です。</v>
      </c>
      <c r="G1527" t="str">
        <f t="shared" si="1244"/>
        <v>e</v>
      </c>
      <c r="H1527" t="str">
        <f>VLOOKUP(D1527,name!A:C,3,1)</f>
        <v>assets/icons/image014.png</v>
      </c>
      <c r="I1527" t="s">
        <v>402</v>
      </c>
    </row>
    <row r="1528" spans="1:9" x14ac:dyDescent="0.15">
      <c r="A1528" t="str">
        <f>A1527</f>
        <v>英語</v>
      </c>
      <c r="B1528">
        <f>B1527+1</f>
        <v>15</v>
      </c>
      <c r="C1528">
        <v>1</v>
      </c>
      <c r="D1528">
        <v>1</v>
      </c>
      <c r="E1528" t="str">
        <f>VLOOKUP(D1528,name!A:B,2,1)</f>
        <v>Navigator</v>
      </c>
      <c r="F1528" t="s">
        <v>876</v>
      </c>
      <c r="G1528" t="str">
        <f t="shared" si="1244"/>
        <v>a</v>
      </c>
      <c r="H1528" t="str">
        <f>VLOOKUP(D1528,name!A:C,3,1)</f>
        <v>assets/icons/image014.png</v>
      </c>
      <c r="I1528" t="str">
        <f>IF(A1528="","",VLOOKUP(A1528,lng!A:B,2,0))</f>
        <v>en-GB</v>
      </c>
    </row>
    <row r="1529" spans="1:9" x14ac:dyDescent="0.15">
      <c r="A1529" t="str">
        <f t="shared" ref="A1529:B1544" si="1272">A1528</f>
        <v>英語</v>
      </c>
      <c r="B1529">
        <f>B1528</f>
        <v>15</v>
      </c>
      <c r="C1529">
        <f>C1528+1</f>
        <v>2</v>
      </c>
      <c r="D1529">
        <v>1</v>
      </c>
      <c r="E1529" t="str">
        <f>VLOOKUP(D1529,name!A:B,2,1)</f>
        <v>Navigator</v>
      </c>
      <c r="F1529" t="str">
        <f>"レッスン"&amp;B1529</f>
        <v>レッスン15</v>
      </c>
      <c r="G1529" t="str">
        <f t="shared" si="1244"/>
        <v>a</v>
      </c>
      <c r="H1529" t="str">
        <f>VLOOKUP(D1529,name!A:C,3,1)</f>
        <v>assets/icons/image014.png</v>
      </c>
      <c r="I1529" t="s">
        <v>402</v>
      </c>
    </row>
    <row r="1530" spans="1:9" ht="40.5" x14ac:dyDescent="0.15">
      <c r="A1530" t="str">
        <f t="shared" si="1272"/>
        <v>英語</v>
      </c>
      <c r="B1530">
        <f t="shared" si="1272"/>
        <v>15</v>
      </c>
      <c r="C1530">
        <f t="shared" ref="C1530:C1593" si="1273">C1529+1</f>
        <v>3</v>
      </c>
      <c r="D1530">
        <v>1</v>
      </c>
      <c r="E1530" t="str">
        <f>VLOOKUP(D1530,name!A:B,2,1)</f>
        <v>Navigator</v>
      </c>
      <c r="F1530" s="1" t="str">
        <f>"まずは対話文を流します。その後に、日本語と"&amp;A1530&amp;"を一文ずつ流すので"&amp;A1530&amp;"を真似して下さい。最後に日本語のみを流すので、"&amp;A1530&amp;"で答えてください。"</f>
        <v>まずは対話文を流します。その後に、日本語と英語を一文ずつ流すので英語を真似して下さい。最後に日本語のみを流すので、英語で答えてください。</v>
      </c>
      <c r="G1530" t="str">
        <f t="shared" si="1244"/>
        <v>a</v>
      </c>
      <c r="H1530" t="str">
        <f>VLOOKUP(D1530,name!A:C,3,1)</f>
        <v>assets/icons/image014.png</v>
      </c>
      <c r="I1530" t="s">
        <v>402</v>
      </c>
    </row>
    <row r="1531" spans="1:9" x14ac:dyDescent="0.15">
      <c r="A1531" t="str">
        <f t="shared" si="1272"/>
        <v>英語</v>
      </c>
      <c r="B1531">
        <f t="shared" si="1272"/>
        <v>15</v>
      </c>
      <c r="C1531">
        <f t="shared" si="1273"/>
        <v>4</v>
      </c>
      <c r="D1531">
        <f>D1532</f>
        <v>29</v>
      </c>
      <c r="E1531" t="str">
        <f>VLOOKUP(D1531,name!A:B,2,1)</f>
        <v>Eri</v>
      </c>
      <c r="F1531" t="s">
        <v>884</v>
      </c>
      <c r="G1531" t="str">
        <f t="shared" si="1244"/>
        <v>a</v>
      </c>
      <c r="H1531" t="str">
        <f>VLOOKUP(D1531,name!A:C,3,1)</f>
        <v>assets/icons/image209.png</v>
      </c>
      <c r="I1531" t="s">
        <v>402</v>
      </c>
    </row>
    <row r="1532" spans="1:9" x14ac:dyDescent="0.15">
      <c r="A1532" t="str">
        <f t="shared" si="1272"/>
        <v>英語</v>
      </c>
      <c r="B1532">
        <f t="shared" si="1272"/>
        <v>15</v>
      </c>
      <c r="C1532">
        <f t="shared" si="1273"/>
        <v>5</v>
      </c>
      <c r="D1532">
        <v>29</v>
      </c>
      <c r="E1532" t="str">
        <f>VLOOKUP(D1532,name!A:B,2,1)</f>
        <v>Eri</v>
      </c>
      <c r="F1532" t="s">
        <v>877</v>
      </c>
      <c r="G1532" t="str">
        <f t="shared" si="1244"/>
        <v>a</v>
      </c>
      <c r="H1532" t="str">
        <f>VLOOKUP(D1532,name!A:C,3,1)</f>
        <v>assets/icons/image209.png</v>
      </c>
      <c r="I1532" t="str">
        <f>IF(A1532="","",VLOOKUP(A1532,lng!A:B,2,0))</f>
        <v>en-GB</v>
      </c>
    </row>
    <row r="1533" spans="1:9" x14ac:dyDescent="0.15">
      <c r="A1533" t="str">
        <f t="shared" si="1272"/>
        <v>英語</v>
      </c>
      <c r="B1533">
        <f t="shared" si="1272"/>
        <v>15</v>
      </c>
      <c r="C1533">
        <f t="shared" si="1273"/>
        <v>6</v>
      </c>
      <c r="D1533">
        <f t="shared" ref="D1533:D1551" si="1274">D1534</f>
        <v>29</v>
      </c>
      <c r="E1533" t="str">
        <f>VLOOKUP(D1533,name!A:B,2,1)</f>
        <v>Eri</v>
      </c>
      <c r="F1533" t="s">
        <v>885</v>
      </c>
      <c r="G1533" t="str">
        <f t="shared" si="1244"/>
        <v>a</v>
      </c>
      <c r="H1533" t="str">
        <f>VLOOKUP(D1533,name!A:C,3,1)</f>
        <v>assets/icons/image209.png</v>
      </c>
      <c r="I1533" t="s">
        <v>402</v>
      </c>
    </row>
    <row r="1534" spans="1:9" x14ac:dyDescent="0.15">
      <c r="A1534" t="str">
        <f t="shared" si="1272"/>
        <v>英語</v>
      </c>
      <c r="B1534">
        <f t="shared" si="1272"/>
        <v>15</v>
      </c>
      <c r="C1534">
        <f t="shared" si="1273"/>
        <v>7</v>
      </c>
      <c r="D1534">
        <v>29</v>
      </c>
      <c r="E1534" t="str">
        <f>VLOOKUP(D1534,name!A:B,2,1)</f>
        <v>Eri</v>
      </c>
      <c r="F1534" t="s">
        <v>880</v>
      </c>
      <c r="G1534" t="str">
        <f t="shared" si="1244"/>
        <v>a</v>
      </c>
      <c r="H1534" t="str">
        <f>VLOOKUP(D1534,name!A:C,3,1)</f>
        <v>assets/icons/image209.png</v>
      </c>
      <c r="I1534" t="str">
        <f>IF(A1534="","",VLOOKUP(A1534,lng!A:B,2,0))</f>
        <v>en-GB</v>
      </c>
    </row>
    <row r="1535" spans="1:9" x14ac:dyDescent="0.15">
      <c r="A1535" t="str">
        <f t="shared" si="1272"/>
        <v>英語</v>
      </c>
      <c r="B1535">
        <f t="shared" si="1272"/>
        <v>15</v>
      </c>
      <c r="C1535">
        <f t="shared" si="1273"/>
        <v>8</v>
      </c>
      <c r="D1535">
        <f t="shared" si="1274"/>
        <v>33</v>
      </c>
      <c r="E1535" t="str">
        <f>VLOOKUP(D1535,name!A:B,2,1)</f>
        <v>Simon</v>
      </c>
      <c r="F1535" t="s">
        <v>886</v>
      </c>
      <c r="G1535" t="str">
        <f t="shared" si="1244"/>
        <v>a</v>
      </c>
      <c r="H1535" t="str">
        <f>VLOOKUP(D1535,name!A:C,3,1)</f>
        <v>assets/icons/image250.png</v>
      </c>
      <c r="I1535" t="s">
        <v>402</v>
      </c>
    </row>
    <row r="1536" spans="1:9" x14ac:dyDescent="0.15">
      <c r="A1536" t="str">
        <f t="shared" si="1272"/>
        <v>英語</v>
      </c>
      <c r="B1536">
        <f t="shared" si="1272"/>
        <v>15</v>
      </c>
      <c r="C1536">
        <f t="shared" si="1273"/>
        <v>9</v>
      </c>
      <c r="D1536">
        <v>33</v>
      </c>
      <c r="E1536" t="str">
        <f>VLOOKUP(D1536,name!A:B,2,1)</f>
        <v>Simon</v>
      </c>
      <c r="F1536" t="s">
        <v>881</v>
      </c>
      <c r="G1536" t="str">
        <f t="shared" si="1244"/>
        <v>a</v>
      </c>
      <c r="H1536" t="str">
        <f>VLOOKUP(D1536,name!A:C,3,1)</f>
        <v>assets/icons/image250.png</v>
      </c>
      <c r="I1536" t="str">
        <f>IF(A1536="","",VLOOKUP(A1536,lng!A:B,2,0))</f>
        <v>en-GB</v>
      </c>
    </row>
    <row r="1537" spans="1:9" x14ac:dyDescent="0.15">
      <c r="A1537" t="str">
        <f t="shared" si="1272"/>
        <v>英語</v>
      </c>
      <c r="B1537">
        <f t="shared" si="1272"/>
        <v>15</v>
      </c>
      <c r="C1537">
        <f t="shared" si="1273"/>
        <v>10</v>
      </c>
      <c r="D1537">
        <f t="shared" si="1274"/>
        <v>33</v>
      </c>
      <c r="E1537" t="str">
        <f>VLOOKUP(D1537,name!A:B,2,1)</f>
        <v>Simon</v>
      </c>
      <c r="F1537" t="s">
        <v>887</v>
      </c>
      <c r="G1537" t="str">
        <f t="shared" si="1244"/>
        <v>a</v>
      </c>
      <c r="H1537" t="str">
        <f>VLOOKUP(D1537,name!A:C,3,1)</f>
        <v>assets/icons/image250.png</v>
      </c>
      <c r="I1537" t="s">
        <v>402</v>
      </c>
    </row>
    <row r="1538" spans="1:9" x14ac:dyDescent="0.15">
      <c r="A1538" t="str">
        <f t="shared" si="1272"/>
        <v>英語</v>
      </c>
      <c r="B1538">
        <f t="shared" si="1272"/>
        <v>15</v>
      </c>
      <c r="C1538">
        <f t="shared" si="1273"/>
        <v>11</v>
      </c>
      <c r="D1538">
        <v>33</v>
      </c>
      <c r="E1538" t="str">
        <f>VLOOKUP(D1538,name!A:B,2,1)</f>
        <v>Simon</v>
      </c>
      <c r="F1538" t="s">
        <v>882</v>
      </c>
      <c r="G1538" t="str">
        <f t="shared" si="1244"/>
        <v>a</v>
      </c>
      <c r="H1538" t="str">
        <f>VLOOKUP(D1538,name!A:C,3,1)</f>
        <v>assets/icons/image250.png</v>
      </c>
      <c r="I1538" t="str">
        <f>IF(A1538="","",VLOOKUP(A1538,lng!A:B,2,0))</f>
        <v>en-GB</v>
      </c>
    </row>
    <row r="1539" spans="1:9" x14ac:dyDescent="0.15">
      <c r="A1539" t="str">
        <f t="shared" si="1272"/>
        <v>英語</v>
      </c>
      <c r="B1539">
        <f t="shared" si="1272"/>
        <v>15</v>
      </c>
      <c r="C1539">
        <f t="shared" si="1273"/>
        <v>12</v>
      </c>
      <c r="D1539">
        <f t="shared" si="1274"/>
        <v>33</v>
      </c>
      <c r="E1539" t="str">
        <f>VLOOKUP(D1539,name!A:B,2,1)</f>
        <v>Simon</v>
      </c>
      <c r="F1539" t="s">
        <v>888</v>
      </c>
      <c r="G1539" t="str">
        <f t="shared" si="1244"/>
        <v>a</v>
      </c>
      <c r="H1539" t="str">
        <f>VLOOKUP(D1539,name!A:C,3,1)</f>
        <v>assets/icons/image250.png</v>
      </c>
      <c r="I1539" t="s">
        <v>402</v>
      </c>
    </row>
    <row r="1540" spans="1:9" x14ac:dyDescent="0.15">
      <c r="A1540" t="str">
        <f t="shared" si="1272"/>
        <v>英語</v>
      </c>
      <c r="B1540">
        <f t="shared" si="1272"/>
        <v>15</v>
      </c>
      <c r="C1540">
        <f t="shared" si="1273"/>
        <v>13</v>
      </c>
      <c r="D1540">
        <v>33</v>
      </c>
      <c r="E1540" t="str">
        <f>VLOOKUP(D1540,name!A:B,2,1)</f>
        <v>Simon</v>
      </c>
      <c r="F1540" t="s">
        <v>883</v>
      </c>
      <c r="G1540" t="str">
        <f t="shared" si="1244"/>
        <v>a</v>
      </c>
      <c r="H1540" t="str">
        <f>VLOOKUP(D1540,name!A:C,3,1)</f>
        <v>assets/icons/image250.png</v>
      </c>
      <c r="I1540" t="str">
        <f>IF(A1540="","",VLOOKUP(A1540,lng!A:B,2,0))</f>
        <v>en-GB</v>
      </c>
    </row>
    <row r="1541" spans="1:9" x14ac:dyDescent="0.15">
      <c r="A1541" t="str">
        <f t="shared" si="1272"/>
        <v>英語</v>
      </c>
      <c r="B1541">
        <f t="shared" si="1272"/>
        <v>15</v>
      </c>
      <c r="C1541">
        <f t="shared" si="1273"/>
        <v>14</v>
      </c>
      <c r="D1541">
        <f t="shared" si="1274"/>
        <v>29</v>
      </c>
      <c r="E1541" t="str">
        <f>VLOOKUP(D1541,name!A:B,2,1)</f>
        <v>Eri</v>
      </c>
      <c r="F1541" t="s">
        <v>893</v>
      </c>
      <c r="G1541" t="str">
        <f t="shared" si="1244"/>
        <v>a</v>
      </c>
      <c r="H1541" t="str">
        <f>VLOOKUP(D1541,name!A:C,3,1)</f>
        <v>assets/icons/image209.png</v>
      </c>
      <c r="I1541" t="s">
        <v>402</v>
      </c>
    </row>
    <row r="1542" spans="1:9" x14ac:dyDescent="0.15">
      <c r="A1542" t="str">
        <f t="shared" si="1272"/>
        <v>英語</v>
      </c>
      <c r="B1542">
        <f t="shared" si="1272"/>
        <v>15</v>
      </c>
      <c r="C1542">
        <f t="shared" si="1273"/>
        <v>15</v>
      </c>
      <c r="D1542">
        <f t="shared" si="1274"/>
        <v>29</v>
      </c>
      <c r="E1542" t="str">
        <f>VLOOKUP(D1542,name!A:B,2,1)</f>
        <v>Eri</v>
      </c>
      <c r="F1542" t="s">
        <v>889</v>
      </c>
      <c r="G1542" t="str">
        <f t="shared" si="1244"/>
        <v>a</v>
      </c>
      <c r="H1542" t="str">
        <f>VLOOKUP(D1542,name!A:C,3,1)</f>
        <v>assets/icons/image209.png</v>
      </c>
      <c r="I1542" t="str">
        <f>IF(A1542="","",VLOOKUP(A1542,lng!A:B,2,0))</f>
        <v>en-GB</v>
      </c>
    </row>
    <row r="1543" spans="1:9" x14ac:dyDescent="0.15">
      <c r="A1543" t="str">
        <f t="shared" si="1272"/>
        <v>英語</v>
      </c>
      <c r="B1543">
        <f t="shared" si="1272"/>
        <v>15</v>
      </c>
      <c r="C1543">
        <f t="shared" si="1273"/>
        <v>16</v>
      </c>
      <c r="D1543">
        <f t="shared" si="1274"/>
        <v>29</v>
      </c>
      <c r="E1543" t="str">
        <f>VLOOKUP(D1543,name!A:B,2,1)</f>
        <v>Eri</v>
      </c>
      <c r="F1543" t="s">
        <v>894</v>
      </c>
      <c r="G1543" t="str">
        <f t="shared" si="1244"/>
        <v>a</v>
      </c>
      <c r="H1543" t="str">
        <f>VLOOKUP(D1543,name!A:C,3,1)</f>
        <v>assets/icons/image209.png</v>
      </c>
      <c r="I1543" t="s">
        <v>402</v>
      </c>
    </row>
    <row r="1544" spans="1:9" x14ac:dyDescent="0.15">
      <c r="A1544" t="str">
        <f t="shared" si="1272"/>
        <v>英語</v>
      </c>
      <c r="B1544">
        <f t="shared" si="1272"/>
        <v>15</v>
      </c>
      <c r="C1544">
        <f t="shared" si="1273"/>
        <v>17</v>
      </c>
      <c r="D1544">
        <v>29</v>
      </c>
      <c r="E1544" t="str">
        <f>VLOOKUP(D1544,name!A:B,2,1)</f>
        <v>Eri</v>
      </c>
      <c r="F1544" t="s">
        <v>890</v>
      </c>
      <c r="G1544" t="str">
        <f t="shared" si="1244"/>
        <v>a</v>
      </c>
      <c r="H1544" t="str">
        <f>VLOOKUP(D1544,name!A:C,3,1)</f>
        <v>assets/icons/image209.png</v>
      </c>
      <c r="I1544" t="str">
        <f>IF(A1544="","",VLOOKUP(A1544,lng!A:B,2,0))</f>
        <v>en-GB</v>
      </c>
    </row>
    <row r="1545" spans="1:9" x14ac:dyDescent="0.15">
      <c r="A1545" t="str">
        <f t="shared" ref="A1545:B1550" si="1275">A1544</f>
        <v>英語</v>
      </c>
      <c r="B1545">
        <f t="shared" si="1275"/>
        <v>15</v>
      </c>
      <c r="C1545">
        <f t="shared" si="1273"/>
        <v>18</v>
      </c>
      <c r="D1545">
        <f t="shared" si="1274"/>
        <v>33</v>
      </c>
      <c r="E1545" t="str">
        <f>VLOOKUP(D1545,name!A:B,2,1)</f>
        <v>Simon</v>
      </c>
      <c r="F1545" t="s">
        <v>895</v>
      </c>
      <c r="G1545" t="str">
        <f t="shared" si="1244"/>
        <v>a</v>
      </c>
      <c r="H1545" t="str">
        <f>VLOOKUP(D1545,name!A:C,3,1)</f>
        <v>assets/icons/image250.png</v>
      </c>
      <c r="I1545" t="s">
        <v>402</v>
      </c>
    </row>
    <row r="1546" spans="1:9" x14ac:dyDescent="0.15">
      <c r="A1546" t="str">
        <f t="shared" si="1275"/>
        <v>英語</v>
      </c>
      <c r="B1546">
        <f t="shared" si="1275"/>
        <v>15</v>
      </c>
      <c r="C1546">
        <f t="shared" si="1273"/>
        <v>19</v>
      </c>
      <c r="D1546">
        <f t="shared" si="1274"/>
        <v>33</v>
      </c>
      <c r="E1546" t="str">
        <f>VLOOKUP(D1546,name!A:B,2,1)</f>
        <v>Simon</v>
      </c>
      <c r="F1546" t="s">
        <v>891</v>
      </c>
      <c r="G1546" t="str">
        <f t="shared" si="1244"/>
        <v>a</v>
      </c>
      <c r="H1546" t="str">
        <f>VLOOKUP(D1546,name!A:C,3,1)</f>
        <v>assets/icons/image250.png</v>
      </c>
      <c r="I1546" t="str">
        <f>IF(A1546="","",VLOOKUP(A1546,lng!A:B,2,0))</f>
        <v>en-GB</v>
      </c>
    </row>
    <row r="1547" spans="1:9" x14ac:dyDescent="0.15">
      <c r="A1547" t="str">
        <f t="shared" si="1275"/>
        <v>英語</v>
      </c>
      <c r="B1547">
        <f t="shared" si="1275"/>
        <v>15</v>
      </c>
      <c r="C1547">
        <f t="shared" si="1273"/>
        <v>20</v>
      </c>
      <c r="D1547">
        <f t="shared" si="1274"/>
        <v>33</v>
      </c>
      <c r="E1547" t="str">
        <f>VLOOKUP(D1547,name!A:B,2,1)</f>
        <v>Simon</v>
      </c>
      <c r="F1547" t="s">
        <v>896</v>
      </c>
      <c r="G1547" t="str">
        <f t="shared" si="1244"/>
        <v>a</v>
      </c>
      <c r="H1547" t="str">
        <f>VLOOKUP(D1547,name!A:C,3,1)</f>
        <v>assets/icons/image250.png</v>
      </c>
      <c r="I1547" t="s">
        <v>402</v>
      </c>
    </row>
    <row r="1548" spans="1:9" x14ac:dyDescent="0.15">
      <c r="A1548" t="str">
        <f t="shared" si="1275"/>
        <v>英語</v>
      </c>
      <c r="B1548">
        <f t="shared" si="1275"/>
        <v>15</v>
      </c>
      <c r="C1548">
        <f t="shared" si="1273"/>
        <v>21</v>
      </c>
      <c r="D1548">
        <v>33</v>
      </c>
      <c r="E1548" t="str">
        <f>VLOOKUP(D1548,name!A:B,2,1)</f>
        <v>Simon</v>
      </c>
      <c r="F1548" t="s">
        <v>892</v>
      </c>
      <c r="G1548" t="str">
        <f t="shared" si="1244"/>
        <v>a</v>
      </c>
      <c r="H1548" t="str">
        <f>VLOOKUP(D1548,name!A:C,3,1)</f>
        <v>assets/icons/image250.png</v>
      </c>
      <c r="I1548" t="str">
        <f>IF(A1548="","",VLOOKUP(A1548,lng!A:B,2,0))</f>
        <v>en-GB</v>
      </c>
    </row>
    <row r="1549" spans="1:9" x14ac:dyDescent="0.15">
      <c r="A1549" t="str">
        <f t="shared" si="1275"/>
        <v>英語</v>
      </c>
      <c r="B1549">
        <f t="shared" si="1275"/>
        <v>15</v>
      </c>
      <c r="C1549">
        <f t="shared" si="1273"/>
        <v>22</v>
      </c>
      <c r="D1549">
        <f t="shared" si="1274"/>
        <v>29</v>
      </c>
      <c r="E1549" t="str">
        <f>VLOOKUP(D1549,name!A:B,2,1)</f>
        <v>Eri</v>
      </c>
      <c r="F1549" t="s">
        <v>897</v>
      </c>
      <c r="G1549" t="str">
        <f t="shared" si="1244"/>
        <v>a</v>
      </c>
      <c r="H1549" t="str">
        <f>VLOOKUP(D1549,name!A:C,3,1)</f>
        <v>assets/icons/image209.png</v>
      </c>
      <c r="I1549" t="s">
        <v>402</v>
      </c>
    </row>
    <row r="1550" spans="1:9" x14ac:dyDescent="0.15">
      <c r="A1550" t="str">
        <f t="shared" si="1275"/>
        <v>英語</v>
      </c>
      <c r="B1550">
        <f t="shared" si="1275"/>
        <v>15</v>
      </c>
      <c r="C1550">
        <f t="shared" si="1273"/>
        <v>23</v>
      </c>
      <c r="D1550">
        <v>29</v>
      </c>
      <c r="E1550" t="str">
        <f>VLOOKUP(D1550,name!A:B,2,1)</f>
        <v>Eri</v>
      </c>
      <c r="F1550" t="s">
        <v>878</v>
      </c>
      <c r="G1550" t="str">
        <f t="shared" si="1244"/>
        <v>a</v>
      </c>
      <c r="H1550" t="str">
        <f>VLOOKUP(D1550,name!A:C,3,1)</f>
        <v>assets/icons/image209.png</v>
      </c>
      <c r="I1550" t="str">
        <f>IF(A1550="","",VLOOKUP(A1550,lng!A:B,2,0))</f>
        <v>en-GB</v>
      </c>
    </row>
    <row r="1551" spans="1:9" x14ac:dyDescent="0.15">
      <c r="A1551" t="str">
        <f t="shared" ref="A1551:B1551" si="1276">A1550</f>
        <v>英語</v>
      </c>
      <c r="B1551">
        <f t="shared" si="1276"/>
        <v>15</v>
      </c>
      <c r="C1551">
        <f t="shared" si="1273"/>
        <v>24</v>
      </c>
      <c r="D1551">
        <f t="shared" si="1274"/>
        <v>33</v>
      </c>
      <c r="E1551" t="str">
        <f>VLOOKUP(D1551,name!A:B,2,1)</f>
        <v>Simon</v>
      </c>
      <c r="F1551" t="s">
        <v>898</v>
      </c>
      <c r="G1551" t="str">
        <f t="shared" si="1244"/>
        <v>a</v>
      </c>
      <c r="H1551" t="str">
        <f>VLOOKUP(D1551,name!A:C,3,1)</f>
        <v>assets/icons/image250.png</v>
      </c>
      <c r="I1551" t="s">
        <v>402</v>
      </c>
    </row>
    <row r="1552" spans="1:9" x14ac:dyDescent="0.15">
      <c r="A1552" t="str">
        <f t="shared" ref="A1552:B1552" si="1277">A1551</f>
        <v>英語</v>
      </c>
      <c r="B1552">
        <f t="shared" si="1277"/>
        <v>15</v>
      </c>
      <c r="C1552">
        <f t="shared" si="1273"/>
        <v>25</v>
      </c>
      <c r="D1552">
        <v>33</v>
      </c>
      <c r="E1552" t="str">
        <f>VLOOKUP(D1552,name!A:B,2,1)</f>
        <v>Simon</v>
      </c>
      <c r="F1552" t="s">
        <v>879</v>
      </c>
      <c r="G1552" t="str">
        <f t="shared" si="1244"/>
        <v>a</v>
      </c>
      <c r="H1552" t="str">
        <f>VLOOKUP(D1552,name!A:C,3,1)</f>
        <v>assets/icons/image250.png</v>
      </c>
      <c r="I1552" t="str">
        <f>IF(A1552="","",VLOOKUP(A1552,lng!A:B,2,0))</f>
        <v>en-GB</v>
      </c>
    </row>
    <row r="1553" spans="1:9" x14ac:dyDescent="0.15">
      <c r="A1553" t="str">
        <f t="shared" ref="A1553:B1553" si="1278">A1552</f>
        <v>英語</v>
      </c>
      <c r="B1553">
        <f t="shared" si="1278"/>
        <v>15</v>
      </c>
      <c r="C1553">
        <f t="shared" si="1273"/>
        <v>26</v>
      </c>
      <c r="D1553">
        <v>1</v>
      </c>
      <c r="E1553" t="str">
        <f>VLOOKUP(D1553,name!A:B,2,1)</f>
        <v>Navigator</v>
      </c>
      <c r="F1553" t="str">
        <f>"次の"&amp;A1553&amp;"を真似してね！"</f>
        <v>次の英語を真似してね！</v>
      </c>
      <c r="G1553" t="str">
        <f t="shared" si="1244"/>
        <v>a</v>
      </c>
      <c r="H1553" t="str">
        <f>VLOOKUP(D1553,name!A:C,3,1)</f>
        <v>assets/icons/image014.png</v>
      </c>
      <c r="I1553" t="s">
        <v>402</v>
      </c>
    </row>
    <row r="1554" spans="1:9" x14ac:dyDescent="0.15">
      <c r="A1554" t="str">
        <f t="shared" ref="A1554:B1554" si="1279">A1553</f>
        <v>英語</v>
      </c>
      <c r="B1554">
        <f t="shared" si="1279"/>
        <v>15</v>
      </c>
      <c r="C1554">
        <f t="shared" si="1273"/>
        <v>27</v>
      </c>
      <c r="D1554">
        <f>D1531</f>
        <v>29</v>
      </c>
      <c r="E1554" t="str">
        <f>VLOOKUP(D1554,name!A:B,2,1)</f>
        <v>Eri</v>
      </c>
      <c r="F1554" t="str">
        <f>F1531</f>
        <v>私たちが来る前に、すべてのチケットをオンラインで予約しておいてくれてよかったです。</v>
      </c>
      <c r="G1554" t="str">
        <f t="shared" si="1244"/>
        <v>a</v>
      </c>
      <c r="H1554" t="str">
        <f>VLOOKUP(D1554,name!A:C,3,1)</f>
        <v>assets/icons/image209.png</v>
      </c>
      <c r="I1554" t="s">
        <v>402</v>
      </c>
    </row>
    <row r="1555" spans="1:9" x14ac:dyDescent="0.15">
      <c r="A1555" t="str">
        <f t="shared" ref="A1555:B1555" si="1280">A1554</f>
        <v>英語</v>
      </c>
      <c r="B1555">
        <f t="shared" si="1280"/>
        <v>15</v>
      </c>
      <c r="C1555">
        <f t="shared" si="1273"/>
        <v>28</v>
      </c>
      <c r="D1555">
        <f>D1532</f>
        <v>29</v>
      </c>
      <c r="E1555" t="str">
        <f>VLOOKUP(D1555,name!A:B,2,1)</f>
        <v>Eri</v>
      </c>
      <c r="F1555" t="str">
        <f>F1532</f>
        <v>I'm glad you booked all our tickets online before we came.</v>
      </c>
      <c r="G1555" t="str">
        <f t="shared" si="1244"/>
        <v>a</v>
      </c>
      <c r="H1555" t="str">
        <f>VLOOKUP(D1555,name!A:C,3,1)</f>
        <v>assets/icons/image209.png</v>
      </c>
      <c r="I1555" t="str">
        <f>IF(A1555="","",VLOOKUP(A1555,lng!A:B,2,0))</f>
        <v>en-GB</v>
      </c>
    </row>
    <row r="1556" spans="1:9" x14ac:dyDescent="0.15">
      <c r="A1556" t="str">
        <f t="shared" ref="A1556:B1556" si="1281">A1555</f>
        <v>英語</v>
      </c>
      <c r="B1556">
        <f t="shared" si="1281"/>
        <v>15</v>
      </c>
      <c r="C1556">
        <f t="shared" si="1273"/>
        <v>29</v>
      </c>
      <c r="D1556">
        <v>0</v>
      </c>
      <c r="E1556" t="str">
        <f>VLOOKUP(D1556,name!A:B,2,1)</f>
        <v>Player</v>
      </c>
      <c r="F1556" t="str">
        <f>F1532</f>
        <v>I'm glad you booked all our tickets online before we came.</v>
      </c>
      <c r="G1556" t="str">
        <f t="shared" si="1244"/>
        <v>q</v>
      </c>
      <c r="H1556" t="str">
        <f>VLOOKUP(D1556,name!A:C,3,1)</f>
        <v>assets/icons/image326.png</v>
      </c>
      <c r="I1556" t="str">
        <f>IF(A1556="","",VLOOKUP(A1556,lng!A:B,2,0))</f>
        <v>en-GB</v>
      </c>
    </row>
    <row r="1557" spans="1:9" x14ac:dyDescent="0.15">
      <c r="A1557" t="str">
        <f t="shared" ref="A1557:B1557" si="1282">A1556</f>
        <v>英語</v>
      </c>
      <c r="B1557">
        <f t="shared" si="1282"/>
        <v>15</v>
      </c>
      <c r="C1557">
        <f t="shared" si="1273"/>
        <v>30</v>
      </c>
      <c r="D1557">
        <f>D1533</f>
        <v>29</v>
      </c>
      <c r="E1557" t="str">
        <f>VLOOKUP(D1557,name!A:B,2,1)</f>
        <v>Eri</v>
      </c>
      <c r="F1557" t="str">
        <f>F1533</f>
        <v>特に昨夜のショーとディナーのために、あなたは私にたくさんのお金を節約してくれました。</v>
      </c>
      <c r="G1557" t="str">
        <f t="shared" si="1244"/>
        <v>a</v>
      </c>
      <c r="H1557" t="str">
        <f>VLOOKUP(D1557,name!A:C,3,1)</f>
        <v>assets/icons/image209.png</v>
      </c>
      <c r="I1557" t="s">
        <v>402</v>
      </c>
    </row>
    <row r="1558" spans="1:9" x14ac:dyDescent="0.15">
      <c r="A1558" t="str">
        <f t="shared" ref="A1558:B1558" si="1283">A1557</f>
        <v>英語</v>
      </c>
      <c r="B1558">
        <f t="shared" si="1283"/>
        <v>15</v>
      </c>
      <c r="C1558">
        <f t="shared" si="1273"/>
        <v>31</v>
      </c>
      <c r="D1558">
        <f>D1534</f>
        <v>29</v>
      </c>
      <c r="E1558" t="str">
        <f>VLOOKUP(D1558,name!A:B,2,1)</f>
        <v>Eri</v>
      </c>
      <c r="F1558" t="str">
        <f>F1534</f>
        <v>You saved me a lot of money, especially for the show and dinner last night.</v>
      </c>
      <c r="G1558" t="str">
        <f t="shared" si="1244"/>
        <v>a</v>
      </c>
      <c r="H1558" t="str">
        <f>VLOOKUP(D1558,name!A:C,3,1)</f>
        <v>assets/icons/image209.png</v>
      </c>
      <c r="I1558" t="str">
        <f>IF(A1558="","",VLOOKUP(A1558,lng!A:B,2,0))</f>
        <v>en-GB</v>
      </c>
    </row>
    <row r="1559" spans="1:9" x14ac:dyDescent="0.15">
      <c r="A1559" t="str">
        <f t="shared" ref="A1559:B1559" si="1284">A1558</f>
        <v>英語</v>
      </c>
      <c r="B1559">
        <f t="shared" si="1284"/>
        <v>15</v>
      </c>
      <c r="C1559">
        <f t="shared" si="1273"/>
        <v>32</v>
      </c>
      <c r="D1559">
        <v>0</v>
      </c>
      <c r="E1559" t="str">
        <f>VLOOKUP(D1559,name!A:B,2,1)</f>
        <v>Player</v>
      </c>
      <c r="F1559" t="str">
        <f>F1534</f>
        <v>You saved me a lot of money, especially for the show and dinner last night.</v>
      </c>
      <c r="G1559" t="str">
        <f t="shared" si="1244"/>
        <v>q</v>
      </c>
      <c r="H1559" t="str">
        <f>VLOOKUP(D1559,name!A:C,3,1)</f>
        <v>assets/icons/image326.png</v>
      </c>
      <c r="I1559" t="str">
        <f>IF(A1559="","",VLOOKUP(A1559,lng!A:B,2,0))</f>
        <v>en-GB</v>
      </c>
    </row>
    <row r="1560" spans="1:9" x14ac:dyDescent="0.15">
      <c r="A1560" t="str">
        <f t="shared" ref="A1560:B1560" si="1285">A1559</f>
        <v>英語</v>
      </c>
      <c r="B1560">
        <f t="shared" si="1285"/>
        <v>15</v>
      </c>
      <c r="C1560">
        <f t="shared" si="1273"/>
        <v>33</v>
      </c>
      <c r="D1560">
        <f>D1535</f>
        <v>33</v>
      </c>
      <c r="E1560" t="str">
        <f>VLOOKUP(D1560,name!A:B,2,1)</f>
        <v>Simon</v>
      </c>
      <c r="F1560" t="str">
        <f>F1535</f>
        <v>幸運にもオペラ座の怪人のチケットを事前に予約して手に入れることができました。</v>
      </c>
      <c r="G1560" t="str">
        <f t="shared" si="1244"/>
        <v>a</v>
      </c>
      <c r="H1560" t="str">
        <f>VLOOKUP(D1560,name!A:C,3,1)</f>
        <v>assets/icons/image250.png</v>
      </c>
      <c r="I1560" t="s">
        <v>402</v>
      </c>
    </row>
    <row r="1561" spans="1:9" x14ac:dyDescent="0.15">
      <c r="A1561" t="str">
        <f t="shared" ref="A1561:B1561" si="1286">A1560</f>
        <v>英語</v>
      </c>
      <c r="B1561">
        <f t="shared" si="1286"/>
        <v>15</v>
      </c>
      <c r="C1561">
        <f t="shared" si="1273"/>
        <v>34</v>
      </c>
      <c r="D1561">
        <f>D1536</f>
        <v>33</v>
      </c>
      <c r="E1561" t="str">
        <f>VLOOKUP(D1561,name!A:B,2,1)</f>
        <v>Simon</v>
      </c>
      <c r="F1561" t="str">
        <f>F1536</f>
        <v>We were lucky to get tickets for the Phantom of the Opera, even booking in advance.</v>
      </c>
      <c r="G1561" t="str">
        <f t="shared" si="1244"/>
        <v>a</v>
      </c>
      <c r="H1561" t="str">
        <f>VLOOKUP(D1561,name!A:C,3,1)</f>
        <v>assets/icons/image250.png</v>
      </c>
      <c r="I1561" t="str">
        <f>IF(A1561="","",VLOOKUP(A1561,lng!A:B,2,0))</f>
        <v>en-GB</v>
      </c>
    </row>
    <row r="1562" spans="1:9" x14ac:dyDescent="0.15">
      <c r="A1562" t="str">
        <f t="shared" ref="A1562:B1562" si="1287">A1561</f>
        <v>英語</v>
      </c>
      <c r="B1562">
        <f t="shared" si="1287"/>
        <v>15</v>
      </c>
      <c r="C1562">
        <f t="shared" si="1273"/>
        <v>35</v>
      </c>
      <c r="D1562">
        <v>0</v>
      </c>
      <c r="E1562" t="str">
        <f>VLOOKUP(D1562,name!A:B,2,1)</f>
        <v>Player</v>
      </c>
      <c r="F1562" t="str">
        <f>F1536</f>
        <v>We were lucky to get tickets for the Phantom of the Opera, even booking in advance.</v>
      </c>
      <c r="G1562" t="str">
        <f t="shared" si="1244"/>
        <v>q</v>
      </c>
      <c r="H1562" t="str">
        <f>VLOOKUP(D1562,name!A:C,3,1)</f>
        <v>assets/icons/image326.png</v>
      </c>
      <c r="I1562" t="str">
        <f>IF(A1562="","",VLOOKUP(A1562,lng!A:B,2,0))</f>
        <v>en-GB</v>
      </c>
    </row>
    <row r="1563" spans="1:9" x14ac:dyDescent="0.15">
      <c r="A1563" t="str">
        <f t="shared" ref="A1563:B1563" si="1288">A1562</f>
        <v>英語</v>
      </c>
      <c r="B1563">
        <f t="shared" si="1288"/>
        <v>15</v>
      </c>
      <c r="C1563">
        <f t="shared" si="1273"/>
        <v>36</v>
      </c>
      <c r="D1563">
        <f>D1537</f>
        <v>33</v>
      </c>
      <c r="E1563" t="str">
        <f>VLOOKUP(D1563,name!A:B,2,1)</f>
        <v>Simon</v>
      </c>
      <c r="F1563" t="str">
        <f>F1537</f>
        <v>そしてあなたはセルフリッジで素敵なドレスを買いました。</v>
      </c>
      <c r="G1563" t="str">
        <f t="shared" si="1244"/>
        <v>a</v>
      </c>
      <c r="H1563" t="str">
        <f>VLOOKUP(D1563,name!A:C,3,1)</f>
        <v>assets/icons/image250.png</v>
      </c>
      <c r="I1563" t="s">
        <v>402</v>
      </c>
    </row>
    <row r="1564" spans="1:9" x14ac:dyDescent="0.15">
      <c r="A1564" t="str">
        <f t="shared" ref="A1564:B1564" si="1289">A1563</f>
        <v>英語</v>
      </c>
      <c r="B1564">
        <f t="shared" si="1289"/>
        <v>15</v>
      </c>
      <c r="C1564">
        <f t="shared" si="1273"/>
        <v>37</v>
      </c>
      <c r="D1564">
        <f>D1538</f>
        <v>33</v>
      </c>
      <c r="E1564" t="str">
        <f>VLOOKUP(D1564,name!A:B,2,1)</f>
        <v>Simon</v>
      </c>
      <c r="F1564" t="str">
        <f>F1538</f>
        <v>And you bought that lovely dress in Selfridges.</v>
      </c>
      <c r="G1564" t="str">
        <f t="shared" si="1244"/>
        <v>a</v>
      </c>
      <c r="H1564" t="str">
        <f>VLOOKUP(D1564,name!A:C,3,1)</f>
        <v>assets/icons/image250.png</v>
      </c>
      <c r="I1564" t="str">
        <f>IF(A1564="","",VLOOKUP(A1564,lng!A:B,2,0))</f>
        <v>en-GB</v>
      </c>
    </row>
    <row r="1565" spans="1:9" x14ac:dyDescent="0.15">
      <c r="A1565" t="str">
        <f t="shared" ref="A1565:B1565" si="1290">A1564</f>
        <v>英語</v>
      </c>
      <c r="B1565">
        <f t="shared" si="1290"/>
        <v>15</v>
      </c>
      <c r="C1565">
        <f t="shared" si="1273"/>
        <v>38</v>
      </c>
      <c r="D1565">
        <v>0</v>
      </c>
      <c r="E1565" t="str">
        <f>VLOOKUP(D1565,name!A:B,2,1)</f>
        <v>Player</v>
      </c>
      <c r="F1565" t="str">
        <f>F1538</f>
        <v>And you bought that lovely dress in Selfridges.</v>
      </c>
      <c r="G1565" t="str">
        <f t="shared" si="1244"/>
        <v>q</v>
      </c>
      <c r="H1565" t="str">
        <f>VLOOKUP(D1565,name!A:C,3,1)</f>
        <v>assets/icons/image326.png</v>
      </c>
      <c r="I1565" t="str">
        <f>IF(A1565="","",VLOOKUP(A1565,lng!A:B,2,0))</f>
        <v>en-GB</v>
      </c>
    </row>
    <row r="1566" spans="1:9" x14ac:dyDescent="0.15">
      <c r="A1566" t="str">
        <f t="shared" ref="A1566:B1566" si="1291">A1565</f>
        <v>英語</v>
      </c>
      <c r="B1566">
        <f t="shared" si="1291"/>
        <v>15</v>
      </c>
      <c r="C1566">
        <f t="shared" si="1273"/>
        <v>39</v>
      </c>
      <c r="D1566">
        <f>D1539</f>
        <v>33</v>
      </c>
      <c r="E1566" t="str">
        <f>VLOOKUP(D1566,name!A:B,2,1)</f>
        <v>Simon</v>
      </c>
      <c r="F1566" t="str">
        <f>F1539</f>
        <v>さて、ここはリバティ。</v>
      </c>
      <c r="G1566" t="str">
        <f t="shared" ref="G1566:G1629" si="1292">IF(B1566&lt;&gt;B1567,"e",IF(D1566=0,"q","a"))</f>
        <v>a</v>
      </c>
      <c r="H1566" t="str">
        <f>VLOOKUP(D1566,name!A:C,3,1)</f>
        <v>assets/icons/image250.png</v>
      </c>
      <c r="I1566" t="s">
        <v>402</v>
      </c>
    </row>
    <row r="1567" spans="1:9" x14ac:dyDescent="0.15">
      <c r="A1567" t="str">
        <f t="shared" ref="A1567:B1567" si="1293">A1566</f>
        <v>英語</v>
      </c>
      <c r="B1567">
        <f t="shared" si="1293"/>
        <v>15</v>
      </c>
      <c r="C1567">
        <f t="shared" si="1273"/>
        <v>40</v>
      </c>
      <c r="D1567">
        <f>D1540</f>
        <v>33</v>
      </c>
      <c r="E1567" t="str">
        <f>VLOOKUP(D1567,name!A:B,2,1)</f>
        <v>Simon</v>
      </c>
      <c r="F1567" t="str">
        <f>F1540</f>
        <v>Well, here's Liberty's.</v>
      </c>
      <c r="G1567" t="str">
        <f t="shared" si="1292"/>
        <v>a</v>
      </c>
      <c r="H1567" t="str">
        <f>VLOOKUP(D1567,name!A:C,3,1)</f>
        <v>assets/icons/image250.png</v>
      </c>
      <c r="I1567" t="str">
        <f>IF(A1567="","",VLOOKUP(A1567,lng!A:B,2,0))</f>
        <v>en-GB</v>
      </c>
    </row>
    <row r="1568" spans="1:9" x14ac:dyDescent="0.15">
      <c r="A1568" t="str">
        <f t="shared" ref="A1568:B1568" si="1294">A1567</f>
        <v>英語</v>
      </c>
      <c r="B1568">
        <f t="shared" si="1294"/>
        <v>15</v>
      </c>
      <c r="C1568">
        <f t="shared" si="1273"/>
        <v>41</v>
      </c>
      <c r="D1568">
        <v>0</v>
      </c>
      <c r="E1568" t="str">
        <f>VLOOKUP(D1568,name!A:B,2,1)</f>
        <v>Player</v>
      </c>
      <c r="F1568" t="str">
        <f>F1540</f>
        <v>Well, here's Liberty's.</v>
      </c>
      <c r="G1568" t="str">
        <f t="shared" si="1292"/>
        <v>q</v>
      </c>
      <c r="H1568" t="str">
        <f>VLOOKUP(D1568,name!A:C,3,1)</f>
        <v>assets/icons/image326.png</v>
      </c>
      <c r="I1568" t="str">
        <f>IF(A1568="","",VLOOKUP(A1568,lng!A:B,2,0))</f>
        <v>en-GB</v>
      </c>
    </row>
    <row r="1569" spans="1:9" x14ac:dyDescent="0.15">
      <c r="A1569" t="str">
        <f t="shared" ref="A1569:B1569" si="1295">A1568</f>
        <v>英語</v>
      </c>
      <c r="B1569">
        <f t="shared" si="1295"/>
        <v>15</v>
      </c>
      <c r="C1569">
        <f t="shared" si="1273"/>
        <v>42</v>
      </c>
      <c r="D1569">
        <f>D1541</f>
        <v>29</v>
      </c>
      <c r="E1569" t="str">
        <f>VLOOKUP(D1569,name!A:B,2,1)</f>
        <v>Eri</v>
      </c>
      <c r="F1569" t="str">
        <f>F1541</f>
        <v>ちょっと圧倒されそうです。</v>
      </c>
      <c r="G1569" t="str">
        <f t="shared" si="1292"/>
        <v>a</v>
      </c>
      <c r="H1569" t="str">
        <f>VLOOKUP(D1569,name!A:C,3,1)</f>
        <v>assets/icons/image209.png</v>
      </c>
      <c r="I1569" t="s">
        <v>402</v>
      </c>
    </row>
    <row r="1570" spans="1:9" x14ac:dyDescent="0.15">
      <c r="A1570" t="str">
        <f t="shared" ref="A1570:B1570" si="1296">A1569</f>
        <v>英語</v>
      </c>
      <c r="B1570">
        <f t="shared" si="1296"/>
        <v>15</v>
      </c>
      <c r="C1570">
        <f t="shared" si="1273"/>
        <v>43</v>
      </c>
      <c r="D1570">
        <f>D1542</f>
        <v>29</v>
      </c>
      <c r="E1570" t="str">
        <f>VLOOKUP(D1570,name!A:B,2,1)</f>
        <v>Eri</v>
      </c>
      <c r="F1570" t="str">
        <f>F1542</f>
        <v>It looks a bit overwhelming.</v>
      </c>
      <c r="G1570" t="str">
        <f t="shared" si="1292"/>
        <v>a</v>
      </c>
      <c r="H1570" t="str">
        <f>VLOOKUP(D1570,name!A:C,3,1)</f>
        <v>assets/icons/image209.png</v>
      </c>
      <c r="I1570" t="str">
        <f>IF(A1570="","",VLOOKUP(A1570,lng!A:B,2,0))</f>
        <v>en-GB</v>
      </c>
    </row>
    <row r="1571" spans="1:9" x14ac:dyDescent="0.15">
      <c r="A1571" t="str">
        <f t="shared" ref="A1571:B1571" si="1297">A1570</f>
        <v>英語</v>
      </c>
      <c r="B1571">
        <f t="shared" si="1297"/>
        <v>15</v>
      </c>
      <c r="C1571">
        <f t="shared" si="1273"/>
        <v>44</v>
      </c>
      <c r="D1571">
        <v>0</v>
      </c>
      <c r="E1571" t="str">
        <f>VLOOKUP(D1571,name!A:B,2,1)</f>
        <v>Player</v>
      </c>
      <c r="F1571" t="str">
        <f>F1542</f>
        <v>It looks a bit overwhelming.</v>
      </c>
      <c r="G1571" t="str">
        <f t="shared" si="1292"/>
        <v>q</v>
      </c>
      <c r="H1571" t="str">
        <f>VLOOKUP(D1571,name!A:C,3,1)</f>
        <v>assets/icons/image326.png</v>
      </c>
      <c r="I1571" t="str">
        <f>IF(A1571="","",VLOOKUP(A1571,lng!A:B,2,0))</f>
        <v>en-GB</v>
      </c>
    </row>
    <row r="1572" spans="1:9" x14ac:dyDescent="0.15">
      <c r="A1572" t="str">
        <f t="shared" ref="A1572:B1572" si="1298">A1571</f>
        <v>英語</v>
      </c>
      <c r="B1572">
        <f t="shared" si="1298"/>
        <v>15</v>
      </c>
      <c r="C1572">
        <f t="shared" si="1273"/>
        <v>45</v>
      </c>
      <c r="D1572">
        <f>D1543</f>
        <v>29</v>
      </c>
      <c r="E1572" t="str">
        <f>VLOOKUP(D1572,name!A:B,2,1)</f>
        <v>Eri</v>
      </c>
      <c r="F1572" t="str">
        <f>F1543</f>
        <v>本当にそこに行くの？</v>
      </c>
      <c r="G1572" t="str">
        <f t="shared" si="1292"/>
        <v>a</v>
      </c>
      <c r="H1572" t="str">
        <f>VLOOKUP(D1572,name!A:C,3,1)</f>
        <v>assets/icons/image209.png</v>
      </c>
      <c r="I1572" t="s">
        <v>402</v>
      </c>
    </row>
    <row r="1573" spans="1:9" x14ac:dyDescent="0.15">
      <c r="A1573" t="str">
        <f t="shared" ref="A1573:B1573" si="1299">A1572</f>
        <v>英語</v>
      </c>
      <c r="B1573">
        <f t="shared" si="1299"/>
        <v>15</v>
      </c>
      <c r="C1573">
        <f t="shared" si="1273"/>
        <v>46</v>
      </c>
      <c r="D1573">
        <f>D1544</f>
        <v>29</v>
      </c>
      <c r="E1573" t="str">
        <f>VLOOKUP(D1573,name!A:B,2,1)</f>
        <v>Eri</v>
      </c>
      <c r="F1573" t="str">
        <f>F1544</f>
        <v>Are we really going in there?</v>
      </c>
      <c r="G1573" t="str">
        <f t="shared" si="1292"/>
        <v>a</v>
      </c>
      <c r="H1573" t="str">
        <f>VLOOKUP(D1573,name!A:C,3,1)</f>
        <v>assets/icons/image209.png</v>
      </c>
      <c r="I1573" t="str">
        <f>IF(A1573="","",VLOOKUP(A1573,lng!A:B,2,0))</f>
        <v>en-GB</v>
      </c>
    </row>
    <row r="1574" spans="1:9" x14ac:dyDescent="0.15">
      <c r="A1574" t="str">
        <f t="shared" ref="A1574:B1574" si="1300">A1573</f>
        <v>英語</v>
      </c>
      <c r="B1574">
        <f t="shared" si="1300"/>
        <v>15</v>
      </c>
      <c r="C1574">
        <f t="shared" si="1273"/>
        <v>47</v>
      </c>
      <c r="D1574">
        <v>0</v>
      </c>
      <c r="E1574" t="str">
        <f>VLOOKUP(D1574,name!A:B,2,1)</f>
        <v>Player</v>
      </c>
      <c r="F1574" t="str">
        <f>F1544</f>
        <v>Are we really going in there?</v>
      </c>
      <c r="G1574" t="str">
        <f t="shared" si="1292"/>
        <v>q</v>
      </c>
      <c r="H1574" t="str">
        <f>VLOOKUP(D1574,name!A:C,3,1)</f>
        <v>assets/icons/image326.png</v>
      </c>
      <c r="I1574" t="str">
        <f>IF(A1574="","",VLOOKUP(A1574,lng!A:B,2,0))</f>
        <v>en-GB</v>
      </c>
    </row>
    <row r="1575" spans="1:9" x14ac:dyDescent="0.15">
      <c r="A1575" t="str">
        <f t="shared" ref="A1575:B1575" si="1301">A1574</f>
        <v>英語</v>
      </c>
      <c r="B1575">
        <f t="shared" si="1301"/>
        <v>15</v>
      </c>
      <c r="C1575">
        <f t="shared" si="1273"/>
        <v>48</v>
      </c>
      <c r="D1575">
        <f>D1545</f>
        <v>33</v>
      </c>
      <c r="E1575" t="str">
        <f>VLOOKUP(D1575,name!A:B,2,1)</f>
        <v>Simon</v>
      </c>
      <c r="F1575" t="str">
        <f>F1545</f>
        <v>もちろんです！</v>
      </c>
      <c r="G1575" t="str">
        <f t="shared" si="1292"/>
        <v>a</v>
      </c>
      <c r="H1575" t="str">
        <f>VLOOKUP(D1575,name!A:C,3,1)</f>
        <v>assets/icons/image250.png</v>
      </c>
      <c r="I1575" t="s">
        <v>402</v>
      </c>
    </row>
    <row r="1576" spans="1:9" x14ac:dyDescent="0.15">
      <c r="A1576" t="str">
        <f t="shared" ref="A1576:B1576" si="1302">A1575</f>
        <v>英語</v>
      </c>
      <c r="B1576">
        <f t="shared" si="1302"/>
        <v>15</v>
      </c>
      <c r="C1576">
        <f t="shared" si="1273"/>
        <v>49</v>
      </c>
      <c r="D1576">
        <f>D1546</f>
        <v>33</v>
      </c>
      <c r="E1576" t="str">
        <f>VLOOKUP(D1576,name!A:B,2,1)</f>
        <v>Simon</v>
      </c>
      <c r="F1576" t="str">
        <f>F1546</f>
        <v>Of course we are!</v>
      </c>
      <c r="G1576" t="str">
        <f t="shared" si="1292"/>
        <v>a</v>
      </c>
      <c r="H1576" t="str">
        <f>VLOOKUP(D1576,name!A:C,3,1)</f>
        <v>assets/icons/image250.png</v>
      </c>
      <c r="I1576" t="str">
        <f>IF(A1576="","",VLOOKUP(A1576,lng!A:B,2,0))</f>
        <v>en-GB</v>
      </c>
    </row>
    <row r="1577" spans="1:9" x14ac:dyDescent="0.15">
      <c r="A1577" t="str">
        <f t="shared" ref="A1577:B1577" si="1303">A1576</f>
        <v>英語</v>
      </c>
      <c r="B1577">
        <f t="shared" si="1303"/>
        <v>15</v>
      </c>
      <c r="C1577">
        <f t="shared" si="1273"/>
        <v>50</v>
      </c>
      <c r="D1577">
        <v>0</v>
      </c>
      <c r="E1577" t="str">
        <f>VLOOKUP(D1577,name!A:B,2,1)</f>
        <v>Player</v>
      </c>
      <c r="F1577" t="str">
        <f>F1546</f>
        <v>Of course we are!</v>
      </c>
      <c r="G1577" t="str">
        <f t="shared" si="1292"/>
        <v>q</v>
      </c>
      <c r="H1577" t="str">
        <f>VLOOKUP(D1577,name!A:C,3,1)</f>
        <v>assets/icons/image326.png</v>
      </c>
      <c r="I1577" t="str">
        <f>IF(A1577="","",VLOOKUP(A1577,lng!A:B,2,0))</f>
        <v>en-GB</v>
      </c>
    </row>
    <row r="1578" spans="1:9" x14ac:dyDescent="0.15">
      <c r="A1578" t="str">
        <f t="shared" ref="A1578:B1578" si="1304">A1577</f>
        <v>英語</v>
      </c>
      <c r="B1578">
        <f t="shared" si="1304"/>
        <v>15</v>
      </c>
      <c r="C1578">
        <f t="shared" si="1273"/>
        <v>51</v>
      </c>
      <c r="D1578">
        <f>D1547</f>
        <v>33</v>
      </c>
      <c r="E1578" t="str">
        <f>VLOOKUP(D1578,name!A:B,2,1)</f>
        <v>Simon</v>
      </c>
      <c r="F1578" t="str">
        <f>F1547</f>
        <v>ウエスト エンドに来て、リバティーズに行かないわけにはいきません。</v>
      </c>
      <c r="G1578" t="str">
        <f t="shared" si="1292"/>
        <v>a</v>
      </c>
      <c r="H1578" t="str">
        <f>VLOOKUP(D1578,name!A:C,3,1)</f>
        <v>assets/icons/image250.png</v>
      </c>
      <c r="I1578" t="s">
        <v>402</v>
      </c>
    </row>
    <row r="1579" spans="1:9" x14ac:dyDescent="0.15">
      <c r="A1579" t="str">
        <f t="shared" ref="A1579:B1579" si="1305">A1578</f>
        <v>英語</v>
      </c>
      <c r="B1579">
        <f t="shared" si="1305"/>
        <v>15</v>
      </c>
      <c r="C1579">
        <f t="shared" si="1273"/>
        <v>52</v>
      </c>
      <c r="D1579">
        <f>D1548</f>
        <v>33</v>
      </c>
      <c r="E1579" t="str">
        <f>VLOOKUP(D1579,name!A:B,2,1)</f>
        <v>Simon</v>
      </c>
      <c r="F1579" t="str">
        <f>F1548</f>
        <v>You can't come to the West End and not visit Liberty's!</v>
      </c>
      <c r="G1579" t="str">
        <f t="shared" si="1292"/>
        <v>a</v>
      </c>
      <c r="H1579" t="str">
        <f>VLOOKUP(D1579,name!A:C,3,1)</f>
        <v>assets/icons/image250.png</v>
      </c>
      <c r="I1579" t="str">
        <f>IF(A1579="","",VLOOKUP(A1579,lng!A:B,2,0))</f>
        <v>en-GB</v>
      </c>
    </row>
    <row r="1580" spans="1:9" x14ac:dyDescent="0.15">
      <c r="A1580" t="str">
        <f t="shared" ref="A1580:B1580" si="1306">A1579</f>
        <v>英語</v>
      </c>
      <c r="B1580">
        <f t="shared" si="1306"/>
        <v>15</v>
      </c>
      <c r="C1580">
        <f t="shared" si="1273"/>
        <v>53</v>
      </c>
      <c r="D1580">
        <v>0</v>
      </c>
      <c r="E1580" t="str">
        <f>VLOOKUP(D1580,name!A:B,2,1)</f>
        <v>Player</v>
      </c>
      <c r="F1580" t="str">
        <f>F1548</f>
        <v>You can't come to the West End and not visit Liberty's!</v>
      </c>
      <c r="G1580" t="str">
        <f t="shared" si="1292"/>
        <v>q</v>
      </c>
      <c r="H1580" t="str">
        <f>VLOOKUP(D1580,name!A:C,3,1)</f>
        <v>assets/icons/image326.png</v>
      </c>
      <c r="I1580" t="str">
        <f>IF(A1580="","",VLOOKUP(A1580,lng!A:B,2,0))</f>
        <v>en-GB</v>
      </c>
    </row>
    <row r="1581" spans="1:9" x14ac:dyDescent="0.15">
      <c r="A1581" t="str">
        <f t="shared" ref="A1581:B1581" si="1307">A1580</f>
        <v>英語</v>
      </c>
      <c r="B1581">
        <f t="shared" si="1307"/>
        <v>15</v>
      </c>
      <c r="C1581">
        <f t="shared" si="1273"/>
        <v>54</v>
      </c>
      <c r="D1581">
        <f>D1549</f>
        <v>29</v>
      </c>
      <c r="E1581" t="str">
        <f>VLOOKUP(D1581,name!A:B,2,1)</f>
        <v>Eri</v>
      </c>
      <c r="F1581" t="str">
        <f>F1549</f>
        <v>ここで母にきれいなブラウスか何かを買わなければ。</v>
      </c>
      <c r="G1581" t="str">
        <f t="shared" si="1292"/>
        <v>a</v>
      </c>
      <c r="H1581" t="str">
        <f>VLOOKUP(D1581,name!A:C,3,1)</f>
        <v>assets/icons/image209.png</v>
      </c>
      <c r="I1581" t="s">
        <v>402</v>
      </c>
    </row>
    <row r="1582" spans="1:9" x14ac:dyDescent="0.15">
      <c r="A1582" t="str">
        <f t="shared" ref="A1582:B1582" si="1308">A1581</f>
        <v>英語</v>
      </c>
      <c r="B1582">
        <f t="shared" si="1308"/>
        <v>15</v>
      </c>
      <c r="C1582">
        <f t="shared" si="1273"/>
        <v>55</v>
      </c>
      <c r="D1582">
        <f>D1550</f>
        <v>29</v>
      </c>
      <c r="E1582" t="str">
        <f>VLOOKUP(D1582,name!A:B,2,1)</f>
        <v>Eri</v>
      </c>
      <c r="F1582" t="str">
        <f>F1550</f>
        <v>I must buy my mother a pretty blouse or something here.</v>
      </c>
      <c r="G1582" t="str">
        <f t="shared" si="1292"/>
        <v>a</v>
      </c>
      <c r="H1582" t="str">
        <f>VLOOKUP(D1582,name!A:C,3,1)</f>
        <v>assets/icons/image209.png</v>
      </c>
      <c r="I1582" t="str">
        <f>IF(A1582="","",VLOOKUP(A1582,lng!A:B,2,0))</f>
        <v>en-GB</v>
      </c>
    </row>
    <row r="1583" spans="1:9" x14ac:dyDescent="0.15">
      <c r="A1583" t="str">
        <f t="shared" ref="A1583:B1583" si="1309">A1582</f>
        <v>英語</v>
      </c>
      <c r="B1583">
        <f t="shared" si="1309"/>
        <v>15</v>
      </c>
      <c r="C1583">
        <f t="shared" si="1273"/>
        <v>56</v>
      </c>
      <c r="D1583">
        <v>0</v>
      </c>
      <c r="E1583" t="str">
        <f>VLOOKUP(D1583,name!A:B,2,1)</f>
        <v>Player</v>
      </c>
      <c r="F1583" t="str">
        <f>F1550</f>
        <v>I must buy my mother a pretty blouse or something here.</v>
      </c>
      <c r="G1583" t="str">
        <f t="shared" si="1292"/>
        <v>q</v>
      </c>
      <c r="H1583" t="str">
        <f>VLOOKUP(D1583,name!A:C,3,1)</f>
        <v>assets/icons/image326.png</v>
      </c>
      <c r="I1583" t="str">
        <f>IF(A1583="","",VLOOKUP(A1583,lng!A:B,2,0))</f>
        <v>en-GB</v>
      </c>
    </row>
    <row r="1584" spans="1:9" x14ac:dyDescent="0.15">
      <c r="A1584" t="str">
        <f t="shared" ref="A1584:B1584" si="1310">A1583</f>
        <v>英語</v>
      </c>
      <c r="B1584">
        <f t="shared" si="1310"/>
        <v>15</v>
      </c>
      <c r="C1584">
        <f t="shared" si="1273"/>
        <v>57</v>
      </c>
      <c r="D1584">
        <f>D1551</f>
        <v>33</v>
      </c>
      <c r="E1584" t="str">
        <f>VLOOKUP(D1584,name!A:B,2,1)</f>
        <v>Simon</v>
      </c>
      <c r="F1584" t="str">
        <f>F1551</f>
        <v>そしてハロッズのナイツブリッジもお忘れなく。</v>
      </c>
      <c r="G1584" t="str">
        <f t="shared" si="1292"/>
        <v>a</v>
      </c>
      <c r="H1584" t="str">
        <f>VLOOKUP(D1584,name!A:C,3,1)</f>
        <v>assets/icons/image250.png</v>
      </c>
      <c r="I1584" t="s">
        <v>402</v>
      </c>
    </row>
    <row r="1585" spans="1:9" x14ac:dyDescent="0.15">
      <c r="A1585" t="str">
        <f t="shared" ref="A1585:B1585" si="1311">A1584</f>
        <v>英語</v>
      </c>
      <c r="B1585">
        <f t="shared" si="1311"/>
        <v>15</v>
      </c>
      <c r="C1585">
        <f t="shared" si="1273"/>
        <v>58</v>
      </c>
      <c r="D1585">
        <f>D1552</f>
        <v>33</v>
      </c>
      <c r="E1585" t="str">
        <f>VLOOKUP(D1585,name!A:B,2,1)</f>
        <v>Simon</v>
      </c>
      <c r="F1585" t="str">
        <f>F1552</f>
        <v>And then Knightsbridge for Harrods, don't forget.</v>
      </c>
      <c r="G1585" t="str">
        <f t="shared" si="1292"/>
        <v>a</v>
      </c>
      <c r="H1585" t="str">
        <f>VLOOKUP(D1585,name!A:C,3,1)</f>
        <v>assets/icons/image250.png</v>
      </c>
      <c r="I1585" t="str">
        <f>IF(A1585="","",VLOOKUP(A1585,lng!A:B,2,0))</f>
        <v>en-GB</v>
      </c>
    </row>
    <row r="1586" spans="1:9" x14ac:dyDescent="0.15">
      <c r="A1586" t="str">
        <f t="shared" ref="A1586:B1586" si="1312">A1585</f>
        <v>英語</v>
      </c>
      <c r="B1586">
        <f t="shared" si="1312"/>
        <v>15</v>
      </c>
      <c r="C1586">
        <f t="shared" si="1273"/>
        <v>59</v>
      </c>
      <c r="D1586">
        <v>0</v>
      </c>
      <c r="E1586" t="str">
        <f>VLOOKUP(D1586,name!A:B,2,1)</f>
        <v>Player</v>
      </c>
      <c r="F1586" t="str">
        <f>F1552</f>
        <v>And then Knightsbridge for Harrods, don't forget.</v>
      </c>
      <c r="G1586" t="str">
        <f t="shared" si="1292"/>
        <v>q</v>
      </c>
      <c r="H1586" t="str">
        <f>VLOOKUP(D1586,name!A:C,3,1)</f>
        <v>assets/icons/image326.png</v>
      </c>
      <c r="I1586" t="str">
        <f>IF(A1586="","",VLOOKUP(A1586,lng!A:B,2,0))</f>
        <v>en-GB</v>
      </c>
    </row>
    <row r="1587" spans="1:9" x14ac:dyDescent="0.15">
      <c r="A1587" t="str">
        <f t="shared" ref="A1587:B1587" si="1313">A1586</f>
        <v>英語</v>
      </c>
      <c r="B1587">
        <f t="shared" si="1313"/>
        <v>15</v>
      </c>
      <c r="C1587">
        <f t="shared" si="1273"/>
        <v>60</v>
      </c>
      <c r="D1587">
        <v>1</v>
      </c>
      <c r="E1587" t="str">
        <f>VLOOKUP(D1587,name!A:B,2,1)</f>
        <v>Navigator</v>
      </c>
      <c r="F1587" t="str">
        <f>"次の日本語を"&amp;A1587&amp;"に訳して答えてね！"</f>
        <v>次の日本語を英語に訳して答えてね！</v>
      </c>
      <c r="G1587" t="str">
        <f t="shared" si="1292"/>
        <v>a</v>
      </c>
      <c r="H1587" t="str">
        <f>VLOOKUP(D1587,name!A:C,3,1)</f>
        <v>assets/icons/image014.png</v>
      </c>
      <c r="I1587" t="s">
        <v>402</v>
      </c>
    </row>
    <row r="1588" spans="1:9" x14ac:dyDescent="0.15">
      <c r="A1588" t="str">
        <f t="shared" ref="A1588:B1588" si="1314">A1587</f>
        <v>英語</v>
      </c>
      <c r="B1588">
        <f t="shared" si="1314"/>
        <v>15</v>
      </c>
      <c r="C1588">
        <f t="shared" si="1273"/>
        <v>61</v>
      </c>
      <c r="D1588">
        <f>D1531</f>
        <v>29</v>
      </c>
      <c r="E1588" t="str">
        <f>VLOOKUP(D1588,name!A:B,2,1)</f>
        <v>Eri</v>
      </c>
      <c r="F1588" t="str">
        <f t="shared" ref="F1588:F1609" si="1315">F1531</f>
        <v>私たちが来る前に、すべてのチケットをオンラインで予約しておいてくれてよかったです。</v>
      </c>
      <c r="G1588" t="str">
        <f t="shared" si="1292"/>
        <v>a</v>
      </c>
      <c r="H1588" t="str">
        <f>VLOOKUP(D1588,name!A:C,3,1)</f>
        <v>assets/icons/image209.png</v>
      </c>
      <c r="I1588" t="s">
        <v>402</v>
      </c>
    </row>
    <row r="1589" spans="1:9" x14ac:dyDescent="0.15">
      <c r="A1589" t="str">
        <f t="shared" ref="A1589:B1589" si="1316">A1588</f>
        <v>英語</v>
      </c>
      <c r="B1589">
        <f t="shared" si="1316"/>
        <v>15</v>
      </c>
      <c r="C1589">
        <f t="shared" si="1273"/>
        <v>62</v>
      </c>
      <c r="D1589">
        <v>0</v>
      </c>
      <c r="E1589" t="str">
        <f>VLOOKUP(D1589,name!A:B,2,1)</f>
        <v>Player</v>
      </c>
      <c r="F1589" t="str">
        <f t="shared" si="1315"/>
        <v>I'm glad you booked all our tickets online before we came.</v>
      </c>
      <c r="G1589" t="str">
        <f t="shared" si="1292"/>
        <v>q</v>
      </c>
      <c r="H1589" t="str">
        <f>VLOOKUP(D1589,name!A:C,3,1)</f>
        <v>assets/icons/image326.png</v>
      </c>
      <c r="I1589" t="str">
        <f>IF(A1589="","",VLOOKUP(A1589,lng!A:B,2,0))</f>
        <v>en-GB</v>
      </c>
    </row>
    <row r="1590" spans="1:9" x14ac:dyDescent="0.15">
      <c r="A1590" t="str">
        <f t="shared" ref="A1590:B1590" si="1317">A1589</f>
        <v>英語</v>
      </c>
      <c r="B1590">
        <f t="shared" si="1317"/>
        <v>15</v>
      </c>
      <c r="C1590">
        <f t="shared" si="1273"/>
        <v>63</v>
      </c>
      <c r="D1590">
        <f>D1533</f>
        <v>29</v>
      </c>
      <c r="E1590" t="str">
        <f>VLOOKUP(D1590,name!A:B,2,1)</f>
        <v>Eri</v>
      </c>
      <c r="F1590" t="str">
        <f t="shared" si="1315"/>
        <v>特に昨夜のショーとディナーのために、あなたは私にたくさんのお金を節約してくれました。</v>
      </c>
      <c r="G1590" t="str">
        <f t="shared" si="1292"/>
        <v>a</v>
      </c>
      <c r="H1590" t="str">
        <f>VLOOKUP(D1590,name!A:C,3,1)</f>
        <v>assets/icons/image209.png</v>
      </c>
      <c r="I1590" t="s">
        <v>402</v>
      </c>
    </row>
    <row r="1591" spans="1:9" x14ac:dyDescent="0.15">
      <c r="A1591" t="str">
        <f t="shared" ref="A1591:B1591" si="1318">A1590</f>
        <v>英語</v>
      </c>
      <c r="B1591">
        <f t="shared" si="1318"/>
        <v>15</v>
      </c>
      <c r="C1591">
        <f t="shared" si="1273"/>
        <v>64</v>
      </c>
      <c r="D1591">
        <v>0</v>
      </c>
      <c r="E1591" t="str">
        <f>VLOOKUP(D1591,name!A:B,2,1)</f>
        <v>Player</v>
      </c>
      <c r="F1591" t="str">
        <f t="shared" si="1315"/>
        <v>You saved me a lot of money, especially for the show and dinner last night.</v>
      </c>
      <c r="G1591" t="str">
        <f t="shared" si="1292"/>
        <v>q</v>
      </c>
      <c r="H1591" t="str">
        <f>VLOOKUP(D1591,name!A:C,3,1)</f>
        <v>assets/icons/image326.png</v>
      </c>
      <c r="I1591" t="str">
        <f>IF(A1591="","",VLOOKUP(A1591,lng!A:B,2,0))</f>
        <v>en-GB</v>
      </c>
    </row>
    <row r="1592" spans="1:9" x14ac:dyDescent="0.15">
      <c r="A1592" t="str">
        <f t="shared" ref="A1592:B1592" si="1319">A1591</f>
        <v>英語</v>
      </c>
      <c r="B1592">
        <f t="shared" si="1319"/>
        <v>15</v>
      </c>
      <c r="C1592">
        <f t="shared" si="1273"/>
        <v>65</v>
      </c>
      <c r="D1592">
        <f>D1535</f>
        <v>33</v>
      </c>
      <c r="E1592" t="str">
        <f>VLOOKUP(D1592,name!A:B,2,1)</f>
        <v>Simon</v>
      </c>
      <c r="F1592" t="str">
        <f t="shared" si="1315"/>
        <v>幸運にもオペラ座の怪人のチケットを事前に予約して手に入れることができました。</v>
      </c>
      <c r="G1592" t="str">
        <f t="shared" si="1292"/>
        <v>a</v>
      </c>
      <c r="H1592" t="str">
        <f>VLOOKUP(D1592,name!A:C,3,1)</f>
        <v>assets/icons/image250.png</v>
      </c>
      <c r="I1592" t="s">
        <v>402</v>
      </c>
    </row>
    <row r="1593" spans="1:9" x14ac:dyDescent="0.15">
      <c r="A1593" t="str">
        <f t="shared" ref="A1593:B1593" si="1320">A1592</f>
        <v>英語</v>
      </c>
      <c r="B1593">
        <f t="shared" si="1320"/>
        <v>15</v>
      </c>
      <c r="C1593">
        <f t="shared" si="1273"/>
        <v>66</v>
      </c>
      <c r="D1593">
        <v>0</v>
      </c>
      <c r="E1593" t="str">
        <f>VLOOKUP(D1593,name!A:B,2,1)</f>
        <v>Player</v>
      </c>
      <c r="F1593" t="str">
        <f t="shared" si="1315"/>
        <v>We were lucky to get tickets for the Phantom of the Opera, even booking in advance.</v>
      </c>
      <c r="G1593" t="str">
        <f t="shared" si="1292"/>
        <v>q</v>
      </c>
      <c r="H1593" t="str">
        <f>VLOOKUP(D1593,name!A:C,3,1)</f>
        <v>assets/icons/image326.png</v>
      </c>
      <c r="I1593" t="str">
        <f>IF(A1593="","",VLOOKUP(A1593,lng!A:B,2,0))</f>
        <v>en-GB</v>
      </c>
    </row>
    <row r="1594" spans="1:9" x14ac:dyDescent="0.15">
      <c r="A1594" t="str">
        <f t="shared" ref="A1594:B1594" si="1321">A1593</f>
        <v>英語</v>
      </c>
      <c r="B1594">
        <f t="shared" si="1321"/>
        <v>15</v>
      </c>
      <c r="C1594">
        <f t="shared" ref="C1594:C1610" si="1322">C1593+1</f>
        <v>67</v>
      </c>
      <c r="D1594">
        <f>D1537</f>
        <v>33</v>
      </c>
      <c r="E1594" t="str">
        <f>VLOOKUP(D1594,name!A:B,2,1)</f>
        <v>Simon</v>
      </c>
      <c r="F1594" t="str">
        <f t="shared" si="1315"/>
        <v>そしてあなたはセルフリッジで素敵なドレスを買いました。</v>
      </c>
      <c r="G1594" t="str">
        <f t="shared" si="1292"/>
        <v>a</v>
      </c>
      <c r="H1594" t="str">
        <f>VLOOKUP(D1594,name!A:C,3,1)</f>
        <v>assets/icons/image250.png</v>
      </c>
      <c r="I1594" t="s">
        <v>402</v>
      </c>
    </row>
    <row r="1595" spans="1:9" x14ac:dyDescent="0.15">
      <c r="A1595" t="str">
        <f t="shared" ref="A1595:B1595" si="1323">A1594</f>
        <v>英語</v>
      </c>
      <c r="B1595">
        <f t="shared" si="1323"/>
        <v>15</v>
      </c>
      <c r="C1595">
        <f t="shared" si="1322"/>
        <v>68</v>
      </c>
      <c r="D1595">
        <v>0</v>
      </c>
      <c r="E1595" t="str">
        <f>VLOOKUP(D1595,name!A:B,2,1)</f>
        <v>Player</v>
      </c>
      <c r="F1595" t="str">
        <f t="shared" si="1315"/>
        <v>And you bought that lovely dress in Selfridges.</v>
      </c>
      <c r="G1595" t="str">
        <f t="shared" si="1292"/>
        <v>q</v>
      </c>
      <c r="H1595" t="str">
        <f>VLOOKUP(D1595,name!A:C,3,1)</f>
        <v>assets/icons/image326.png</v>
      </c>
      <c r="I1595" t="str">
        <f>IF(A1595="","",VLOOKUP(A1595,lng!A:B,2,0))</f>
        <v>en-GB</v>
      </c>
    </row>
    <row r="1596" spans="1:9" x14ac:dyDescent="0.15">
      <c r="A1596" t="str">
        <f t="shared" ref="A1596:B1596" si="1324">A1595</f>
        <v>英語</v>
      </c>
      <c r="B1596">
        <f t="shared" si="1324"/>
        <v>15</v>
      </c>
      <c r="C1596">
        <f t="shared" si="1322"/>
        <v>69</v>
      </c>
      <c r="D1596">
        <f>D1539</f>
        <v>33</v>
      </c>
      <c r="E1596" t="str">
        <f>VLOOKUP(D1596,name!A:B,2,1)</f>
        <v>Simon</v>
      </c>
      <c r="F1596" t="str">
        <f t="shared" si="1315"/>
        <v>さて、ここはリバティ。</v>
      </c>
      <c r="G1596" t="str">
        <f t="shared" si="1292"/>
        <v>a</v>
      </c>
      <c r="H1596" t="str">
        <f>VLOOKUP(D1596,name!A:C,3,1)</f>
        <v>assets/icons/image250.png</v>
      </c>
      <c r="I1596" t="s">
        <v>402</v>
      </c>
    </row>
    <row r="1597" spans="1:9" x14ac:dyDescent="0.15">
      <c r="A1597" t="str">
        <f t="shared" ref="A1597:B1597" si="1325">A1596</f>
        <v>英語</v>
      </c>
      <c r="B1597">
        <f t="shared" si="1325"/>
        <v>15</v>
      </c>
      <c r="C1597">
        <f t="shared" si="1322"/>
        <v>70</v>
      </c>
      <c r="D1597">
        <v>0</v>
      </c>
      <c r="E1597" t="str">
        <f>VLOOKUP(D1597,name!A:B,2,1)</f>
        <v>Player</v>
      </c>
      <c r="F1597" t="str">
        <f t="shared" si="1315"/>
        <v>Well, here's Liberty's.</v>
      </c>
      <c r="G1597" t="str">
        <f t="shared" si="1292"/>
        <v>q</v>
      </c>
      <c r="H1597" t="str">
        <f>VLOOKUP(D1597,name!A:C,3,1)</f>
        <v>assets/icons/image326.png</v>
      </c>
      <c r="I1597" t="str">
        <f>IF(A1597="","",VLOOKUP(A1597,lng!A:B,2,0))</f>
        <v>en-GB</v>
      </c>
    </row>
    <row r="1598" spans="1:9" x14ac:dyDescent="0.15">
      <c r="A1598" t="str">
        <f t="shared" ref="A1598:B1598" si="1326">A1597</f>
        <v>英語</v>
      </c>
      <c r="B1598">
        <f t="shared" si="1326"/>
        <v>15</v>
      </c>
      <c r="C1598">
        <f t="shared" si="1322"/>
        <v>71</v>
      </c>
      <c r="D1598">
        <f>D1541</f>
        <v>29</v>
      </c>
      <c r="E1598" t="str">
        <f>VLOOKUP(D1598,name!A:B,2,1)</f>
        <v>Eri</v>
      </c>
      <c r="F1598" t="str">
        <f t="shared" si="1315"/>
        <v>ちょっと圧倒されそうです。</v>
      </c>
      <c r="G1598" t="str">
        <f t="shared" si="1292"/>
        <v>a</v>
      </c>
      <c r="H1598" t="str">
        <f>VLOOKUP(D1598,name!A:C,3,1)</f>
        <v>assets/icons/image209.png</v>
      </c>
      <c r="I1598" t="s">
        <v>402</v>
      </c>
    </row>
    <row r="1599" spans="1:9" x14ac:dyDescent="0.15">
      <c r="A1599" t="str">
        <f t="shared" ref="A1599:B1599" si="1327">A1598</f>
        <v>英語</v>
      </c>
      <c r="B1599">
        <f t="shared" si="1327"/>
        <v>15</v>
      </c>
      <c r="C1599">
        <f t="shared" si="1322"/>
        <v>72</v>
      </c>
      <c r="D1599">
        <v>0</v>
      </c>
      <c r="E1599" t="str">
        <f>VLOOKUP(D1599,name!A:B,2,1)</f>
        <v>Player</v>
      </c>
      <c r="F1599" t="str">
        <f t="shared" si="1315"/>
        <v>It looks a bit overwhelming.</v>
      </c>
      <c r="G1599" t="str">
        <f t="shared" si="1292"/>
        <v>q</v>
      </c>
      <c r="H1599" t="str">
        <f>VLOOKUP(D1599,name!A:C,3,1)</f>
        <v>assets/icons/image326.png</v>
      </c>
      <c r="I1599" t="str">
        <f>IF(A1599="","",VLOOKUP(A1599,lng!A:B,2,0))</f>
        <v>en-GB</v>
      </c>
    </row>
    <row r="1600" spans="1:9" x14ac:dyDescent="0.15">
      <c r="A1600" t="str">
        <f t="shared" ref="A1600:B1600" si="1328">A1599</f>
        <v>英語</v>
      </c>
      <c r="B1600">
        <f t="shared" si="1328"/>
        <v>15</v>
      </c>
      <c r="C1600">
        <f t="shared" si="1322"/>
        <v>73</v>
      </c>
      <c r="D1600">
        <f>D1543</f>
        <v>29</v>
      </c>
      <c r="E1600" t="str">
        <f>VLOOKUP(D1600,name!A:B,2,1)</f>
        <v>Eri</v>
      </c>
      <c r="F1600" t="str">
        <f t="shared" si="1315"/>
        <v>本当にそこに行くの？</v>
      </c>
      <c r="G1600" t="str">
        <f t="shared" si="1292"/>
        <v>a</v>
      </c>
      <c r="H1600" t="str">
        <f>VLOOKUP(D1600,name!A:C,3,1)</f>
        <v>assets/icons/image209.png</v>
      </c>
      <c r="I1600" t="s">
        <v>402</v>
      </c>
    </row>
    <row r="1601" spans="1:9" x14ac:dyDescent="0.15">
      <c r="A1601" t="str">
        <f t="shared" ref="A1601:B1601" si="1329">A1600</f>
        <v>英語</v>
      </c>
      <c r="B1601">
        <f t="shared" si="1329"/>
        <v>15</v>
      </c>
      <c r="C1601">
        <f t="shared" si="1322"/>
        <v>74</v>
      </c>
      <c r="D1601">
        <v>0</v>
      </c>
      <c r="E1601" t="str">
        <f>VLOOKUP(D1601,name!A:B,2,1)</f>
        <v>Player</v>
      </c>
      <c r="F1601" t="str">
        <f t="shared" si="1315"/>
        <v>Are we really going in there?</v>
      </c>
      <c r="G1601" t="str">
        <f t="shared" si="1292"/>
        <v>q</v>
      </c>
      <c r="H1601" t="str">
        <f>VLOOKUP(D1601,name!A:C,3,1)</f>
        <v>assets/icons/image326.png</v>
      </c>
      <c r="I1601" t="str">
        <f>IF(A1601="","",VLOOKUP(A1601,lng!A:B,2,0))</f>
        <v>en-GB</v>
      </c>
    </row>
    <row r="1602" spans="1:9" x14ac:dyDescent="0.15">
      <c r="A1602" t="str">
        <f t="shared" ref="A1602:B1602" si="1330">A1601</f>
        <v>英語</v>
      </c>
      <c r="B1602">
        <f t="shared" si="1330"/>
        <v>15</v>
      </c>
      <c r="C1602">
        <f t="shared" si="1322"/>
        <v>75</v>
      </c>
      <c r="D1602">
        <f>D1545</f>
        <v>33</v>
      </c>
      <c r="E1602" t="str">
        <f>VLOOKUP(D1602,name!A:B,2,1)</f>
        <v>Simon</v>
      </c>
      <c r="F1602" t="str">
        <f t="shared" si="1315"/>
        <v>もちろんです！</v>
      </c>
      <c r="G1602" t="str">
        <f t="shared" si="1292"/>
        <v>a</v>
      </c>
      <c r="H1602" t="str">
        <f>VLOOKUP(D1602,name!A:C,3,1)</f>
        <v>assets/icons/image250.png</v>
      </c>
      <c r="I1602" t="s">
        <v>402</v>
      </c>
    </row>
    <row r="1603" spans="1:9" x14ac:dyDescent="0.15">
      <c r="A1603" t="str">
        <f t="shared" ref="A1603:B1603" si="1331">A1602</f>
        <v>英語</v>
      </c>
      <c r="B1603">
        <f t="shared" si="1331"/>
        <v>15</v>
      </c>
      <c r="C1603">
        <f t="shared" si="1322"/>
        <v>76</v>
      </c>
      <c r="D1603">
        <v>0</v>
      </c>
      <c r="E1603" t="str">
        <f>VLOOKUP(D1603,name!A:B,2,1)</f>
        <v>Player</v>
      </c>
      <c r="F1603" t="str">
        <f t="shared" si="1315"/>
        <v>Of course we are!</v>
      </c>
      <c r="G1603" t="str">
        <f t="shared" si="1292"/>
        <v>q</v>
      </c>
      <c r="H1603" t="str">
        <f>VLOOKUP(D1603,name!A:C,3,1)</f>
        <v>assets/icons/image326.png</v>
      </c>
      <c r="I1603" t="str">
        <f>IF(A1603="","",VLOOKUP(A1603,lng!A:B,2,0))</f>
        <v>en-GB</v>
      </c>
    </row>
    <row r="1604" spans="1:9" x14ac:dyDescent="0.15">
      <c r="A1604" t="str">
        <f t="shared" ref="A1604:B1604" si="1332">A1603</f>
        <v>英語</v>
      </c>
      <c r="B1604">
        <f t="shared" si="1332"/>
        <v>15</v>
      </c>
      <c r="C1604">
        <f t="shared" si="1322"/>
        <v>77</v>
      </c>
      <c r="D1604">
        <f>D1547</f>
        <v>33</v>
      </c>
      <c r="E1604" t="str">
        <f>VLOOKUP(D1604,name!A:B,2,1)</f>
        <v>Simon</v>
      </c>
      <c r="F1604" t="str">
        <f t="shared" si="1315"/>
        <v>ウエスト エンドに来て、リバティーズに行かないわけにはいきません。</v>
      </c>
      <c r="G1604" t="str">
        <f t="shared" si="1292"/>
        <v>a</v>
      </c>
      <c r="H1604" t="str">
        <f>VLOOKUP(D1604,name!A:C,3,1)</f>
        <v>assets/icons/image250.png</v>
      </c>
      <c r="I1604" t="s">
        <v>402</v>
      </c>
    </row>
    <row r="1605" spans="1:9" x14ac:dyDescent="0.15">
      <c r="A1605" t="str">
        <f t="shared" ref="A1605:B1605" si="1333">A1604</f>
        <v>英語</v>
      </c>
      <c r="B1605">
        <f t="shared" si="1333"/>
        <v>15</v>
      </c>
      <c r="C1605">
        <f t="shared" si="1322"/>
        <v>78</v>
      </c>
      <c r="D1605">
        <v>0</v>
      </c>
      <c r="E1605" t="str">
        <f>VLOOKUP(D1605,name!A:B,2,1)</f>
        <v>Player</v>
      </c>
      <c r="F1605" t="str">
        <f t="shared" si="1315"/>
        <v>You can't come to the West End and not visit Liberty's!</v>
      </c>
      <c r="G1605" t="str">
        <f t="shared" si="1292"/>
        <v>q</v>
      </c>
      <c r="H1605" t="str">
        <f>VLOOKUP(D1605,name!A:C,3,1)</f>
        <v>assets/icons/image326.png</v>
      </c>
      <c r="I1605" t="str">
        <f>IF(A1605="","",VLOOKUP(A1605,lng!A:B,2,0))</f>
        <v>en-GB</v>
      </c>
    </row>
    <row r="1606" spans="1:9" x14ac:dyDescent="0.15">
      <c r="A1606" t="str">
        <f t="shared" ref="A1606:B1606" si="1334">A1605</f>
        <v>英語</v>
      </c>
      <c r="B1606">
        <f t="shared" si="1334"/>
        <v>15</v>
      </c>
      <c r="C1606">
        <f t="shared" si="1322"/>
        <v>79</v>
      </c>
      <c r="D1606">
        <f>D1549</f>
        <v>29</v>
      </c>
      <c r="E1606" t="str">
        <f>VLOOKUP(D1606,name!A:B,2,1)</f>
        <v>Eri</v>
      </c>
      <c r="F1606" t="str">
        <f t="shared" si="1315"/>
        <v>ここで母にきれいなブラウスか何かを買わなければ。</v>
      </c>
      <c r="G1606" t="str">
        <f t="shared" si="1292"/>
        <v>a</v>
      </c>
      <c r="H1606" t="str">
        <f>VLOOKUP(D1606,name!A:C,3,1)</f>
        <v>assets/icons/image209.png</v>
      </c>
      <c r="I1606" t="s">
        <v>402</v>
      </c>
    </row>
    <row r="1607" spans="1:9" x14ac:dyDescent="0.15">
      <c r="A1607" t="str">
        <f t="shared" ref="A1607:B1607" si="1335">A1606</f>
        <v>英語</v>
      </c>
      <c r="B1607">
        <f t="shared" si="1335"/>
        <v>15</v>
      </c>
      <c r="C1607">
        <f t="shared" si="1322"/>
        <v>80</v>
      </c>
      <c r="D1607">
        <v>0</v>
      </c>
      <c r="E1607" t="str">
        <f>VLOOKUP(D1607,name!A:B,2,1)</f>
        <v>Player</v>
      </c>
      <c r="F1607" t="str">
        <f t="shared" si="1315"/>
        <v>I must buy my mother a pretty blouse or something here.</v>
      </c>
      <c r="G1607" t="str">
        <f t="shared" si="1292"/>
        <v>q</v>
      </c>
      <c r="H1607" t="str">
        <f>VLOOKUP(D1607,name!A:C,3,1)</f>
        <v>assets/icons/image326.png</v>
      </c>
      <c r="I1607" t="str">
        <f>IF(A1607="","",VLOOKUP(A1607,lng!A:B,2,0))</f>
        <v>en-GB</v>
      </c>
    </row>
    <row r="1608" spans="1:9" x14ac:dyDescent="0.15">
      <c r="A1608" t="str">
        <f t="shared" ref="A1608:B1608" si="1336">A1607</f>
        <v>英語</v>
      </c>
      <c r="B1608">
        <f t="shared" si="1336"/>
        <v>15</v>
      </c>
      <c r="C1608">
        <f t="shared" si="1322"/>
        <v>81</v>
      </c>
      <c r="D1608">
        <f>D1551</f>
        <v>33</v>
      </c>
      <c r="E1608" t="str">
        <f>VLOOKUP(D1608,name!A:B,2,1)</f>
        <v>Simon</v>
      </c>
      <c r="F1608" t="str">
        <f t="shared" si="1315"/>
        <v>そしてハロッズのナイツブリッジもお忘れなく。</v>
      </c>
      <c r="G1608" t="str">
        <f t="shared" si="1292"/>
        <v>a</v>
      </c>
      <c r="H1608" t="str">
        <f>VLOOKUP(D1608,name!A:C,3,1)</f>
        <v>assets/icons/image250.png</v>
      </c>
      <c r="I1608" t="s">
        <v>402</v>
      </c>
    </row>
    <row r="1609" spans="1:9" x14ac:dyDescent="0.15">
      <c r="A1609" t="str">
        <f t="shared" ref="A1609:B1609" si="1337">A1608</f>
        <v>英語</v>
      </c>
      <c r="B1609">
        <f t="shared" si="1337"/>
        <v>15</v>
      </c>
      <c r="C1609">
        <f t="shared" si="1322"/>
        <v>82</v>
      </c>
      <c r="D1609">
        <v>0</v>
      </c>
      <c r="E1609" t="str">
        <f>VLOOKUP(D1609,name!A:B,2,1)</f>
        <v>Player</v>
      </c>
      <c r="F1609" t="str">
        <f t="shared" si="1315"/>
        <v>And then Knightsbridge for Harrods, don't forget.</v>
      </c>
      <c r="G1609" t="str">
        <f t="shared" si="1292"/>
        <v>q</v>
      </c>
      <c r="H1609" t="str">
        <f>VLOOKUP(D1609,name!A:C,3,1)</f>
        <v>assets/icons/image326.png</v>
      </c>
      <c r="I1609" t="str">
        <f>IF(A1609="","",VLOOKUP(A1609,lng!A:B,2,0))</f>
        <v>en-GB</v>
      </c>
    </row>
    <row r="1610" spans="1:9" x14ac:dyDescent="0.15">
      <c r="A1610" t="str">
        <f t="shared" ref="A1610:B1610" si="1338">A1609</f>
        <v>英語</v>
      </c>
      <c r="B1610">
        <f t="shared" si="1338"/>
        <v>15</v>
      </c>
      <c r="C1610">
        <f t="shared" si="1322"/>
        <v>83</v>
      </c>
      <c r="D1610">
        <v>1</v>
      </c>
      <c r="E1610" t="str">
        <f>VLOOKUP(D1610,name!A:B,2,1)</f>
        <v>Navigator</v>
      </c>
      <c r="F1610" t="str">
        <f>"とても良くできました。レッスン"&amp;B1610&amp;"はこれで終了です。"</f>
        <v>とても良くできました。レッスン15はこれで終了です。</v>
      </c>
      <c r="G1610" t="str">
        <f t="shared" si="1292"/>
        <v>e</v>
      </c>
      <c r="H1610" t="str">
        <f>VLOOKUP(D1610,name!A:C,3,1)</f>
        <v>assets/icons/image014.png</v>
      </c>
      <c r="I1610" t="s">
        <v>402</v>
      </c>
    </row>
    <row r="1611" spans="1:9" x14ac:dyDescent="0.15">
      <c r="A1611" t="str">
        <f>A1610</f>
        <v>英語</v>
      </c>
      <c r="B1611">
        <f>B1610+1</f>
        <v>16</v>
      </c>
      <c r="C1611">
        <v>1</v>
      </c>
      <c r="D1611">
        <v>1</v>
      </c>
      <c r="E1611" t="str">
        <f>VLOOKUP(D1611,name!A:B,2,1)</f>
        <v>Navigator</v>
      </c>
      <c r="F1611" t="s">
        <v>899</v>
      </c>
      <c r="G1611" t="str">
        <f t="shared" si="1292"/>
        <v>a</v>
      </c>
      <c r="H1611" t="str">
        <f>VLOOKUP(D1611,name!A:C,3,1)</f>
        <v>assets/icons/image014.png</v>
      </c>
      <c r="I1611" t="str">
        <f>IF(A1611="","",VLOOKUP(A1611,lng!A:B,2,0))</f>
        <v>en-GB</v>
      </c>
    </row>
    <row r="1612" spans="1:9" x14ac:dyDescent="0.15">
      <c r="A1612" t="str">
        <f t="shared" ref="A1612:B1619" si="1339">A1611</f>
        <v>英語</v>
      </c>
      <c r="B1612">
        <f>B1611</f>
        <v>16</v>
      </c>
      <c r="C1612">
        <f>C1611+1</f>
        <v>2</v>
      </c>
      <c r="D1612">
        <v>1</v>
      </c>
      <c r="E1612" t="str">
        <f>VLOOKUP(D1612,name!A:B,2,1)</f>
        <v>Navigator</v>
      </c>
      <c r="F1612" t="str">
        <f>"レッスン"&amp;B1612</f>
        <v>レッスン16</v>
      </c>
      <c r="G1612" t="str">
        <f t="shared" si="1292"/>
        <v>a</v>
      </c>
      <c r="H1612" t="str">
        <f>VLOOKUP(D1612,name!A:C,3,1)</f>
        <v>assets/icons/image014.png</v>
      </c>
      <c r="I1612" t="s">
        <v>402</v>
      </c>
    </row>
    <row r="1613" spans="1:9" ht="40.5" x14ac:dyDescent="0.15">
      <c r="A1613" t="str">
        <f t="shared" si="1339"/>
        <v>英語</v>
      </c>
      <c r="B1613">
        <f t="shared" si="1339"/>
        <v>16</v>
      </c>
      <c r="C1613">
        <f t="shared" ref="C1613:C1676" si="1340">C1612+1</f>
        <v>3</v>
      </c>
      <c r="D1613">
        <v>1</v>
      </c>
      <c r="E1613" t="str">
        <f>VLOOKUP(D1613,name!A:B,2,1)</f>
        <v>Navigator</v>
      </c>
      <c r="F1613" s="1" t="str">
        <f>"まずは対話文を流します。その後に、日本語と"&amp;A1613&amp;"を一文ずつ流すので"&amp;A1613&amp;"を真似して下さい。最後に日本語のみを流すので、"&amp;A1613&amp;"で答えてください。"</f>
        <v>まずは対話文を流します。その後に、日本語と英語を一文ずつ流すので英語を真似して下さい。最後に日本語のみを流すので、英語で答えてください。</v>
      </c>
      <c r="G1613" t="str">
        <f t="shared" si="1292"/>
        <v>a</v>
      </c>
      <c r="H1613" t="str">
        <f>VLOOKUP(D1613,name!A:C,3,1)</f>
        <v>assets/icons/image014.png</v>
      </c>
      <c r="I1613" t="s">
        <v>402</v>
      </c>
    </row>
    <row r="1614" spans="1:9" x14ac:dyDescent="0.15">
      <c r="A1614" t="str">
        <f t="shared" si="1339"/>
        <v>英語</v>
      </c>
      <c r="B1614">
        <f t="shared" si="1339"/>
        <v>16</v>
      </c>
      <c r="C1614">
        <f t="shared" si="1340"/>
        <v>4</v>
      </c>
      <c r="D1614">
        <f>D1615</f>
        <v>32</v>
      </c>
      <c r="E1614" t="str">
        <f>VLOOKUP(D1614,name!A:B,2,1)</f>
        <v>Asha</v>
      </c>
      <c r="F1614" t="s">
        <v>910</v>
      </c>
      <c r="G1614" t="str">
        <f t="shared" si="1292"/>
        <v>a</v>
      </c>
      <c r="H1614" t="str">
        <f>VLOOKUP(D1614,name!A:C,3,1)</f>
        <v>assets/icons/image235.png</v>
      </c>
      <c r="I1614" t="s">
        <v>402</v>
      </c>
    </row>
    <row r="1615" spans="1:9" x14ac:dyDescent="0.15">
      <c r="A1615" t="str">
        <f t="shared" si="1339"/>
        <v>英語</v>
      </c>
      <c r="B1615">
        <f t="shared" si="1339"/>
        <v>16</v>
      </c>
      <c r="C1615">
        <f t="shared" si="1340"/>
        <v>5</v>
      </c>
      <c r="D1615">
        <f t="shared" ref="D1615:D1634" si="1341">D1616</f>
        <v>32</v>
      </c>
      <c r="E1615" t="str">
        <f>VLOOKUP(D1615,name!A:B,2,1)</f>
        <v>Asha</v>
      </c>
      <c r="F1615" t="s">
        <v>900</v>
      </c>
      <c r="G1615" t="str">
        <f t="shared" si="1292"/>
        <v>a</v>
      </c>
      <c r="H1615" t="str">
        <f>VLOOKUP(D1615,name!A:C,3,1)</f>
        <v>assets/icons/image235.png</v>
      </c>
      <c r="I1615" t="str">
        <f>IF(A1615="","",VLOOKUP(A1615,lng!A:B,2,0))</f>
        <v>en-GB</v>
      </c>
    </row>
    <row r="1616" spans="1:9" x14ac:dyDescent="0.15">
      <c r="A1616" t="str">
        <f t="shared" si="1339"/>
        <v>英語</v>
      </c>
      <c r="B1616">
        <f t="shared" si="1339"/>
        <v>16</v>
      </c>
      <c r="C1616">
        <f t="shared" si="1340"/>
        <v>6</v>
      </c>
      <c r="D1616">
        <f t="shared" si="1341"/>
        <v>32</v>
      </c>
      <c r="E1616" t="str">
        <f>VLOOKUP(D1616,name!A:B,2,1)</f>
        <v>Asha</v>
      </c>
      <c r="F1616" t="s">
        <v>911</v>
      </c>
      <c r="G1616" t="str">
        <f t="shared" si="1292"/>
        <v>a</v>
      </c>
      <c r="H1616" t="str">
        <f>VLOOKUP(D1616,name!A:C,3,1)</f>
        <v>assets/icons/image235.png</v>
      </c>
      <c r="I1616" t="s">
        <v>402</v>
      </c>
    </row>
    <row r="1617" spans="1:9" x14ac:dyDescent="0.15">
      <c r="A1617" t="str">
        <f t="shared" si="1339"/>
        <v>英語</v>
      </c>
      <c r="B1617">
        <f t="shared" si="1339"/>
        <v>16</v>
      </c>
      <c r="C1617">
        <f t="shared" si="1340"/>
        <v>7</v>
      </c>
      <c r="D1617">
        <v>32</v>
      </c>
      <c r="E1617" t="str">
        <f>VLOOKUP(D1617,name!A:B,2,1)</f>
        <v>Asha</v>
      </c>
      <c r="F1617" t="s">
        <v>901</v>
      </c>
      <c r="G1617" t="str">
        <f t="shared" si="1292"/>
        <v>a</v>
      </c>
      <c r="H1617" t="str">
        <f>VLOOKUP(D1617,name!A:C,3,1)</f>
        <v>assets/icons/image235.png</v>
      </c>
      <c r="I1617" t="str">
        <f>IF(A1617="","",VLOOKUP(A1617,lng!A:B,2,0))</f>
        <v>en-GB</v>
      </c>
    </row>
    <row r="1618" spans="1:9" x14ac:dyDescent="0.15">
      <c r="A1618" t="str">
        <f t="shared" si="1339"/>
        <v>英語</v>
      </c>
      <c r="B1618">
        <f t="shared" si="1339"/>
        <v>16</v>
      </c>
      <c r="C1618">
        <f t="shared" si="1340"/>
        <v>8</v>
      </c>
      <c r="D1618">
        <f t="shared" si="1341"/>
        <v>29</v>
      </c>
      <c r="E1618" t="str">
        <f>VLOOKUP(D1618,name!A:B,2,1)</f>
        <v>Eri</v>
      </c>
      <c r="F1618" t="s">
        <v>824</v>
      </c>
      <c r="G1618" t="str">
        <f t="shared" si="1292"/>
        <v>a</v>
      </c>
      <c r="H1618" t="str">
        <f>VLOOKUP(D1618,name!A:C,3,1)</f>
        <v>assets/icons/image209.png</v>
      </c>
      <c r="I1618" t="s">
        <v>402</v>
      </c>
    </row>
    <row r="1619" spans="1:9" x14ac:dyDescent="0.15">
      <c r="A1619" t="str">
        <f t="shared" si="1339"/>
        <v>英語</v>
      </c>
      <c r="B1619">
        <f t="shared" si="1339"/>
        <v>16</v>
      </c>
      <c r="C1619">
        <f t="shared" si="1340"/>
        <v>9</v>
      </c>
      <c r="D1619">
        <f t="shared" si="1341"/>
        <v>29</v>
      </c>
      <c r="E1619" t="str">
        <f>VLOOKUP(D1619,name!A:B,2,1)</f>
        <v>Eri</v>
      </c>
      <c r="F1619" t="s">
        <v>516</v>
      </c>
      <c r="G1619" t="str">
        <f t="shared" si="1292"/>
        <v>a</v>
      </c>
      <c r="H1619" t="str">
        <f>VLOOKUP(D1619,name!A:C,3,1)</f>
        <v>assets/icons/image209.png</v>
      </c>
      <c r="I1619" t="str">
        <f>IF(A1619="","",VLOOKUP(A1619,lng!A:B,2,0))</f>
        <v>en-GB</v>
      </c>
    </row>
    <row r="1620" spans="1:9" x14ac:dyDescent="0.15">
      <c r="A1620" t="str">
        <f t="shared" ref="A1620:B1620" si="1342">A1619</f>
        <v>英語</v>
      </c>
      <c r="B1620">
        <f t="shared" si="1342"/>
        <v>16</v>
      </c>
      <c r="C1620">
        <f t="shared" si="1340"/>
        <v>10</v>
      </c>
      <c r="D1620">
        <f t="shared" si="1341"/>
        <v>29</v>
      </c>
      <c r="E1620" t="str">
        <f>VLOOKUP(D1620,name!A:B,2,1)</f>
        <v>Eri</v>
      </c>
      <c r="F1620" t="s">
        <v>912</v>
      </c>
      <c r="G1620" t="str">
        <f t="shared" si="1292"/>
        <v>a</v>
      </c>
      <c r="H1620" t="str">
        <f>VLOOKUP(D1620,name!A:C,3,1)</f>
        <v>assets/icons/image209.png</v>
      </c>
      <c r="I1620" t="s">
        <v>402</v>
      </c>
    </row>
    <row r="1621" spans="1:9" x14ac:dyDescent="0.15">
      <c r="A1621" t="str">
        <f t="shared" ref="A1621:B1621" si="1343">A1620</f>
        <v>英語</v>
      </c>
      <c r="B1621">
        <f t="shared" si="1343"/>
        <v>16</v>
      </c>
      <c r="C1621">
        <f t="shared" si="1340"/>
        <v>11</v>
      </c>
      <c r="D1621">
        <f t="shared" si="1341"/>
        <v>29</v>
      </c>
      <c r="E1621" t="str">
        <f>VLOOKUP(D1621,name!A:B,2,1)</f>
        <v>Eri</v>
      </c>
      <c r="F1621" t="s">
        <v>902</v>
      </c>
      <c r="G1621" t="str">
        <f t="shared" si="1292"/>
        <v>a</v>
      </c>
      <c r="H1621" t="str">
        <f>VLOOKUP(D1621,name!A:C,3,1)</f>
        <v>assets/icons/image209.png</v>
      </c>
      <c r="I1621" t="str">
        <f>IF(A1621="","",VLOOKUP(A1621,lng!A:B,2,0))</f>
        <v>en-GB</v>
      </c>
    </row>
    <row r="1622" spans="1:9" x14ac:dyDescent="0.15">
      <c r="A1622" t="str">
        <f t="shared" ref="A1622:B1622" si="1344">A1621</f>
        <v>英語</v>
      </c>
      <c r="B1622">
        <f t="shared" si="1344"/>
        <v>16</v>
      </c>
      <c r="C1622">
        <f t="shared" si="1340"/>
        <v>12</v>
      </c>
      <c r="D1622">
        <f t="shared" si="1341"/>
        <v>29</v>
      </c>
      <c r="E1622" t="str">
        <f>VLOOKUP(D1622,name!A:B,2,1)</f>
        <v>Eri</v>
      </c>
      <c r="F1622" t="s">
        <v>914</v>
      </c>
      <c r="G1622" t="str">
        <f t="shared" si="1292"/>
        <v>a</v>
      </c>
      <c r="H1622" t="str">
        <f>VLOOKUP(D1622,name!A:C,3,1)</f>
        <v>assets/icons/image209.png</v>
      </c>
      <c r="I1622" t="s">
        <v>402</v>
      </c>
    </row>
    <row r="1623" spans="1:9" x14ac:dyDescent="0.15">
      <c r="A1623" t="str">
        <f t="shared" ref="A1623:B1623" si="1345">A1622</f>
        <v>英語</v>
      </c>
      <c r="B1623">
        <f t="shared" si="1345"/>
        <v>16</v>
      </c>
      <c r="C1623">
        <f t="shared" si="1340"/>
        <v>13</v>
      </c>
      <c r="D1623">
        <f t="shared" si="1341"/>
        <v>29</v>
      </c>
      <c r="E1623" t="str">
        <f>VLOOKUP(D1623,name!A:B,2,1)</f>
        <v>Eri</v>
      </c>
      <c r="F1623" t="s">
        <v>903</v>
      </c>
      <c r="G1623" t="str">
        <f t="shared" si="1292"/>
        <v>a</v>
      </c>
      <c r="H1623" t="str">
        <f>VLOOKUP(D1623,name!A:C,3,1)</f>
        <v>assets/icons/image209.png</v>
      </c>
      <c r="I1623" t="str">
        <f>IF(A1623="","",VLOOKUP(A1623,lng!A:B,2,0))</f>
        <v>en-GB</v>
      </c>
    </row>
    <row r="1624" spans="1:9" x14ac:dyDescent="0.15">
      <c r="A1624" t="str">
        <f t="shared" ref="A1624:B1624" si="1346">A1623</f>
        <v>英語</v>
      </c>
      <c r="B1624">
        <f t="shared" si="1346"/>
        <v>16</v>
      </c>
      <c r="C1624">
        <f t="shared" si="1340"/>
        <v>14</v>
      </c>
      <c r="D1624">
        <f t="shared" si="1341"/>
        <v>29</v>
      </c>
      <c r="E1624" t="str">
        <f>VLOOKUP(D1624,name!A:B,2,1)</f>
        <v>Eri</v>
      </c>
      <c r="F1624" t="s">
        <v>913</v>
      </c>
      <c r="G1624" t="str">
        <f t="shared" si="1292"/>
        <v>a</v>
      </c>
      <c r="H1624" t="str">
        <f>VLOOKUP(D1624,name!A:C,3,1)</f>
        <v>assets/icons/image209.png</v>
      </c>
      <c r="I1624" t="s">
        <v>402</v>
      </c>
    </row>
    <row r="1625" spans="1:9" x14ac:dyDescent="0.15">
      <c r="A1625" t="str">
        <f t="shared" ref="A1625:B1625" si="1347">A1624</f>
        <v>英語</v>
      </c>
      <c r="B1625">
        <f t="shared" si="1347"/>
        <v>16</v>
      </c>
      <c r="C1625">
        <f t="shared" si="1340"/>
        <v>15</v>
      </c>
      <c r="D1625">
        <v>29</v>
      </c>
      <c r="E1625" t="str">
        <f>VLOOKUP(D1625,name!A:B,2,1)</f>
        <v>Eri</v>
      </c>
      <c r="F1625" t="s">
        <v>904</v>
      </c>
      <c r="G1625" t="str">
        <f t="shared" si="1292"/>
        <v>a</v>
      </c>
      <c r="H1625" t="str">
        <f>VLOOKUP(D1625,name!A:C,3,1)</f>
        <v>assets/icons/image209.png</v>
      </c>
      <c r="I1625" t="str">
        <f>IF(A1625="","",VLOOKUP(A1625,lng!A:B,2,0))</f>
        <v>en-GB</v>
      </c>
    </row>
    <row r="1626" spans="1:9" x14ac:dyDescent="0.15">
      <c r="A1626" t="str">
        <f t="shared" ref="A1626:B1626" si="1348">A1625</f>
        <v>英語</v>
      </c>
      <c r="B1626">
        <f t="shared" si="1348"/>
        <v>16</v>
      </c>
      <c r="C1626">
        <f t="shared" si="1340"/>
        <v>16</v>
      </c>
      <c r="D1626">
        <f t="shared" si="1341"/>
        <v>29</v>
      </c>
      <c r="E1626" t="str">
        <f>VLOOKUP(D1626,name!A:B,2,1)</f>
        <v>Eri</v>
      </c>
      <c r="F1626" t="s">
        <v>917</v>
      </c>
      <c r="G1626" t="str">
        <f t="shared" si="1292"/>
        <v>a</v>
      </c>
      <c r="H1626" t="str">
        <f>VLOOKUP(D1626,name!A:C,3,1)</f>
        <v>assets/icons/image209.png</v>
      </c>
      <c r="I1626" t="s">
        <v>402</v>
      </c>
    </row>
    <row r="1627" spans="1:9" x14ac:dyDescent="0.15">
      <c r="A1627" t="str">
        <f t="shared" ref="A1627:B1627" si="1349">A1626</f>
        <v>英語</v>
      </c>
      <c r="B1627">
        <f t="shared" si="1349"/>
        <v>16</v>
      </c>
      <c r="C1627">
        <f t="shared" si="1340"/>
        <v>17</v>
      </c>
      <c r="D1627">
        <v>29</v>
      </c>
      <c r="E1627" t="str">
        <f>VLOOKUP(D1627,name!A:B,2,1)</f>
        <v>Eri</v>
      </c>
      <c r="F1627" t="s">
        <v>905</v>
      </c>
      <c r="G1627" t="str">
        <f t="shared" si="1292"/>
        <v>a</v>
      </c>
      <c r="H1627" t="str">
        <f>VLOOKUP(D1627,name!A:C,3,1)</f>
        <v>assets/icons/image209.png</v>
      </c>
      <c r="I1627" t="str">
        <f>IF(A1627="","",VLOOKUP(A1627,lng!A:B,2,0))</f>
        <v>en-GB</v>
      </c>
    </row>
    <row r="1628" spans="1:9" x14ac:dyDescent="0.15">
      <c r="A1628" t="str">
        <f t="shared" ref="A1628:B1628" si="1350">A1627</f>
        <v>英語</v>
      </c>
      <c r="B1628">
        <f t="shared" si="1350"/>
        <v>16</v>
      </c>
      <c r="C1628">
        <f t="shared" si="1340"/>
        <v>18</v>
      </c>
      <c r="D1628">
        <f t="shared" si="1341"/>
        <v>32</v>
      </c>
      <c r="E1628" t="str">
        <f>VLOOKUP(D1628,name!A:B,2,1)</f>
        <v>Asha</v>
      </c>
      <c r="F1628" t="s">
        <v>915</v>
      </c>
      <c r="G1628" t="str">
        <f t="shared" si="1292"/>
        <v>a</v>
      </c>
      <c r="H1628" t="str">
        <f>VLOOKUP(D1628,name!A:C,3,1)</f>
        <v>assets/icons/image235.png</v>
      </c>
      <c r="I1628" t="s">
        <v>402</v>
      </c>
    </row>
    <row r="1629" spans="1:9" x14ac:dyDescent="0.15">
      <c r="A1629" t="str">
        <f t="shared" ref="A1629:B1629" si="1351">A1628</f>
        <v>英語</v>
      </c>
      <c r="B1629">
        <f t="shared" si="1351"/>
        <v>16</v>
      </c>
      <c r="C1629">
        <f t="shared" si="1340"/>
        <v>19</v>
      </c>
      <c r="D1629">
        <f t="shared" si="1341"/>
        <v>32</v>
      </c>
      <c r="E1629" t="str">
        <f>VLOOKUP(D1629,name!A:B,2,1)</f>
        <v>Asha</v>
      </c>
      <c r="F1629" t="s">
        <v>906</v>
      </c>
      <c r="G1629" t="str">
        <f t="shared" si="1292"/>
        <v>a</v>
      </c>
      <c r="H1629" t="str">
        <f>VLOOKUP(D1629,name!A:C,3,1)</f>
        <v>assets/icons/image235.png</v>
      </c>
      <c r="I1629" t="str">
        <f>IF(A1629="","",VLOOKUP(A1629,lng!A:B,2,0))</f>
        <v>en-GB</v>
      </c>
    </row>
    <row r="1630" spans="1:9" x14ac:dyDescent="0.15">
      <c r="A1630" t="str">
        <f t="shared" ref="A1630:B1630" si="1352">A1629</f>
        <v>英語</v>
      </c>
      <c r="B1630">
        <f t="shared" si="1352"/>
        <v>16</v>
      </c>
      <c r="C1630">
        <f t="shared" si="1340"/>
        <v>20</v>
      </c>
      <c r="D1630">
        <f t="shared" si="1341"/>
        <v>32</v>
      </c>
      <c r="E1630" t="str">
        <f>VLOOKUP(D1630,name!A:B,2,1)</f>
        <v>Asha</v>
      </c>
      <c r="F1630" t="s">
        <v>916</v>
      </c>
      <c r="G1630" t="str">
        <f t="shared" ref="G1630:G1693" si="1353">IF(B1630&lt;&gt;B1631,"e",IF(D1630=0,"q","a"))</f>
        <v>a</v>
      </c>
      <c r="H1630" t="str">
        <f>VLOOKUP(D1630,name!A:C,3,1)</f>
        <v>assets/icons/image235.png</v>
      </c>
      <c r="I1630" t="s">
        <v>402</v>
      </c>
    </row>
    <row r="1631" spans="1:9" x14ac:dyDescent="0.15">
      <c r="A1631" t="str">
        <f t="shared" ref="A1631:B1631" si="1354">A1630</f>
        <v>英語</v>
      </c>
      <c r="B1631">
        <f t="shared" si="1354"/>
        <v>16</v>
      </c>
      <c r="C1631">
        <f t="shared" si="1340"/>
        <v>21</v>
      </c>
      <c r="D1631">
        <f t="shared" si="1341"/>
        <v>32</v>
      </c>
      <c r="E1631" t="str">
        <f>VLOOKUP(D1631,name!A:B,2,1)</f>
        <v>Asha</v>
      </c>
      <c r="F1631" t="s">
        <v>907</v>
      </c>
      <c r="G1631" t="str">
        <f t="shared" si="1353"/>
        <v>a</v>
      </c>
      <c r="H1631" t="str">
        <f>VLOOKUP(D1631,name!A:C,3,1)</f>
        <v>assets/icons/image235.png</v>
      </c>
      <c r="I1631" t="str">
        <f>IF(A1631="","",VLOOKUP(A1631,lng!A:B,2,0))</f>
        <v>en-GB</v>
      </c>
    </row>
    <row r="1632" spans="1:9" x14ac:dyDescent="0.15">
      <c r="A1632" t="str">
        <f t="shared" ref="A1632:B1632" si="1355">A1631</f>
        <v>英語</v>
      </c>
      <c r="B1632">
        <f t="shared" si="1355"/>
        <v>16</v>
      </c>
      <c r="C1632">
        <f t="shared" si="1340"/>
        <v>22</v>
      </c>
      <c r="D1632">
        <f t="shared" si="1341"/>
        <v>32</v>
      </c>
      <c r="E1632" t="str">
        <f>VLOOKUP(D1632,name!A:B,2,1)</f>
        <v>Asha</v>
      </c>
      <c r="F1632" t="s">
        <v>918</v>
      </c>
      <c r="G1632" t="str">
        <f t="shared" si="1353"/>
        <v>a</v>
      </c>
      <c r="H1632" t="str">
        <f>VLOOKUP(D1632,name!A:C,3,1)</f>
        <v>assets/icons/image235.png</v>
      </c>
      <c r="I1632" t="s">
        <v>402</v>
      </c>
    </row>
    <row r="1633" spans="1:9" x14ac:dyDescent="0.15">
      <c r="A1633" t="str">
        <f t="shared" ref="A1633:B1633" si="1356">A1632</f>
        <v>英語</v>
      </c>
      <c r="B1633">
        <f t="shared" si="1356"/>
        <v>16</v>
      </c>
      <c r="C1633">
        <f t="shared" si="1340"/>
        <v>23</v>
      </c>
      <c r="D1633">
        <f t="shared" si="1341"/>
        <v>32</v>
      </c>
      <c r="E1633" t="str">
        <f>VLOOKUP(D1633,name!A:B,2,1)</f>
        <v>Asha</v>
      </c>
      <c r="F1633" t="s">
        <v>908</v>
      </c>
      <c r="G1633" t="str">
        <f t="shared" si="1353"/>
        <v>a</v>
      </c>
      <c r="H1633" t="str">
        <f>VLOOKUP(D1633,name!A:C,3,1)</f>
        <v>assets/icons/image235.png</v>
      </c>
      <c r="I1633" t="str">
        <f>IF(A1633="","",VLOOKUP(A1633,lng!A:B,2,0))</f>
        <v>en-GB</v>
      </c>
    </row>
    <row r="1634" spans="1:9" x14ac:dyDescent="0.15">
      <c r="A1634" t="str">
        <f t="shared" ref="A1634:B1634" si="1357">A1633</f>
        <v>英語</v>
      </c>
      <c r="B1634">
        <f t="shared" si="1357"/>
        <v>16</v>
      </c>
      <c r="C1634">
        <f t="shared" si="1340"/>
        <v>24</v>
      </c>
      <c r="D1634">
        <f t="shared" si="1341"/>
        <v>32</v>
      </c>
      <c r="E1634" t="str">
        <f>VLOOKUP(D1634,name!A:B,2,1)</f>
        <v>Asha</v>
      </c>
      <c r="F1634" t="s">
        <v>919</v>
      </c>
      <c r="G1634" t="str">
        <f t="shared" si="1353"/>
        <v>a</v>
      </c>
      <c r="H1634" t="str">
        <f>VLOOKUP(D1634,name!A:C,3,1)</f>
        <v>assets/icons/image235.png</v>
      </c>
      <c r="I1634" t="s">
        <v>402</v>
      </c>
    </row>
    <row r="1635" spans="1:9" x14ac:dyDescent="0.15">
      <c r="A1635" t="str">
        <f t="shared" ref="A1635:B1635" si="1358">A1634</f>
        <v>英語</v>
      </c>
      <c r="B1635">
        <f t="shared" si="1358"/>
        <v>16</v>
      </c>
      <c r="C1635">
        <f t="shared" si="1340"/>
        <v>25</v>
      </c>
      <c r="D1635">
        <v>32</v>
      </c>
      <c r="E1635" t="str">
        <f>VLOOKUP(D1635,name!A:B,2,1)</f>
        <v>Asha</v>
      </c>
      <c r="F1635" t="s">
        <v>909</v>
      </c>
      <c r="G1635" t="str">
        <f t="shared" si="1353"/>
        <v>a</v>
      </c>
      <c r="H1635" t="str">
        <f>VLOOKUP(D1635,name!A:C,3,1)</f>
        <v>assets/icons/image235.png</v>
      </c>
      <c r="I1635" t="str">
        <f>IF(A1635="","",VLOOKUP(A1635,lng!A:B,2,0))</f>
        <v>en-GB</v>
      </c>
    </row>
    <row r="1636" spans="1:9" x14ac:dyDescent="0.15">
      <c r="A1636" t="str">
        <f t="shared" ref="A1636:B1636" si="1359">A1635</f>
        <v>英語</v>
      </c>
      <c r="B1636">
        <f t="shared" si="1359"/>
        <v>16</v>
      </c>
      <c r="C1636">
        <f t="shared" si="1340"/>
        <v>26</v>
      </c>
      <c r="D1636">
        <v>1</v>
      </c>
      <c r="E1636" t="str">
        <f>VLOOKUP(D1636,name!A:B,2,1)</f>
        <v>Navigator</v>
      </c>
      <c r="F1636" t="str">
        <f>"次の"&amp;A1636&amp;"を真似してね！"</f>
        <v>次の英語を真似してね！</v>
      </c>
      <c r="G1636" t="str">
        <f t="shared" si="1353"/>
        <v>a</v>
      </c>
      <c r="H1636" t="str">
        <f>VLOOKUP(D1636,name!A:C,3,1)</f>
        <v>assets/icons/image014.png</v>
      </c>
      <c r="I1636" t="s">
        <v>402</v>
      </c>
    </row>
    <row r="1637" spans="1:9" x14ac:dyDescent="0.15">
      <c r="A1637" t="str">
        <f t="shared" ref="A1637:B1637" si="1360">A1636</f>
        <v>英語</v>
      </c>
      <c r="B1637">
        <f t="shared" si="1360"/>
        <v>16</v>
      </c>
      <c r="C1637">
        <f t="shared" si="1340"/>
        <v>27</v>
      </c>
      <c r="D1637">
        <f>D1614</f>
        <v>32</v>
      </c>
      <c r="E1637" t="str">
        <f>VLOOKUP(D1637,name!A:B,2,1)</f>
        <v>Asha</v>
      </c>
      <c r="F1637" t="str">
        <f>F1614</f>
        <v>ピザとサラダだけ？</v>
      </c>
      <c r="G1637" t="str">
        <f t="shared" si="1353"/>
        <v>a</v>
      </c>
      <c r="H1637" t="str">
        <f>VLOOKUP(D1637,name!A:C,3,1)</f>
        <v>assets/icons/image235.png</v>
      </c>
      <c r="I1637" t="s">
        <v>402</v>
      </c>
    </row>
    <row r="1638" spans="1:9" x14ac:dyDescent="0.15">
      <c r="A1638" t="str">
        <f t="shared" ref="A1638:B1638" si="1361">A1637</f>
        <v>英語</v>
      </c>
      <c r="B1638">
        <f t="shared" si="1361"/>
        <v>16</v>
      </c>
      <c r="C1638">
        <f t="shared" si="1340"/>
        <v>28</v>
      </c>
      <c r="D1638">
        <f>D1615</f>
        <v>32</v>
      </c>
      <c r="E1638" t="str">
        <f>VLOOKUP(D1638,name!A:B,2,1)</f>
        <v>Asha</v>
      </c>
      <c r="F1638" t="str">
        <f>F1615</f>
        <v>Just a piece of pizza and a salad?</v>
      </c>
      <c r="G1638" t="str">
        <f t="shared" si="1353"/>
        <v>a</v>
      </c>
      <c r="H1638" t="str">
        <f>VLOOKUP(D1638,name!A:C,3,1)</f>
        <v>assets/icons/image235.png</v>
      </c>
      <c r="I1638" t="str">
        <f>IF(A1638="","",VLOOKUP(A1638,lng!A:B,2,0))</f>
        <v>en-GB</v>
      </c>
    </row>
    <row r="1639" spans="1:9" x14ac:dyDescent="0.15">
      <c r="A1639" t="str">
        <f t="shared" ref="A1639:B1639" si="1362">A1638</f>
        <v>英語</v>
      </c>
      <c r="B1639">
        <f t="shared" si="1362"/>
        <v>16</v>
      </c>
      <c r="C1639">
        <f t="shared" si="1340"/>
        <v>29</v>
      </c>
      <c r="D1639">
        <v>0</v>
      </c>
      <c r="E1639" t="str">
        <f>VLOOKUP(D1639,name!A:B,2,1)</f>
        <v>Player</v>
      </c>
      <c r="F1639" t="str">
        <f>F1615</f>
        <v>Just a piece of pizza and a salad?</v>
      </c>
      <c r="G1639" t="str">
        <f t="shared" si="1353"/>
        <v>q</v>
      </c>
      <c r="H1639" t="str">
        <f>VLOOKUP(D1639,name!A:C,3,1)</f>
        <v>assets/icons/image326.png</v>
      </c>
      <c r="I1639" t="str">
        <f>IF(A1639="","",VLOOKUP(A1639,lng!A:B,2,0))</f>
        <v>en-GB</v>
      </c>
    </row>
    <row r="1640" spans="1:9" x14ac:dyDescent="0.15">
      <c r="A1640" t="str">
        <f t="shared" ref="A1640:B1640" si="1363">A1639</f>
        <v>英語</v>
      </c>
      <c r="B1640">
        <f t="shared" si="1363"/>
        <v>16</v>
      </c>
      <c r="C1640">
        <f t="shared" si="1340"/>
        <v>30</v>
      </c>
      <c r="D1640">
        <f>D1616</f>
        <v>32</v>
      </c>
      <c r="E1640" t="str">
        <f>VLOOKUP(D1640,name!A:B,2,1)</f>
        <v>Asha</v>
      </c>
      <c r="F1640" t="str">
        <f>F1616</f>
        <v>ダイエットしているに違いない！</v>
      </c>
      <c r="G1640" t="str">
        <f t="shared" si="1353"/>
        <v>a</v>
      </c>
      <c r="H1640" t="str">
        <f>VLOOKUP(D1640,name!A:C,3,1)</f>
        <v>assets/icons/image235.png</v>
      </c>
      <c r="I1640" t="s">
        <v>402</v>
      </c>
    </row>
    <row r="1641" spans="1:9" x14ac:dyDescent="0.15">
      <c r="A1641" t="str">
        <f t="shared" ref="A1641:B1641" si="1364">A1640</f>
        <v>英語</v>
      </c>
      <c r="B1641">
        <f t="shared" si="1364"/>
        <v>16</v>
      </c>
      <c r="C1641">
        <f t="shared" si="1340"/>
        <v>31</v>
      </c>
      <c r="D1641">
        <f>D1617</f>
        <v>32</v>
      </c>
      <c r="E1641" t="str">
        <f>VLOOKUP(D1641,name!A:B,2,1)</f>
        <v>Asha</v>
      </c>
      <c r="F1641" t="str">
        <f>F1617</f>
        <v>You must be on a diet!</v>
      </c>
      <c r="G1641" t="str">
        <f t="shared" si="1353"/>
        <v>a</v>
      </c>
      <c r="H1641" t="str">
        <f>VLOOKUP(D1641,name!A:C,3,1)</f>
        <v>assets/icons/image235.png</v>
      </c>
      <c r="I1641" t="str">
        <f>IF(A1641="","",VLOOKUP(A1641,lng!A:B,2,0))</f>
        <v>en-GB</v>
      </c>
    </row>
    <row r="1642" spans="1:9" x14ac:dyDescent="0.15">
      <c r="A1642" t="str">
        <f t="shared" ref="A1642:B1642" si="1365">A1641</f>
        <v>英語</v>
      </c>
      <c r="B1642">
        <f t="shared" si="1365"/>
        <v>16</v>
      </c>
      <c r="C1642">
        <f t="shared" si="1340"/>
        <v>32</v>
      </c>
      <c r="D1642">
        <v>0</v>
      </c>
      <c r="E1642" t="str">
        <f>VLOOKUP(D1642,name!A:B,2,1)</f>
        <v>Player</v>
      </c>
      <c r="F1642" t="str">
        <f>F1617</f>
        <v>You must be on a diet!</v>
      </c>
      <c r="G1642" t="str">
        <f t="shared" si="1353"/>
        <v>q</v>
      </c>
      <c r="H1642" t="str">
        <f>VLOOKUP(D1642,name!A:C,3,1)</f>
        <v>assets/icons/image326.png</v>
      </c>
      <c r="I1642" t="str">
        <f>IF(A1642="","",VLOOKUP(A1642,lng!A:B,2,0))</f>
        <v>en-GB</v>
      </c>
    </row>
    <row r="1643" spans="1:9" x14ac:dyDescent="0.15">
      <c r="A1643" t="str">
        <f t="shared" ref="A1643:B1643" si="1366">A1642</f>
        <v>英語</v>
      </c>
      <c r="B1643">
        <f t="shared" si="1366"/>
        <v>16</v>
      </c>
      <c r="C1643">
        <f t="shared" si="1340"/>
        <v>33</v>
      </c>
      <c r="D1643">
        <f>D1618</f>
        <v>29</v>
      </c>
      <c r="E1643" t="str">
        <f>VLOOKUP(D1643,name!A:B,2,1)</f>
        <v>Eri</v>
      </c>
      <c r="F1643" t="str">
        <f>F1618</f>
        <v>はい。</v>
      </c>
      <c r="G1643" t="str">
        <f t="shared" si="1353"/>
        <v>a</v>
      </c>
      <c r="H1643" t="str">
        <f>VLOOKUP(D1643,name!A:C,3,1)</f>
        <v>assets/icons/image209.png</v>
      </c>
      <c r="I1643" t="s">
        <v>402</v>
      </c>
    </row>
    <row r="1644" spans="1:9" x14ac:dyDescent="0.15">
      <c r="A1644" t="str">
        <f t="shared" ref="A1644:B1644" si="1367">A1643</f>
        <v>英語</v>
      </c>
      <c r="B1644">
        <f t="shared" si="1367"/>
        <v>16</v>
      </c>
      <c r="C1644">
        <f t="shared" si="1340"/>
        <v>34</v>
      </c>
      <c r="D1644">
        <f>D1619</f>
        <v>29</v>
      </c>
      <c r="E1644" t="str">
        <f>VLOOKUP(D1644,name!A:B,2,1)</f>
        <v>Eri</v>
      </c>
      <c r="F1644" t="str">
        <f>F1619</f>
        <v>Yes.</v>
      </c>
      <c r="G1644" t="str">
        <f t="shared" si="1353"/>
        <v>a</v>
      </c>
      <c r="H1644" t="str">
        <f>VLOOKUP(D1644,name!A:C,3,1)</f>
        <v>assets/icons/image209.png</v>
      </c>
      <c r="I1644" t="str">
        <f>IF(A1644="","",VLOOKUP(A1644,lng!A:B,2,0))</f>
        <v>en-GB</v>
      </c>
    </row>
    <row r="1645" spans="1:9" x14ac:dyDescent="0.15">
      <c r="A1645" t="str">
        <f t="shared" ref="A1645:B1645" si="1368">A1644</f>
        <v>英語</v>
      </c>
      <c r="B1645">
        <f t="shared" si="1368"/>
        <v>16</v>
      </c>
      <c r="C1645">
        <f t="shared" si="1340"/>
        <v>35</v>
      </c>
      <c r="D1645">
        <v>0</v>
      </c>
      <c r="E1645" t="str">
        <f>VLOOKUP(D1645,name!A:B,2,1)</f>
        <v>Player</v>
      </c>
      <c r="F1645" t="str">
        <f>F1619</f>
        <v>Yes.</v>
      </c>
      <c r="G1645" t="str">
        <f t="shared" si="1353"/>
        <v>q</v>
      </c>
      <c r="H1645" t="str">
        <f>VLOOKUP(D1645,name!A:C,3,1)</f>
        <v>assets/icons/image326.png</v>
      </c>
      <c r="I1645" t="str">
        <f>IF(A1645="","",VLOOKUP(A1645,lng!A:B,2,0))</f>
        <v>en-GB</v>
      </c>
    </row>
    <row r="1646" spans="1:9" x14ac:dyDescent="0.15">
      <c r="A1646" t="str">
        <f t="shared" ref="A1646:B1646" si="1369">A1645</f>
        <v>英語</v>
      </c>
      <c r="B1646">
        <f t="shared" si="1369"/>
        <v>16</v>
      </c>
      <c r="C1646">
        <f t="shared" si="1340"/>
        <v>36</v>
      </c>
      <c r="D1646">
        <f>D1620</f>
        <v>29</v>
      </c>
      <c r="E1646" t="str">
        <f>VLOOKUP(D1646,name!A:B,2,1)</f>
        <v>Eri</v>
      </c>
      <c r="F1646" t="str">
        <f>F1620</f>
        <v>ロンドンには素晴らしい食べ物が多すぎます！</v>
      </c>
      <c r="G1646" t="str">
        <f t="shared" si="1353"/>
        <v>a</v>
      </c>
      <c r="H1646" t="str">
        <f>VLOOKUP(D1646,name!A:C,3,1)</f>
        <v>assets/icons/image209.png</v>
      </c>
      <c r="I1646" t="s">
        <v>402</v>
      </c>
    </row>
    <row r="1647" spans="1:9" x14ac:dyDescent="0.15">
      <c r="A1647" t="str">
        <f t="shared" ref="A1647:B1647" si="1370">A1646</f>
        <v>英語</v>
      </c>
      <c r="B1647">
        <f t="shared" si="1370"/>
        <v>16</v>
      </c>
      <c r="C1647">
        <f t="shared" si="1340"/>
        <v>37</v>
      </c>
      <c r="D1647">
        <f>D1621</f>
        <v>29</v>
      </c>
      <c r="E1647" t="str">
        <f>VLOOKUP(D1647,name!A:B,2,1)</f>
        <v>Eri</v>
      </c>
      <c r="F1647" t="str">
        <f>F1621</f>
        <v>Too much great food in London!</v>
      </c>
      <c r="G1647" t="str">
        <f t="shared" si="1353"/>
        <v>a</v>
      </c>
      <c r="H1647" t="str">
        <f>VLOOKUP(D1647,name!A:C,3,1)</f>
        <v>assets/icons/image209.png</v>
      </c>
      <c r="I1647" t="str">
        <f>IF(A1647="","",VLOOKUP(A1647,lng!A:B,2,0))</f>
        <v>en-GB</v>
      </c>
    </row>
    <row r="1648" spans="1:9" x14ac:dyDescent="0.15">
      <c r="A1648" t="str">
        <f t="shared" ref="A1648:B1648" si="1371">A1647</f>
        <v>英語</v>
      </c>
      <c r="B1648">
        <f t="shared" si="1371"/>
        <v>16</v>
      </c>
      <c r="C1648">
        <f t="shared" si="1340"/>
        <v>38</v>
      </c>
      <c r="D1648">
        <v>0</v>
      </c>
      <c r="E1648" t="str">
        <f>VLOOKUP(D1648,name!A:B,2,1)</f>
        <v>Player</v>
      </c>
      <c r="F1648" t="str">
        <f>F1621</f>
        <v>Too much great food in London!</v>
      </c>
      <c r="G1648" t="str">
        <f t="shared" si="1353"/>
        <v>q</v>
      </c>
      <c r="H1648" t="str">
        <f>VLOOKUP(D1648,name!A:C,3,1)</f>
        <v>assets/icons/image326.png</v>
      </c>
      <c r="I1648" t="str">
        <f>IF(A1648="","",VLOOKUP(A1648,lng!A:B,2,0))</f>
        <v>en-GB</v>
      </c>
    </row>
    <row r="1649" spans="1:9" x14ac:dyDescent="0.15">
      <c r="A1649" t="str">
        <f t="shared" ref="A1649:B1649" si="1372">A1648</f>
        <v>英語</v>
      </c>
      <c r="B1649">
        <f t="shared" si="1372"/>
        <v>16</v>
      </c>
      <c r="C1649">
        <f t="shared" si="1340"/>
        <v>39</v>
      </c>
      <c r="D1649">
        <f>D1622</f>
        <v>29</v>
      </c>
      <c r="E1649" t="str">
        <f>VLOOKUP(D1649,name!A:B,2,1)</f>
        <v>Eri</v>
      </c>
      <c r="F1649" t="str">
        <f>F1622</f>
        <v>今週末、ハロウィン ボンファイヤー ナイト パーティーと呼ばれるものがあるけど。</v>
      </c>
      <c r="G1649" t="str">
        <f t="shared" si="1353"/>
        <v>a</v>
      </c>
      <c r="H1649" t="str">
        <f>VLOOKUP(D1649,name!A:C,3,1)</f>
        <v>assets/icons/image209.png</v>
      </c>
      <c r="I1649" t="s">
        <v>402</v>
      </c>
    </row>
    <row r="1650" spans="1:9" x14ac:dyDescent="0.15">
      <c r="A1650" t="str">
        <f t="shared" ref="A1650:B1650" si="1373">A1649</f>
        <v>英語</v>
      </c>
      <c r="B1650">
        <f t="shared" si="1373"/>
        <v>16</v>
      </c>
      <c r="C1650">
        <f t="shared" si="1340"/>
        <v>40</v>
      </c>
      <c r="D1650">
        <f>D1623</f>
        <v>29</v>
      </c>
      <c r="E1650" t="str">
        <f>VLOOKUP(D1650,name!A:B,2,1)</f>
        <v>Eri</v>
      </c>
      <c r="F1650" t="str">
        <f>F1623</f>
        <v xml:space="preserve"> There's something called a Halloween-Bonfire Night party this weekend.</v>
      </c>
      <c r="G1650" t="str">
        <f t="shared" si="1353"/>
        <v>a</v>
      </c>
      <c r="H1650" t="str">
        <f>VLOOKUP(D1650,name!A:C,3,1)</f>
        <v>assets/icons/image209.png</v>
      </c>
      <c r="I1650" t="str">
        <f>IF(A1650="","",VLOOKUP(A1650,lng!A:B,2,0))</f>
        <v>en-GB</v>
      </c>
    </row>
    <row r="1651" spans="1:9" x14ac:dyDescent="0.15">
      <c r="A1651" t="str">
        <f t="shared" ref="A1651:B1651" si="1374">A1650</f>
        <v>英語</v>
      </c>
      <c r="B1651">
        <f t="shared" si="1374"/>
        <v>16</v>
      </c>
      <c r="C1651">
        <f t="shared" si="1340"/>
        <v>41</v>
      </c>
      <c r="D1651">
        <v>0</v>
      </c>
      <c r="E1651" t="str">
        <f>VLOOKUP(D1651,name!A:B,2,1)</f>
        <v>Player</v>
      </c>
      <c r="F1651" t="str">
        <f>F1623</f>
        <v xml:space="preserve"> There's something called a Halloween-Bonfire Night party this weekend.</v>
      </c>
      <c r="G1651" t="str">
        <f t="shared" si="1353"/>
        <v>q</v>
      </c>
      <c r="H1651" t="str">
        <f>VLOOKUP(D1651,name!A:C,3,1)</f>
        <v>assets/icons/image326.png</v>
      </c>
      <c r="I1651" t="str">
        <f>IF(A1651="","",VLOOKUP(A1651,lng!A:B,2,0))</f>
        <v>en-GB</v>
      </c>
    </row>
    <row r="1652" spans="1:9" x14ac:dyDescent="0.15">
      <c r="A1652" t="str">
        <f t="shared" ref="A1652:B1652" si="1375">A1651</f>
        <v>英語</v>
      </c>
      <c r="B1652">
        <f t="shared" si="1375"/>
        <v>16</v>
      </c>
      <c r="C1652">
        <f t="shared" si="1340"/>
        <v>42</v>
      </c>
      <c r="D1652">
        <f>D1624</f>
        <v>29</v>
      </c>
      <c r="E1652" t="str">
        <f>VLOOKUP(D1652,name!A:B,2,1)</f>
        <v>Eri</v>
      </c>
      <c r="F1652" t="str">
        <f>F1624</f>
        <v>文化の勉強に役立つなら、参加するべきですよね？</v>
      </c>
      <c r="G1652" t="str">
        <f t="shared" si="1353"/>
        <v>a</v>
      </c>
      <c r="H1652" t="str">
        <f>VLOOKUP(D1652,name!A:C,3,1)</f>
        <v>assets/icons/image209.png</v>
      </c>
      <c r="I1652" t="s">
        <v>402</v>
      </c>
    </row>
    <row r="1653" spans="1:9" x14ac:dyDescent="0.15">
      <c r="A1653" t="str">
        <f t="shared" ref="A1653:B1653" si="1376">A1652</f>
        <v>英語</v>
      </c>
      <c r="B1653">
        <f t="shared" si="1376"/>
        <v>16</v>
      </c>
      <c r="C1653">
        <f t="shared" si="1340"/>
        <v>43</v>
      </c>
      <c r="D1653">
        <f>D1625</f>
        <v>29</v>
      </c>
      <c r="E1653" t="str">
        <f>VLOOKUP(D1653,name!A:B,2,1)</f>
        <v>Eri</v>
      </c>
      <c r="F1653" t="str">
        <f>F1625</f>
        <v xml:space="preserve"> If it's useful cultural study, I should attend, shouldn't I?</v>
      </c>
      <c r="G1653" t="str">
        <f t="shared" si="1353"/>
        <v>a</v>
      </c>
      <c r="H1653" t="str">
        <f>VLOOKUP(D1653,name!A:C,3,1)</f>
        <v>assets/icons/image209.png</v>
      </c>
      <c r="I1653" t="str">
        <f>IF(A1653="","",VLOOKUP(A1653,lng!A:B,2,0))</f>
        <v>en-GB</v>
      </c>
    </row>
    <row r="1654" spans="1:9" x14ac:dyDescent="0.15">
      <c r="A1654" t="str">
        <f t="shared" ref="A1654:B1654" si="1377">A1653</f>
        <v>英語</v>
      </c>
      <c r="B1654">
        <f t="shared" si="1377"/>
        <v>16</v>
      </c>
      <c r="C1654">
        <f t="shared" si="1340"/>
        <v>44</v>
      </c>
      <c r="D1654">
        <v>0</v>
      </c>
      <c r="E1654" t="str">
        <f>VLOOKUP(D1654,name!A:B,2,1)</f>
        <v>Player</v>
      </c>
      <c r="F1654" t="str">
        <f>F1625</f>
        <v xml:space="preserve"> If it's useful cultural study, I should attend, shouldn't I?</v>
      </c>
      <c r="G1654" t="str">
        <f t="shared" si="1353"/>
        <v>q</v>
      </c>
      <c r="H1654" t="str">
        <f>VLOOKUP(D1654,name!A:C,3,1)</f>
        <v>assets/icons/image326.png</v>
      </c>
      <c r="I1654" t="str">
        <f>IF(A1654="","",VLOOKUP(A1654,lng!A:B,2,0))</f>
        <v>en-GB</v>
      </c>
    </row>
    <row r="1655" spans="1:9" x14ac:dyDescent="0.15">
      <c r="A1655" t="str">
        <f t="shared" ref="A1655:B1655" si="1378">A1654</f>
        <v>英語</v>
      </c>
      <c r="B1655">
        <f t="shared" si="1378"/>
        <v>16</v>
      </c>
      <c r="C1655">
        <f t="shared" si="1340"/>
        <v>45</v>
      </c>
      <c r="D1655">
        <f>D1626</f>
        <v>29</v>
      </c>
      <c r="E1655" t="str">
        <f>VLOOKUP(D1655,name!A:B,2,1)</f>
        <v>Eri</v>
      </c>
      <c r="F1655" t="str">
        <f>F1626</f>
        <v>ボンファイア・ナイトが何なのかさっぱりわかりません。</v>
      </c>
      <c r="G1655" t="str">
        <f t="shared" si="1353"/>
        <v>a</v>
      </c>
      <c r="H1655" t="str">
        <f>VLOOKUP(D1655,name!A:C,3,1)</f>
        <v>assets/icons/image209.png</v>
      </c>
      <c r="I1655" t="s">
        <v>402</v>
      </c>
    </row>
    <row r="1656" spans="1:9" x14ac:dyDescent="0.15">
      <c r="A1656" t="str">
        <f t="shared" ref="A1656:B1656" si="1379">A1655</f>
        <v>英語</v>
      </c>
      <c r="B1656">
        <f t="shared" si="1379"/>
        <v>16</v>
      </c>
      <c r="C1656">
        <f t="shared" si="1340"/>
        <v>46</v>
      </c>
      <c r="D1656">
        <f>D1627</f>
        <v>29</v>
      </c>
      <c r="E1656" t="str">
        <f>VLOOKUP(D1656,name!A:B,2,1)</f>
        <v>Eri</v>
      </c>
      <c r="F1656" t="str">
        <f>F1627</f>
        <v xml:space="preserve"> I haven't a clue what Bonfire Night is.</v>
      </c>
      <c r="G1656" t="str">
        <f t="shared" si="1353"/>
        <v>a</v>
      </c>
      <c r="H1656" t="str">
        <f>VLOOKUP(D1656,name!A:C,3,1)</f>
        <v>assets/icons/image209.png</v>
      </c>
      <c r="I1656" t="str">
        <f>IF(A1656="","",VLOOKUP(A1656,lng!A:B,2,0))</f>
        <v>en-GB</v>
      </c>
    </row>
    <row r="1657" spans="1:9" x14ac:dyDescent="0.15">
      <c r="A1657" t="str">
        <f t="shared" ref="A1657:B1657" si="1380">A1656</f>
        <v>英語</v>
      </c>
      <c r="B1657">
        <f t="shared" si="1380"/>
        <v>16</v>
      </c>
      <c r="C1657">
        <f t="shared" si="1340"/>
        <v>47</v>
      </c>
      <c r="D1657">
        <v>0</v>
      </c>
      <c r="E1657" t="str">
        <f>VLOOKUP(D1657,name!A:B,2,1)</f>
        <v>Player</v>
      </c>
      <c r="F1657" t="str">
        <f>F1627</f>
        <v xml:space="preserve"> I haven't a clue what Bonfire Night is.</v>
      </c>
      <c r="G1657" t="str">
        <f t="shared" si="1353"/>
        <v>q</v>
      </c>
      <c r="H1657" t="str">
        <f>VLOOKUP(D1657,name!A:C,3,1)</f>
        <v>assets/icons/image326.png</v>
      </c>
      <c r="I1657" t="str">
        <f>IF(A1657="","",VLOOKUP(A1657,lng!A:B,2,0))</f>
        <v>en-GB</v>
      </c>
    </row>
    <row r="1658" spans="1:9" x14ac:dyDescent="0.15">
      <c r="A1658" t="str">
        <f t="shared" ref="A1658:B1658" si="1381">A1657</f>
        <v>英語</v>
      </c>
      <c r="B1658">
        <f t="shared" si="1381"/>
        <v>16</v>
      </c>
      <c r="C1658">
        <f t="shared" si="1340"/>
        <v>48</v>
      </c>
      <c r="D1658">
        <f>D1628</f>
        <v>32</v>
      </c>
      <c r="E1658" t="str">
        <f>VLOOKUP(D1658,name!A:B,2,1)</f>
        <v>Asha</v>
      </c>
      <c r="F1658" t="str">
        <f>F1628</f>
        <v>あなたはなんて模範的な学生でしょう！</v>
      </c>
      <c r="G1658" t="str">
        <f t="shared" si="1353"/>
        <v>a</v>
      </c>
      <c r="H1658" t="str">
        <f>VLOOKUP(D1658,name!A:C,3,1)</f>
        <v>assets/icons/image235.png</v>
      </c>
      <c r="I1658" t="s">
        <v>402</v>
      </c>
    </row>
    <row r="1659" spans="1:9" x14ac:dyDescent="0.15">
      <c r="A1659" t="str">
        <f t="shared" ref="A1659:B1659" si="1382">A1658</f>
        <v>英語</v>
      </c>
      <c r="B1659">
        <f t="shared" si="1382"/>
        <v>16</v>
      </c>
      <c r="C1659">
        <f t="shared" si="1340"/>
        <v>49</v>
      </c>
      <c r="D1659">
        <f>D1629</f>
        <v>32</v>
      </c>
      <c r="E1659" t="str">
        <f>VLOOKUP(D1659,name!A:B,2,1)</f>
        <v>Asha</v>
      </c>
      <c r="F1659" t="str">
        <f>F1629</f>
        <v>What a model student you are!</v>
      </c>
      <c r="G1659" t="str">
        <f t="shared" si="1353"/>
        <v>a</v>
      </c>
      <c r="H1659" t="str">
        <f>VLOOKUP(D1659,name!A:C,3,1)</f>
        <v>assets/icons/image235.png</v>
      </c>
      <c r="I1659" t="str">
        <f>IF(A1659="","",VLOOKUP(A1659,lng!A:B,2,0))</f>
        <v>en-GB</v>
      </c>
    </row>
    <row r="1660" spans="1:9" x14ac:dyDescent="0.15">
      <c r="A1660" t="str">
        <f t="shared" ref="A1660:B1660" si="1383">A1659</f>
        <v>英語</v>
      </c>
      <c r="B1660">
        <f t="shared" si="1383"/>
        <v>16</v>
      </c>
      <c r="C1660">
        <f t="shared" si="1340"/>
        <v>50</v>
      </c>
      <c r="D1660">
        <v>0</v>
      </c>
      <c r="E1660" t="str">
        <f>VLOOKUP(D1660,name!A:B,2,1)</f>
        <v>Player</v>
      </c>
      <c r="F1660" t="str">
        <f>F1629</f>
        <v>What a model student you are!</v>
      </c>
      <c r="G1660" t="str">
        <f t="shared" si="1353"/>
        <v>q</v>
      </c>
      <c r="H1660" t="str">
        <f>VLOOKUP(D1660,name!A:C,3,1)</f>
        <v>assets/icons/image326.png</v>
      </c>
      <c r="I1660" t="str">
        <f>IF(A1660="","",VLOOKUP(A1660,lng!A:B,2,0))</f>
        <v>en-GB</v>
      </c>
    </row>
    <row r="1661" spans="1:9" x14ac:dyDescent="0.15">
      <c r="A1661" t="str">
        <f t="shared" ref="A1661:B1661" si="1384">A1660</f>
        <v>英語</v>
      </c>
      <c r="B1661">
        <f t="shared" si="1384"/>
        <v>16</v>
      </c>
      <c r="C1661">
        <f t="shared" si="1340"/>
        <v>51</v>
      </c>
      <c r="D1661">
        <f>D1630</f>
        <v>32</v>
      </c>
      <c r="E1661" t="str">
        <f>VLOOKUP(D1661,name!A:B,2,1)</f>
        <v>Asha</v>
      </c>
      <c r="F1661" t="str">
        <f>F1630</f>
        <v>しかも、あなたはロンドンの発展の歴史に関するレポートでレンに感銘を与えました。</v>
      </c>
      <c r="G1661" t="str">
        <f t="shared" si="1353"/>
        <v>a</v>
      </c>
      <c r="H1661" t="str">
        <f>VLOOKUP(D1661,name!A:C,3,1)</f>
        <v>assets/icons/image235.png</v>
      </c>
      <c r="I1661" t="s">
        <v>402</v>
      </c>
    </row>
    <row r="1662" spans="1:9" x14ac:dyDescent="0.15">
      <c r="A1662" t="str">
        <f t="shared" ref="A1662:B1662" si="1385">A1661</f>
        <v>英語</v>
      </c>
      <c r="B1662">
        <f t="shared" si="1385"/>
        <v>16</v>
      </c>
      <c r="C1662">
        <f t="shared" si="1340"/>
        <v>52</v>
      </c>
      <c r="D1662">
        <f>D1631</f>
        <v>32</v>
      </c>
      <c r="E1662" t="str">
        <f>VLOOKUP(D1662,name!A:B,2,1)</f>
        <v>Asha</v>
      </c>
      <c r="F1662" t="str">
        <f>F1631</f>
        <v>Still, you did impress Len with your report on the history of London's development.</v>
      </c>
      <c r="G1662" t="str">
        <f t="shared" si="1353"/>
        <v>a</v>
      </c>
      <c r="H1662" t="str">
        <f>VLOOKUP(D1662,name!A:C,3,1)</f>
        <v>assets/icons/image235.png</v>
      </c>
      <c r="I1662" t="str">
        <f>IF(A1662="","",VLOOKUP(A1662,lng!A:B,2,0))</f>
        <v>en-GB</v>
      </c>
    </row>
    <row r="1663" spans="1:9" x14ac:dyDescent="0.15">
      <c r="A1663" t="str">
        <f t="shared" ref="A1663:B1663" si="1386">A1662</f>
        <v>英語</v>
      </c>
      <c r="B1663">
        <f t="shared" si="1386"/>
        <v>16</v>
      </c>
      <c r="C1663">
        <f t="shared" si="1340"/>
        <v>53</v>
      </c>
      <c r="D1663">
        <v>0</v>
      </c>
      <c r="E1663" t="str">
        <f>VLOOKUP(D1663,name!A:B,2,1)</f>
        <v>Player</v>
      </c>
      <c r="F1663" t="str">
        <f>F1631</f>
        <v>Still, you did impress Len with your report on the history of London's development.</v>
      </c>
      <c r="G1663" t="str">
        <f t="shared" si="1353"/>
        <v>q</v>
      </c>
      <c r="H1663" t="str">
        <f>VLOOKUP(D1663,name!A:C,3,1)</f>
        <v>assets/icons/image326.png</v>
      </c>
      <c r="I1663" t="str">
        <f>IF(A1663="","",VLOOKUP(A1663,lng!A:B,2,0))</f>
        <v>en-GB</v>
      </c>
    </row>
    <row r="1664" spans="1:9" x14ac:dyDescent="0.15">
      <c r="A1664" t="str">
        <f t="shared" ref="A1664:B1664" si="1387">A1663</f>
        <v>英語</v>
      </c>
      <c r="B1664">
        <f t="shared" si="1387"/>
        <v>16</v>
      </c>
      <c r="C1664">
        <f t="shared" si="1340"/>
        <v>54</v>
      </c>
      <c r="D1664">
        <f>D1632</f>
        <v>32</v>
      </c>
      <c r="E1664" t="str">
        <f>VLOOKUP(D1664,name!A:B,2,1)</f>
        <v>Asha</v>
      </c>
      <c r="F1664" t="str">
        <f>F1632</f>
        <v>ボンファイア・ナイトは 11 月 5 日で、議会が 17 世紀に爆破されなかったことを祝います。</v>
      </c>
      <c r="G1664" t="str">
        <f t="shared" si="1353"/>
        <v>a</v>
      </c>
      <c r="H1664" t="str">
        <f>VLOOKUP(D1664,name!A:C,3,1)</f>
        <v>assets/icons/image235.png</v>
      </c>
      <c r="I1664" t="s">
        <v>402</v>
      </c>
    </row>
    <row r="1665" spans="1:9" x14ac:dyDescent="0.15">
      <c r="A1665" t="str">
        <f t="shared" ref="A1665:B1665" si="1388">A1664</f>
        <v>英語</v>
      </c>
      <c r="B1665">
        <f t="shared" si="1388"/>
        <v>16</v>
      </c>
      <c r="C1665">
        <f t="shared" si="1340"/>
        <v>55</v>
      </c>
      <c r="D1665">
        <f>D1633</f>
        <v>32</v>
      </c>
      <c r="E1665" t="str">
        <f>VLOOKUP(D1665,name!A:B,2,1)</f>
        <v>Asha</v>
      </c>
      <c r="F1665" t="str">
        <f>F1633</f>
        <v>Bonfire Night is November 5th, and celebrates Parliament not getting blown up in the seventeenth century,</v>
      </c>
      <c r="G1665" t="str">
        <f t="shared" si="1353"/>
        <v>a</v>
      </c>
      <c r="H1665" t="str">
        <f>VLOOKUP(D1665,name!A:C,3,1)</f>
        <v>assets/icons/image235.png</v>
      </c>
      <c r="I1665" t="str">
        <f>IF(A1665="","",VLOOKUP(A1665,lng!A:B,2,0))</f>
        <v>en-GB</v>
      </c>
    </row>
    <row r="1666" spans="1:9" x14ac:dyDescent="0.15">
      <c r="A1666" t="str">
        <f t="shared" ref="A1666:B1666" si="1389">A1665</f>
        <v>英語</v>
      </c>
      <c r="B1666">
        <f t="shared" si="1389"/>
        <v>16</v>
      </c>
      <c r="C1666">
        <f t="shared" si="1340"/>
        <v>56</v>
      </c>
      <c r="D1666">
        <v>0</v>
      </c>
      <c r="E1666" t="str">
        <f>VLOOKUP(D1666,name!A:B,2,1)</f>
        <v>Player</v>
      </c>
      <c r="F1666" t="str">
        <f>F1633</f>
        <v>Bonfire Night is November 5th, and celebrates Parliament not getting blown up in the seventeenth century,</v>
      </c>
      <c r="G1666" t="str">
        <f t="shared" si="1353"/>
        <v>q</v>
      </c>
      <c r="H1666" t="str">
        <f>VLOOKUP(D1666,name!A:C,3,1)</f>
        <v>assets/icons/image326.png</v>
      </c>
      <c r="I1666" t="str">
        <f>IF(A1666="","",VLOOKUP(A1666,lng!A:B,2,0))</f>
        <v>en-GB</v>
      </c>
    </row>
    <row r="1667" spans="1:9" x14ac:dyDescent="0.15">
      <c r="A1667" t="str">
        <f t="shared" ref="A1667:B1667" si="1390">A1666</f>
        <v>英語</v>
      </c>
      <c r="B1667">
        <f t="shared" si="1390"/>
        <v>16</v>
      </c>
      <c r="C1667">
        <f t="shared" si="1340"/>
        <v>57</v>
      </c>
      <c r="D1667">
        <f>D1634</f>
        <v>32</v>
      </c>
      <c r="E1667" t="str">
        <f>VLOOKUP(D1667,name!A:B,2,1)</f>
        <v>Asha</v>
      </c>
      <c r="F1667" t="str">
        <f>F1634</f>
        <v>しかし最近では、アメリカのハロウィーンの伝統がそれを殺していると思います.</v>
      </c>
      <c r="G1667" t="str">
        <f t="shared" si="1353"/>
        <v>a</v>
      </c>
      <c r="H1667" t="str">
        <f>VLOOKUP(D1667,name!A:C,3,1)</f>
        <v>assets/icons/image235.png</v>
      </c>
      <c r="I1667" t="s">
        <v>402</v>
      </c>
    </row>
    <row r="1668" spans="1:9" x14ac:dyDescent="0.15">
      <c r="A1668" t="str">
        <f t="shared" ref="A1668:B1668" si="1391">A1667</f>
        <v>英語</v>
      </c>
      <c r="B1668">
        <f t="shared" si="1391"/>
        <v>16</v>
      </c>
      <c r="C1668">
        <f t="shared" si="1340"/>
        <v>58</v>
      </c>
      <c r="D1668">
        <f>D1635</f>
        <v>32</v>
      </c>
      <c r="E1668" t="str">
        <f>VLOOKUP(D1668,name!A:B,2,1)</f>
        <v>Asha</v>
      </c>
      <c r="F1668" t="str">
        <f>F1635</f>
        <v>but nowadays the American Halloween traditions are killing it off, I think.</v>
      </c>
      <c r="G1668" t="str">
        <f t="shared" si="1353"/>
        <v>a</v>
      </c>
      <c r="H1668" t="str">
        <f>VLOOKUP(D1668,name!A:C,3,1)</f>
        <v>assets/icons/image235.png</v>
      </c>
      <c r="I1668" t="str">
        <f>IF(A1668="","",VLOOKUP(A1668,lng!A:B,2,0))</f>
        <v>en-GB</v>
      </c>
    </row>
    <row r="1669" spans="1:9" x14ac:dyDescent="0.15">
      <c r="A1669" t="str">
        <f t="shared" ref="A1669:B1669" si="1392">A1668</f>
        <v>英語</v>
      </c>
      <c r="B1669">
        <f t="shared" si="1392"/>
        <v>16</v>
      </c>
      <c r="C1669">
        <f t="shared" si="1340"/>
        <v>59</v>
      </c>
      <c r="D1669">
        <v>0</v>
      </c>
      <c r="E1669" t="str">
        <f>VLOOKUP(D1669,name!A:B,2,1)</f>
        <v>Player</v>
      </c>
      <c r="F1669" t="str">
        <f>F1635</f>
        <v>but nowadays the American Halloween traditions are killing it off, I think.</v>
      </c>
      <c r="G1669" t="str">
        <f t="shared" si="1353"/>
        <v>q</v>
      </c>
      <c r="H1669" t="str">
        <f>VLOOKUP(D1669,name!A:C,3,1)</f>
        <v>assets/icons/image326.png</v>
      </c>
      <c r="I1669" t="str">
        <f>IF(A1669="","",VLOOKUP(A1669,lng!A:B,2,0))</f>
        <v>en-GB</v>
      </c>
    </row>
    <row r="1670" spans="1:9" x14ac:dyDescent="0.15">
      <c r="A1670" t="str">
        <f t="shared" ref="A1670:B1670" si="1393">A1669</f>
        <v>英語</v>
      </c>
      <c r="B1670">
        <f t="shared" si="1393"/>
        <v>16</v>
      </c>
      <c r="C1670">
        <f t="shared" si="1340"/>
        <v>60</v>
      </c>
      <c r="D1670">
        <v>1</v>
      </c>
      <c r="E1670" t="str">
        <f>VLOOKUP(D1670,name!A:B,2,1)</f>
        <v>Navigator</v>
      </c>
      <c r="F1670" t="str">
        <f>"次の日本語を"&amp;A1670&amp;"に訳して答えてね！"</f>
        <v>次の日本語を英語に訳して答えてね！</v>
      </c>
      <c r="G1670" t="str">
        <f t="shared" si="1353"/>
        <v>a</v>
      </c>
      <c r="H1670" t="str">
        <f>VLOOKUP(D1670,name!A:C,3,1)</f>
        <v>assets/icons/image014.png</v>
      </c>
      <c r="I1670" t="s">
        <v>402</v>
      </c>
    </row>
    <row r="1671" spans="1:9" x14ac:dyDescent="0.15">
      <c r="A1671" t="str">
        <f t="shared" ref="A1671:B1671" si="1394">A1670</f>
        <v>英語</v>
      </c>
      <c r="B1671">
        <f t="shared" si="1394"/>
        <v>16</v>
      </c>
      <c r="C1671">
        <f t="shared" si="1340"/>
        <v>61</v>
      </c>
      <c r="D1671">
        <f>D1614</f>
        <v>32</v>
      </c>
      <c r="E1671" t="str">
        <f>VLOOKUP(D1671,name!A:B,2,1)</f>
        <v>Asha</v>
      </c>
      <c r="F1671" t="str">
        <f t="shared" ref="F1671:F1692" si="1395">F1614</f>
        <v>ピザとサラダだけ？</v>
      </c>
      <c r="G1671" t="str">
        <f t="shared" si="1353"/>
        <v>a</v>
      </c>
      <c r="H1671" t="str">
        <f>VLOOKUP(D1671,name!A:C,3,1)</f>
        <v>assets/icons/image235.png</v>
      </c>
      <c r="I1671" t="s">
        <v>402</v>
      </c>
    </row>
    <row r="1672" spans="1:9" x14ac:dyDescent="0.15">
      <c r="A1672" t="str">
        <f t="shared" ref="A1672:B1672" si="1396">A1671</f>
        <v>英語</v>
      </c>
      <c r="B1672">
        <f t="shared" si="1396"/>
        <v>16</v>
      </c>
      <c r="C1672">
        <f t="shared" si="1340"/>
        <v>62</v>
      </c>
      <c r="D1672">
        <v>0</v>
      </c>
      <c r="E1672" t="str">
        <f>VLOOKUP(D1672,name!A:B,2,1)</f>
        <v>Player</v>
      </c>
      <c r="F1672" t="str">
        <f t="shared" si="1395"/>
        <v>Just a piece of pizza and a salad?</v>
      </c>
      <c r="G1672" t="str">
        <f t="shared" si="1353"/>
        <v>q</v>
      </c>
      <c r="H1672" t="str">
        <f>VLOOKUP(D1672,name!A:C,3,1)</f>
        <v>assets/icons/image326.png</v>
      </c>
      <c r="I1672" t="str">
        <f>IF(A1672="","",VLOOKUP(A1672,lng!A:B,2,0))</f>
        <v>en-GB</v>
      </c>
    </row>
    <row r="1673" spans="1:9" x14ac:dyDescent="0.15">
      <c r="A1673" t="str">
        <f t="shared" ref="A1673:B1673" si="1397">A1672</f>
        <v>英語</v>
      </c>
      <c r="B1673">
        <f t="shared" si="1397"/>
        <v>16</v>
      </c>
      <c r="C1673">
        <f t="shared" si="1340"/>
        <v>63</v>
      </c>
      <c r="D1673">
        <f>D1616</f>
        <v>32</v>
      </c>
      <c r="E1673" t="str">
        <f>VLOOKUP(D1673,name!A:B,2,1)</f>
        <v>Asha</v>
      </c>
      <c r="F1673" t="str">
        <f t="shared" si="1395"/>
        <v>ダイエットしているに違いない！</v>
      </c>
      <c r="G1673" t="str">
        <f t="shared" si="1353"/>
        <v>a</v>
      </c>
      <c r="H1673" t="str">
        <f>VLOOKUP(D1673,name!A:C,3,1)</f>
        <v>assets/icons/image235.png</v>
      </c>
      <c r="I1673" t="s">
        <v>402</v>
      </c>
    </row>
    <row r="1674" spans="1:9" x14ac:dyDescent="0.15">
      <c r="A1674" t="str">
        <f t="shared" ref="A1674:B1674" si="1398">A1673</f>
        <v>英語</v>
      </c>
      <c r="B1674">
        <f t="shared" si="1398"/>
        <v>16</v>
      </c>
      <c r="C1674">
        <f t="shared" si="1340"/>
        <v>64</v>
      </c>
      <c r="D1674">
        <v>0</v>
      </c>
      <c r="E1674" t="str">
        <f>VLOOKUP(D1674,name!A:B,2,1)</f>
        <v>Player</v>
      </c>
      <c r="F1674" t="str">
        <f t="shared" si="1395"/>
        <v>You must be on a diet!</v>
      </c>
      <c r="G1674" t="str">
        <f t="shared" si="1353"/>
        <v>q</v>
      </c>
      <c r="H1674" t="str">
        <f>VLOOKUP(D1674,name!A:C,3,1)</f>
        <v>assets/icons/image326.png</v>
      </c>
      <c r="I1674" t="str">
        <f>IF(A1674="","",VLOOKUP(A1674,lng!A:B,2,0))</f>
        <v>en-GB</v>
      </c>
    </row>
    <row r="1675" spans="1:9" x14ac:dyDescent="0.15">
      <c r="A1675" t="str">
        <f t="shared" ref="A1675:B1675" si="1399">A1674</f>
        <v>英語</v>
      </c>
      <c r="B1675">
        <f t="shared" si="1399"/>
        <v>16</v>
      </c>
      <c r="C1675">
        <f t="shared" si="1340"/>
        <v>65</v>
      </c>
      <c r="D1675">
        <f>D1618</f>
        <v>29</v>
      </c>
      <c r="E1675" t="str">
        <f>VLOOKUP(D1675,name!A:B,2,1)</f>
        <v>Eri</v>
      </c>
      <c r="F1675" t="str">
        <f t="shared" si="1395"/>
        <v>はい。</v>
      </c>
      <c r="G1675" t="str">
        <f t="shared" si="1353"/>
        <v>a</v>
      </c>
      <c r="H1675" t="str">
        <f>VLOOKUP(D1675,name!A:C,3,1)</f>
        <v>assets/icons/image209.png</v>
      </c>
      <c r="I1675" t="s">
        <v>402</v>
      </c>
    </row>
    <row r="1676" spans="1:9" x14ac:dyDescent="0.15">
      <c r="A1676" t="str">
        <f t="shared" ref="A1676:B1676" si="1400">A1675</f>
        <v>英語</v>
      </c>
      <c r="B1676">
        <f t="shared" si="1400"/>
        <v>16</v>
      </c>
      <c r="C1676">
        <f t="shared" si="1340"/>
        <v>66</v>
      </c>
      <c r="D1676">
        <v>0</v>
      </c>
      <c r="E1676" t="str">
        <f>VLOOKUP(D1676,name!A:B,2,1)</f>
        <v>Player</v>
      </c>
      <c r="F1676" t="str">
        <f t="shared" si="1395"/>
        <v>Yes.</v>
      </c>
      <c r="G1676" t="str">
        <f t="shared" si="1353"/>
        <v>q</v>
      </c>
      <c r="H1676" t="str">
        <f>VLOOKUP(D1676,name!A:C,3,1)</f>
        <v>assets/icons/image326.png</v>
      </c>
      <c r="I1676" t="str">
        <f>IF(A1676="","",VLOOKUP(A1676,lng!A:B,2,0))</f>
        <v>en-GB</v>
      </c>
    </row>
    <row r="1677" spans="1:9" x14ac:dyDescent="0.15">
      <c r="A1677" t="str">
        <f t="shared" ref="A1677:B1677" si="1401">A1676</f>
        <v>英語</v>
      </c>
      <c r="B1677">
        <f t="shared" si="1401"/>
        <v>16</v>
      </c>
      <c r="C1677">
        <f t="shared" ref="C1677:C1693" si="1402">C1676+1</f>
        <v>67</v>
      </c>
      <c r="D1677">
        <f>D1620</f>
        <v>29</v>
      </c>
      <c r="E1677" t="str">
        <f>VLOOKUP(D1677,name!A:B,2,1)</f>
        <v>Eri</v>
      </c>
      <c r="F1677" t="str">
        <f t="shared" si="1395"/>
        <v>ロンドンには素晴らしい食べ物が多すぎます！</v>
      </c>
      <c r="G1677" t="str">
        <f t="shared" si="1353"/>
        <v>a</v>
      </c>
      <c r="H1677" t="str">
        <f>VLOOKUP(D1677,name!A:C,3,1)</f>
        <v>assets/icons/image209.png</v>
      </c>
      <c r="I1677" t="s">
        <v>402</v>
      </c>
    </row>
    <row r="1678" spans="1:9" x14ac:dyDescent="0.15">
      <c r="A1678" t="str">
        <f t="shared" ref="A1678:B1678" si="1403">A1677</f>
        <v>英語</v>
      </c>
      <c r="B1678">
        <f t="shared" si="1403"/>
        <v>16</v>
      </c>
      <c r="C1678">
        <f t="shared" si="1402"/>
        <v>68</v>
      </c>
      <c r="D1678">
        <v>0</v>
      </c>
      <c r="E1678" t="str">
        <f>VLOOKUP(D1678,name!A:B,2,1)</f>
        <v>Player</v>
      </c>
      <c r="F1678" t="str">
        <f t="shared" si="1395"/>
        <v>Too much great food in London!</v>
      </c>
      <c r="G1678" t="str">
        <f t="shared" si="1353"/>
        <v>q</v>
      </c>
      <c r="H1678" t="str">
        <f>VLOOKUP(D1678,name!A:C,3,1)</f>
        <v>assets/icons/image326.png</v>
      </c>
      <c r="I1678" t="str">
        <f>IF(A1678="","",VLOOKUP(A1678,lng!A:B,2,0))</f>
        <v>en-GB</v>
      </c>
    </row>
    <row r="1679" spans="1:9" x14ac:dyDescent="0.15">
      <c r="A1679" t="str">
        <f t="shared" ref="A1679:B1679" si="1404">A1678</f>
        <v>英語</v>
      </c>
      <c r="B1679">
        <f t="shared" si="1404"/>
        <v>16</v>
      </c>
      <c r="C1679">
        <f t="shared" si="1402"/>
        <v>69</v>
      </c>
      <c r="D1679">
        <f>D1622</f>
        <v>29</v>
      </c>
      <c r="E1679" t="str">
        <f>VLOOKUP(D1679,name!A:B,2,1)</f>
        <v>Eri</v>
      </c>
      <c r="F1679" t="str">
        <f t="shared" si="1395"/>
        <v>今週末、ハロウィン ボンファイヤー ナイト パーティーと呼ばれるものがあるけど。</v>
      </c>
      <c r="G1679" t="str">
        <f t="shared" si="1353"/>
        <v>a</v>
      </c>
      <c r="H1679" t="str">
        <f>VLOOKUP(D1679,name!A:C,3,1)</f>
        <v>assets/icons/image209.png</v>
      </c>
      <c r="I1679" t="s">
        <v>402</v>
      </c>
    </row>
    <row r="1680" spans="1:9" x14ac:dyDescent="0.15">
      <c r="A1680" t="str">
        <f t="shared" ref="A1680:B1680" si="1405">A1679</f>
        <v>英語</v>
      </c>
      <c r="B1680">
        <f t="shared" si="1405"/>
        <v>16</v>
      </c>
      <c r="C1680">
        <f t="shared" si="1402"/>
        <v>70</v>
      </c>
      <c r="D1680">
        <v>0</v>
      </c>
      <c r="E1680" t="str">
        <f>VLOOKUP(D1680,name!A:B,2,1)</f>
        <v>Player</v>
      </c>
      <c r="F1680" t="str">
        <f t="shared" si="1395"/>
        <v xml:space="preserve"> There's something called a Halloween-Bonfire Night party this weekend.</v>
      </c>
      <c r="G1680" t="str">
        <f t="shared" si="1353"/>
        <v>q</v>
      </c>
      <c r="H1680" t="str">
        <f>VLOOKUP(D1680,name!A:C,3,1)</f>
        <v>assets/icons/image326.png</v>
      </c>
      <c r="I1680" t="str">
        <f>IF(A1680="","",VLOOKUP(A1680,lng!A:B,2,0))</f>
        <v>en-GB</v>
      </c>
    </row>
    <row r="1681" spans="1:9" x14ac:dyDescent="0.15">
      <c r="A1681" t="str">
        <f t="shared" ref="A1681:B1681" si="1406">A1680</f>
        <v>英語</v>
      </c>
      <c r="B1681">
        <f t="shared" si="1406"/>
        <v>16</v>
      </c>
      <c r="C1681">
        <f t="shared" si="1402"/>
        <v>71</v>
      </c>
      <c r="D1681">
        <f>D1624</f>
        <v>29</v>
      </c>
      <c r="E1681" t="str">
        <f>VLOOKUP(D1681,name!A:B,2,1)</f>
        <v>Eri</v>
      </c>
      <c r="F1681" t="str">
        <f t="shared" si="1395"/>
        <v>文化の勉強に役立つなら、参加するべきですよね？</v>
      </c>
      <c r="G1681" t="str">
        <f t="shared" si="1353"/>
        <v>a</v>
      </c>
      <c r="H1681" t="str">
        <f>VLOOKUP(D1681,name!A:C,3,1)</f>
        <v>assets/icons/image209.png</v>
      </c>
      <c r="I1681" t="s">
        <v>402</v>
      </c>
    </row>
    <row r="1682" spans="1:9" x14ac:dyDescent="0.15">
      <c r="A1682" t="str">
        <f t="shared" ref="A1682:B1682" si="1407">A1681</f>
        <v>英語</v>
      </c>
      <c r="B1682">
        <f t="shared" si="1407"/>
        <v>16</v>
      </c>
      <c r="C1682">
        <f t="shared" si="1402"/>
        <v>72</v>
      </c>
      <c r="D1682">
        <v>0</v>
      </c>
      <c r="E1682" t="str">
        <f>VLOOKUP(D1682,name!A:B,2,1)</f>
        <v>Player</v>
      </c>
      <c r="F1682" t="str">
        <f t="shared" si="1395"/>
        <v xml:space="preserve"> If it's useful cultural study, I should attend, shouldn't I?</v>
      </c>
      <c r="G1682" t="str">
        <f t="shared" si="1353"/>
        <v>q</v>
      </c>
      <c r="H1682" t="str">
        <f>VLOOKUP(D1682,name!A:C,3,1)</f>
        <v>assets/icons/image326.png</v>
      </c>
      <c r="I1682" t="str">
        <f>IF(A1682="","",VLOOKUP(A1682,lng!A:B,2,0))</f>
        <v>en-GB</v>
      </c>
    </row>
    <row r="1683" spans="1:9" x14ac:dyDescent="0.15">
      <c r="A1683" t="str">
        <f t="shared" ref="A1683:B1683" si="1408">A1682</f>
        <v>英語</v>
      </c>
      <c r="B1683">
        <f t="shared" si="1408"/>
        <v>16</v>
      </c>
      <c r="C1683">
        <f t="shared" si="1402"/>
        <v>73</v>
      </c>
      <c r="D1683">
        <f>D1626</f>
        <v>29</v>
      </c>
      <c r="E1683" t="str">
        <f>VLOOKUP(D1683,name!A:B,2,1)</f>
        <v>Eri</v>
      </c>
      <c r="F1683" t="str">
        <f t="shared" si="1395"/>
        <v>ボンファイア・ナイトが何なのかさっぱりわかりません。</v>
      </c>
      <c r="G1683" t="str">
        <f t="shared" si="1353"/>
        <v>a</v>
      </c>
      <c r="H1683" t="str">
        <f>VLOOKUP(D1683,name!A:C,3,1)</f>
        <v>assets/icons/image209.png</v>
      </c>
      <c r="I1683" t="s">
        <v>402</v>
      </c>
    </row>
    <row r="1684" spans="1:9" x14ac:dyDescent="0.15">
      <c r="A1684" t="str">
        <f t="shared" ref="A1684:B1684" si="1409">A1683</f>
        <v>英語</v>
      </c>
      <c r="B1684">
        <f t="shared" si="1409"/>
        <v>16</v>
      </c>
      <c r="C1684">
        <f t="shared" si="1402"/>
        <v>74</v>
      </c>
      <c r="D1684">
        <v>0</v>
      </c>
      <c r="E1684" t="str">
        <f>VLOOKUP(D1684,name!A:B,2,1)</f>
        <v>Player</v>
      </c>
      <c r="F1684" t="str">
        <f t="shared" si="1395"/>
        <v xml:space="preserve"> I haven't a clue what Bonfire Night is.</v>
      </c>
      <c r="G1684" t="str">
        <f t="shared" si="1353"/>
        <v>q</v>
      </c>
      <c r="H1684" t="str">
        <f>VLOOKUP(D1684,name!A:C,3,1)</f>
        <v>assets/icons/image326.png</v>
      </c>
      <c r="I1684" t="str">
        <f>IF(A1684="","",VLOOKUP(A1684,lng!A:B,2,0))</f>
        <v>en-GB</v>
      </c>
    </row>
    <row r="1685" spans="1:9" x14ac:dyDescent="0.15">
      <c r="A1685" t="str">
        <f t="shared" ref="A1685:B1685" si="1410">A1684</f>
        <v>英語</v>
      </c>
      <c r="B1685">
        <f t="shared" si="1410"/>
        <v>16</v>
      </c>
      <c r="C1685">
        <f t="shared" si="1402"/>
        <v>75</v>
      </c>
      <c r="D1685">
        <f>D1628</f>
        <v>32</v>
      </c>
      <c r="E1685" t="str">
        <f>VLOOKUP(D1685,name!A:B,2,1)</f>
        <v>Asha</v>
      </c>
      <c r="F1685" t="str">
        <f t="shared" si="1395"/>
        <v>あなたはなんて模範的な学生でしょう！</v>
      </c>
      <c r="G1685" t="str">
        <f t="shared" si="1353"/>
        <v>a</v>
      </c>
      <c r="H1685" t="str">
        <f>VLOOKUP(D1685,name!A:C,3,1)</f>
        <v>assets/icons/image235.png</v>
      </c>
      <c r="I1685" t="s">
        <v>402</v>
      </c>
    </row>
    <row r="1686" spans="1:9" x14ac:dyDescent="0.15">
      <c r="A1686" t="str">
        <f t="shared" ref="A1686:B1686" si="1411">A1685</f>
        <v>英語</v>
      </c>
      <c r="B1686">
        <f t="shared" si="1411"/>
        <v>16</v>
      </c>
      <c r="C1686">
        <f t="shared" si="1402"/>
        <v>76</v>
      </c>
      <c r="D1686">
        <v>0</v>
      </c>
      <c r="E1686" t="str">
        <f>VLOOKUP(D1686,name!A:B,2,1)</f>
        <v>Player</v>
      </c>
      <c r="F1686" t="str">
        <f t="shared" si="1395"/>
        <v>What a model student you are!</v>
      </c>
      <c r="G1686" t="str">
        <f t="shared" si="1353"/>
        <v>q</v>
      </c>
      <c r="H1686" t="str">
        <f>VLOOKUP(D1686,name!A:C,3,1)</f>
        <v>assets/icons/image326.png</v>
      </c>
      <c r="I1686" t="str">
        <f>IF(A1686="","",VLOOKUP(A1686,lng!A:B,2,0))</f>
        <v>en-GB</v>
      </c>
    </row>
    <row r="1687" spans="1:9" x14ac:dyDescent="0.15">
      <c r="A1687" t="str">
        <f t="shared" ref="A1687:B1687" si="1412">A1686</f>
        <v>英語</v>
      </c>
      <c r="B1687">
        <f t="shared" si="1412"/>
        <v>16</v>
      </c>
      <c r="C1687">
        <f t="shared" si="1402"/>
        <v>77</v>
      </c>
      <c r="D1687">
        <f>D1630</f>
        <v>32</v>
      </c>
      <c r="E1687" t="str">
        <f>VLOOKUP(D1687,name!A:B,2,1)</f>
        <v>Asha</v>
      </c>
      <c r="F1687" t="str">
        <f t="shared" si="1395"/>
        <v>しかも、あなたはロンドンの発展の歴史に関するレポートでレンに感銘を与えました。</v>
      </c>
      <c r="G1687" t="str">
        <f t="shared" si="1353"/>
        <v>a</v>
      </c>
      <c r="H1687" t="str">
        <f>VLOOKUP(D1687,name!A:C,3,1)</f>
        <v>assets/icons/image235.png</v>
      </c>
      <c r="I1687" t="s">
        <v>402</v>
      </c>
    </row>
    <row r="1688" spans="1:9" x14ac:dyDescent="0.15">
      <c r="A1688" t="str">
        <f t="shared" ref="A1688:B1688" si="1413">A1687</f>
        <v>英語</v>
      </c>
      <c r="B1688">
        <f t="shared" si="1413"/>
        <v>16</v>
      </c>
      <c r="C1688">
        <f t="shared" si="1402"/>
        <v>78</v>
      </c>
      <c r="D1688">
        <v>0</v>
      </c>
      <c r="E1688" t="str">
        <f>VLOOKUP(D1688,name!A:B,2,1)</f>
        <v>Player</v>
      </c>
      <c r="F1688" t="str">
        <f t="shared" si="1395"/>
        <v>Still, you did impress Len with your report on the history of London's development.</v>
      </c>
      <c r="G1688" t="str">
        <f t="shared" si="1353"/>
        <v>q</v>
      </c>
      <c r="H1688" t="str">
        <f>VLOOKUP(D1688,name!A:C,3,1)</f>
        <v>assets/icons/image326.png</v>
      </c>
      <c r="I1688" t="str">
        <f>IF(A1688="","",VLOOKUP(A1688,lng!A:B,2,0))</f>
        <v>en-GB</v>
      </c>
    </row>
    <row r="1689" spans="1:9" x14ac:dyDescent="0.15">
      <c r="A1689" t="str">
        <f t="shared" ref="A1689:B1689" si="1414">A1688</f>
        <v>英語</v>
      </c>
      <c r="B1689">
        <f t="shared" si="1414"/>
        <v>16</v>
      </c>
      <c r="C1689">
        <f t="shared" si="1402"/>
        <v>79</v>
      </c>
      <c r="D1689">
        <f>D1632</f>
        <v>32</v>
      </c>
      <c r="E1689" t="str">
        <f>VLOOKUP(D1689,name!A:B,2,1)</f>
        <v>Asha</v>
      </c>
      <c r="F1689" t="str">
        <f t="shared" si="1395"/>
        <v>ボンファイア・ナイトは 11 月 5 日で、議会が 17 世紀に爆破されなかったことを祝います。</v>
      </c>
      <c r="G1689" t="str">
        <f t="shared" si="1353"/>
        <v>a</v>
      </c>
      <c r="H1689" t="str">
        <f>VLOOKUP(D1689,name!A:C,3,1)</f>
        <v>assets/icons/image235.png</v>
      </c>
      <c r="I1689" t="s">
        <v>402</v>
      </c>
    </row>
    <row r="1690" spans="1:9" x14ac:dyDescent="0.15">
      <c r="A1690" t="str">
        <f t="shared" ref="A1690:B1690" si="1415">A1689</f>
        <v>英語</v>
      </c>
      <c r="B1690">
        <f t="shared" si="1415"/>
        <v>16</v>
      </c>
      <c r="C1690">
        <f t="shared" si="1402"/>
        <v>80</v>
      </c>
      <c r="D1690">
        <v>0</v>
      </c>
      <c r="E1690" t="str">
        <f>VLOOKUP(D1690,name!A:B,2,1)</f>
        <v>Player</v>
      </c>
      <c r="F1690" t="str">
        <f t="shared" si="1395"/>
        <v>Bonfire Night is November 5th, and celebrates Parliament not getting blown up in the seventeenth century,</v>
      </c>
      <c r="G1690" t="str">
        <f t="shared" si="1353"/>
        <v>q</v>
      </c>
      <c r="H1690" t="str">
        <f>VLOOKUP(D1690,name!A:C,3,1)</f>
        <v>assets/icons/image326.png</v>
      </c>
      <c r="I1690" t="str">
        <f>IF(A1690="","",VLOOKUP(A1690,lng!A:B,2,0))</f>
        <v>en-GB</v>
      </c>
    </row>
    <row r="1691" spans="1:9" x14ac:dyDescent="0.15">
      <c r="A1691" t="str">
        <f t="shared" ref="A1691:B1691" si="1416">A1690</f>
        <v>英語</v>
      </c>
      <c r="B1691">
        <f t="shared" si="1416"/>
        <v>16</v>
      </c>
      <c r="C1691">
        <f t="shared" si="1402"/>
        <v>81</v>
      </c>
      <c r="D1691">
        <f>D1634</f>
        <v>32</v>
      </c>
      <c r="E1691" t="str">
        <f>VLOOKUP(D1691,name!A:B,2,1)</f>
        <v>Asha</v>
      </c>
      <c r="F1691" t="str">
        <f t="shared" si="1395"/>
        <v>しかし最近では、アメリカのハロウィーンの伝統がそれを殺していると思います.</v>
      </c>
      <c r="G1691" t="str">
        <f t="shared" si="1353"/>
        <v>a</v>
      </c>
      <c r="H1691" t="str">
        <f>VLOOKUP(D1691,name!A:C,3,1)</f>
        <v>assets/icons/image235.png</v>
      </c>
      <c r="I1691" t="s">
        <v>402</v>
      </c>
    </row>
    <row r="1692" spans="1:9" x14ac:dyDescent="0.15">
      <c r="A1692" t="str">
        <f t="shared" ref="A1692:B1692" si="1417">A1691</f>
        <v>英語</v>
      </c>
      <c r="B1692">
        <f t="shared" si="1417"/>
        <v>16</v>
      </c>
      <c r="C1692">
        <f t="shared" si="1402"/>
        <v>82</v>
      </c>
      <c r="D1692">
        <v>0</v>
      </c>
      <c r="E1692" t="str">
        <f>VLOOKUP(D1692,name!A:B,2,1)</f>
        <v>Player</v>
      </c>
      <c r="F1692" t="str">
        <f t="shared" si="1395"/>
        <v>but nowadays the American Halloween traditions are killing it off, I think.</v>
      </c>
      <c r="G1692" t="str">
        <f t="shared" si="1353"/>
        <v>q</v>
      </c>
      <c r="H1692" t="str">
        <f>VLOOKUP(D1692,name!A:C,3,1)</f>
        <v>assets/icons/image326.png</v>
      </c>
      <c r="I1692" t="str">
        <f>IF(A1692="","",VLOOKUP(A1692,lng!A:B,2,0))</f>
        <v>en-GB</v>
      </c>
    </row>
    <row r="1693" spans="1:9" x14ac:dyDescent="0.15">
      <c r="A1693" t="str">
        <f t="shared" ref="A1693:B1693" si="1418">A1692</f>
        <v>英語</v>
      </c>
      <c r="B1693">
        <f t="shared" si="1418"/>
        <v>16</v>
      </c>
      <c r="C1693">
        <f t="shared" si="1402"/>
        <v>83</v>
      </c>
      <c r="D1693">
        <v>1</v>
      </c>
      <c r="E1693" t="str">
        <f>VLOOKUP(D1693,name!A:B,2,1)</f>
        <v>Navigator</v>
      </c>
      <c r="F1693" t="str">
        <f>"とても良くできました。レッスン"&amp;B1693&amp;"はこれで終了です。"</f>
        <v>とても良くできました。レッスン16はこれで終了です。</v>
      </c>
      <c r="G1693" t="str">
        <f t="shared" si="1353"/>
        <v>e</v>
      </c>
      <c r="H1693" t="str">
        <f>VLOOKUP(D1693,name!A:C,3,1)</f>
        <v>assets/icons/image014.png</v>
      </c>
      <c r="I1693" t="s">
        <v>402</v>
      </c>
    </row>
    <row r="1694" spans="1:9" x14ac:dyDescent="0.15">
      <c r="A1694" t="str">
        <f>A1693</f>
        <v>英語</v>
      </c>
      <c r="B1694">
        <f>B1693+1</f>
        <v>17</v>
      </c>
      <c r="C1694">
        <v>1</v>
      </c>
      <c r="D1694">
        <v>1</v>
      </c>
      <c r="E1694" t="str">
        <f>VLOOKUP(D1694,name!A:B,2,1)</f>
        <v>Navigator</v>
      </c>
      <c r="F1694" t="s">
        <v>920</v>
      </c>
      <c r="G1694" t="str">
        <f t="shared" ref="G1694:G1757" si="1419">IF(B1694&lt;&gt;B1695,"e",IF(D1694=0,"q","a"))</f>
        <v>a</v>
      </c>
      <c r="H1694" t="str">
        <f>VLOOKUP(D1694,name!A:C,3,1)</f>
        <v>assets/icons/image014.png</v>
      </c>
      <c r="I1694" t="str">
        <f>IF(A1694="","",VLOOKUP(A1694,lng!A:B,2,0))</f>
        <v>en-GB</v>
      </c>
    </row>
    <row r="1695" spans="1:9" x14ac:dyDescent="0.15">
      <c r="A1695" t="str">
        <f t="shared" ref="A1695:B1710" si="1420">A1694</f>
        <v>英語</v>
      </c>
      <c r="B1695">
        <f>B1694</f>
        <v>17</v>
      </c>
      <c r="C1695">
        <f>C1694+1</f>
        <v>2</v>
      </c>
      <c r="D1695">
        <v>1</v>
      </c>
      <c r="E1695" t="str">
        <f>VLOOKUP(D1695,name!A:B,2,1)</f>
        <v>Navigator</v>
      </c>
      <c r="F1695" t="str">
        <f>"レッスン"&amp;B1695</f>
        <v>レッスン17</v>
      </c>
      <c r="G1695" t="str">
        <f t="shared" si="1419"/>
        <v>a</v>
      </c>
      <c r="H1695" t="str">
        <f>VLOOKUP(D1695,name!A:C,3,1)</f>
        <v>assets/icons/image014.png</v>
      </c>
      <c r="I1695" t="s">
        <v>402</v>
      </c>
    </row>
    <row r="1696" spans="1:9" ht="40.5" x14ac:dyDescent="0.15">
      <c r="A1696" t="str">
        <f t="shared" si="1420"/>
        <v>英語</v>
      </c>
      <c r="B1696">
        <f t="shared" si="1420"/>
        <v>17</v>
      </c>
      <c r="C1696">
        <f t="shared" ref="C1696:C1759" si="1421">C1695+1</f>
        <v>3</v>
      </c>
      <c r="D1696">
        <v>1</v>
      </c>
      <c r="E1696" t="str">
        <f>VLOOKUP(D1696,name!A:B,2,1)</f>
        <v>Navigator</v>
      </c>
      <c r="F1696" s="1" t="str">
        <f>"まずは対話文を流します。その後に、日本語と"&amp;A1696&amp;"を一文ずつ流すので"&amp;A1696&amp;"を真似して下さい。最後に日本語のみを流すので、"&amp;A1696&amp;"で答えてください。"</f>
        <v>まずは対話文を流します。その後に、日本語と英語を一文ずつ流すので英語を真似して下さい。最後に日本語のみを流すので、英語で答えてください。</v>
      </c>
      <c r="G1696" t="str">
        <f t="shared" si="1419"/>
        <v>a</v>
      </c>
      <c r="H1696" t="str">
        <f>VLOOKUP(D1696,name!A:C,3,1)</f>
        <v>assets/icons/image014.png</v>
      </c>
      <c r="I1696" t="s">
        <v>402</v>
      </c>
    </row>
    <row r="1697" spans="1:9" x14ac:dyDescent="0.15">
      <c r="A1697" t="str">
        <f t="shared" si="1420"/>
        <v>英語</v>
      </c>
      <c r="B1697">
        <f t="shared" si="1420"/>
        <v>17</v>
      </c>
      <c r="C1697">
        <f t="shared" si="1421"/>
        <v>4</v>
      </c>
      <c r="D1697">
        <f>D1698</f>
        <v>35</v>
      </c>
      <c r="E1697" t="str">
        <f>VLOOKUP(D1697,name!A:B,2,1)</f>
        <v>Fiona</v>
      </c>
      <c r="F1697" t="s">
        <v>935</v>
      </c>
      <c r="G1697" t="str">
        <f t="shared" si="1419"/>
        <v>a</v>
      </c>
      <c r="H1697" t="str">
        <f>VLOOKUP(D1697,name!A:C,3,1)</f>
        <v>assets/icons/image329.png</v>
      </c>
      <c r="I1697" t="s">
        <v>402</v>
      </c>
    </row>
    <row r="1698" spans="1:9" x14ac:dyDescent="0.15">
      <c r="A1698" t="str">
        <f t="shared" si="1420"/>
        <v>英語</v>
      </c>
      <c r="B1698">
        <f t="shared" si="1420"/>
        <v>17</v>
      </c>
      <c r="C1698">
        <f t="shared" si="1421"/>
        <v>5</v>
      </c>
      <c r="D1698">
        <f t="shared" ref="D1698:D1723" si="1422">D1699</f>
        <v>35</v>
      </c>
      <c r="E1698" t="str">
        <f>VLOOKUP(D1698,name!A:B,2,1)</f>
        <v>Fiona</v>
      </c>
      <c r="F1698" t="s">
        <v>921</v>
      </c>
      <c r="G1698" t="str">
        <f t="shared" si="1419"/>
        <v>a</v>
      </c>
      <c r="H1698" t="str">
        <f>VLOOKUP(D1698,name!A:C,3,1)</f>
        <v>assets/icons/image329.png</v>
      </c>
      <c r="I1698" t="str">
        <f>IF(A1698="","",VLOOKUP(A1698,lng!A:B,2,0))</f>
        <v>en-GB</v>
      </c>
    </row>
    <row r="1699" spans="1:9" x14ac:dyDescent="0.15">
      <c r="A1699" t="str">
        <f t="shared" si="1420"/>
        <v>英語</v>
      </c>
      <c r="B1699">
        <f t="shared" si="1420"/>
        <v>17</v>
      </c>
      <c r="C1699">
        <f t="shared" si="1421"/>
        <v>6</v>
      </c>
      <c r="D1699">
        <f t="shared" si="1422"/>
        <v>35</v>
      </c>
      <c r="E1699" t="str">
        <f>VLOOKUP(D1699,name!A:B,2,1)</f>
        <v>Fiona</v>
      </c>
      <c r="F1699" t="s">
        <v>939</v>
      </c>
      <c r="G1699" t="str">
        <f t="shared" si="1419"/>
        <v>a</v>
      </c>
      <c r="H1699" t="str">
        <f>VLOOKUP(D1699,name!A:C,3,1)</f>
        <v>assets/icons/image329.png</v>
      </c>
      <c r="I1699" t="s">
        <v>402</v>
      </c>
    </row>
    <row r="1700" spans="1:9" x14ac:dyDescent="0.15">
      <c r="A1700" t="str">
        <f t="shared" si="1420"/>
        <v>英語</v>
      </c>
      <c r="B1700">
        <f t="shared" si="1420"/>
        <v>17</v>
      </c>
      <c r="C1700">
        <f t="shared" si="1421"/>
        <v>7</v>
      </c>
      <c r="D1700">
        <f t="shared" si="1422"/>
        <v>35</v>
      </c>
      <c r="E1700" t="str">
        <f>VLOOKUP(D1700,name!A:B,2,1)</f>
        <v>Fiona</v>
      </c>
      <c r="F1700" t="s">
        <v>936</v>
      </c>
      <c r="G1700" t="str">
        <f t="shared" si="1419"/>
        <v>a</v>
      </c>
      <c r="H1700" t="str">
        <f>VLOOKUP(D1700,name!A:C,3,1)</f>
        <v>assets/icons/image329.png</v>
      </c>
      <c r="I1700" t="str">
        <f>IF(A1700="","",VLOOKUP(A1700,lng!A:B,2,0))</f>
        <v>en-GB</v>
      </c>
    </row>
    <row r="1701" spans="1:9" x14ac:dyDescent="0.15">
      <c r="A1701" t="str">
        <f t="shared" si="1420"/>
        <v>英語</v>
      </c>
      <c r="B1701">
        <f t="shared" si="1420"/>
        <v>17</v>
      </c>
      <c r="C1701">
        <f t="shared" si="1421"/>
        <v>8</v>
      </c>
      <c r="D1701">
        <f t="shared" si="1422"/>
        <v>35</v>
      </c>
      <c r="E1701" t="str">
        <f>VLOOKUP(D1701,name!A:B,2,1)</f>
        <v>Fiona</v>
      </c>
      <c r="F1701" t="s">
        <v>938</v>
      </c>
      <c r="G1701" t="str">
        <f t="shared" si="1419"/>
        <v>a</v>
      </c>
      <c r="H1701" t="str">
        <f>VLOOKUP(D1701,name!A:C,3,1)</f>
        <v>assets/icons/image329.png</v>
      </c>
      <c r="I1701" t="s">
        <v>402</v>
      </c>
    </row>
    <row r="1702" spans="1:9" x14ac:dyDescent="0.15">
      <c r="A1702" t="str">
        <f t="shared" si="1420"/>
        <v>英語</v>
      </c>
      <c r="B1702">
        <f t="shared" si="1420"/>
        <v>17</v>
      </c>
      <c r="C1702">
        <f t="shared" si="1421"/>
        <v>9</v>
      </c>
      <c r="D1702">
        <v>35</v>
      </c>
      <c r="E1702" t="str">
        <f>VLOOKUP(D1702,name!A:B,2,1)</f>
        <v>Fiona</v>
      </c>
      <c r="F1702" t="s">
        <v>937</v>
      </c>
      <c r="G1702" t="str">
        <f t="shared" si="1419"/>
        <v>a</v>
      </c>
      <c r="H1702" t="str">
        <f>VLOOKUP(D1702,name!A:C,3,1)</f>
        <v>assets/icons/image329.png</v>
      </c>
      <c r="I1702" t="str">
        <f>IF(A1702="","",VLOOKUP(A1702,lng!A:B,2,0))</f>
        <v>en-GB</v>
      </c>
    </row>
    <row r="1703" spans="1:9" x14ac:dyDescent="0.15">
      <c r="A1703" t="str">
        <f t="shared" si="1420"/>
        <v>英語</v>
      </c>
      <c r="B1703">
        <f t="shared" si="1420"/>
        <v>17</v>
      </c>
      <c r="C1703">
        <f t="shared" si="1421"/>
        <v>10</v>
      </c>
      <c r="D1703">
        <f t="shared" si="1422"/>
        <v>29</v>
      </c>
      <c r="E1703" t="str">
        <f>VLOOKUP(D1703,name!A:B,2,1)</f>
        <v>Eri</v>
      </c>
      <c r="F1703" t="s">
        <v>940</v>
      </c>
      <c r="G1703" t="str">
        <f t="shared" si="1419"/>
        <v>a</v>
      </c>
      <c r="H1703" t="str">
        <f>VLOOKUP(D1703,name!A:C,3,1)</f>
        <v>assets/icons/image209.png</v>
      </c>
      <c r="I1703" t="s">
        <v>402</v>
      </c>
    </row>
    <row r="1704" spans="1:9" x14ac:dyDescent="0.15">
      <c r="A1704" t="str">
        <f t="shared" si="1420"/>
        <v>英語</v>
      </c>
      <c r="B1704">
        <f t="shared" si="1420"/>
        <v>17</v>
      </c>
      <c r="C1704">
        <f t="shared" si="1421"/>
        <v>11</v>
      </c>
      <c r="D1704">
        <f t="shared" si="1422"/>
        <v>29</v>
      </c>
      <c r="E1704" t="str">
        <f>VLOOKUP(D1704,name!A:B,2,1)</f>
        <v>Eri</v>
      </c>
      <c r="F1704" t="s">
        <v>922</v>
      </c>
      <c r="G1704" t="str">
        <f t="shared" si="1419"/>
        <v>a</v>
      </c>
      <c r="H1704" t="str">
        <f>VLOOKUP(D1704,name!A:C,3,1)</f>
        <v>assets/icons/image209.png</v>
      </c>
      <c r="I1704" t="str">
        <f>IF(A1704="","",VLOOKUP(A1704,lng!A:B,2,0))</f>
        <v>en-GB</v>
      </c>
    </row>
    <row r="1705" spans="1:9" x14ac:dyDescent="0.15">
      <c r="A1705" t="str">
        <f t="shared" si="1420"/>
        <v>英語</v>
      </c>
      <c r="B1705">
        <f t="shared" si="1420"/>
        <v>17</v>
      </c>
      <c r="C1705">
        <f t="shared" si="1421"/>
        <v>12</v>
      </c>
      <c r="D1705">
        <f t="shared" si="1422"/>
        <v>29</v>
      </c>
      <c r="E1705" t="str">
        <f>VLOOKUP(D1705,name!A:B,2,1)</f>
        <v>Eri</v>
      </c>
      <c r="F1705" t="s">
        <v>941</v>
      </c>
      <c r="G1705" t="str">
        <f t="shared" si="1419"/>
        <v>a</v>
      </c>
      <c r="H1705" t="str">
        <f>VLOOKUP(D1705,name!A:C,3,1)</f>
        <v>assets/icons/image209.png</v>
      </c>
      <c r="I1705" t="s">
        <v>402</v>
      </c>
    </row>
    <row r="1706" spans="1:9" x14ac:dyDescent="0.15">
      <c r="A1706" t="str">
        <f t="shared" si="1420"/>
        <v>英語</v>
      </c>
      <c r="B1706">
        <f t="shared" si="1420"/>
        <v>17</v>
      </c>
      <c r="C1706">
        <f t="shared" si="1421"/>
        <v>13</v>
      </c>
      <c r="D1706">
        <v>29</v>
      </c>
      <c r="E1706" t="str">
        <f>VLOOKUP(D1706,name!A:B,2,1)</f>
        <v>Eri</v>
      </c>
      <c r="F1706" t="s">
        <v>925</v>
      </c>
      <c r="G1706" t="str">
        <f t="shared" si="1419"/>
        <v>a</v>
      </c>
      <c r="H1706" t="str">
        <f>VLOOKUP(D1706,name!A:C,3,1)</f>
        <v>assets/icons/image209.png</v>
      </c>
      <c r="I1706" t="str">
        <f>IF(A1706="","",VLOOKUP(A1706,lng!A:B,2,0))</f>
        <v>en-GB</v>
      </c>
    </row>
    <row r="1707" spans="1:9" x14ac:dyDescent="0.15">
      <c r="A1707" t="str">
        <f t="shared" si="1420"/>
        <v>英語</v>
      </c>
      <c r="B1707">
        <f t="shared" si="1420"/>
        <v>17</v>
      </c>
      <c r="C1707">
        <f t="shared" si="1421"/>
        <v>14</v>
      </c>
      <c r="D1707">
        <f t="shared" si="1422"/>
        <v>35</v>
      </c>
      <c r="E1707" t="str">
        <f>VLOOKUP(D1707,name!A:B,2,1)</f>
        <v>Fiona</v>
      </c>
      <c r="F1707" t="s">
        <v>942</v>
      </c>
      <c r="G1707" t="str">
        <f t="shared" si="1419"/>
        <v>a</v>
      </c>
      <c r="H1707" t="str">
        <f>VLOOKUP(D1707,name!A:C,3,1)</f>
        <v>assets/icons/image329.png</v>
      </c>
      <c r="I1707" t="s">
        <v>402</v>
      </c>
    </row>
    <row r="1708" spans="1:9" x14ac:dyDescent="0.15">
      <c r="A1708" t="str">
        <f t="shared" si="1420"/>
        <v>英語</v>
      </c>
      <c r="B1708">
        <f t="shared" si="1420"/>
        <v>17</v>
      </c>
      <c r="C1708">
        <f t="shared" si="1421"/>
        <v>15</v>
      </c>
      <c r="D1708">
        <f t="shared" si="1422"/>
        <v>35</v>
      </c>
      <c r="E1708" t="str">
        <f>VLOOKUP(D1708,name!A:B,2,1)</f>
        <v>Fiona</v>
      </c>
      <c r="F1708" t="s">
        <v>926</v>
      </c>
      <c r="G1708" t="str">
        <f t="shared" si="1419"/>
        <v>a</v>
      </c>
      <c r="H1708" t="str">
        <f>VLOOKUP(D1708,name!A:C,3,1)</f>
        <v>assets/icons/image329.png</v>
      </c>
      <c r="I1708" t="str">
        <f>IF(A1708="","",VLOOKUP(A1708,lng!A:B,2,0))</f>
        <v>en-GB</v>
      </c>
    </row>
    <row r="1709" spans="1:9" x14ac:dyDescent="0.15">
      <c r="A1709" t="str">
        <f t="shared" si="1420"/>
        <v>英語</v>
      </c>
      <c r="B1709">
        <f t="shared" si="1420"/>
        <v>17</v>
      </c>
      <c r="C1709">
        <f t="shared" si="1421"/>
        <v>16</v>
      </c>
      <c r="D1709">
        <f t="shared" si="1422"/>
        <v>35</v>
      </c>
      <c r="E1709" t="str">
        <f>VLOOKUP(D1709,name!A:B,2,1)</f>
        <v>Fiona</v>
      </c>
      <c r="F1709" t="s">
        <v>943</v>
      </c>
      <c r="G1709" t="str">
        <f t="shared" si="1419"/>
        <v>a</v>
      </c>
      <c r="H1709" t="str">
        <f>VLOOKUP(D1709,name!A:C,3,1)</f>
        <v>assets/icons/image329.png</v>
      </c>
      <c r="I1709" t="s">
        <v>402</v>
      </c>
    </row>
    <row r="1710" spans="1:9" x14ac:dyDescent="0.15">
      <c r="A1710" t="str">
        <f t="shared" si="1420"/>
        <v>英語</v>
      </c>
      <c r="B1710">
        <f t="shared" si="1420"/>
        <v>17</v>
      </c>
      <c r="C1710">
        <f t="shared" si="1421"/>
        <v>17</v>
      </c>
      <c r="D1710">
        <v>35</v>
      </c>
      <c r="E1710" t="str">
        <f>VLOOKUP(D1710,name!A:B,2,1)</f>
        <v>Fiona</v>
      </c>
      <c r="F1710" t="s">
        <v>927</v>
      </c>
      <c r="G1710" t="str">
        <f t="shared" si="1419"/>
        <v>a</v>
      </c>
      <c r="H1710" t="str">
        <f>VLOOKUP(D1710,name!A:C,3,1)</f>
        <v>assets/icons/image329.png</v>
      </c>
      <c r="I1710" t="str">
        <f>IF(A1710="","",VLOOKUP(A1710,lng!A:B,2,0))</f>
        <v>en-GB</v>
      </c>
    </row>
    <row r="1711" spans="1:9" x14ac:dyDescent="0.15">
      <c r="A1711" t="str">
        <f t="shared" ref="A1711:B1712" si="1423">A1710</f>
        <v>英語</v>
      </c>
      <c r="B1711">
        <f t="shared" si="1423"/>
        <v>17</v>
      </c>
      <c r="C1711">
        <f t="shared" si="1421"/>
        <v>18</v>
      </c>
      <c r="D1711">
        <f t="shared" si="1422"/>
        <v>29</v>
      </c>
      <c r="E1711" t="str">
        <f>VLOOKUP(D1711,name!A:B,2,1)</f>
        <v>Eri</v>
      </c>
      <c r="F1711" t="s">
        <v>944</v>
      </c>
      <c r="G1711" t="str">
        <f t="shared" si="1419"/>
        <v>a</v>
      </c>
      <c r="H1711" t="str">
        <f>VLOOKUP(D1711,name!A:C,3,1)</f>
        <v>assets/icons/image209.png</v>
      </c>
      <c r="I1711" t="s">
        <v>402</v>
      </c>
    </row>
    <row r="1712" spans="1:9" x14ac:dyDescent="0.15">
      <c r="A1712" t="str">
        <f t="shared" si="1423"/>
        <v>英語</v>
      </c>
      <c r="B1712">
        <f t="shared" si="1423"/>
        <v>17</v>
      </c>
      <c r="C1712">
        <f t="shared" si="1421"/>
        <v>19</v>
      </c>
      <c r="D1712">
        <f t="shared" si="1422"/>
        <v>29</v>
      </c>
      <c r="E1712" t="str">
        <f>VLOOKUP(D1712,name!A:B,2,1)</f>
        <v>Eri</v>
      </c>
      <c r="F1712" t="s">
        <v>928</v>
      </c>
      <c r="G1712" t="str">
        <f t="shared" si="1419"/>
        <v>a</v>
      </c>
      <c r="H1712" t="str">
        <f>VLOOKUP(D1712,name!A:C,3,1)</f>
        <v>assets/icons/image209.png</v>
      </c>
      <c r="I1712" t="str">
        <f>IF(A1712="","",VLOOKUP(A1712,lng!A:B,2,0))</f>
        <v>en-GB</v>
      </c>
    </row>
    <row r="1713" spans="1:9" x14ac:dyDescent="0.15">
      <c r="A1713" t="str">
        <f t="shared" ref="A1713:B1713" si="1424">A1712</f>
        <v>英語</v>
      </c>
      <c r="B1713">
        <f t="shared" si="1424"/>
        <v>17</v>
      </c>
      <c r="C1713">
        <f t="shared" si="1421"/>
        <v>20</v>
      </c>
      <c r="D1713">
        <f t="shared" si="1422"/>
        <v>29</v>
      </c>
      <c r="E1713" t="str">
        <f>VLOOKUP(D1713,name!A:B,2,1)</f>
        <v>Eri</v>
      </c>
      <c r="F1713" t="s">
        <v>945</v>
      </c>
      <c r="G1713" t="str">
        <f t="shared" si="1419"/>
        <v>a</v>
      </c>
      <c r="H1713" t="str">
        <f>VLOOKUP(D1713,name!A:C,3,1)</f>
        <v>assets/icons/image209.png</v>
      </c>
      <c r="I1713" t="s">
        <v>402</v>
      </c>
    </row>
    <row r="1714" spans="1:9" x14ac:dyDescent="0.15">
      <c r="A1714" t="str">
        <f t="shared" ref="A1714:B1714" si="1425">A1713</f>
        <v>英語</v>
      </c>
      <c r="B1714">
        <f t="shared" si="1425"/>
        <v>17</v>
      </c>
      <c r="C1714">
        <f t="shared" si="1421"/>
        <v>21</v>
      </c>
      <c r="D1714">
        <v>29</v>
      </c>
      <c r="E1714" t="str">
        <f>VLOOKUP(D1714,name!A:B,2,1)</f>
        <v>Eri</v>
      </c>
      <c r="F1714" t="s">
        <v>929</v>
      </c>
      <c r="G1714" t="str">
        <f t="shared" si="1419"/>
        <v>a</v>
      </c>
      <c r="H1714" t="str">
        <f>VLOOKUP(D1714,name!A:C,3,1)</f>
        <v>assets/icons/image209.png</v>
      </c>
      <c r="I1714" t="str">
        <f>IF(A1714="","",VLOOKUP(A1714,lng!A:B,2,0))</f>
        <v>en-GB</v>
      </c>
    </row>
    <row r="1715" spans="1:9" x14ac:dyDescent="0.15">
      <c r="A1715" t="str">
        <f t="shared" ref="A1715:B1715" si="1426">A1714</f>
        <v>英語</v>
      </c>
      <c r="B1715">
        <f t="shared" si="1426"/>
        <v>17</v>
      </c>
      <c r="C1715">
        <f t="shared" si="1421"/>
        <v>22</v>
      </c>
      <c r="D1715">
        <f t="shared" si="1422"/>
        <v>35</v>
      </c>
      <c r="E1715" t="str">
        <f>VLOOKUP(D1715,name!A:B,2,1)</f>
        <v>Fiona</v>
      </c>
      <c r="F1715" t="s">
        <v>946</v>
      </c>
      <c r="G1715" t="str">
        <f t="shared" si="1419"/>
        <v>a</v>
      </c>
      <c r="H1715" t="str">
        <f>VLOOKUP(D1715,name!A:C,3,1)</f>
        <v>assets/icons/image329.png</v>
      </c>
      <c r="I1715" t="s">
        <v>402</v>
      </c>
    </row>
    <row r="1716" spans="1:9" x14ac:dyDescent="0.15">
      <c r="A1716" t="str">
        <f t="shared" ref="A1716:B1716" si="1427">A1715</f>
        <v>英語</v>
      </c>
      <c r="B1716">
        <f t="shared" si="1427"/>
        <v>17</v>
      </c>
      <c r="C1716">
        <f t="shared" si="1421"/>
        <v>23</v>
      </c>
      <c r="D1716">
        <f t="shared" si="1422"/>
        <v>35</v>
      </c>
      <c r="E1716" t="str">
        <f>VLOOKUP(D1716,name!A:B,2,1)</f>
        <v>Fiona</v>
      </c>
      <c r="F1716" t="s">
        <v>930</v>
      </c>
      <c r="G1716" t="str">
        <f t="shared" si="1419"/>
        <v>a</v>
      </c>
      <c r="H1716" t="str">
        <f>VLOOKUP(D1716,name!A:C,3,1)</f>
        <v>assets/icons/image329.png</v>
      </c>
      <c r="I1716" t="str">
        <f>IF(A1716="","",VLOOKUP(A1716,lng!A:B,2,0))</f>
        <v>en-GB</v>
      </c>
    </row>
    <row r="1717" spans="1:9" x14ac:dyDescent="0.15">
      <c r="A1717" t="str">
        <f t="shared" ref="A1717:B1717" si="1428">A1716</f>
        <v>英語</v>
      </c>
      <c r="B1717">
        <f t="shared" si="1428"/>
        <v>17</v>
      </c>
      <c r="C1717">
        <f t="shared" si="1421"/>
        <v>24</v>
      </c>
      <c r="D1717">
        <f t="shared" si="1422"/>
        <v>35</v>
      </c>
      <c r="E1717" t="str">
        <f>VLOOKUP(D1717,name!A:B,2,1)</f>
        <v>Fiona</v>
      </c>
      <c r="F1717" t="s">
        <v>947</v>
      </c>
      <c r="G1717" t="str">
        <f t="shared" si="1419"/>
        <v>a</v>
      </c>
      <c r="H1717" t="str">
        <f>VLOOKUP(D1717,name!A:C,3,1)</f>
        <v>assets/icons/image329.png</v>
      </c>
      <c r="I1717" t="s">
        <v>402</v>
      </c>
    </row>
    <row r="1718" spans="1:9" x14ac:dyDescent="0.15">
      <c r="A1718" t="str">
        <f t="shared" ref="A1718:B1718" si="1429">A1717</f>
        <v>英語</v>
      </c>
      <c r="B1718">
        <f t="shared" si="1429"/>
        <v>17</v>
      </c>
      <c r="C1718">
        <f t="shared" si="1421"/>
        <v>25</v>
      </c>
      <c r="D1718">
        <f t="shared" si="1422"/>
        <v>35</v>
      </c>
      <c r="E1718" t="str">
        <f>VLOOKUP(D1718,name!A:B,2,1)</f>
        <v>Fiona</v>
      </c>
      <c r="F1718" t="s">
        <v>931</v>
      </c>
      <c r="G1718" t="str">
        <f t="shared" si="1419"/>
        <v>a</v>
      </c>
      <c r="H1718" t="str">
        <f>VLOOKUP(D1718,name!A:C,3,1)</f>
        <v>assets/icons/image329.png</v>
      </c>
      <c r="I1718" t="str">
        <f>IF(A1718="","",VLOOKUP(A1718,lng!A:B,2,0))</f>
        <v>en-GB</v>
      </c>
    </row>
    <row r="1719" spans="1:9" x14ac:dyDescent="0.15">
      <c r="A1719" t="str">
        <f t="shared" ref="A1719:B1719" si="1430">A1718</f>
        <v>英語</v>
      </c>
      <c r="B1719">
        <f t="shared" si="1430"/>
        <v>17</v>
      </c>
      <c r="C1719">
        <f t="shared" si="1421"/>
        <v>26</v>
      </c>
      <c r="D1719">
        <f t="shared" si="1422"/>
        <v>35</v>
      </c>
      <c r="E1719" t="str">
        <f>VLOOKUP(D1719,name!A:B,2,1)</f>
        <v>Fiona</v>
      </c>
      <c r="F1719" t="s">
        <v>948</v>
      </c>
      <c r="G1719" t="str">
        <f t="shared" si="1419"/>
        <v>a</v>
      </c>
      <c r="H1719" t="str">
        <f>VLOOKUP(D1719,name!A:C,3,1)</f>
        <v>assets/icons/image329.png</v>
      </c>
      <c r="I1719" t="s">
        <v>402</v>
      </c>
    </row>
    <row r="1720" spans="1:9" x14ac:dyDescent="0.15">
      <c r="A1720" t="str">
        <f t="shared" ref="A1720:B1720" si="1431">A1719</f>
        <v>英語</v>
      </c>
      <c r="B1720">
        <f t="shared" si="1431"/>
        <v>17</v>
      </c>
      <c r="C1720">
        <f t="shared" si="1421"/>
        <v>27</v>
      </c>
      <c r="D1720">
        <v>35</v>
      </c>
      <c r="E1720" t="str">
        <f>VLOOKUP(D1720,name!A:B,2,1)</f>
        <v>Fiona</v>
      </c>
      <c r="F1720" t="s">
        <v>932</v>
      </c>
      <c r="G1720" t="str">
        <f t="shared" si="1419"/>
        <v>a</v>
      </c>
      <c r="H1720" t="str">
        <f>VLOOKUP(D1720,name!A:C,3,1)</f>
        <v>assets/icons/image329.png</v>
      </c>
      <c r="I1720" t="str">
        <f>IF(A1720="","",VLOOKUP(A1720,lng!A:B,2,0))</f>
        <v>en-GB</v>
      </c>
    </row>
    <row r="1721" spans="1:9" x14ac:dyDescent="0.15">
      <c r="A1721" t="str">
        <f t="shared" ref="A1721:B1721" si="1432">A1720</f>
        <v>英語</v>
      </c>
      <c r="B1721">
        <f t="shared" si="1432"/>
        <v>17</v>
      </c>
      <c r="C1721">
        <f t="shared" si="1421"/>
        <v>28</v>
      </c>
      <c r="D1721">
        <f t="shared" si="1422"/>
        <v>29</v>
      </c>
      <c r="E1721" t="str">
        <f>VLOOKUP(D1721,name!A:B,2,1)</f>
        <v>Eri</v>
      </c>
      <c r="F1721" t="s">
        <v>940</v>
      </c>
      <c r="G1721" t="str">
        <f t="shared" si="1419"/>
        <v>a</v>
      </c>
      <c r="H1721" t="str">
        <f>VLOOKUP(D1721,name!A:C,3,1)</f>
        <v>assets/icons/image209.png</v>
      </c>
      <c r="I1721" t="s">
        <v>402</v>
      </c>
    </row>
    <row r="1722" spans="1:9" x14ac:dyDescent="0.15">
      <c r="A1722" t="str">
        <f t="shared" ref="A1722:B1722" si="1433">A1721</f>
        <v>英語</v>
      </c>
      <c r="B1722">
        <f t="shared" si="1433"/>
        <v>17</v>
      </c>
      <c r="C1722">
        <f t="shared" si="1421"/>
        <v>29</v>
      </c>
      <c r="D1722">
        <f t="shared" si="1422"/>
        <v>29</v>
      </c>
      <c r="E1722" t="str">
        <f>VLOOKUP(D1722,name!A:B,2,1)</f>
        <v>Eri</v>
      </c>
      <c r="F1722" t="s">
        <v>933</v>
      </c>
      <c r="G1722" t="str">
        <f t="shared" si="1419"/>
        <v>a</v>
      </c>
      <c r="H1722" t="str">
        <f>VLOOKUP(D1722,name!A:C,3,1)</f>
        <v>assets/icons/image209.png</v>
      </c>
      <c r="I1722" t="str">
        <f>IF(A1722="","",VLOOKUP(A1722,lng!A:B,2,0))</f>
        <v>en-GB</v>
      </c>
    </row>
    <row r="1723" spans="1:9" x14ac:dyDescent="0.15">
      <c r="A1723" t="str">
        <f t="shared" ref="A1723:B1723" si="1434">A1722</f>
        <v>英語</v>
      </c>
      <c r="B1723">
        <f t="shared" si="1434"/>
        <v>17</v>
      </c>
      <c r="C1723">
        <f t="shared" si="1421"/>
        <v>30</v>
      </c>
      <c r="D1723">
        <f t="shared" si="1422"/>
        <v>29</v>
      </c>
      <c r="E1723" t="str">
        <f>VLOOKUP(D1723,name!A:B,2,1)</f>
        <v>Eri</v>
      </c>
      <c r="F1723" t="s">
        <v>949</v>
      </c>
      <c r="G1723" t="str">
        <f t="shared" si="1419"/>
        <v>a</v>
      </c>
      <c r="H1723" t="str">
        <f>VLOOKUP(D1723,name!A:C,3,1)</f>
        <v>assets/icons/image209.png</v>
      </c>
      <c r="I1723" t="s">
        <v>402</v>
      </c>
    </row>
    <row r="1724" spans="1:9" x14ac:dyDescent="0.15">
      <c r="A1724" t="str">
        <f t="shared" ref="A1724:B1724" si="1435">A1723</f>
        <v>英語</v>
      </c>
      <c r="B1724">
        <f t="shared" si="1435"/>
        <v>17</v>
      </c>
      <c r="C1724">
        <f t="shared" si="1421"/>
        <v>31</v>
      </c>
      <c r="D1724">
        <v>29</v>
      </c>
      <c r="E1724" t="str">
        <f>VLOOKUP(D1724,name!A:B,2,1)</f>
        <v>Eri</v>
      </c>
      <c r="F1724" t="s">
        <v>934</v>
      </c>
      <c r="G1724" t="str">
        <f t="shared" si="1419"/>
        <v>a</v>
      </c>
      <c r="H1724" t="str">
        <f>VLOOKUP(D1724,name!A:C,3,1)</f>
        <v>assets/icons/image209.png</v>
      </c>
      <c r="I1724" t="str">
        <f>IF(A1724="","",VLOOKUP(A1724,lng!A:B,2,0))</f>
        <v>en-GB</v>
      </c>
    </row>
    <row r="1725" spans="1:9" x14ac:dyDescent="0.15">
      <c r="A1725" t="str">
        <f t="shared" ref="A1725:B1725" si="1436">A1724</f>
        <v>英語</v>
      </c>
      <c r="B1725">
        <f t="shared" si="1436"/>
        <v>17</v>
      </c>
      <c r="C1725">
        <f t="shared" si="1421"/>
        <v>32</v>
      </c>
      <c r="D1725">
        <v>1</v>
      </c>
      <c r="E1725" t="str">
        <f>VLOOKUP(D1725,name!A:B,2,1)</f>
        <v>Navigator</v>
      </c>
      <c r="F1725" t="str">
        <f>"次の"&amp;A1725&amp;"を真似してね！"</f>
        <v>次の英語を真似してね！</v>
      </c>
      <c r="G1725" t="str">
        <f t="shared" si="1419"/>
        <v>a</v>
      </c>
      <c r="H1725" t="str">
        <f>VLOOKUP(D1725,name!A:C,3,1)</f>
        <v>assets/icons/image014.png</v>
      </c>
      <c r="I1725" t="s">
        <v>402</v>
      </c>
    </row>
    <row r="1726" spans="1:9" x14ac:dyDescent="0.15">
      <c r="A1726" t="str">
        <f t="shared" ref="A1726:B1726" si="1437">A1725</f>
        <v>英語</v>
      </c>
      <c r="B1726">
        <f t="shared" si="1437"/>
        <v>17</v>
      </c>
      <c r="C1726">
        <f t="shared" si="1421"/>
        <v>33</v>
      </c>
      <c r="D1726">
        <f>D1697</f>
        <v>35</v>
      </c>
      <c r="E1726" t="str">
        <f>VLOOKUP(D1726,name!A:B,2,1)</f>
        <v>Fiona</v>
      </c>
      <c r="F1726" t="str">
        <f>F1697</f>
        <v>さて、ここがアパートです。</v>
      </c>
      <c r="G1726" t="str">
        <f t="shared" si="1419"/>
        <v>a</v>
      </c>
      <c r="H1726" t="str">
        <f>VLOOKUP(D1726,name!A:C,3,1)</f>
        <v>assets/icons/image329.png</v>
      </c>
      <c r="I1726" t="s">
        <v>402</v>
      </c>
    </row>
    <row r="1727" spans="1:9" x14ac:dyDescent="0.15">
      <c r="A1727" t="str">
        <f t="shared" ref="A1727:B1727" si="1438">A1726</f>
        <v>英語</v>
      </c>
      <c r="B1727">
        <f t="shared" si="1438"/>
        <v>17</v>
      </c>
      <c r="C1727">
        <f t="shared" si="1421"/>
        <v>34</v>
      </c>
      <c r="D1727">
        <f>D1698</f>
        <v>35</v>
      </c>
      <c r="E1727" t="str">
        <f>VLOOKUP(D1727,name!A:B,2,1)</f>
        <v>Fiona</v>
      </c>
      <c r="F1727" t="str">
        <f>F1698</f>
        <v>Well, here's the flat.</v>
      </c>
      <c r="G1727" t="str">
        <f t="shared" si="1419"/>
        <v>a</v>
      </c>
      <c r="H1727" t="str">
        <f>VLOOKUP(D1727,name!A:C,3,1)</f>
        <v>assets/icons/image329.png</v>
      </c>
      <c r="I1727" t="str">
        <f>IF(A1727="","",VLOOKUP(A1727,lng!A:B,2,0))</f>
        <v>en-GB</v>
      </c>
    </row>
    <row r="1728" spans="1:9" x14ac:dyDescent="0.15">
      <c r="A1728" t="str">
        <f t="shared" ref="A1728:B1728" si="1439">A1727</f>
        <v>英語</v>
      </c>
      <c r="B1728">
        <f t="shared" si="1439"/>
        <v>17</v>
      </c>
      <c r="C1728">
        <f t="shared" si="1421"/>
        <v>35</v>
      </c>
      <c r="D1728">
        <v>0</v>
      </c>
      <c r="E1728" t="str">
        <f>VLOOKUP(D1728,name!A:B,2,1)</f>
        <v>Player</v>
      </c>
      <c r="F1728" t="str">
        <f>F1698</f>
        <v>Well, here's the flat.</v>
      </c>
      <c r="G1728" t="str">
        <f t="shared" si="1419"/>
        <v>q</v>
      </c>
      <c r="H1728" t="str">
        <f>VLOOKUP(D1728,name!A:C,3,1)</f>
        <v>assets/icons/image326.png</v>
      </c>
      <c r="I1728" t="str">
        <f>IF(A1728="","",VLOOKUP(A1728,lng!A:B,2,0))</f>
        <v>en-GB</v>
      </c>
    </row>
    <row r="1729" spans="1:9" x14ac:dyDescent="0.15">
      <c r="A1729" t="str">
        <f t="shared" ref="A1729:B1729" si="1440">A1728</f>
        <v>英語</v>
      </c>
      <c r="B1729">
        <f t="shared" si="1440"/>
        <v>17</v>
      </c>
      <c r="C1729">
        <f t="shared" si="1421"/>
        <v>36</v>
      </c>
      <c r="D1729">
        <f>D1699</f>
        <v>35</v>
      </c>
      <c r="E1729" t="str">
        <f>VLOOKUP(D1729,name!A:B,2,1)</f>
        <v>Fiona</v>
      </c>
      <c r="F1729" t="str">
        <f>F1699</f>
        <v>私はあなたを正面の部屋に配置しました。</v>
      </c>
      <c r="G1729" t="str">
        <f t="shared" si="1419"/>
        <v>a</v>
      </c>
      <c r="H1729" t="str">
        <f>VLOOKUP(D1729,name!A:C,3,1)</f>
        <v>assets/icons/image329.png</v>
      </c>
      <c r="I1729" t="s">
        <v>402</v>
      </c>
    </row>
    <row r="1730" spans="1:9" x14ac:dyDescent="0.15">
      <c r="A1730" t="str">
        <f t="shared" ref="A1730:B1730" si="1441">A1729</f>
        <v>英語</v>
      </c>
      <c r="B1730">
        <f t="shared" si="1441"/>
        <v>17</v>
      </c>
      <c r="C1730">
        <f t="shared" si="1421"/>
        <v>37</v>
      </c>
      <c r="D1730">
        <f>D1700</f>
        <v>35</v>
      </c>
      <c r="E1730" t="str">
        <f>VLOOKUP(D1730,name!A:B,2,1)</f>
        <v>Fiona</v>
      </c>
      <c r="F1730" t="str">
        <f>F1700</f>
        <v xml:space="preserve"> I've put you in the front room, </v>
      </c>
      <c r="G1730" t="str">
        <f t="shared" si="1419"/>
        <v>a</v>
      </c>
      <c r="H1730" t="str">
        <f>VLOOKUP(D1730,name!A:C,3,1)</f>
        <v>assets/icons/image329.png</v>
      </c>
      <c r="I1730" t="str">
        <f>IF(A1730="","",VLOOKUP(A1730,lng!A:B,2,0))</f>
        <v>en-GB</v>
      </c>
    </row>
    <row r="1731" spans="1:9" x14ac:dyDescent="0.15">
      <c r="A1731" t="str">
        <f t="shared" ref="A1731:B1731" si="1442">A1730</f>
        <v>英語</v>
      </c>
      <c r="B1731">
        <f t="shared" si="1442"/>
        <v>17</v>
      </c>
      <c r="C1731">
        <f t="shared" si="1421"/>
        <v>38</v>
      </c>
      <c r="D1731">
        <v>0</v>
      </c>
      <c r="E1731" t="str">
        <f>VLOOKUP(D1731,name!A:B,2,1)</f>
        <v>Player</v>
      </c>
      <c r="F1731" t="str">
        <f>F1700</f>
        <v xml:space="preserve"> I've put you in the front room, </v>
      </c>
      <c r="G1731" t="str">
        <f t="shared" si="1419"/>
        <v>q</v>
      </c>
      <c r="H1731" t="str">
        <f>VLOOKUP(D1731,name!A:C,3,1)</f>
        <v>assets/icons/image326.png</v>
      </c>
      <c r="I1731" t="str">
        <f>IF(A1731="","",VLOOKUP(A1731,lng!A:B,2,0))</f>
        <v>en-GB</v>
      </c>
    </row>
    <row r="1732" spans="1:9" x14ac:dyDescent="0.15">
      <c r="A1732" t="str">
        <f t="shared" ref="A1732:B1732" si="1443">A1731</f>
        <v>英語</v>
      </c>
      <c r="B1732">
        <f t="shared" si="1443"/>
        <v>17</v>
      </c>
      <c r="C1732">
        <f t="shared" si="1421"/>
        <v>39</v>
      </c>
      <c r="D1732">
        <f>D1701</f>
        <v>35</v>
      </c>
      <c r="E1732" t="str">
        <f>VLOOKUP(D1732,name!A:B,2,1)</f>
        <v>Fiona</v>
      </c>
      <c r="F1732" t="str">
        <f>F1701</f>
        <v>城とマウンドの素晴らしい景色を眺めることができます。</v>
      </c>
      <c r="G1732" t="str">
        <f t="shared" si="1419"/>
        <v>a</v>
      </c>
      <c r="H1732" t="str">
        <f>VLOOKUP(D1732,name!A:C,3,1)</f>
        <v>assets/icons/image329.png</v>
      </c>
      <c r="I1732" t="s">
        <v>402</v>
      </c>
    </row>
    <row r="1733" spans="1:9" x14ac:dyDescent="0.15">
      <c r="A1733" t="str">
        <f t="shared" ref="A1733:B1733" si="1444">A1732</f>
        <v>英語</v>
      </c>
      <c r="B1733">
        <f t="shared" si="1444"/>
        <v>17</v>
      </c>
      <c r="C1733">
        <f t="shared" si="1421"/>
        <v>40</v>
      </c>
      <c r="D1733">
        <f>D1702</f>
        <v>35</v>
      </c>
      <c r="E1733" t="str">
        <f>VLOOKUP(D1733,name!A:B,2,1)</f>
        <v>Fiona</v>
      </c>
      <c r="F1733" t="str">
        <f>F1702</f>
        <v xml:space="preserve"> where you've a great view of the castle and down the Mound.</v>
      </c>
      <c r="G1733" t="str">
        <f t="shared" si="1419"/>
        <v>a</v>
      </c>
      <c r="H1733" t="str">
        <f>VLOOKUP(D1733,name!A:C,3,1)</f>
        <v>assets/icons/image329.png</v>
      </c>
      <c r="I1733" t="str">
        <f>IF(A1733="","",VLOOKUP(A1733,lng!A:B,2,0))</f>
        <v>en-GB</v>
      </c>
    </row>
    <row r="1734" spans="1:9" x14ac:dyDescent="0.15">
      <c r="A1734" t="str">
        <f t="shared" ref="A1734:B1734" si="1445">A1733</f>
        <v>英語</v>
      </c>
      <c r="B1734">
        <f t="shared" si="1445"/>
        <v>17</v>
      </c>
      <c r="C1734">
        <f t="shared" si="1421"/>
        <v>41</v>
      </c>
      <c r="D1734">
        <v>0</v>
      </c>
      <c r="E1734" t="str">
        <f>VLOOKUP(D1734,name!A:B,2,1)</f>
        <v>Player</v>
      </c>
      <c r="F1734" t="str">
        <f>F1702</f>
        <v xml:space="preserve"> where you've a great view of the castle and down the Mound.</v>
      </c>
      <c r="G1734" t="str">
        <f t="shared" si="1419"/>
        <v>q</v>
      </c>
      <c r="H1734" t="str">
        <f>VLOOKUP(D1734,name!A:C,3,1)</f>
        <v>assets/icons/image326.png</v>
      </c>
      <c r="I1734" t="str">
        <f>IF(A1734="","",VLOOKUP(A1734,lng!A:B,2,0))</f>
        <v>en-GB</v>
      </c>
    </row>
    <row r="1735" spans="1:9" x14ac:dyDescent="0.15">
      <c r="A1735" t="str">
        <f t="shared" ref="A1735:B1735" si="1446">A1734</f>
        <v>英語</v>
      </c>
      <c r="B1735">
        <f t="shared" si="1446"/>
        <v>17</v>
      </c>
      <c r="C1735">
        <f t="shared" si="1421"/>
        <v>42</v>
      </c>
      <c r="D1735">
        <f>D1703</f>
        <v>29</v>
      </c>
      <c r="E1735" t="str">
        <f>VLOOKUP(D1735,name!A:B,2,1)</f>
        <v>Eri</v>
      </c>
      <c r="F1735" t="str">
        <f>F1703</f>
        <v>すごい！</v>
      </c>
      <c r="G1735" t="str">
        <f t="shared" si="1419"/>
        <v>a</v>
      </c>
      <c r="H1735" t="str">
        <f>VLOOKUP(D1735,name!A:C,3,1)</f>
        <v>assets/icons/image209.png</v>
      </c>
      <c r="I1735" t="s">
        <v>402</v>
      </c>
    </row>
    <row r="1736" spans="1:9" x14ac:dyDescent="0.15">
      <c r="A1736" t="str">
        <f t="shared" ref="A1736:B1736" si="1447">A1735</f>
        <v>英語</v>
      </c>
      <c r="B1736">
        <f t="shared" si="1447"/>
        <v>17</v>
      </c>
      <c r="C1736">
        <f t="shared" si="1421"/>
        <v>43</v>
      </c>
      <c r="D1736">
        <f>D1704</f>
        <v>29</v>
      </c>
      <c r="E1736" t="str">
        <f>VLOOKUP(D1736,name!A:B,2,1)</f>
        <v>Eri</v>
      </c>
      <c r="F1736" t="str">
        <f>F1704</f>
        <v>It's amazing!</v>
      </c>
      <c r="G1736" t="str">
        <f t="shared" si="1419"/>
        <v>a</v>
      </c>
      <c r="H1736" t="str">
        <f>VLOOKUP(D1736,name!A:C,3,1)</f>
        <v>assets/icons/image209.png</v>
      </c>
      <c r="I1736" t="str">
        <f>IF(A1736="","",VLOOKUP(A1736,lng!A:B,2,0))</f>
        <v>en-GB</v>
      </c>
    </row>
    <row r="1737" spans="1:9" x14ac:dyDescent="0.15">
      <c r="A1737" t="str">
        <f t="shared" ref="A1737:B1737" si="1448">A1736</f>
        <v>英語</v>
      </c>
      <c r="B1737">
        <f t="shared" si="1448"/>
        <v>17</v>
      </c>
      <c r="C1737">
        <f t="shared" si="1421"/>
        <v>44</v>
      </c>
      <c r="D1737">
        <v>0</v>
      </c>
      <c r="E1737" t="str">
        <f>VLOOKUP(D1737,name!A:B,2,1)</f>
        <v>Player</v>
      </c>
      <c r="F1737" t="str">
        <f>F1704</f>
        <v>It's amazing!</v>
      </c>
      <c r="G1737" t="str">
        <f t="shared" si="1419"/>
        <v>q</v>
      </c>
      <c r="H1737" t="str">
        <f>VLOOKUP(D1737,name!A:C,3,1)</f>
        <v>assets/icons/image326.png</v>
      </c>
      <c r="I1737" t="str">
        <f>IF(A1737="","",VLOOKUP(A1737,lng!A:B,2,0))</f>
        <v>en-GB</v>
      </c>
    </row>
    <row r="1738" spans="1:9" x14ac:dyDescent="0.15">
      <c r="A1738" t="str">
        <f t="shared" ref="A1738:B1738" si="1449">A1737</f>
        <v>英語</v>
      </c>
      <c r="B1738">
        <f t="shared" si="1449"/>
        <v>17</v>
      </c>
      <c r="C1738">
        <f t="shared" si="1421"/>
        <v>45</v>
      </c>
      <c r="D1738">
        <f>D1705</f>
        <v>29</v>
      </c>
      <c r="E1738" t="str">
        <f>VLOOKUP(D1738,name!A:B,2,1)</f>
        <v>Eri</v>
      </c>
      <c r="F1738" t="str">
        <f>F1705</f>
        <v>夏の庭園は本当に美しいに違いありません。</v>
      </c>
      <c r="G1738" t="str">
        <f t="shared" si="1419"/>
        <v>a</v>
      </c>
      <c r="H1738" t="str">
        <f>VLOOKUP(D1738,name!A:C,3,1)</f>
        <v>assets/icons/image209.png</v>
      </c>
      <c r="I1738" t="s">
        <v>402</v>
      </c>
    </row>
    <row r="1739" spans="1:9" x14ac:dyDescent="0.15">
      <c r="A1739" t="str">
        <f t="shared" ref="A1739:B1739" si="1450">A1738</f>
        <v>英語</v>
      </c>
      <c r="B1739">
        <f t="shared" si="1450"/>
        <v>17</v>
      </c>
      <c r="C1739">
        <f t="shared" si="1421"/>
        <v>46</v>
      </c>
      <c r="D1739">
        <f>D1706</f>
        <v>29</v>
      </c>
      <c r="E1739" t="str">
        <f>VLOOKUP(D1739,name!A:B,2,1)</f>
        <v>Eri</v>
      </c>
      <c r="F1739" t="str">
        <f>F1706</f>
        <v xml:space="preserve"> The gardens must be really beautiful in summer.</v>
      </c>
      <c r="G1739" t="str">
        <f t="shared" si="1419"/>
        <v>a</v>
      </c>
      <c r="H1739" t="str">
        <f>VLOOKUP(D1739,name!A:C,3,1)</f>
        <v>assets/icons/image209.png</v>
      </c>
      <c r="I1739" t="str">
        <f>IF(A1739="","",VLOOKUP(A1739,lng!A:B,2,0))</f>
        <v>en-GB</v>
      </c>
    </row>
    <row r="1740" spans="1:9" x14ac:dyDescent="0.15">
      <c r="A1740" t="str">
        <f t="shared" ref="A1740:B1740" si="1451">A1739</f>
        <v>英語</v>
      </c>
      <c r="B1740">
        <f t="shared" si="1451"/>
        <v>17</v>
      </c>
      <c r="C1740">
        <f t="shared" si="1421"/>
        <v>47</v>
      </c>
      <c r="D1740">
        <v>0</v>
      </c>
      <c r="E1740" t="str">
        <f>VLOOKUP(D1740,name!A:B,2,1)</f>
        <v>Player</v>
      </c>
      <c r="F1740" t="str">
        <f>F1706</f>
        <v xml:space="preserve"> The gardens must be really beautiful in summer.</v>
      </c>
      <c r="G1740" t="str">
        <f t="shared" si="1419"/>
        <v>q</v>
      </c>
      <c r="H1740" t="str">
        <f>VLOOKUP(D1740,name!A:C,3,1)</f>
        <v>assets/icons/image326.png</v>
      </c>
      <c r="I1740" t="str">
        <f>IF(A1740="","",VLOOKUP(A1740,lng!A:B,2,0))</f>
        <v>en-GB</v>
      </c>
    </row>
    <row r="1741" spans="1:9" x14ac:dyDescent="0.15">
      <c r="A1741" t="str">
        <f t="shared" ref="A1741:B1741" si="1452">A1740</f>
        <v>英語</v>
      </c>
      <c r="B1741">
        <f t="shared" si="1452"/>
        <v>17</v>
      </c>
      <c r="C1741">
        <f t="shared" si="1421"/>
        <v>48</v>
      </c>
      <c r="D1741">
        <f>D1707</f>
        <v>35</v>
      </c>
      <c r="E1741" t="str">
        <f>VLOOKUP(D1741,name!A:B,2,1)</f>
        <v>Fiona</v>
      </c>
      <c r="F1741" t="str">
        <f>F1707</f>
        <v>そうです</v>
      </c>
      <c r="G1741" t="str">
        <f t="shared" si="1419"/>
        <v>a</v>
      </c>
      <c r="H1741" t="str">
        <f>VLOOKUP(D1741,name!A:C,3,1)</f>
        <v>assets/icons/image329.png</v>
      </c>
      <c r="I1741" t="s">
        <v>402</v>
      </c>
    </row>
    <row r="1742" spans="1:9" x14ac:dyDescent="0.15">
      <c r="A1742" t="str">
        <f t="shared" ref="A1742:B1742" si="1453">A1741</f>
        <v>英語</v>
      </c>
      <c r="B1742">
        <f t="shared" si="1453"/>
        <v>17</v>
      </c>
      <c r="C1742">
        <f t="shared" si="1421"/>
        <v>49</v>
      </c>
      <c r="D1742">
        <f>D1708</f>
        <v>35</v>
      </c>
      <c r="E1742" t="str">
        <f>VLOOKUP(D1742,name!A:B,2,1)</f>
        <v>Fiona</v>
      </c>
      <c r="F1742" t="str">
        <f>F1708</f>
        <v>Aye, they are,</v>
      </c>
      <c r="G1742" t="str">
        <f t="shared" si="1419"/>
        <v>a</v>
      </c>
      <c r="H1742" t="str">
        <f>VLOOKUP(D1742,name!A:C,3,1)</f>
        <v>assets/icons/image329.png</v>
      </c>
      <c r="I1742" t="str">
        <f>IF(A1742="","",VLOOKUP(A1742,lng!A:B,2,0))</f>
        <v>en-GB</v>
      </c>
    </row>
    <row r="1743" spans="1:9" x14ac:dyDescent="0.15">
      <c r="A1743" t="str">
        <f t="shared" ref="A1743:B1743" si="1454">A1742</f>
        <v>英語</v>
      </c>
      <c r="B1743">
        <f t="shared" si="1454"/>
        <v>17</v>
      </c>
      <c r="C1743">
        <f t="shared" si="1421"/>
        <v>50</v>
      </c>
      <c r="D1743">
        <v>0</v>
      </c>
      <c r="E1743" t="str">
        <f>VLOOKUP(D1743,name!A:B,2,1)</f>
        <v>Player</v>
      </c>
      <c r="F1743" t="str">
        <f>F1708</f>
        <v>Aye, they are,</v>
      </c>
      <c r="G1743" t="str">
        <f t="shared" si="1419"/>
        <v>q</v>
      </c>
      <c r="H1743" t="str">
        <f>VLOOKUP(D1743,name!A:C,3,1)</f>
        <v>assets/icons/image326.png</v>
      </c>
      <c r="I1743" t="str">
        <f>IF(A1743="","",VLOOKUP(A1743,lng!A:B,2,0))</f>
        <v>en-GB</v>
      </c>
    </row>
    <row r="1744" spans="1:9" x14ac:dyDescent="0.15">
      <c r="A1744" t="str">
        <f t="shared" ref="A1744:B1744" si="1455">A1743</f>
        <v>英語</v>
      </c>
      <c r="B1744">
        <f t="shared" si="1455"/>
        <v>17</v>
      </c>
      <c r="C1744">
        <f t="shared" si="1421"/>
        <v>51</v>
      </c>
      <c r="D1744">
        <f>D1709</f>
        <v>35</v>
      </c>
      <c r="E1744" t="str">
        <f>VLOOKUP(D1744,name!A:B,2,1)</f>
        <v>Fiona</v>
      </c>
      <c r="F1744" t="str">
        <f>F1709</f>
        <v>でも、まつりのせいですごい混みます。</v>
      </c>
      <c r="G1744" t="str">
        <f t="shared" si="1419"/>
        <v>a</v>
      </c>
      <c r="H1744" t="str">
        <f>VLOOKUP(D1744,name!A:C,3,1)</f>
        <v>assets/icons/image329.png</v>
      </c>
      <c r="I1744" t="s">
        <v>402</v>
      </c>
    </row>
    <row r="1745" spans="1:9" x14ac:dyDescent="0.15">
      <c r="A1745" t="str">
        <f t="shared" ref="A1745:B1745" si="1456">A1744</f>
        <v>英語</v>
      </c>
      <c r="B1745">
        <f t="shared" si="1456"/>
        <v>17</v>
      </c>
      <c r="C1745">
        <f t="shared" si="1421"/>
        <v>52</v>
      </c>
      <c r="D1745">
        <f>D1710</f>
        <v>35</v>
      </c>
      <c r="E1745" t="str">
        <f>VLOOKUP(D1745,name!A:B,2,1)</f>
        <v>Fiona</v>
      </c>
      <c r="F1745" t="str">
        <f>F1710</f>
        <v>but it's awfully crowded because of the Festival.</v>
      </c>
      <c r="G1745" t="str">
        <f t="shared" si="1419"/>
        <v>a</v>
      </c>
      <c r="H1745" t="str">
        <f>VLOOKUP(D1745,name!A:C,3,1)</f>
        <v>assets/icons/image329.png</v>
      </c>
      <c r="I1745" t="str">
        <f>IF(A1745="","",VLOOKUP(A1745,lng!A:B,2,0))</f>
        <v>en-GB</v>
      </c>
    </row>
    <row r="1746" spans="1:9" x14ac:dyDescent="0.15">
      <c r="A1746" t="str">
        <f t="shared" ref="A1746:B1746" si="1457">A1745</f>
        <v>英語</v>
      </c>
      <c r="B1746">
        <f t="shared" si="1457"/>
        <v>17</v>
      </c>
      <c r="C1746">
        <f t="shared" si="1421"/>
        <v>53</v>
      </c>
      <c r="D1746">
        <v>0</v>
      </c>
      <c r="E1746" t="str">
        <f>VLOOKUP(D1746,name!A:B,2,1)</f>
        <v>Player</v>
      </c>
      <c r="F1746" t="str">
        <f>F1710</f>
        <v>but it's awfully crowded because of the Festival.</v>
      </c>
      <c r="G1746" t="str">
        <f t="shared" si="1419"/>
        <v>q</v>
      </c>
      <c r="H1746" t="str">
        <f>VLOOKUP(D1746,name!A:C,3,1)</f>
        <v>assets/icons/image326.png</v>
      </c>
      <c r="I1746" t="str">
        <f>IF(A1746="","",VLOOKUP(A1746,lng!A:B,2,0))</f>
        <v>en-GB</v>
      </c>
    </row>
    <row r="1747" spans="1:9" x14ac:dyDescent="0.15">
      <c r="A1747" t="str">
        <f t="shared" ref="A1747:B1747" si="1458">A1746</f>
        <v>英語</v>
      </c>
      <c r="B1747">
        <f t="shared" si="1458"/>
        <v>17</v>
      </c>
      <c r="C1747">
        <f t="shared" si="1421"/>
        <v>54</v>
      </c>
      <c r="D1747">
        <f>D1711</f>
        <v>29</v>
      </c>
      <c r="E1747" t="str">
        <f>VLOOKUP(D1747,name!A:B,2,1)</f>
        <v>Eri</v>
      </c>
      <c r="F1747" t="str">
        <f>F1711</f>
        <v>スコットランドのお土産をすぐに買いに行きますか。</v>
      </c>
      <c r="G1747" t="str">
        <f t="shared" si="1419"/>
        <v>a</v>
      </c>
      <c r="H1747" t="str">
        <f>VLOOKUP(D1747,name!A:C,3,1)</f>
        <v>assets/icons/image209.png</v>
      </c>
      <c r="I1747" t="s">
        <v>402</v>
      </c>
    </row>
    <row r="1748" spans="1:9" x14ac:dyDescent="0.15">
      <c r="A1748" t="str">
        <f t="shared" ref="A1748:B1748" si="1459">A1747</f>
        <v>英語</v>
      </c>
      <c r="B1748">
        <f t="shared" si="1459"/>
        <v>17</v>
      </c>
      <c r="C1748">
        <f t="shared" si="1421"/>
        <v>55</v>
      </c>
      <c r="D1748">
        <f>D1712</f>
        <v>29</v>
      </c>
      <c r="E1748" t="str">
        <f>VLOOKUP(D1748,name!A:B,2,1)</f>
        <v>Eri</v>
      </c>
      <c r="F1748" t="str">
        <f>F1712</f>
        <v>Are we going to buy Scottish souvenirs right away?</v>
      </c>
      <c r="G1748" t="str">
        <f t="shared" si="1419"/>
        <v>a</v>
      </c>
      <c r="H1748" t="str">
        <f>VLOOKUP(D1748,name!A:C,3,1)</f>
        <v>assets/icons/image209.png</v>
      </c>
      <c r="I1748" t="str">
        <f>IF(A1748="","",VLOOKUP(A1748,lng!A:B,2,0))</f>
        <v>en-GB</v>
      </c>
    </row>
    <row r="1749" spans="1:9" x14ac:dyDescent="0.15">
      <c r="A1749" t="str">
        <f t="shared" ref="A1749:B1749" si="1460">A1748</f>
        <v>英語</v>
      </c>
      <c r="B1749">
        <f t="shared" si="1460"/>
        <v>17</v>
      </c>
      <c r="C1749">
        <f t="shared" si="1421"/>
        <v>56</v>
      </c>
      <c r="D1749">
        <v>0</v>
      </c>
      <c r="E1749" t="str">
        <f>VLOOKUP(D1749,name!A:B,2,1)</f>
        <v>Player</v>
      </c>
      <c r="F1749" t="str">
        <f>F1712</f>
        <v>Are we going to buy Scottish souvenirs right away?</v>
      </c>
      <c r="G1749" t="str">
        <f t="shared" si="1419"/>
        <v>q</v>
      </c>
      <c r="H1749" t="str">
        <f>VLOOKUP(D1749,name!A:C,3,1)</f>
        <v>assets/icons/image326.png</v>
      </c>
      <c r="I1749" t="str">
        <f>IF(A1749="","",VLOOKUP(A1749,lng!A:B,2,0))</f>
        <v>en-GB</v>
      </c>
    </row>
    <row r="1750" spans="1:9" x14ac:dyDescent="0.15">
      <c r="A1750" t="str">
        <f t="shared" ref="A1750:B1750" si="1461">A1749</f>
        <v>英語</v>
      </c>
      <c r="B1750">
        <f t="shared" si="1461"/>
        <v>17</v>
      </c>
      <c r="C1750">
        <f t="shared" si="1421"/>
        <v>57</v>
      </c>
      <c r="D1750">
        <f>D1713</f>
        <v>29</v>
      </c>
      <c r="E1750" t="str">
        <f>VLOOKUP(D1750,name!A:B,2,1)</f>
        <v>Eri</v>
      </c>
      <c r="F1750" t="str">
        <f>F1713</f>
        <v>まずATMが必要です。</v>
      </c>
      <c r="G1750" t="str">
        <f t="shared" si="1419"/>
        <v>a</v>
      </c>
      <c r="H1750" t="str">
        <f>VLOOKUP(D1750,name!A:C,3,1)</f>
        <v>assets/icons/image209.png</v>
      </c>
      <c r="I1750" t="s">
        <v>402</v>
      </c>
    </row>
    <row r="1751" spans="1:9" x14ac:dyDescent="0.15">
      <c r="A1751" t="str">
        <f t="shared" ref="A1751:B1751" si="1462">A1750</f>
        <v>英語</v>
      </c>
      <c r="B1751">
        <f t="shared" si="1462"/>
        <v>17</v>
      </c>
      <c r="C1751">
        <f t="shared" si="1421"/>
        <v>58</v>
      </c>
      <c r="D1751">
        <f>D1714</f>
        <v>29</v>
      </c>
      <c r="E1751" t="str">
        <f>VLOOKUP(D1751,name!A:B,2,1)</f>
        <v>Eri</v>
      </c>
      <c r="F1751" t="str">
        <f>F1714</f>
        <v>I'll need a cashpoint first.</v>
      </c>
      <c r="G1751" t="str">
        <f t="shared" si="1419"/>
        <v>a</v>
      </c>
      <c r="H1751" t="str">
        <f>VLOOKUP(D1751,name!A:C,3,1)</f>
        <v>assets/icons/image209.png</v>
      </c>
      <c r="I1751" t="str">
        <f>IF(A1751="","",VLOOKUP(A1751,lng!A:B,2,0))</f>
        <v>en-GB</v>
      </c>
    </row>
    <row r="1752" spans="1:9" x14ac:dyDescent="0.15">
      <c r="A1752" t="str">
        <f t="shared" ref="A1752:B1752" si="1463">A1751</f>
        <v>英語</v>
      </c>
      <c r="B1752">
        <f t="shared" si="1463"/>
        <v>17</v>
      </c>
      <c r="C1752">
        <f t="shared" si="1421"/>
        <v>59</v>
      </c>
      <c r="D1752">
        <v>0</v>
      </c>
      <c r="E1752" t="str">
        <f>VLOOKUP(D1752,name!A:B,2,1)</f>
        <v>Player</v>
      </c>
      <c r="F1752" t="str">
        <f>F1714</f>
        <v>I'll need a cashpoint first.</v>
      </c>
      <c r="G1752" t="str">
        <f t="shared" si="1419"/>
        <v>q</v>
      </c>
      <c r="H1752" t="str">
        <f>VLOOKUP(D1752,name!A:C,3,1)</f>
        <v>assets/icons/image326.png</v>
      </c>
      <c r="I1752" t="str">
        <f>IF(A1752="","",VLOOKUP(A1752,lng!A:B,2,0))</f>
        <v>en-GB</v>
      </c>
    </row>
    <row r="1753" spans="1:9" x14ac:dyDescent="0.15">
      <c r="A1753" t="str">
        <f t="shared" ref="A1753:B1753" si="1464">A1752</f>
        <v>英語</v>
      </c>
      <c r="B1753">
        <f t="shared" si="1464"/>
        <v>17</v>
      </c>
      <c r="C1753">
        <f t="shared" si="1421"/>
        <v>60</v>
      </c>
      <c r="D1753">
        <f>D1715</f>
        <v>35</v>
      </c>
      <c r="E1753" t="str">
        <f>VLOOKUP(D1753,name!A:B,2,1)</f>
        <v>Fiona</v>
      </c>
      <c r="F1753" t="str">
        <f>F1715</f>
        <v>まず大学を見てみましょう。</v>
      </c>
      <c r="G1753" t="str">
        <f t="shared" si="1419"/>
        <v>a</v>
      </c>
      <c r="H1753" t="str">
        <f>VLOOKUP(D1753,name!A:C,3,1)</f>
        <v>assets/icons/image329.png</v>
      </c>
      <c r="I1753" t="s">
        <v>402</v>
      </c>
    </row>
    <row r="1754" spans="1:9" x14ac:dyDescent="0.15">
      <c r="A1754" t="str">
        <f t="shared" ref="A1754:B1754" si="1465">A1753</f>
        <v>英語</v>
      </c>
      <c r="B1754">
        <f t="shared" si="1465"/>
        <v>17</v>
      </c>
      <c r="C1754">
        <f t="shared" si="1421"/>
        <v>61</v>
      </c>
      <c r="D1754">
        <f>D1716</f>
        <v>35</v>
      </c>
      <c r="E1754" t="str">
        <f>VLOOKUP(D1754,name!A:B,2,1)</f>
        <v>Fiona</v>
      </c>
      <c r="F1754" t="str">
        <f>F1716</f>
        <v>We'll see the University first,</v>
      </c>
      <c r="G1754" t="str">
        <f t="shared" si="1419"/>
        <v>a</v>
      </c>
      <c r="H1754" t="str">
        <f>VLOOKUP(D1754,name!A:C,3,1)</f>
        <v>assets/icons/image329.png</v>
      </c>
      <c r="I1754" t="str">
        <f>IF(A1754="","",VLOOKUP(A1754,lng!A:B,2,0))</f>
        <v>en-GB</v>
      </c>
    </row>
    <row r="1755" spans="1:9" x14ac:dyDescent="0.15">
      <c r="A1755" t="str">
        <f t="shared" ref="A1755:B1755" si="1466">A1754</f>
        <v>英語</v>
      </c>
      <c r="B1755">
        <f t="shared" si="1466"/>
        <v>17</v>
      </c>
      <c r="C1755">
        <f t="shared" si="1421"/>
        <v>62</v>
      </c>
      <c r="D1755">
        <v>0</v>
      </c>
      <c r="E1755" t="str">
        <f>VLOOKUP(D1755,name!A:B,2,1)</f>
        <v>Player</v>
      </c>
      <c r="F1755" t="str">
        <f>F1716</f>
        <v>We'll see the University first,</v>
      </c>
      <c r="G1755" t="str">
        <f t="shared" si="1419"/>
        <v>q</v>
      </c>
      <c r="H1755" t="str">
        <f>VLOOKUP(D1755,name!A:C,3,1)</f>
        <v>assets/icons/image326.png</v>
      </c>
      <c r="I1755" t="str">
        <f>IF(A1755="","",VLOOKUP(A1755,lng!A:B,2,0))</f>
        <v>en-GB</v>
      </c>
    </row>
    <row r="1756" spans="1:9" x14ac:dyDescent="0.15">
      <c r="A1756" t="str">
        <f t="shared" ref="A1756:B1756" si="1467">A1755</f>
        <v>英語</v>
      </c>
      <c r="B1756">
        <f t="shared" si="1467"/>
        <v>17</v>
      </c>
      <c r="C1756">
        <f t="shared" si="1421"/>
        <v>63</v>
      </c>
      <c r="D1756">
        <f>D1717</f>
        <v>35</v>
      </c>
      <c r="E1756" t="str">
        <f>VLOOKUP(D1756,name!A:B,2,1)</f>
        <v>Fiona</v>
      </c>
      <c r="F1756" t="str">
        <f>F1717</f>
        <v>ロイヤルマイルに行く前に昼食をとります。</v>
      </c>
      <c r="G1756" t="str">
        <f t="shared" si="1419"/>
        <v>a</v>
      </c>
      <c r="H1756" t="str">
        <f>VLOOKUP(D1756,name!A:C,3,1)</f>
        <v>assets/icons/image329.png</v>
      </c>
      <c r="I1756" t="s">
        <v>402</v>
      </c>
    </row>
    <row r="1757" spans="1:9" x14ac:dyDescent="0.15">
      <c r="A1757" t="str">
        <f t="shared" ref="A1757:B1757" si="1468">A1756</f>
        <v>英語</v>
      </c>
      <c r="B1757">
        <f t="shared" si="1468"/>
        <v>17</v>
      </c>
      <c r="C1757">
        <f t="shared" si="1421"/>
        <v>64</v>
      </c>
      <c r="D1757">
        <f>D1718</f>
        <v>35</v>
      </c>
      <c r="E1757" t="str">
        <f>VLOOKUP(D1757,name!A:B,2,1)</f>
        <v>Fiona</v>
      </c>
      <c r="F1757" t="str">
        <f>F1718</f>
        <v xml:space="preserve"> and get some lunch before we do the Royal Mile. </v>
      </c>
      <c r="G1757" t="str">
        <f t="shared" si="1419"/>
        <v>a</v>
      </c>
      <c r="H1757" t="str">
        <f>VLOOKUP(D1757,name!A:C,3,1)</f>
        <v>assets/icons/image329.png</v>
      </c>
      <c r="I1757" t="str">
        <f>IF(A1757="","",VLOOKUP(A1757,lng!A:B,2,0))</f>
        <v>en-GB</v>
      </c>
    </row>
    <row r="1758" spans="1:9" x14ac:dyDescent="0.15">
      <c r="A1758" t="str">
        <f t="shared" ref="A1758:B1758" si="1469">A1757</f>
        <v>英語</v>
      </c>
      <c r="B1758">
        <f t="shared" si="1469"/>
        <v>17</v>
      </c>
      <c r="C1758">
        <f t="shared" si="1421"/>
        <v>65</v>
      </c>
      <c r="D1758">
        <v>0</v>
      </c>
      <c r="E1758" t="str">
        <f>VLOOKUP(D1758,name!A:B,2,1)</f>
        <v>Player</v>
      </c>
      <c r="F1758" t="str">
        <f>F1718</f>
        <v xml:space="preserve"> and get some lunch before we do the Royal Mile. </v>
      </c>
      <c r="G1758" t="str">
        <f t="shared" ref="G1758:G1821" si="1470">IF(B1758&lt;&gt;B1759,"e",IF(D1758=0,"q","a"))</f>
        <v>q</v>
      </c>
      <c r="H1758" t="str">
        <f>VLOOKUP(D1758,name!A:C,3,1)</f>
        <v>assets/icons/image326.png</v>
      </c>
      <c r="I1758" t="str">
        <f>IF(A1758="","",VLOOKUP(A1758,lng!A:B,2,0))</f>
        <v>en-GB</v>
      </c>
    </row>
    <row r="1759" spans="1:9" x14ac:dyDescent="0.15">
      <c r="A1759" t="str">
        <f t="shared" ref="A1759:B1759" si="1471">A1758</f>
        <v>英語</v>
      </c>
      <c r="B1759">
        <f t="shared" si="1471"/>
        <v>17</v>
      </c>
      <c r="C1759">
        <f t="shared" si="1421"/>
        <v>66</v>
      </c>
      <c r="D1759">
        <f>D1719</f>
        <v>35</v>
      </c>
      <c r="E1759" t="str">
        <f>VLOOKUP(D1759,name!A:B,2,1)</f>
        <v>Fiona</v>
      </c>
      <c r="F1759" t="str">
        <f>F1719</f>
        <v>明日はニュータウンに行って、プリンシズ通りでもう少し買い物をしましょう。</v>
      </c>
      <c r="G1759" t="str">
        <f t="shared" si="1470"/>
        <v>a</v>
      </c>
      <c r="H1759" t="str">
        <f>VLOOKUP(D1759,name!A:C,3,1)</f>
        <v>assets/icons/image329.png</v>
      </c>
      <c r="I1759" t="s">
        <v>402</v>
      </c>
    </row>
    <row r="1760" spans="1:9" x14ac:dyDescent="0.15">
      <c r="A1760" t="str">
        <f t="shared" ref="A1760:B1760" si="1472">A1759</f>
        <v>英語</v>
      </c>
      <c r="B1760">
        <f t="shared" si="1472"/>
        <v>17</v>
      </c>
      <c r="C1760">
        <f t="shared" ref="C1760:C1797" si="1473">C1759+1</f>
        <v>67</v>
      </c>
      <c r="D1760">
        <f>D1720</f>
        <v>35</v>
      </c>
      <c r="E1760" t="str">
        <f>VLOOKUP(D1760,name!A:B,2,1)</f>
        <v>Fiona</v>
      </c>
      <c r="F1760" t="str">
        <f>F1720</f>
        <v xml:space="preserve"> We can visit the New Town and shop a bit more on Princes Street tomorrow.</v>
      </c>
      <c r="G1760" t="str">
        <f t="shared" si="1470"/>
        <v>a</v>
      </c>
      <c r="H1760" t="str">
        <f>VLOOKUP(D1760,name!A:C,3,1)</f>
        <v>assets/icons/image329.png</v>
      </c>
      <c r="I1760" t="str">
        <f>IF(A1760="","",VLOOKUP(A1760,lng!A:B,2,0))</f>
        <v>en-GB</v>
      </c>
    </row>
    <row r="1761" spans="1:9" x14ac:dyDescent="0.15">
      <c r="A1761" t="str">
        <f t="shared" ref="A1761:B1761" si="1474">A1760</f>
        <v>英語</v>
      </c>
      <c r="B1761">
        <f t="shared" si="1474"/>
        <v>17</v>
      </c>
      <c r="C1761">
        <f t="shared" si="1473"/>
        <v>68</v>
      </c>
      <c r="D1761">
        <v>0</v>
      </c>
      <c r="E1761" t="str">
        <f>VLOOKUP(D1761,name!A:B,2,1)</f>
        <v>Player</v>
      </c>
      <c r="F1761" t="str">
        <f>F1720</f>
        <v xml:space="preserve"> We can visit the New Town and shop a bit more on Princes Street tomorrow.</v>
      </c>
      <c r="G1761" t="str">
        <f t="shared" si="1470"/>
        <v>q</v>
      </c>
      <c r="H1761" t="str">
        <f>VLOOKUP(D1761,name!A:C,3,1)</f>
        <v>assets/icons/image326.png</v>
      </c>
      <c r="I1761" t="str">
        <f>IF(A1761="","",VLOOKUP(A1761,lng!A:B,2,0))</f>
        <v>en-GB</v>
      </c>
    </row>
    <row r="1762" spans="1:9" x14ac:dyDescent="0.15">
      <c r="A1762" t="str">
        <f t="shared" ref="A1762:B1762" si="1475">A1761</f>
        <v>英語</v>
      </c>
      <c r="B1762">
        <f t="shared" si="1475"/>
        <v>17</v>
      </c>
      <c r="C1762">
        <f t="shared" si="1473"/>
        <v>69</v>
      </c>
      <c r="D1762">
        <f>D1721</f>
        <v>29</v>
      </c>
      <c r="E1762" t="str">
        <f>VLOOKUP(D1762,name!A:B,2,1)</f>
        <v>Eri</v>
      </c>
      <c r="F1762" t="str">
        <f>F1721</f>
        <v>すごい！</v>
      </c>
      <c r="G1762" t="str">
        <f t="shared" si="1470"/>
        <v>a</v>
      </c>
      <c r="H1762" t="str">
        <f>VLOOKUP(D1762,name!A:C,3,1)</f>
        <v>assets/icons/image209.png</v>
      </c>
      <c r="I1762" t="s">
        <v>402</v>
      </c>
    </row>
    <row r="1763" spans="1:9" x14ac:dyDescent="0.15">
      <c r="A1763" t="str">
        <f t="shared" ref="A1763:B1763" si="1476">A1762</f>
        <v>英語</v>
      </c>
      <c r="B1763">
        <f t="shared" si="1476"/>
        <v>17</v>
      </c>
      <c r="C1763">
        <f t="shared" si="1473"/>
        <v>70</v>
      </c>
      <c r="D1763">
        <f>D1722</f>
        <v>29</v>
      </c>
      <c r="E1763" t="str">
        <f>VLOOKUP(D1763,name!A:B,2,1)</f>
        <v>Eri</v>
      </c>
      <c r="F1763" t="str">
        <f>F1722</f>
        <v xml:space="preserve">Great! </v>
      </c>
      <c r="G1763" t="str">
        <f t="shared" si="1470"/>
        <v>a</v>
      </c>
      <c r="H1763" t="str">
        <f>VLOOKUP(D1763,name!A:C,3,1)</f>
        <v>assets/icons/image209.png</v>
      </c>
      <c r="I1763" t="str">
        <f>IF(A1763="","",VLOOKUP(A1763,lng!A:B,2,0))</f>
        <v>en-GB</v>
      </c>
    </row>
    <row r="1764" spans="1:9" x14ac:dyDescent="0.15">
      <c r="A1764" t="str">
        <f t="shared" ref="A1764:B1764" si="1477">A1763</f>
        <v>英語</v>
      </c>
      <c r="B1764">
        <f t="shared" si="1477"/>
        <v>17</v>
      </c>
      <c r="C1764">
        <f t="shared" si="1473"/>
        <v>71</v>
      </c>
      <c r="D1764">
        <v>0</v>
      </c>
      <c r="E1764" t="str">
        <f>VLOOKUP(D1764,name!A:B,2,1)</f>
        <v>Player</v>
      </c>
      <c r="F1764" t="str">
        <f>F1722</f>
        <v xml:space="preserve">Great! </v>
      </c>
      <c r="G1764" t="str">
        <f t="shared" si="1470"/>
        <v>q</v>
      </c>
      <c r="H1764" t="str">
        <f>VLOOKUP(D1764,name!A:C,3,1)</f>
        <v>assets/icons/image326.png</v>
      </c>
      <c r="I1764" t="str">
        <f>IF(A1764="","",VLOOKUP(A1764,lng!A:B,2,0))</f>
        <v>en-GB</v>
      </c>
    </row>
    <row r="1765" spans="1:9" x14ac:dyDescent="0.15">
      <c r="A1765" t="str">
        <f t="shared" ref="A1765:B1765" si="1478">A1764</f>
        <v>英語</v>
      </c>
      <c r="B1765">
        <f t="shared" si="1478"/>
        <v>17</v>
      </c>
      <c r="C1765">
        <f t="shared" si="1473"/>
        <v>72</v>
      </c>
      <c r="D1765">
        <f>D1723</f>
        <v>29</v>
      </c>
      <c r="E1765" t="str">
        <f>VLOOKUP(D1765,name!A:B,2,1)</f>
        <v>Eri</v>
      </c>
      <c r="F1765" t="str">
        <f>F1723</f>
        <v>シャーロック・ホームズやダーウィンが生まれたところを見たくてたまりません。</v>
      </c>
      <c r="G1765" t="str">
        <f t="shared" si="1470"/>
        <v>a</v>
      </c>
      <c r="H1765" t="str">
        <f>VLOOKUP(D1765,name!A:C,3,1)</f>
        <v>assets/icons/image209.png</v>
      </c>
      <c r="I1765" t="s">
        <v>402</v>
      </c>
    </row>
    <row r="1766" spans="1:9" x14ac:dyDescent="0.15">
      <c r="A1766" t="str">
        <f t="shared" ref="A1766:B1766" si="1479">A1765</f>
        <v>英語</v>
      </c>
      <c r="B1766">
        <f t="shared" si="1479"/>
        <v>17</v>
      </c>
      <c r="C1766">
        <f t="shared" si="1473"/>
        <v>73</v>
      </c>
      <c r="D1766">
        <f>D1724</f>
        <v>29</v>
      </c>
      <c r="E1766" t="str">
        <f>VLOOKUP(D1766,name!A:B,2,1)</f>
        <v>Eri</v>
      </c>
      <c r="F1766" t="str">
        <f>F1724</f>
        <v>I'm dying to see where Sherlock Holmes and Darwin got their start.</v>
      </c>
      <c r="G1766" t="str">
        <f t="shared" si="1470"/>
        <v>a</v>
      </c>
      <c r="H1766" t="str">
        <f>VLOOKUP(D1766,name!A:C,3,1)</f>
        <v>assets/icons/image209.png</v>
      </c>
      <c r="I1766" t="str">
        <f>IF(A1766="","",VLOOKUP(A1766,lng!A:B,2,0))</f>
        <v>en-GB</v>
      </c>
    </row>
    <row r="1767" spans="1:9" x14ac:dyDescent="0.15">
      <c r="A1767" t="str">
        <f t="shared" ref="A1767:B1767" si="1480">A1766</f>
        <v>英語</v>
      </c>
      <c r="B1767">
        <f t="shared" si="1480"/>
        <v>17</v>
      </c>
      <c r="C1767">
        <f t="shared" si="1473"/>
        <v>74</v>
      </c>
      <c r="D1767">
        <v>0</v>
      </c>
      <c r="E1767" t="str">
        <f>VLOOKUP(D1767,name!A:B,2,1)</f>
        <v>Player</v>
      </c>
      <c r="F1767" t="str">
        <f>F1724</f>
        <v>I'm dying to see where Sherlock Holmes and Darwin got their start.</v>
      </c>
      <c r="G1767" t="str">
        <f t="shared" si="1470"/>
        <v>q</v>
      </c>
      <c r="H1767" t="str">
        <f>VLOOKUP(D1767,name!A:C,3,1)</f>
        <v>assets/icons/image326.png</v>
      </c>
      <c r="I1767" t="str">
        <f>IF(A1767="","",VLOOKUP(A1767,lng!A:B,2,0))</f>
        <v>en-GB</v>
      </c>
    </row>
    <row r="1768" spans="1:9" x14ac:dyDescent="0.15">
      <c r="A1768" t="str">
        <f t="shared" ref="A1768:B1768" si="1481">A1767</f>
        <v>英語</v>
      </c>
      <c r="B1768">
        <f t="shared" si="1481"/>
        <v>17</v>
      </c>
      <c r="C1768">
        <f t="shared" si="1473"/>
        <v>75</v>
      </c>
      <c r="D1768">
        <v>1</v>
      </c>
      <c r="E1768" t="str">
        <f>VLOOKUP(D1768,name!A:B,2,1)</f>
        <v>Navigator</v>
      </c>
      <c r="F1768" t="str">
        <f>"次の日本語を"&amp;A1768&amp;"に訳して答えてね！"</f>
        <v>次の日本語を英語に訳して答えてね！</v>
      </c>
      <c r="G1768" t="str">
        <f t="shared" si="1470"/>
        <v>a</v>
      </c>
      <c r="H1768" t="str">
        <f>VLOOKUP(D1768,name!A:C,3,1)</f>
        <v>assets/icons/image014.png</v>
      </c>
      <c r="I1768" t="s">
        <v>402</v>
      </c>
    </row>
    <row r="1769" spans="1:9" x14ac:dyDescent="0.15">
      <c r="A1769" t="str">
        <f t="shared" ref="A1769:B1769" si="1482">A1768</f>
        <v>英語</v>
      </c>
      <c r="B1769">
        <f t="shared" si="1482"/>
        <v>17</v>
      </c>
      <c r="C1769">
        <f t="shared" si="1473"/>
        <v>76</v>
      </c>
      <c r="D1769">
        <f>D1697</f>
        <v>35</v>
      </c>
      <c r="E1769" t="str">
        <f>VLOOKUP(D1769,name!A:B,2,1)</f>
        <v>Fiona</v>
      </c>
      <c r="F1769" t="str">
        <f t="shared" ref="F1769:F1796" si="1483">F1697</f>
        <v>さて、ここがアパートです。</v>
      </c>
      <c r="G1769" t="str">
        <f t="shared" si="1470"/>
        <v>a</v>
      </c>
      <c r="H1769" t="str">
        <f>VLOOKUP(D1769,name!A:C,3,1)</f>
        <v>assets/icons/image329.png</v>
      </c>
      <c r="I1769" t="s">
        <v>402</v>
      </c>
    </row>
    <row r="1770" spans="1:9" x14ac:dyDescent="0.15">
      <c r="A1770" t="str">
        <f t="shared" ref="A1770:B1770" si="1484">A1769</f>
        <v>英語</v>
      </c>
      <c r="B1770">
        <f t="shared" si="1484"/>
        <v>17</v>
      </c>
      <c r="C1770">
        <f t="shared" si="1473"/>
        <v>77</v>
      </c>
      <c r="D1770">
        <v>0</v>
      </c>
      <c r="E1770" t="str">
        <f>VLOOKUP(D1770,name!A:B,2,1)</f>
        <v>Player</v>
      </c>
      <c r="F1770" t="str">
        <f t="shared" si="1483"/>
        <v>Well, here's the flat.</v>
      </c>
      <c r="G1770" t="str">
        <f t="shared" si="1470"/>
        <v>q</v>
      </c>
      <c r="H1770" t="str">
        <f>VLOOKUP(D1770,name!A:C,3,1)</f>
        <v>assets/icons/image326.png</v>
      </c>
      <c r="I1770" t="str">
        <f>IF(A1770="","",VLOOKUP(A1770,lng!A:B,2,0))</f>
        <v>en-GB</v>
      </c>
    </row>
    <row r="1771" spans="1:9" x14ac:dyDescent="0.15">
      <c r="A1771" t="str">
        <f t="shared" ref="A1771:B1771" si="1485">A1770</f>
        <v>英語</v>
      </c>
      <c r="B1771">
        <f t="shared" si="1485"/>
        <v>17</v>
      </c>
      <c r="C1771">
        <f t="shared" si="1473"/>
        <v>78</v>
      </c>
      <c r="D1771">
        <f>D1699</f>
        <v>35</v>
      </c>
      <c r="E1771" t="str">
        <f>VLOOKUP(D1771,name!A:B,2,1)</f>
        <v>Fiona</v>
      </c>
      <c r="F1771" t="str">
        <f t="shared" si="1483"/>
        <v>私はあなたを正面の部屋に配置しました。</v>
      </c>
      <c r="G1771" t="str">
        <f t="shared" si="1470"/>
        <v>a</v>
      </c>
      <c r="H1771" t="str">
        <f>VLOOKUP(D1771,name!A:C,3,1)</f>
        <v>assets/icons/image329.png</v>
      </c>
      <c r="I1771" t="s">
        <v>402</v>
      </c>
    </row>
    <row r="1772" spans="1:9" x14ac:dyDescent="0.15">
      <c r="A1772" t="str">
        <f t="shared" ref="A1772:B1772" si="1486">A1771</f>
        <v>英語</v>
      </c>
      <c r="B1772">
        <f t="shared" si="1486"/>
        <v>17</v>
      </c>
      <c r="C1772">
        <f t="shared" si="1473"/>
        <v>79</v>
      </c>
      <c r="D1772">
        <v>0</v>
      </c>
      <c r="E1772" t="str">
        <f>VLOOKUP(D1772,name!A:B,2,1)</f>
        <v>Player</v>
      </c>
      <c r="F1772" t="str">
        <f t="shared" si="1483"/>
        <v xml:space="preserve"> I've put you in the front room, </v>
      </c>
      <c r="G1772" t="str">
        <f t="shared" si="1470"/>
        <v>q</v>
      </c>
      <c r="H1772" t="str">
        <f>VLOOKUP(D1772,name!A:C,3,1)</f>
        <v>assets/icons/image326.png</v>
      </c>
      <c r="I1772" t="str">
        <f>IF(A1772="","",VLOOKUP(A1772,lng!A:B,2,0))</f>
        <v>en-GB</v>
      </c>
    </row>
    <row r="1773" spans="1:9" x14ac:dyDescent="0.15">
      <c r="A1773" t="str">
        <f t="shared" ref="A1773:B1773" si="1487">A1772</f>
        <v>英語</v>
      </c>
      <c r="B1773">
        <f t="shared" si="1487"/>
        <v>17</v>
      </c>
      <c r="C1773">
        <f t="shared" si="1473"/>
        <v>80</v>
      </c>
      <c r="D1773">
        <f>D1701</f>
        <v>35</v>
      </c>
      <c r="E1773" t="str">
        <f>VLOOKUP(D1773,name!A:B,2,1)</f>
        <v>Fiona</v>
      </c>
      <c r="F1773" t="str">
        <f t="shared" si="1483"/>
        <v>城とマウンドの素晴らしい景色を眺めることができます。</v>
      </c>
      <c r="G1773" t="str">
        <f t="shared" si="1470"/>
        <v>a</v>
      </c>
      <c r="H1773" t="str">
        <f>VLOOKUP(D1773,name!A:C,3,1)</f>
        <v>assets/icons/image329.png</v>
      </c>
      <c r="I1773" t="s">
        <v>402</v>
      </c>
    </row>
    <row r="1774" spans="1:9" x14ac:dyDescent="0.15">
      <c r="A1774" t="str">
        <f t="shared" ref="A1774:B1774" si="1488">A1773</f>
        <v>英語</v>
      </c>
      <c r="B1774">
        <f t="shared" si="1488"/>
        <v>17</v>
      </c>
      <c r="C1774">
        <f t="shared" si="1473"/>
        <v>81</v>
      </c>
      <c r="D1774">
        <v>0</v>
      </c>
      <c r="E1774" t="str">
        <f>VLOOKUP(D1774,name!A:B,2,1)</f>
        <v>Player</v>
      </c>
      <c r="F1774" t="str">
        <f t="shared" si="1483"/>
        <v xml:space="preserve"> where you've a great view of the castle and down the Mound.</v>
      </c>
      <c r="G1774" t="str">
        <f t="shared" si="1470"/>
        <v>q</v>
      </c>
      <c r="H1774" t="str">
        <f>VLOOKUP(D1774,name!A:C,3,1)</f>
        <v>assets/icons/image326.png</v>
      </c>
      <c r="I1774" t="str">
        <f>IF(A1774="","",VLOOKUP(A1774,lng!A:B,2,0))</f>
        <v>en-GB</v>
      </c>
    </row>
    <row r="1775" spans="1:9" x14ac:dyDescent="0.15">
      <c r="A1775" t="str">
        <f t="shared" ref="A1775:B1775" si="1489">A1774</f>
        <v>英語</v>
      </c>
      <c r="B1775">
        <f t="shared" si="1489"/>
        <v>17</v>
      </c>
      <c r="C1775">
        <f t="shared" si="1473"/>
        <v>82</v>
      </c>
      <c r="D1775">
        <f>D1703</f>
        <v>29</v>
      </c>
      <c r="E1775" t="str">
        <f>VLOOKUP(D1775,name!A:B,2,1)</f>
        <v>Eri</v>
      </c>
      <c r="F1775" t="str">
        <f t="shared" si="1483"/>
        <v>すごい！</v>
      </c>
      <c r="G1775" t="str">
        <f t="shared" si="1470"/>
        <v>a</v>
      </c>
      <c r="H1775" t="str">
        <f>VLOOKUP(D1775,name!A:C,3,1)</f>
        <v>assets/icons/image209.png</v>
      </c>
      <c r="I1775" t="s">
        <v>402</v>
      </c>
    </row>
    <row r="1776" spans="1:9" x14ac:dyDescent="0.15">
      <c r="A1776" t="str">
        <f t="shared" ref="A1776:B1776" si="1490">A1775</f>
        <v>英語</v>
      </c>
      <c r="B1776">
        <f t="shared" si="1490"/>
        <v>17</v>
      </c>
      <c r="C1776">
        <f t="shared" si="1473"/>
        <v>83</v>
      </c>
      <c r="D1776">
        <v>0</v>
      </c>
      <c r="E1776" t="str">
        <f>VLOOKUP(D1776,name!A:B,2,1)</f>
        <v>Player</v>
      </c>
      <c r="F1776" t="str">
        <f t="shared" si="1483"/>
        <v>It's amazing!</v>
      </c>
      <c r="G1776" t="str">
        <f t="shared" si="1470"/>
        <v>q</v>
      </c>
      <c r="H1776" t="str">
        <f>VLOOKUP(D1776,name!A:C,3,1)</f>
        <v>assets/icons/image326.png</v>
      </c>
      <c r="I1776" t="str">
        <f>IF(A1776="","",VLOOKUP(A1776,lng!A:B,2,0))</f>
        <v>en-GB</v>
      </c>
    </row>
    <row r="1777" spans="1:9" x14ac:dyDescent="0.15">
      <c r="A1777" t="str">
        <f t="shared" ref="A1777:B1777" si="1491">A1776</f>
        <v>英語</v>
      </c>
      <c r="B1777">
        <f t="shared" si="1491"/>
        <v>17</v>
      </c>
      <c r="C1777">
        <f t="shared" si="1473"/>
        <v>84</v>
      </c>
      <c r="D1777">
        <f>D1705</f>
        <v>29</v>
      </c>
      <c r="E1777" t="str">
        <f>VLOOKUP(D1777,name!A:B,2,1)</f>
        <v>Eri</v>
      </c>
      <c r="F1777" t="str">
        <f t="shared" si="1483"/>
        <v>夏の庭園は本当に美しいに違いありません。</v>
      </c>
      <c r="G1777" t="str">
        <f t="shared" si="1470"/>
        <v>a</v>
      </c>
      <c r="H1777" t="str">
        <f>VLOOKUP(D1777,name!A:C,3,1)</f>
        <v>assets/icons/image209.png</v>
      </c>
      <c r="I1777" t="s">
        <v>402</v>
      </c>
    </row>
    <row r="1778" spans="1:9" x14ac:dyDescent="0.15">
      <c r="A1778" t="str">
        <f t="shared" ref="A1778:B1778" si="1492">A1777</f>
        <v>英語</v>
      </c>
      <c r="B1778">
        <f t="shared" si="1492"/>
        <v>17</v>
      </c>
      <c r="C1778">
        <f t="shared" si="1473"/>
        <v>85</v>
      </c>
      <c r="D1778">
        <v>0</v>
      </c>
      <c r="E1778" t="str">
        <f>VLOOKUP(D1778,name!A:B,2,1)</f>
        <v>Player</v>
      </c>
      <c r="F1778" t="str">
        <f t="shared" si="1483"/>
        <v xml:space="preserve"> The gardens must be really beautiful in summer.</v>
      </c>
      <c r="G1778" t="str">
        <f t="shared" si="1470"/>
        <v>q</v>
      </c>
      <c r="H1778" t="str">
        <f>VLOOKUP(D1778,name!A:C,3,1)</f>
        <v>assets/icons/image326.png</v>
      </c>
      <c r="I1778" t="str">
        <f>IF(A1778="","",VLOOKUP(A1778,lng!A:B,2,0))</f>
        <v>en-GB</v>
      </c>
    </row>
    <row r="1779" spans="1:9" x14ac:dyDescent="0.15">
      <c r="A1779" t="str">
        <f t="shared" ref="A1779:B1779" si="1493">A1778</f>
        <v>英語</v>
      </c>
      <c r="B1779">
        <f t="shared" si="1493"/>
        <v>17</v>
      </c>
      <c r="C1779">
        <f t="shared" si="1473"/>
        <v>86</v>
      </c>
      <c r="D1779">
        <f>D1707</f>
        <v>35</v>
      </c>
      <c r="E1779" t="str">
        <f>VLOOKUP(D1779,name!A:B,2,1)</f>
        <v>Fiona</v>
      </c>
      <c r="F1779" t="str">
        <f t="shared" si="1483"/>
        <v>そうです</v>
      </c>
      <c r="G1779" t="str">
        <f t="shared" si="1470"/>
        <v>a</v>
      </c>
      <c r="H1779" t="str">
        <f>VLOOKUP(D1779,name!A:C,3,1)</f>
        <v>assets/icons/image329.png</v>
      </c>
      <c r="I1779" t="s">
        <v>402</v>
      </c>
    </row>
    <row r="1780" spans="1:9" x14ac:dyDescent="0.15">
      <c r="A1780" t="str">
        <f t="shared" ref="A1780:B1780" si="1494">A1779</f>
        <v>英語</v>
      </c>
      <c r="B1780">
        <f t="shared" si="1494"/>
        <v>17</v>
      </c>
      <c r="C1780">
        <f t="shared" si="1473"/>
        <v>87</v>
      </c>
      <c r="D1780">
        <v>0</v>
      </c>
      <c r="E1780" t="str">
        <f>VLOOKUP(D1780,name!A:B,2,1)</f>
        <v>Player</v>
      </c>
      <c r="F1780" t="str">
        <f t="shared" si="1483"/>
        <v>Aye, they are,</v>
      </c>
      <c r="G1780" t="str">
        <f t="shared" si="1470"/>
        <v>q</v>
      </c>
      <c r="H1780" t="str">
        <f>VLOOKUP(D1780,name!A:C,3,1)</f>
        <v>assets/icons/image326.png</v>
      </c>
      <c r="I1780" t="str">
        <f>IF(A1780="","",VLOOKUP(A1780,lng!A:B,2,0))</f>
        <v>en-GB</v>
      </c>
    </row>
    <row r="1781" spans="1:9" x14ac:dyDescent="0.15">
      <c r="A1781" t="str">
        <f t="shared" ref="A1781:B1781" si="1495">A1780</f>
        <v>英語</v>
      </c>
      <c r="B1781">
        <f t="shared" si="1495"/>
        <v>17</v>
      </c>
      <c r="C1781">
        <f t="shared" si="1473"/>
        <v>88</v>
      </c>
      <c r="D1781">
        <f>D1709</f>
        <v>35</v>
      </c>
      <c r="E1781" t="str">
        <f>VLOOKUP(D1781,name!A:B,2,1)</f>
        <v>Fiona</v>
      </c>
      <c r="F1781" t="str">
        <f t="shared" si="1483"/>
        <v>でも、まつりのせいですごい混みます。</v>
      </c>
      <c r="G1781" t="str">
        <f t="shared" si="1470"/>
        <v>a</v>
      </c>
      <c r="H1781" t="str">
        <f>VLOOKUP(D1781,name!A:C,3,1)</f>
        <v>assets/icons/image329.png</v>
      </c>
      <c r="I1781" t="s">
        <v>402</v>
      </c>
    </row>
    <row r="1782" spans="1:9" x14ac:dyDescent="0.15">
      <c r="A1782" t="str">
        <f t="shared" ref="A1782:B1782" si="1496">A1781</f>
        <v>英語</v>
      </c>
      <c r="B1782">
        <f t="shared" si="1496"/>
        <v>17</v>
      </c>
      <c r="C1782">
        <f t="shared" si="1473"/>
        <v>89</v>
      </c>
      <c r="D1782">
        <v>0</v>
      </c>
      <c r="E1782" t="str">
        <f>VLOOKUP(D1782,name!A:B,2,1)</f>
        <v>Player</v>
      </c>
      <c r="F1782" t="str">
        <f t="shared" si="1483"/>
        <v>but it's awfully crowded because of the Festival.</v>
      </c>
      <c r="G1782" t="str">
        <f t="shared" si="1470"/>
        <v>q</v>
      </c>
      <c r="H1782" t="str">
        <f>VLOOKUP(D1782,name!A:C,3,1)</f>
        <v>assets/icons/image326.png</v>
      </c>
      <c r="I1782" t="str">
        <f>IF(A1782="","",VLOOKUP(A1782,lng!A:B,2,0))</f>
        <v>en-GB</v>
      </c>
    </row>
    <row r="1783" spans="1:9" x14ac:dyDescent="0.15">
      <c r="A1783" t="str">
        <f t="shared" ref="A1783:B1783" si="1497">A1782</f>
        <v>英語</v>
      </c>
      <c r="B1783">
        <f t="shared" si="1497"/>
        <v>17</v>
      </c>
      <c r="C1783">
        <f t="shared" si="1473"/>
        <v>90</v>
      </c>
      <c r="D1783">
        <f>D1711</f>
        <v>29</v>
      </c>
      <c r="E1783" t="str">
        <f>VLOOKUP(D1783,name!A:B,2,1)</f>
        <v>Eri</v>
      </c>
      <c r="F1783" t="str">
        <f t="shared" si="1483"/>
        <v>スコットランドのお土産をすぐに買いに行きますか。</v>
      </c>
      <c r="G1783" t="str">
        <f t="shared" si="1470"/>
        <v>a</v>
      </c>
      <c r="H1783" t="str">
        <f>VLOOKUP(D1783,name!A:C,3,1)</f>
        <v>assets/icons/image209.png</v>
      </c>
      <c r="I1783" t="s">
        <v>402</v>
      </c>
    </row>
    <row r="1784" spans="1:9" x14ac:dyDescent="0.15">
      <c r="A1784" t="str">
        <f t="shared" ref="A1784:B1784" si="1498">A1783</f>
        <v>英語</v>
      </c>
      <c r="B1784">
        <f t="shared" si="1498"/>
        <v>17</v>
      </c>
      <c r="C1784">
        <f t="shared" si="1473"/>
        <v>91</v>
      </c>
      <c r="D1784">
        <v>0</v>
      </c>
      <c r="E1784" t="str">
        <f>VLOOKUP(D1784,name!A:B,2,1)</f>
        <v>Player</v>
      </c>
      <c r="F1784" t="str">
        <f t="shared" si="1483"/>
        <v>Are we going to buy Scottish souvenirs right away?</v>
      </c>
      <c r="G1784" t="str">
        <f t="shared" si="1470"/>
        <v>q</v>
      </c>
      <c r="H1784" t="str">
        <f>VLOOKUP(D1784,name!A:C,3,1)</f>
        <v>assets/icons/image326.png</v>
      </c>
      <c r="I1784" t="str">
        <f>IF(A1784="","",VLOOKUP(A1784,lng!A:B,2,0))</f>
        <v>en-GB</v>
      </c>
    </row>
    <row r="1785" spans="1:9" x14ac:dyDescent="0.15">
      <c r="A1785" t="str">
        <f t="shared" ref="A1785:B1785" si="1499">A1784</f>
        <v>英語</v>
      </c>
      <c r="B1785">
        <f t="shared" si="1499"/>
        <v>17</v>
      </c>
      <c r="C1785">
        <f t="shared" si="1473"/>
        <v>92</v>
      </c>
      <c r="D1785">
        <f>D1713</f>
        <v>29</v>
      </c>
      <c r="E1785" t="str">
        <f>VLOOKUP(D1785,name!A:B,2,1)</f>
        <v>Eri</v>
      </c>
      <c r="F1785" t="str">
        <f t="shared" si="1483"/>
        <v>まずATMが必要です。</v>
      </c>
      <c r="G1785" t="str">
        <f t="shared" si="1470"/>
        <v>a</v>
      </c>
      <c r="H1785" t="str">
        <f>VLOOKUP(D1785,name!A:C,3,1)</f>
        <v>assets/icons/image209.png</v>
      </c>
      <c r="I1785" t="s">
        <v>402</v>
      </c>
    </row>
    <row r="1786" spans="1:9" x14ac:dyDescent="0.15">
      <c r="A1786" t="str">
        <f t="shared" ref="A1786:B1786" si="1500">A1785</f>
        <v>英語</v>
      </c>
      <c r="B1786">
        <f t="shared" si="1500"/>
        <v>17</v>
      </c>
      <c r="C1786">
        <f t="shared" si="1473"/>
        <v>93</v>
      </c>
      <c r="D1786">
        <v>0</v>
      </c>
      <c r="E1786" t="str">
        <f>VLOOKUP(D1786,name!A:B,2,1)</f>
        <v>Player</v>
      </c>
      <c r="F1786" t="str">
        <f t="shared" si="1483"/>
        <v>I'll need a cashpoint first.</v>
      </c>
      <c r="G1786" t="str">
        <f t="shared" si="1470"/>
        <v>q</v>
      </c>
      <c r="H1786" t="str">
        <f>VLOOKUP(D1786,name!A:C,3,1)</f>
        <v>assets/icons/image326.png</v>
      </c>
      <c r="I1786" t="str">
        <f>IF(A1786="","",VLOOKUP(A1786,lng!A:B,2,0))</f>
        <v>en-GB</v>
      </c>
    </row>
    <row r="1787" spans="1:9" x14ac:dyDescent="0.15">
      <c r="A1787" t="str">
        <f t="shared" ref="A1787:B1787" si="1501">A1786</f>
        <v>英語</v>
      </c>
      <c r="B1787">
        <f t="shared" si="1501"/>
        <v>17</v>
      </c>
      <c r="C1787">
        <f t="shared" si="1473"/>
        <v>94</v>
      </c>
      <c r="D1787">
        <f>D1715</f>
        <v>35</v>
      </c>
      <c r="E1787" t="str">
        <f>VLOOKUP(D1787,name!A:B,2,1)</f>
        <v>Fiona</v>
      </c>
      <c r="F1787" t="str">
        <f t="shared" si="1483"/>
        <v>まず大学を見てみましょう。</v>
      </c>
      <c r="G1787" t="str">
        <f t="shared" si="1470"/>
        <v>a</v>
      </c>
      <c r="H1787" t="str">
        <f>VLOOKUP(D1787,name!A:C,3,1)</f>
        <v>assets/icons/image329.png</v>
      </c>
      <c r="I1787" t="s">
        <v>402</v>
      </c>
    </row>
    <row r="1788" spans="1:9" x14ac:dyDescent="0.15">
      <c r="A1788" t="str">
        <f t="shared" ref="A1788:B1788" si="1502">A1787</f>
        <v>英語</v>
      </c>
      <c r="B1788">
        <f t="shared" si="1502"/>
        <v>17</v>
      </c>
      <c r="C1788">
        <f t="shared" si="1473"/>
        <v>95</v>
      </c>
      <c r="D1788">
        <v>0</v>
      </c>
      <c r="E1788" t="str">
        <f>VLOOKUP(D1788,name!A:B,2,1)</f>
        <v>Player</v>
      </c>
      <c r="F1788" t="str">
        <f t="shared" si="1483"/>
        <v>We'll see the University first,</v>
      </c>
      <c r="G1788" t="str">
        <f t="shared" si="1470"/>
        <v>q</v>
      </c>
      <c r="H1788" t="str">
        <f>VLOOKUP(D1788,name!A:C,3,1)</f>
        <v>assets/icons/image326.png</v>
      </c>
      <c r="I1788" t="str">
        <f>IF(A1788="","",VLOOKUP(A1788,lng!A:B,2,0))</f>
        <v>en-GB</v>
      </c>
    </row>
    <row r="1789" spans="1:9" x14ac:dyDescent="0.15">
      <c r="A1789" t="str">
        <f t="shared" ref="A1789:B1789" si="1503">A1788</f>
        <v>英語</v>
      </c>
      <c r="B1789">
        <f t="shared" si="1503"/>
        <v>17</v>
      </c>
      <c r="C1789">
        <f t="shared" si="1473"/>
        <v>96</v>
      </c>
      <c r="D1789">
        <f>D1717</f>
        <v>35</v>
      </c>
      <c r="E1789" t="str">
        <f>VLOOKUP(D1789,name!A:B,2,1)</f>
        <v>Fiona</v>
      </c>
      <c r="F1789" t="str">
        <f t="shared" si="1483"/>
        <v>ロイヤルマイルに行く前に昼食をとります。</v>
      </c>
      <c r="G1789" t="str">
        <f t="shared" si="1470"/>
        <v>a</v>
      </c>
      <c r="H1789" t="str">
        <f>VLOOKUP(D1789,name!A:C,3,1)</f>
        <v>assets/icons/image329.png</v>
      </c>
      <c r="I1789" t="s">
        <v>402</v>
      </c>
    </row>
    <row r="1790" spans="1:9" x14ac:dyDescent="0.15">
      <c r="A1790" t="str">
        <f t="shared" ref="A1790:B1790" si="1504">A1789</f>
        <v>英語</v>
      </c>
      <c r="B1790">
        <f t="shared" si="1504"/>
        <v>17</v>
      </c>
      <c r="C1790">
        <f t="shared" si="1473"/>
        <v>97</v>
      </c>
      <c r="D1790">
        <v>0</v>
      </c>
      <c r="E1790" t="str">
        <f>VLOOKUP(D1790,name!A:B,2,1)</f>
        <v>Player</v>
      </c>
      <c r="F1790" t="str">
        <f t="shared" si="1483"/>
        <v xml:space="preserve"> and get some lunch before we do the Royal Mile. </v>
      </c>
      <c r="G1790" t="str">
        <f t="shared" si="1470"/>
        <v>q</v>
      </c>
      <c r="H1790" t="str">
        <f>VLOOKUP(D1790,name!A:C,3,1)</f>
        <v>assets/icons/image326.png</v>
      </c>
      <c r="I1790" t="str">
        <f>IF(A1790="","",VLOOKUP(A1790,lng!A:B,2,0))</f>
        <v>en-GB</v>
      </c>
    </row>
    <row r="1791" spans="1:9" x14ac:dyDescent="0.15">
      <c r="A1791" t="str">
        <f t="shared" ref="A1791:B1791" si="1505">A1790</f>
        <v>英語</v>
      </c>
      <c r="B1791">
        <f t="shared" si="1505"/>
        <v>17</v>
      </c>
      <c r="C1791">
        <f t="shared" si="1473"/>
        <v>98</v>
      </c>
      <c r="D1791">
        <f>D1719</f>
        <v>35</v>
      </c>
      <c r="E1791" t="str">
        <f>VLOOKUP(D1791,name!A:B,2,1)</f>
        <v>Fiona</v>
      </c>
      <c r="F1791" t="str">
        <f t="shared" si="1483"/>
        <v>明日はニュータウンに行って、プリンシズ通りでもう少し買い物をしましょう。</v>
      </c>
      <c r="G1791" t="str">
        <f t="shared" si="1470"/>
        <v>a</v>
      </c>
      <c r="H1791" t="str">
        <f>VLOOKUP(D1791,name!A:C,3,1)</f>
        <v>assets/icons/image329.png</v>
      </c>
      <c r="I1791" t="s">
        <v>402</v>
      </c>
    </row>
    <row r="1792" spans="1:9" x14ac:dyDescent="0.15">
      <c r="A1792" t="str">
        <f t="shared" ref="A1792:B1792" si="1506">A1791</f>
        <v>英語</v>
      </c>
      <c r="B1792">
        <f t="shared" si="1506"/>
        <v>17</v>
      </c>
      <c r="C1792">
        <f t="shared" si="1473"/>
        <v>99</v>
      </c>
      <c r="D1792">
        <v>0</v>
      </c>
      <c r="E1792" t="str">
        <f>VLOOKUP(D1792,name!A:B,2,1)</f>
        <v>Player</v>
      </c>
      <c r="F1792" t="str">
        <f t="shared" si="1483"/>
        <v xml:space="preserve"> We can visit the New Town and shop a bit more on Princes Street tomorrow.</v>
      </c>
      <c r="G1792" t="str">
        <f t="shared" si="1470"/>
        <v>q</v>
      </c>
      <c r="H1792" t="str">
        <f>VLOOKUP(D1792,name!A:C,3,1)</f>
        <v>assets/icons/image326.png</v>
      </c>
      <c r="I1792" t="str">
        <f>IF(A1792="","",VLOOKUP(A1792,lng!A:B,2,0))</f>
        <v>en-GB</v>
      </c>
    </row>
    <row r="1793" spans="1:9" x14ac:dyDescent="0.15">
      <c r="A1793" t="str">
        <f t="shared" ref="A1793:B1793" si="1507">A1792</f>
        <v>英語</v>
      </c>
      <c r="B1793">
        <f t="shared" si="1507"/>
        <v>17</v>
      </c>
      <c r="C1793">
        <f t="shared" si="1473"/>
        <v>100</v>
      </c>
      <c r="D1793">
        <f>D1721</f>
        <v>29</v>
      </c>
      <c r="E1793" t="str">
        <f>VLOOKUP(D1793,name!A:B,2,1)</f>
        <v>Eri</v>
      </c>
      <c r="F1793" t="str">
        <f t="shared" si="1483"/>
        <v>すごい！</v>
      </c>
      <c r="G1793" t="str">
        <f t="shared" si="1470"/>
        <v>a</v>
      </c>
      <c r="H1793" t="str">
        <f>VLOOKUP(D1793,name!A:C,3,1)</f>
        <v>assets/icons/image209.png</v>
      </c>
      <c r="I1793" t="s">
        <v>402</v>
      </c>
    </row>
    <row r="1794" spans="1:9" x14ac:dyDescent="0.15">
      <c r="A1794" t="str">
        <f t="shared" ref="A1794:B1794" si="1508">A1793</f>
        <v>英語</v>
      </c>
      <c r="B1794">
        <f t="shared" si="1508"/>
        <v>17</v>
      </c>
      <c r="C1794">
        <f t="shared" si="1473"/>
        <v>101</v>
      </c>
      <c r="D1794">
        <v>0</v>
      </c>
      <c r="E1794" t="str">
        <f>VLOOKUP(D1794,name!A:B,2,1)</f>
        <v>Player</v>
      </c>
      <c r="F1794" t="str">
        <f t="shared" si="1483"/>
        <v xml:space="preserve">Great! </v>
      </c>
      <c r="G1794" t="str">
        <f t="shared" si="1470"/>
        <v>q</v>
      </c>
      <c r="H1794" t="str">
        <f>VLOOKUP(D1794,name!A:C,3,1)</f>
        <v>assets/icons/image326.png</v>
      </c>
      <c r="I1794" t="str">
        <f>IF(A1794="","",VLOOKUP(A1794,lng!A:B,2,0))</f>
        <v>en-GB</v>
      </c>
    </row>
    <row r="1795" spans="1:9" x14ac:dyDescent="0.15">
      <c r="A1795" t="str">
        <f t="shared" ref="A1795:B1795" si="1509">A1794</f>
        <v>英語</v>
      </c>
      <c r="B1795">
        <f t="shared" si="1509"/>
        <v>17</v>
      </c>
      <c r="C1795">
        <f t="shared" si="1473"/>
        <v>102</v>
      </c>
      <c r="D1795">
        <f>D1723</f>
        <v>29</v>
      </c>
      <c r="E1795" t="str">
        <f>VLOOKUP(D1795,name!A:B,2,1)</f>
        <v>Eri</v>
      </c>
      <c r="F1795" t="str">
        <f t="shared" si="1483"/>
        <v>シャーロック・ホームズやダーウィンが生まれたところを見たくてたまりません。</v>
      </c>
      <c r="G1795" t="str">
        <f t="shared" si="1470"/>
        <v>a</v>
      </c>
      <c r="H1795" t="str">
        <f>VLOOKUP(D1795,name!A:C,3,1)</f>
        <v>assets/icons/image209.png</v>
      </c>
      <c r="I1795" t="s">
        <v>402</v>
      </c>
    </row>
    <row r="1796" spans="1:9" x14ac:dyDescent="0.15">
      <c r="A1796" t="str">
        <f t="shared" ref="A1796:B1796" si="1510">A1795</f>
        <v>英語</v>
      </c>
      <c r="B1796">
        <f t="shared" si="1510"/>
        <v>17</v>
      </c>
      <c r="C1796">
        <f t="shared" si="1473"/>
        <v>103</v>
      </c>
      <c r="D1796">
        <v>0</v>
      </c>
      <c r="E1796" t="str">
        <f>VLOOKUP(D1796,name!A:B,2,1)</f>
        <v>Player</v>
      </c>
      <c r="F1796" t="str">
        <f t="shared" si="1483"/>
        <v>I'm dying to see where Sherlock Holmes and Darwin got their start.</v>
      </c>
      <c r="G1796" t="str">
        <f t="shared" si="1470"/>
        <v>q</v>
      </c>
      <c r="H1796" t="str">
        <f>VLOOKUP(D1796,name!A:C,3,1)</f>
        <v>assets/icons/image326.png</v>
      </c>
      <c r="I1796" t="str">
        <f>IF(A1796="","",VLOOKUP(A1796,lng!A:B,2,0))</f>
        <v>en-GB</v>
      </c>
    </row>
    <row r="1797" spans="1:9" x14ac:dyDescent="0.15">
      <c r="A1797" t="str">
        <f t="shared" ref="A1797:B1797" si="1511">A1796</f>
        <v>英語</v>
      </c>
      <c r="B1797">
        <f t="shared" si="1511"/>
        <v>17</v>
      </c>
      <c r="C1797">
        <f t="shared" si="1473"/>
        <v>104</v>
      </c>
      <c r="D1797">
        <v>1</v>
      </c>
      <c r="E1797" t="str">
        <f>VLOOKUP(D1797,name!A:B,2,1)</f>
        <v>Navigator</v>
      </c>
      <c r="F1797" t="str">
        <f>"とても良くできました。レッスン"&amp;B1797&amp;"はこれで終了です。"</f>
        <v>とても良くできました。レッスン17はこれで終了です。</v>
      </c>
      <c r="G1797" t="str">
        <f t="shared" si="1470"/>
        <v>e</v>
      </c>
      <c r="H1797" t="str">
        <f>VLOOKUP(D1797,name!A:C,3,1)</f>
        <v>assets/icons/image014.png</v>
      </c>
      <c r="I1797" t="s">
        <v>402</v>
      </c>
    </row>
    <row r="1798" spans="1:9" x14ac:dyDescent="0.15">
      <c r="A1798" t="str">
        <f>A1797</f>
        <v>英語</v>
      </c>
      <c r="B1798">
        <f>B1797+1</f>
        <v>18</v>
      </c>
      <c r="C1798">
        <v>1</v>
      </c>
      <c r="D1798">
        <v>1</v>
      </c>
      <c r="E1798" t="str">
        <f>VLOOKUP(D1798,name!A:B,2,1)</f>
        <v>Navigator</v>
      </c>
      <c r="F1798" t="s">
        <v>950</v>
      </c>
      <c r="G1798" t="str">
        <f t="shared" si="1470"/>
        <v>a</v>
      </c>
      <c r="H1798" t="str">
        <f>VLOOKUP(D1798,name!A:C,3,1)</f>
        <v>assets/icons/image014.png</v>
      </c>
      <c r="I1798" t="str">
        <f>IF(A1798="","",VLOOKUP(A1798,lng!A:B,2,0))</f>
        <v>en-GB</v>
      </c>
    </row>
    <row r="1799" spans="1:9" x14ac:dyDescent="0.15">
      <c r="A1799" t="str">
        <f t="shared" ref="A1799:B1814" si="1512">A1798</f>
        <v>英語</v>
      </c>
      <c r="B1799">
        <f>B1798</f>
        <v>18</v>
      </c>
      <c r="C1799">
        <f>C1798+1</f>
        <v>2</v>
      </c>
      <c r="D1799">
        <v>1</v>
      </c>
      <c r="E1799" t="str">
        <f>VLOOKUP(D1799,name!A:B,2,1)</f>
        <v>Navigator</v>
      </c>
      <c r="F1799" t="str">
        <f>"レッスン"&amp;B1799</f>
        <v>レッスン18</v>
      </c>
      <c r="G1799" t="str">
        <f t="shared" si="1470"/>
        <v>a</v>
      </c>
      <c r="H1799" t="str">
        <f>VLOOKUP(D1799,name!A:C,3,1)</f>
        <v>assets/icons/image014.png</v>
      </c>
      <c r="I1799" t="s">
        <v>402</v>
      </c>
    </row>
    <row r="1800" spans="1:9" ht="40.5" x14ac:dyDescent="0.15">
      <c r="A1800" t="str">
        <f t="shared" si="1512"/>
        <v>英語</v>
      </c>
      <c r="B1800">
        <f t="shared" si="1512"/>
        <v>18</v>
      </c>
      <c r="C1800">
        <f t="shared" ref="C1800:C1863" si="1513">C1799+1</f>
        <v>3</v>
      </c>
      <c r="D1800">
        <v>1</v>
      </c>
      <c r="E1800" t="str">
        <f>VLOOKUP(D1800,name!A:B,2,1)</f>
        <v>Navigator</v>
      </c>
      <c r="F1800" s="1" t="str">
        <f>"まずは対話文を流します。その後に、日本語と"&amp;A1800&amp;"を一文ずつ流すので"&amp;A1800&amp;"を真似して下さい。最後に日本語のみを流すので、"&amp;A1800&amp;"で答えてください。"</f>
        <v>まずは対話文を流します。その後に、日本語と英語を一文ずつ流すので英語を真似して下さい。最後に日本語のみを流すので、英語で答えてください。</v>
      </c>
      <c r="G1800" t="str">
        <f t="shared" si="1470"/>
        <v>a</v>
      </c>
      <c r="H1800" t="str">
        <f>VLOOKUP(D1800,name!A:C,3,1)</f>
        <v>assets/icons/image014.png</v>
      </c>
      <c r="I1800" t="s">
        <v>402</v>
      </c>
    </row>
    <row r="1801" spans="1:9" x14ac:dyDescent="0.15">
      <c r="A1801" t="str">
        <f t="shared" si="1512"/>
        <v>英語</v>
      </c>
      <c r="B1801">
        <f t="shared" si="1512"/>
        <v>18</v>
      </c>
      <c r="C1801">
        <f t="shared" si="1513"/>
        <v>4</v>
      </c>
      <c r="D1801">
        <f>D1802</f>
        <v>29</v>
      </c>
      <c r="E1801" t="str">
        <f>VLOOKUP(D1801,name!A:B,2,1)</f>
        <v>Eri</v>
      </c>
      <c r="F1801" t="s">
        <v>966</v>
      </c>
      <c r="G1801" t="str">
        <f t="shared" si="1470"/>
        <v>a</v>
      </c>
      <c r="H1801" t="str">
        <f>VLOOKUP(D1801,name!A:C,3,1)</f>
        <v>assets/icons/image209.png</v>
      </c>
      <c r="I1801" t="s">
        <v>402</v>
      </c>
    </row>
    <row r="1802" spans="1:9" x14ac:dyDescent="0.15">
      <c r="A1802" t="str">
        <f t="shared" si="1512"/>
        <v>英語</v>
      </c>
      <c r="B1802">
        <f t="shared" si="1512"/>
        <v>18</v>
      </c>
      <c r="C1802">
        <f t="shared" si="1513"/>
        <v>5</v>
      </c>
      <c r="D1802">
        <v>29</v>
      </c>
      <c r="E1802" t="str">
        <f>VLOOKUP(D1802,name!A:B,2,1)</f>
        <v>Eri</v>
      </c>
      <c r="F1802" t="s">
        <v>951</v>
      </c>
      <c r="G1802" t="str">
        <f t="shared" si="1470"/>
        <v>a</v>
      </c>
      <c r="H1802" t="str">
        <f>VLOOKUP(D1802,name!A:C,3,1)</f>
        <v>assets/icons/image209.png</v>
      </c>
      <c r="I1802" t="str">
        <f>IF(A1802="","",VLOOKUP(A1802,lng!A:B,2,0))</f>
        <v>en-GB</v>
      </c>
    </row>
    <row r="1803" spans="1:9" x14ac:dyDescent="0.15">
      <c r="A1803" t="str">
        <f t="shared" si="1512"/>
        <v>英語</v>
      </c>
      <c r="B1803">
        <f t="shared" si="1512"/>
        <v>18</v>
      </c>
      <c r="C1803">
        <f t="shared" si="1513"/>
        <v>6</v>
      </c>
      <c r="D1803">
        <f t="shared" ref="D1803:D1827" si="1514">D1804</f>
        <v>33</v>
      </c>
      <c r="E1803" t="str">
        <f>VLOOKUP(D1803,name!A:B,2,1)</f>
        <v>Simon</v>
      </c>
      <c r="F1803" t="s">
        <v>965</v>
      </c>
      <c r="G1803" t="str">
        <f t="shared" si="1470"/>
        <v>a</v>
      </c>
      <c r="H1803" t="str">
        <f>VLOOKUP(D1803,name!A:C,3,1)</f>
        <v>assets/icons/image250.png</v>
      </c>
      <c r="I1803" t="s">
        <v>402</v>
      </c>
    </row>
    <row r="1804" spans="1:9" x14ac:dyDescent="0.15">
      <c r="A1804" t="str">
        <f t="shared" si="1512"/>
        <v>英語</v>
      </c>
      <c r="B1804">
        <f t="shared" si="1512"/>
        <v>18</v>
      </c>
      <c r="C1804">
        <f t="shared" si="1513"/>
        <v>7</v>
      </c>
      <c r="D1804">
        <f t="shared" si="1514"/>
        <v>33</v>
      </c>
      <c r="E1804" t="str">
        <f>VLOOKUP(D1804,name!A:B,2,1)</f>
        <v>Simon</v>
      </c>
      <c r="F1804" t="s">
        <v>952</v>
      </c>
      <c r="G1804" t="str">
        <f t="shared" si="1470"/>
        <v>a</v>
      </c>
      <c r="H1804" t="str">
        <f>VLOOKUP(D1804,name!A:C,3,1)</f>
        <v>assets/icons/image250.png</v>
      </c>
      <c r="I1804" t="str">
        <f>IF(A1804="","",VLOOKUP(A1804,lng!A:B,2,0))</f>
        <v>en-GB</v>
      </c>
    </row>
    <row r="1805" spans="1:9" x14ac:dyDescent="0.15">
      <c r="A1805" t="str">
        <f t="shared" si="1512"/>
        <v>英語</v>
      </c>
      <c r="B1805">
        <f t="shared" si="1512"/>
        <v>18</v>
      </c>
      <c r="C1805">
        <f t="shared" si="1513"/>
        <v>8</v>
      </c>
      <c r="D1805">
        <f t="shared" si="1514"/>
        <v>33</v>
      </c>
      <c r="E1805" t="str">
        <f>VLOOKUP(D1805,name!A:B,2,1)</f>
        <v>Simon</v>
      </c>
      <c r="F1805" t="s">
        <v>968</v>
      </c>
      <c r="G1805" t="str">
        <f t="shared" si="1470"/>
        <v>a</v>
      </c>
      <c r="H1805" t="str">
        <f>VLOOKUP(D1805,name!A:C,3,1)</f>
        <v>assets/icons/image250.png</v>
      </c>
      <c r="I1805" t="s">
        <v>402</v>
      </c>
    </row>
    <row r="1806" spans="1:9" x14ac:dyDescent="0.15">
      <c r="A1806" t="str">
        <f t="shared" si="1512"/>
        <v>英語</v>
      </c>
      <c r="B1806">
        <f t="shared" si="1512"/>
        <v>18</v>
      </c>
      <c r="C1806">
        <f t="shared" si="1513"/>
        <v>9</v>
      </c>
      <c r="D1806">
        <f t="shared" si="1514"/>
        <v>33</v>
      </c>
      <c r="E1806" t="str">
        <f>VLOOKUP(D1806,name!A:B,2,1)</f>
        <v>Simon</v>
      </c>
      <c r="F1806" t="s">
        <v>953</v>
      </c>
      <c r="G1806" t="str">
        <f t="shared" si="1470"/>
        <v>a</v>
      </c>
      <c r="H1806" t="str">
        <f>VLOOKUP(D1806,name!A:C,3,1)</f>
        <v>assets/icons/image250.png</v>
      </c>
      <c r="I1806" t="str">
        <f>IF(A1806="","",VLOOKUP(A1806,lng!A:B,2,0))</f>
        <v>en-GB</v>
      </c>
    </row>
    <row r="1807" spans="1:9" x14ac:dyDescent="0.15">
      <c r="A1807" t="str">
        <f t="shared" si="1512"/>
        <v>英語</v>
      </c>
      <c r="B1807">
        <f t="shared" si="1512"/>
        <v>18</v>
      </c>
      <c r="C1807">
        <f t="shared" si="1513"/>
        <v>10</v>
      </c>
      <c r="D1807">
        <f t="shared" si="1514"/>
        <v>33</v>
      </c>
      <c r="E1807" t="str">
        <f>VLOOKUP(D1807,name!A:B,2,1)</f>
        <v>Simon</v>
      </c>
      <c r="F1807" t="s">
        <v>967</v>
      </c>
      <c r="G1807" t="str">
        <f t="shared" si="1470"/>
        <v>a</v>
      </c>
      <c r="H1807" t="str">
        <f>VLOOKUP(D1807,name!A:C,3,1)</f>
        <v>assets/icons/image250.png</v>
      </c>
      <c r="I1807" t="s">
        <v>402</v>
      </c>
    </row>
    <row r="1808" spans="1:9" x14ac:dyDescent="0.15">
      <c r="A1808" t="str">
        <f t="shared" si="1512"/>
        <v>英語</v>
      </c>
      <c r="B1808">
        <f t="shared" si="1512"/>
        <v>18</v>
      </c>
      <c r="C1808">
        <f t="shared" si="1513"/>
        <v>11</v>
      </c>
      <c r="D1808">
        <v>33</v>
      </c>
      <c r="E1808" t="str">
        <f>VLOOKUP(D1808,name!A:B,2,1)</f>
        <v>Simon</v>
      </c>
      <c r="F1808" t="s">
        <v>954</v>
      </c>
      <c r="G1808" t="str">
        <f t="shared" si="1470"/>
        <v>a</v>
      </c>
      <c r="H1808" t="str">
        <f>VLOOKUP(D1808,name!A:C,3,1)</f>
        <v>assets/icons/image250.png</v>
      </c>
      <c r="I1808" t="str">
        <f>IF(A1808="","",VLOOKUP(A1808,lng!A:B,2,0))</f>
        <v>en-GB</v>
      </c>
    </row>
    <row r="1809" spans="1:9" x14ac:dyDescent="0.15">
      <c r="A1809" t="str">
        <f t="shared" si="1512"/>
        <v>英語</v>
      </c>
      <c r="B1809">
        <f t="shared" si="1512"/>
        <v>18</v>
      </c>
      <c r="C1809">
        <f t="shared" si="1513"/>
        <v>12</v>
      </c>
      <c r="D1809">
        <f t="shared" si="1514"/>
        <v>29</v>
      </c>
      <c r="E1809" t="str">
        <f>VLOOKUP(D1809,name!A:B,2,1)</f>
        <v>Eri</v>
      </c>
      <c r="F1809" t="s">
        <v>969</v>
      </c>
      <c r="G1809" t="str">
        <f t="shared" si="1470"/>
        <v>a</v>
      </c>
      <c r="H1809" t="str">
        <f>VLOOKUP(D1809,name!A:C,3,1)</f>
        <v>assets/icons/image209.png</v>
      </c>
      <c r="I1809" t="s">
        <v>402</v>
      </c>
    </row>
    <row r="1810" spans="1:9" x14ac:dyDescent="0.15">
      <c r="A1810" t="str">
        <f t="shared" si="1512"/>
        <v>英語</v>
      </c>
      <c r="B1810">
        <f t="shared" si="1512"/>
        <v>18</v>
      </c>
      <c r="C1810">
        <f t="shared" si="1513"/>
        <v>13</v>
      </c>
      <c r="D1810">
        <f t="shared" si="1514"/>
        <v>29</v>
      </c>
      <c r="E1810" t="str">
        <f>VLOOKUP(D1810,name!A:B,2,1)</f>
        <v>Eri</v>
      </c>
      <c r="F1810" t="s">
        <v>955</v>
      </c>
      <c r="G1810" t="str">
        <f t="shared" si="1470"/>
        <v>a</v>
      </c>
      <c r="H1810" t="str">
        <f>VLOOKUP(D1810,name!A:C,3,1)</f>
        <v>assets/icons/image209.png</v>
      </c>
      <c r="I1810" t="str">
        <f>IF(A1810="","",VLOOKUP(A1810,lng!A:B,2,0))</f>
        <v>en-GB</v>
      </c>
    </row>
    <row r="1811" spans="1:9" x14ac:dyDescent="0.15">
      <c r="A1811" t="str">
        <f t="shared" si="1512"/>
        <v>英語</v>
      </c>
      <c r="B1811">
        <f t="shared" si="1512"/>
        <v>18</v>
      </c>
      <c r="C1811">
        <f t="shared" si="1513"/>
        <v>14</v>
      </c>
      <c r="D1811">
        <f t="shared" si="1514"/>
        <v>29</v>
      </c>
      <c r="E1811" t="str">
        <f>VLOOKUP(D1811,name!A:B,2,1)</f>
        <v>Eri</v>
      </c>
      <c r="F1811" t="s">
        <v>970</v>
      </c>
      <c r="G1811" t="str">
        <f t="shared" si="1470"/>
        <v>a</v>
      </c>
      <c r="H1811" t="str">
        <f>VLOOKUP(D1811,name!A:C,3,1)</f>
        <v>assets/icons/image209.png</v>
      </c>
      <c r="I1811" t="s">
        <v>402</v>
      </c>
    </row>
    <row r="1812" spans="1:9" x14ac:dyDescent="0.15">
      <c r="A1812" t="str">
        <f t="shared" si="1512"/>
        <v>英語</v>
      </c>
      <c r="B1812">
        <f t="shared" si="1512"/>
        <v>18</v>
      </c>
      <c r="C1812">
        <f t="shared" si="1513"/>
        <v>15</v>
      </c>
      <c r="D1812">
        <v>29</v>
      </c>
      <c r="E1812" t="str">
        <f>VLOOKUP(D1812,name!A:B,2,1)</f>
        <v>Eri</v>
      </c>
      <c r="F1812" t="s">
        <v>956</v>
      </c>
      <c r="G1812" t="str">
        <f t="shared" si="1470"/>
        <v>a</v>
      </c>
      <c r="H1812" t="str">
        <f>VLOOKUP(D1812,name!A:C,3,1)</f>
        <v>assets/icons/image209.png</v>
      </c>
      <c r="I1812" t="str">
        <f>IF(A1812="","",VLOOKUP(A1812,lng!A:B,2,0))</f>
        <v>en-GB</v>
      </c>
    </row>
    <row r="1813" spans="1:9" x14ac:dyDescent="0.15">
      <c r="A1813" t="str">
        <f t="shared" si="1512"/>
        <v>英語</v>
      </c>
      <c r="B1813">
        <f t="shared" si="1512"/>
        <v>18</v>
      </c>
      <c r="C1813">
        <f t="shared" si="1513"/>
        <v>16</v>
      </c>
      <c r="D1813">
        <f t="shared" si="1514"/>
        <v>33</v>
      </c>
      <c r="E1813" t="str">
        <f>VLOOKUP(D1813,name!A:B,2,1)</f>
        <v>Simon</v>
      </c>
      <c r="F1813" t="s">
        <v>971</v>
      </c>
      <c r="G1813" t="str">
        <f t="shared" si="1470"/>
        <v>a</v>
      </c>
      <c r="H1813" t="str">
        <f>VLOOKUP(D1813,name!A:C,3,1)</f>
        <v>assets/icons/image250.png</v>
      </c>
      <c r="I1813" t="s">
        <v>402</v>
      </c>
    </row>
    <row r="1814" spans="1:9" x14ac:dyDescent="0.15">
      <c r="A1814" t="str">
        <f t="shared" si="1512"/>
        <v>英語</v>
      </c>
      <c r="B1814">
        <f t="shared" si="1512"/>
        <v>18</v>
      </c>
      <c r="C1814">
        <f t="shared" si="1513"/>
        <v>17</v>
      </c>
      <c r="D1814">
        <f t="shared" si="1514"/>
        <v>33</v>
      </c>
      <c r="E1814" t="str">
        <f>VLOOKUP(D1814,name!A:B,2,1)</f>
        <v>Simon</v>
      </c>
      <c r="F1814" t="s">
        <v>957</v>
      </c>
      <c r="G1814" t="str">
        <f t="shared" si="1470"/>
        <v>a</v>
      </c>
      <c r="H1814" t="str">
        <f>VLOOKUP(D1814,name!A:C,3,1)</f>
        <v>assets/icons/image250.png</v>
      </c>
      <c r="I1814" t="str">
        <f>IF(A1814="","",VLOOKUP(A1814,lng!A:B,2,0))</f>
        <v>en-GB</v>
      </c>
    </row>
    <row r="1815" spans="1:9" x14ac:dyDescent="0.15">
      <c r="A1815" t="str">
        <f t="shared" ref="A1815:B1818" si="1515">A1814</f>
        <v>英語</v>
      </c>
      <c r="B1815">
        <f t="shared" si="1515"/>
        <v>18</v>
      </c>
      <c r="C1815">
        <f t="shared" si="1513"/>
        <v>18</v>
      </c>
      <c r="D1815">
        <f t="shared" si="1514"/>
        <v>33</v>
      </c>
      <c r="E1815" t="str">
        <f>VLOOKUP(D1815,name!A:B,2,1)</f>
        <v>Simon</v>
      </c>
      <c r="F1815" t="s">
        <v>972</v>
      </c>
      <c r="G1815" t="str">
        <f t="shared" si="1470"/>
        <v>a</v>
      </c>
      <c r="H1815" t="str">
        <f>VLOOKUP(D1815,name!A:C,3,1)</f>
        <v>assets/icons/image250.png</v>
      </c>
      <c r="I1815" t="s">
        <v>402</v>
      </c>
    </row>
    <row r="1816" spans="1:9" x14ac:dyDescent="0.15">
      <c r="A1816" t="str">
        <f t="shared" si="1515"/>
        <v>英語</v>
      </c>
      <c r="B1816">
        <f t="shared" si="1515"/>
        <v>18</v>
      </c>
      <c r="C1816">
        <f t="shared" si="1513"/>
        <v>19</v>
      </c>
      <c r="D1816">
        <f t="shared" si="1514"/>
        <v>33</v>
      </c>
      <c r="E1816" t="str">
        <f>VLOOKUP(D1816,name!A:B,2,1)</f>
        <v>Simon</v>
      </c>
      <c r="F1816" t="s">
        <v>958</v>
      </c>
      <c r="G1816" t="str">
        <f t="shared" si="1470"/>
        <v>a</v>
      </c>
      <c r="H1816" t="str">
        <f>VLOOKUP(D1816,name!A:C,3,1)</f>
        <v>assets/icons/image250.png</v>
      </c>
      <c r="I1816" t="str">
        <f>IF(A1816="","",VLOOKUP(A1816,lng!A:B,2,0))</f>
        <v>en-GB</v>
      </c>
    </row>
    <row r="1817" spans="1:9" x14ac:dyDescent="0.15">
      <c r="A1817" t="str">
        <f t="shared" si="1515"/>
        <v>英語</v>
      </c>
      <c r="B1817">
        <f t="shared" si="1515"/>
        <v>18</v>
      </c>
      <c r="C1817">
        <f t="shared" si="1513"/>
        <v>20</v>
      </c>
      <c r="D1817">
        <f t="shared" si="1514"/>
        <v>33</v>
      </c>
      <c r="E1817" t="str">
        <f>VLOOKUP(D1817,name!A:B,2,1)</f>
        <v>Simon</v>
      </c>
      <c r="F1817" t="s">
        <v>973</v>
      </c>
      <c r="G1817" t="str">
        <f t="shared" si="1470"/>
        <v>a</v>
      </c>
      <c r="H1817" t="str">
        <f>VLOOKUP(D1817,name!A:C,3,1)</f>
        <v>assets/icons/image250.png</v>
      </c>
      <c r="I1817" t="s">
        <v>402</v>
      </c>
    </row>
    <row r="1818" spans="1:9" x14ac:dyDescent="0.15">
      <c r="A1818" t="str">
        <f t="shared" si="1515"/>
        <v>英語</v>
      </c>
      <c r="B1818">
        <f t="shared" si="1515"/>
        <v>18</v>
      </c>
      <c r="C1818">
        <f t="shared" si="1513"/>
        <v>21</v>
      </c>
      <c r="D1818">
        <f t="shared" si="1514"/>
        <v>33</v>
      </c>
      <c r="E1818" t="str">
        <f>VLOOKUP(D1818,name!A:B,2,1)</f>
        <v>Simon</v>
      </c>
      <c r="F1818" t="s">
        <v>959</v>
      </c>
      <c r="G1818" t="str">
        <f t="shared" si="1470"/>
        <v>a</v>
      </c>
      <c r="H1818" t="str">
        <f>VLOOKUP(D1818,name!A:C,3,1)</f>
        <v>assets/icons/image250.png</v>
      </c>
      <c r="I1818" t="str">
        <f>IF(A1818="","",VLOOKUP(A1818,lng!A:B,2,0))</f>
        <v>en-GB</v>
      </c>
    </row>
    <row r="1819" spans="1:9" x14ac:dyDescent="0.15">
      <c r="A1819" t="str">
        <f t="shared" ref="A1819:B1819" si="1516">A1818</f>
        <v>英語</v>
      </c>
      <c r="B1819">
        <f t="shared" si="1516"/>
        <v>18</v>
      </c>
      <c r="C1819">
        <f t="shared" si="1513"/>
        <v>22</v>
      </c>
      <c r="D1819">
        <f t="shared" si="1514"/>
        <v>33</v>
      </c>
      <c r="E1819" t="str">
        <f>VLOOKUP(D1819,name!A:B,2,1)</f>
        <v>Simon</v>
      </c>
      <c r="F1819" t="s">
        <v>974</v>
      </c>
      <c r="G1819" t="str">
        <f t="shared" si="1470"/>
        <v>a</v>
      </c>
      <c r="H1819" t="str">
        <f>VLOOKUP(D1819,name!A:C,3,1)</f>
        <v>assets/icons/image250.png</v>
      </c>
      <c r="I1819" t="s">
        <v>402</v>
      </c>
    </row>
    <row r="1820" spans="1:9" x14ac:dyDescent="0.15">
      <c r="A1820" t="str">
        <f t="shared" ref="A1820:B1820" si="1517">A1819</f>
        <v>英語</v>
      </c>
      <c r="B1820">
        <f t="shared" si="1517"/>
        <v>18</v>
      </c>
      <c r="C1820">
        <f t="shared" si="1513"/>
        <v>23</v>
      </c>
      <c r="D1820">
        <f t="shared" si="1514"/>
        <v>33</v>
      </c>
      <c r="E1820" t="str">
        <f>VLOOKUP(D1820,name!A:B,2,1)</f>
        <v>Simon</v>
      </c>
      <c r="F1820" t="s">
        <v>960</v>
      </c>
      <c r="G1820" t="str">
        <f t="shared" si="1470"/>
        <v>a</v>
      </c>
      <c r="H1820" t="str">
        <f>VLOOKUP(D1820,name!A:C,3,1)</f>
        <v>assets/icons/image250.png</v>
      </c>
      <c r="I1820" t="str">
        <f>IF(A1820="","",VLOOKUP(A1820,lng!A:B,2,0))</f>
        <v>en-GB</v>
      </c>
    </row>
    <row r="1821" spans="1:9" x14ac:dyDescent="0.15">
      <c r="A1821" t="str">
        <f t="shared" ref="A1821:B1821" si="1518">A1820</f>
        <v>英語</v>
      </c>
      <c r="B1821">
        <f t="shared" si="1518"/>
        <v>18</v>
      </c>
      <c r="C1821">
        <f t="shared" si="1513"/>
        <v>24</v>
      </c>
      <c r="D1821">
        <f t="shared" si="1514"/>
        <v>33</v>
      </c>
      <c r="E1821" t="str">
        <f>VLOOKUP(D1821,name!A:B,2,1)</f>
        <v>Simon</v>
      </c>
      <c r="F1821" t="s">
        <v>975</v>
      </c>
      <c r="G1821" t="str">
        <f t="shared" si="1470"/>
        <v>a</v>
      </c>
      <c r="H1821" t="str">
        <f>VLOOKUP(D1821,name!A:C,3,1)</f>
        <v>assets/icons/image250.png</v>
      </c>
      <c r="I1821" t="s">
        <v>402</v>
      </c>
    </row>
    <row r="1822" spans="1:9" x14ac:dyDescent="0.15">
      <c r="A1822" t="str">
        <f t="shared" ref="A1822:B1822" si="1519">A1821</f>
        <v>英語</v>
      </c>
      <c r="B1822">
        <f t="shared" si="1519"/>
        <v>18</v>
      </c>
      <c r="C1822">
        <f t="shared" si="1513"/>
        <v>25</v>
      </c>
      <c r="D1822">
        <v>33</v>
      </c>
      <c r="E1822" t="str">
        <f>VLOOKUP(D1822,name!A:B,2,1)</f>
        <v>Simon</v>
      </c>
      <c r="F1822" t="s">
        <v>961</v>
      </c>
      <c r="G1822" t="str">
        <f t="shared" ref="G1822:G1885" si="1520">IF(B1822&lt;&gt;B1823,"e",IF(D1822=0,"q","a"))</f>
        <v>a</v>
      </c>
      <c r="H1822" t="str">
        <f>VLOOKUP(D1822,name!A:C,3,1)</f>
        <v>assets/icons/image250.png</v>
      </c>
      <c r="I1822" t="str">
        <f>IF(A1822="","",VLOOKUP(A1822,lng!A:B,2,0))</f>
        <v>en-GB</v>
      </c>
    </row>
    <row r="1823" spans="1:9" x14ac:dyDescent="0.15">
      <c r="A1823" t="str">
        <f t="shared" ref="A1823:B1823" si="1521">A1822</f>
        <v>英語</v>
      </c>
      <c r="B1823">
        <f t="shared" si="1521"/>
        <v>18</v>
      </c>
      <c r="C1823">
        <f t="shared" si="1513"/>
        <v>26</v>
      </c>
      <c r="D1823">
        <f t="shared" si="1514"/>
        <v>29</v>
      </c>
      <c r="E1823" t="str">
        <f>VLOOKUP(D1823,name!A:B,2,1)</f>
        <v>Eri</v>
      </c>
      <c r="F1823" t="s">
        <v>976</v>
      </c>
      <c r="G1823" t="str">
        <f t="shared" si="1520"/>
        <v>a</v>
      </c>
      <c r="H1823" t="str">
        <f>VLOOKUP(D1823,name!A:C,3,1)</f>
        <v>assets/icons/image209.png</v>
      </c>
      <c r="I1823" t="s">
        <v>402</v>
      </c>
    </row>
    <row r="1824" spans="1:9" x14ac:dyDescent="0.15">
      <c r="A1824" t="str">
        <f t="shared" ref="A1824:B1824" si="1522">A1823</f>
        <v>英語</v>
      </c>
      <c r="B1824">
        <f t="shared" si="1522"/>
        <v>18</v>
      </c>
      <c r="C1824">
        <f t="shared" si="1513"/>
        <v>27</v>
      </c>
      <c r="D1824">
        <v>29</v>
      </c>
      <c r="E1824" t="str">
        <f>VLOOKUP(D1824,name!A:B,2,1)</f>
        <v>Eri</v>
      </c>
      <c r="F1824" t="s">
        <v>962</v>
      </c>
      <c r="G1824" t="str">
        <f t="shared" si="1520"/>
        <v>a</v>
      </c>
      <c r="H1824" t="str">
        <f>VLOOKUP(D1824,name!A:C,3,1)</f>
        <v>assets/icons/image209.png</v>
      </c>
      <c r="I1824" t="str">
        <f>IF(A1824="","",VLOOKUP(A1824,lng!A:B,2,0))</f>
        <v>en-GB</v>
      </c>
    </row>
    <row r="1825" spans="1:9" x14ac:dyDescent="0.15">
      <c r="A1825" t="str">
        <f t="shared" ref="A1825:B1825" si="1523">A1824</f>
        <v>英語</v>
      </c>
      <c r="B1825">
        <f t="shared" si="1523"/>
        <v>18</v>
      </c>
      <c r="C1825">
        <f t="shared" si="1513"/>
        <v>28</v>
      </c>
      <c r="D1825">
        <f t="shared" si="1514"/>
        <v>33</v>
      </c>
      <c r="E1825" t="str">
        <f>VLOOKUP(D1825,name!A:B,2,1)</f>
        <v>Simon</v>
      </c>
      <c r="F1825" t="s">
        <v>977</v>
      </c>
      <c r="G1825" t="str">
        <f t="shared" si="1520"/>
        <v>a</v>
      </c>
      <c r="H1825" t="str">
        <f>VLOOKUP(D1825,name!A:C,3,1)</f>
        <v>assets/icons/image250.png</v>
      </c>
      <c r="I1825" t="s">
        <v>402</v>
      </c>
    </row>
    <row r="1826" spans="1:9" x14ac:dyDescent="0.15">
      <c r="A1826" t="str">
        <f t="shared" ref="A1826:B1826" si="1524">A1825</f>
        <v>英語</v>
      </c>
      <c r="B1826">
        <f t="shared" si="1524"/>
        <v>18</v>
      </c>
      <c r="C1826">
        <f t="shared" si="1513"/>
        <v>29</v>
      </c>
      <c r="D1826">
        <f t="shared" si="1514"/>
        <v>33</v>
      </c>
      <c r="E1826" t="str">
        <f>VLOOKUP(D1826,name!A:B,2,1)</f>
        <v>Simon</v>
      </c>
      <c r="F1826" t="s">
        <v>963</v>
      </c>
      <c r="G1826" t="str">
        <f t="shared" si="1520"/>
        <v>a</v>
      </c>
      <c r="H1826" t="str">
        <f>VLOOKUP(D1826,name!A:C,3,1)</f>
        <v>assets/icons/image250.png</v>
      </c>
      <c r="I1826" t="str">
        <f>IF(A1826="","",VLOOKUP(A1826,lng!A:B,2,0))</f>
        <v>en-GB</v>
      </c>
    </row>
    <row r="1827" spans="1:9" x14ac:dyDescent="0.15">
      <c r="A1827" t="str">
        <f t="shared" ref="A1827:B1827" si="1525">A1826</f>
        <v>英語</v>
      </c>
      <c r="B1827">
        <f t="shared" si="1525"/>
        <v>18</v>
      </c>
      <c r="C1827">
        <f t="shared" si="1513"/>
        <v>30</v>
      </c>
      <c r="D1827">
        <f t="shared" si="1514"/>
        <v>33</v>
      </c>
      <c r="E1827" t="str">
        <f>VLOOKUP(D1827,name!A:B,2,1)</f>
        <v>Simon</v>
      </c>
      <c r="F1827" t="s">
        <v>978</v>
      </c>
      <c r="G1827" t="str">
        <f t="shared" si="1520"/>
        <v>a</v>
      </c>
      <c r="H1827" t="str">
        <f>VLOOKUP(D1827,name!A:C,3,1)</f>
        <v>assets/icons/image250.png</v>
      </c>
      <c r="I1827" t="s">
        <v>402</v>
      </c>
    </row>
    <row r="1828" spans="1:9" x14ac:dyDescent="0.15">
      <c r="A1828" t="str">
        <f t="shared" ref="A1828:B1828" si="1526">A1827</f>
        <v>英語</v>
      </c>
      <c r="B1828">
        <f t="shared" si="1526"/>
        <v>18</v>
      </c>
      <c r="C1828">
        <f t="shared" si="1513"/>
        <v>31</v>
      </c>
      <c r="D1828">
        <v>33</v>
      </c>
      <c r="E1828" t="str">
        <f>VLOOKUP(D1828,name!A:B,2,1)</f>
        <v>Simon</v>
      </c>
      <c r="F1828" t="s">
        <v>964</v>
      </c>
      <c r="G1828" t="str">
        <f t="shared" si="1520"/>
        <v>a</v>
      </c>
      <c r="H1828" t="str">
        <f>VLOOKUP(D1828,name!A:C,3,1)</f>
        <v>assets/icons/image250.png</v>
      </c>
      <c r="I1828" t="str">
        <f>IF(A1828="","",VLOOKUP(A1828,lng!A:B,2,0))</f>
        <v>en-GB</v>
      </c>
    </row>
    <row r="1829" spans="1:9" x14ac:dyDescent="0.15">
      <c r="A1829" t="str">
        <f t="shared" ref="A1829:B1829" si="1527">A1828</f>
        <v>英語</v>
      </c>
      <c r="B1829">
        <f t="shared" si="1527"/>
        <v>18</v>
      </c>
      <c r="C1829">
        <f t="shared" si="1513"/>
        <v>32</v>
      </c>
      <c r="D1829">
        <v>1</v>
      </c>
      <c r="E1829" t="str">
        <f>VLOOKUP(D1829,name!A:B,2,1)</f>
        <v>Navigator</v>
      </c>
      <c r="F1829" t="str">
        <f>"次の"&amp;A1829&amp;"を真似してね！"</f>
        <v>次の英語を真似してね！</v>
      </c>
      <c r="G1829" t="str">
        <f t="shared" si="1520"/>
        <v>a</v>
      </c>
      <c r="H1829" t="str">
        <f>VLOOKUP(D1829,name!A:C,3,1)</f>
        <v>assets/icons/image014.png</v>
      </c>
      <c r="I1829" t="s">
        <v>402</v>
      </c>
    </row>
    <row r="1830" spans="1:9" x14ac:dyDescent="0.15">
      <c r="A1830" t="str">
        <f t="shared" ref="A1830:B1830" si="1528">A1829</f>
        <v>英語</v>
      </c>
      <c r="B1830">
        <f t="shared" si="1528"/>
        <v>18</v>
      </c>
      <c r="C1830">
        <f t="shared" si="1513"/>
        <v>33</v>
      </c>
      <c r="D1830">
        <f>D1801</f>
        <v>29</v>
      </c>
      <c r="E1830" t="str">
        <f>VLOOKUP(D1830,name!A:B,2,1)</f>
        <v>Eri</v>
      </c>
      <c r="F1830" t="str">
        <f>F1801</f>
        <v>普通、学科のすべての教師にプレゼントやカードを送りますか。</v>
      </c>
      <c r="G1830" t="str">
        <f t="shared" si="1520"/>
        <v>a</v>
      </c>
      <c r="H1830" t="str">
        <f>VLOOKUP(D1830,name!A:C,3,1)</f>
        <v>assets/icons/image209.png</v>
      </c>
      <c r="I1830" t="s">
        <v>402</v>
      </c>
    </row>
    <row r="1831" spans="1:9" x14ac:dyDescent="0.15">
      <c r="A1831" t="str">
        <f t="shared" ref="A1831:B1831" si="1529">A1830</f>
        <v>英語</v>
      </c>
      <c r="B1831">
        <f t="shared" si="1529"/>
        <v>18</v>
      </c>
      <c r="C1831">
        <f t="shared" si="1513"/>
        <v>34</v>
      </c>
      <c r="D1831">
        <f>D1802</f>
        <v>29</v>
      </c>
      <c r="E1831" t="str">
        <f>VLOOKUP(D1831,name!A:B,2,1)</f>
        <v>Eri</v>
      </c>
      <c r="F1831" t="str">
        <f>F1802</f>
        <v>Do you usually send presents or cards to all the teachers in the department?</v>
      </c>
      <c r="G1831" t="str">
        <f t="shared" si="1520"/>
        <v>a</v>
      </c>
      <c r="H1831" t="str">
        <f>VLOOKUP(D1831,name!A:C,3,1)</f>
        <v>assets/icons/image209.png</v>
      </c>
      <c r="I1831" t="str">
        <f>IF(A1831="","",VLOOKUP(A1831,lng!A:B,2,0))</f>
        <v>en-GB</v>
      </c>
    </row>
    <row r="1832" spans="1:9" x14ac:dyDescent="0.15">
      <c r="A1832" t="str">
        <f t="shared" ref="A1832:B1832" si="1530">A1831</f>
        <v>英語</v>
      </c>
      <c r="B1832">
        <f t="shared" si="1530"/>
        <v>18</v>
      </c>
      <c r="C1832">
        <f t="shared" si="1513"/>
        <v>35</v>
      </c>
      <c r="D1832">
        <v>0</v>
      </c>
      <c r="E1832" t="str">
        <f>VLOOKUP(D1832,name!A:B,2,1)</f>
        <v>Player</v>
      </c>
      <c r="F1832" t="str">
        <f>F1802</f>
        <v>Do you usually send presents or cards to all the teachers in the department?</v>
      </c>
      <c r="G1832" t="str">
        <f t="shared" si="1520"/>
        <v>q</v>
      </c>
      <c r="H1832" t="str">
        <f>VLOOKUP(D1832,name!A:C,3,1)</f>
        <v>assets/icons/image326.png</v>
      </c>
      <c r="I1832" t="str">
        <f>IF(A1832="","",VLOOKUP(A1832,lng!A:B,2,0))</f>
        <v>en-GB</v>
      </c>
    </row>
    <row r="1833" spans="1:9" x14ac:dyDescent="0.15">
      <c r="A1833" t="str">
        <f t="shared" ref="A1833:B1833" si="1531">A1832</f>
        <v>英語</v>
      </c>
      <c r="B1833">
        <f t="shared" si="1531"/>
        <v>18</v>
      </c>
      <c r="C1833">
        <f t="shared" si="1513"/>
        <v>36</v>
      </c>
      <c r="D1833">
        <f>D1803</f>
        <v>33</v>
      </c>
      <c r="E1833" t="str">
        <f>VLOOKUP(D1833,name!A:B,2,1)</f>
        <v>Simon</v>
      </c>
      <c r="F1833" t="str">
        <f>F1803</f>
        <v>誰にもプレゼントを渡す必要はありません。</v>
      </c>
      <c r="G1833" t="str">
        <f t="shared" si="1520"/>
        <v>a</v>
      </c>
      <c r="H1833" t="str">
        <f>VLOOKUP(D1833,name!A:C,3,1)</f>
        <v>assets/icons/image250.png</v>
      </c>
      <c r="I1833" t="s">
        <v>402</v>
      </c>
    </row>
    <row r="1834" spans="1:9" x14ac:dyDescent="0.15">
      <c r="A1834" t="str">
        <f t="shared" ref="A1834:B1834" si="1532">A1833</f>
        <v>英語</v>
      </c>
      <c r="B1834">
        <f t="shared" si="1532"/>
        <v>18</v>
      </c>
      <c r="C1834">
        <f t="shared" si="1513"/>
        <v>37</v>
      </c>
      <c r="D1834">
        <f>D1804</f>
        <v>33</v>
      </c>
      <c r="E1834" t="str">
        <f>VLOOKUP(D1834,name!A:B,2,1)</f>
        <v>Simon</v>
      </c>
      <c r="F1834" t="str">
        <f>F1804</f>
        <v xml:space="preserve">There's no need to give presents to anyone, </v>
      </c>
      <c r="G1834" t="str">
        <f t="shared" si="1520"/>
        <v>a</v>
      </c>
      <c r="H1834" t="str">
        <f>VLOOKUP(D1834,name!A:C,3,1)</f>
        <v>assets/icons/image250.png</v>
      </c>
      <c r="I1834" t="str">
        <f>IF(A1834="","",VLOOKUP(A1834,lng!A:B,2,0))</f>
        <v>en-GB</v>
      </c>
    </row>
    <row r="1835" spans="1:9" x14ac:dyDescent="0.15">
      <c r="A1835" t="str">
        <f t="shared" ref="A1835:B1835" si="1533">A1834</f>
        <v>英語</v>
      </c>
      <c r="B1835">
        <f t="shared" si="1533"/>
        <v>18</v>
      </c>
      <c r="C1835">
        <f t="shared" si="1513"/>
        <v>38</v>
      </c>
      <c r="D1835">
        <v>0</v>
      </c>
      <c r="E1835" t="str">
        <f>VLOOKUP(D1835,name!A:B,2,1)</f>
        <v>Player</v>
      </c>
      <c r="F1835" t="str">
        <f>F1804</f>
        <v xml:space="preserve">There's no need to give presents to anyone, </v>
      </c>
      <c r="G1835" t="str">
        <f t="shared" si="1520"/>
        <v>q</v>
      </c>
      <c r="H1835" t="str">
        <f>VLOOKUP(D1835,name!A:C,3,1)</f>
        <v>assets/icons/image326.png</v>
      </c>
      <c r="I1835" t="str">
        <f>IF(A1835="","",VLOOKUP(A1835,lng!A:B,2,0))</f>
        <v>en-GB</v>
      </c>
    </row>
    <row r="1836" spans="1:9" x14ac:dyDescent="0.15">
      <c r="A1836" t="str">
        <f t="shared" ref="A1836:B1836" si="1534">A1835</f>
        <v>英語</v>
      </c>
      <c r="B1836">
        <f t="shared" si="1534"/>
        <v>18</v>
      </c>
      <c r="C1836">
        <f t="shared" si="1513"/>
        <v>39</v>
      </c>
      <c r="D1836">
        <f>D1805</f>
        <v>33</v>
      </c>
      <c r="E1836" t="str">
        <f>VLOOKUP(D1836,name!A:B,2,1)</f>
        <v>Simon</v>
      </c>
      <c r="F1836" t="str">
        <f>F1805</f>
        <v>ただし、オーウェン教授はあなたのスーパーバイザーなので、贈った方が良いかも。</v>
      </c>
      <c r="G1836" t="str">
        <f t="shared" si="1520"/>
        <v>a</v>
      </c>
      <c r="H1836" t="str">
        <f>VLOOKUP(D1836,name!A:C,3,1)</f>
        <v>assets/icons/image250.png</v>
      </c>
      <c r="I1836" t="s">
        <v>402</v>
      </c>
    </row>
    <row r="1837" spans="1:9" x14ac:dyDescent="0.15">
      <c r="A1837" t="str">
        <f t="shared" ref="A1837:B1837" si="1535">A1836</f>
        <v>英語</v>
      </c>
      <c r="B1837">
        <f t="shared" si="1535"/>
        <v>18</v>
      </c>
      <c r="C1837">
        <f t="shared" si="1513"/>
        <v>40</v>
      </c>
      <c r="D1837">
        <f>D1806</f>
        <v>33</v>
      </c>
      <c r="E1837" t="str">
        <f>VLOOKUP(D1837,name!A:B,2,1)</f>
        <v>Simon</v>
      </c>
      <c r="F1837" t="str">
        <f>F1806</f>
        <v>except perhaps Professor Owen because he's your supervisor,</v>
      </c>
      <c r="G1837" t="str">
        <f t="shared" si="1520"/>
        <v>a</v>
      </c>
      <c r="H1837" t="str">
        <f>VLOOKUP(D1837,name!A:C,3,1)</f>
        <v>assets/icons/image250.png</v>
      </c>
      <c r="I1837" t="str">
        <f>IF(A1837="","",VLOOKUP(A1837,lng!A:B,2,0))</f>
        <v>en-GB</v>
      </c>
    </row>
    <row r="1838" spans="1:9" x14ac:dyDescent="0.15">
      <c r="A1838" t="str">
        <f t="shared" ref="A1838:B1838" si="1536">A1837</f>
        <v>英語</v>
      </c>
      <c r="B1838">
        <f t="shared" si="1536"/>
        <v>18</v>
      </c>
      <c r="C1838">
        <f t="shared" si="1513"/>
        <v>41</v>
      </c>
      <c r="D1838">
        <v>0</v>
      </c>
      <c r="E1838" t="str">
        <f>VLOOKUP(D1838,name!A:B,2,1)</f>
        <v>Player</v>
      </c>
      <c r="F1838" t="str">
        <f>F1806</f>
        <v>except perhaps Professor Owen because he's your supervisor,</v>
      </c>
      <c r="G1838" t="str">
        <f t="shared" si="1520"/>
        <v>q</v>
      </c>
      <c r="H1838" t="str">
        <f>VLOOKUP(D1838,name!A:C,3,1)</f>
        <v>assets/icons/image326.png</v>
      </c>
      <c r="I1838" t="str">
        <f>IF(A1838="","",VLOOKUP(A1838,lng!A:B,2,0))</f>
        <v>en-GB</v>
      </c>
    </row>
    <row r="1839" spans="1:9" x14ac:dyDescent="0.15">
      <c r="A1839" t="str">
        <f t="shared" ref="A1839:B1839" si="1537">A1838</f>
        <v>英語</v>
      </c>
      <c r="B1839">
        <f t="shared" si="1537"/>
        <v>18</v>
      </c>
      <c r="C1839">
        <f t="shared" si="1513"/>
        <v>42</v>
      </c>
      <c r="D1839">
        <f>D1807</f>
        <v>33</v>
      </c>
      <c r="E1839" t="str">
        <f>VLOOKUP(D1839,name!A:B,2,1)</f>
        <v>Simon</v>
      </c>
      <c r="F1839" t="str">
        <f>F1807</f>
        <v>しかし、すべての教師にカードを送るのは良い考えです。</v>
      </c>
      <c r="G1839" t="str">
        <f t="shared" si="1520"/>
        <v>a</v>
      </c>
      <c r="H1839" t="str">
        <f>VLOOKUP(D1839,name!A:C,3,1)</f>
        <v>assets/icons/image250.png</v>
      </c>
      <c r="I1839" t="s">
        <v>402</v>
      </c>
    </row>
    <row r="1840" spans="1:9" x14ac:dyDescent="0.15">
      <c r="A1840" t="str">
        <f t="shared" ref="A1840:B1840" si="1538">A1839</f>
        <v>英語</v>
      </c>
      <c r="B1840">
        <f t="shared" si="1538"/>
        <v>18</v>
      </c>
      <c r="C1840">
        <f t="shared" si="1513"/>
        <v>43</v>
      </c>
      <c r="D1840">
        <f>D1808</f>
        <v>33</v>
      </c>
      <c r="E1840" t="str">
        <f>VLOOKUP(D1840,name!A:B,2,1)</f>
        <v>Simon</v>
      </c>
      <c r="F1840" t="str">
        <f>F1808</f>
        <v>but it's a good idea to send cards to all your teachers.</v>
      </c>
      <c r="G1840" t="str">
        <f t="shared" si="1520"/>
        <v>a</v>
      </c>
      <c r="H1840" t="str">
        <f>VLOOKUP(D1840,name!A:C,3,1)</f>
        <v>assets/icons/image250.png</v>
      </c>
      <c r="I1840" t="str">
        <f>IF(A1840="","",VLOOKUP(A1840,lng!A:B,2,0))</f>
        <v>en-GB</v>
      </c>
    </row>
    <row r="1841" spans="1:9" x14ac:dyDescent="0.15">
      <c r="A1841" t="str">
        <f t="shared" ref="A1841:B1841" si="1539">A1840</f>
        <v>英語</v>
      </c>
      <c r="B1841">
        <f t="shared" si="1539"/>
        <v>18</v>
      </c>
      <c r="C1841">
        <f t="shared" si="1513"/>
        <v>44</v>
      </c>
      <c r="D1841">
        <v>0</v>
      </c>
      <c r="E1841" t="str">
        <f>VLOOKUP(D1841,name!A:B,2,1)</f>
        <v>Player</v>
      </c>
      <c r="F1841" t="str">
        <f>F1808</f>
        <v>but it's a good idea to send cards to all your teachers.</v>
      </c>
      <c r="G1841" t="str">
        <f t="shared" si="1520"/>
        <v>q</v>
      </c>
      <c r="H1841" t="str">
        <f>VLOOKUP(D1841,name!A:C,3,1)</f>
        <v>assets/icons/image326.png</v>
      </c>
      <c r="I1841" t="str">
        <f>IF(A1841="","",VLOOKUP(A1841,lng!A:B,2,0))</f>
        <v>en-GB</v>
      </c>
    </row>
    <row r="1842" spans="1:9" x14ac:dyDescent="0.15">
      <c r="A1842" t="str">
        <f t="shared" ref="A1842:B1842" si="1540">A1841</f>
        <v>英語</v>
      </c>
      <c r="B1842">
        <f t="shared" si="1540"/>
        <v>18</v>
      </c>
      <c r="C1842">
        <f t="shared" si="1513"/>
        <v>45</v>
      </c>
      <c r="D1842">
        <f>D1809</f>
        <v>29</v>
      </c>
      <c r="E1842" t="str">
        <f>VLOOKUP(D1842,name!A:B,2,1)</f>
        <v>Eri</v>
      </c>
      <c r="F1842" t="str">
        <f>F1809</f>
        <v>そうですか。</v>
      </c>
      <c r="G1842" t="str">
        <f t="shared" si="1520"/>
        <v>a</v>
      </c>
      <c r="H1842" t="str">
        <f>VLOOKUP(D1842,name!A:C,3,1)</f>
        <v>assets/icons/image209.png</v>
      </c>
      <c r="I1842" t="s">
        <v>402</v>
      </c>
    </row>
    <row r="1843" spans="1:9" x14ac:dyDescent="0.15">
      <c r="A1843" t="str">
        <f t="shared" ref="A1843:B1843" si="1541">A1842</f>
        <v>英語</v>
      </c>
      <c r="B1843">
        <f t="shared" si="1541"/>
        <v>18</v>
      </c>
      <c r="C1843">
        <f t="shared" si="1513"/>
        <v>46</v>
      </c>
      <c r="D1843">
        <f>D1810</f>
        <v>29</v>
      </c>
      <c r="E1843" t="str">
        <f>VLOOKUP(D1843,name!A:B,2,1)</f>
        <v>Eri</v>
      </c>
      <c r="F1843" t="str">
        <f>F1810</f>
        <v>I see.</v>
      </c>
      <c r="G1843" t="str">
        <f t="shared" si="1520"/>
        <v>a</v>
      </c>
      <c r="H1843" t="str">
        <f>VLOOKUP(D1843,name!A:C,3,1)</f>
        <v>assets/icons/image209.png</v>
      </c>
      <c r="I1843" t="str">
        <f>IF(A1843="","",VLOOKUP(A1843,lng!A:B,2,0))</f>
        <v>en-GB</v>
      </c>
    </row>
    <row r="1844" spans="1:9" x14ac:dyDescent="0.15">
      <c r="A1844" t="str">
        <f t="shared" ref="A1844:B1844" si="1542">A1843</f>
        <v>英語</v>
      </c>
      <c r="B1844">
        <f t="shared" si="1542"/>
        <v>18</v>
      </c>
      <c r="C1844">
        <f t="shared" si="1513"/>
        <v>47</v>
      </c>
      <c r="D1844">
        <v>0</v>
      </c>
      <c r="E1844" t="str">
        <f>VLOOKUP(D1844,name!A:B,2,1)</f>
        <v>Player</v>
      </c>
      <c r="F1844" t="str">
        <f>F1810</f>
        <v>I see.</v>
      </c>
      <c r="G1844" t="str">
        <f t="shared" si="1520"/>
        <v>q</v>
      </c>
      <c r="H1844" t="str">
        <f>VLOOKUP(D1844,name!A:C,3,1)</f>
        <v>assets/icons/image326.png</v>
      </c>
      <c r="I1844" t="str">
        <f>IF(A1844="","",VLOOKUP(A1844,lng!A:B,2,0))</f>
        <v>en-GB</v>
      </c>
    </row>
    <row r="1845" spans="1:9" x14ac:dyDescent="0.15">
      <c r="A1845" t="str">
        <f t="shared" ref="A1845:B1845" si="1543">A1844</f>
        <v>英語</v>
      </c>
      <c r="B1845">
        <f t="shared" si="1543"/>
        <v>18</v>
      </c>
      <c r="C1845">
        <f t="shared" si="1513"/>
        <v>48</v>
      </c>
      <c r="D1845">
        <f>D1811</f>
        <v>29</v>
      </c>
      <c r="E1845" t="str">
        <f>VLOOKUP(D1845,name!A:B,2,1)</f>
        <v>Eri</v>
      </c>
      <c r="F1845" t="str">
        <f>F1811</f>
        <v>大家さんにも素敵なプレゼントをあげたほうがいいでしょう。</v>
      </c>
      <c r="G1845" t="str">
        <f t="shared" si="1520"/>
        <v>a</v>
      </c>
      <c r="H1845" t="str">
        <f>VLOOKUP(D1845,name!A:C,3,1)</f>
        <v>assets/icons/image209.png</v>
      </c>
      <c r="I1845" t="s">
        <v>402</v>
      </c>
    </row>
    <row r="1846" spans="1:9" x14ac:dyDescent="0.15">
      <c r="A1846" t="str">
        <f t="shared" ref="A1846:B1846" si="1544">A1845</f>
        <v>英語</v>
      </c>
      <c r="B1846">
        <f t="shared" si="1544"/>
        <v>18</v>
      </c>
      <c r="C1846">
        <f t="shared" si="1513"/>
        <v>49</v>
      </c>
      <c r="D1846">
        <f>D1812</f>
        <v>29</v>
      </c>
      <c r="E1846" t="str">
        <f>VLOOKUP(D1846,name!A:B,2,1)</f>
        <v>Eri</v>
      </c>
      <c r="F1846" t="str">
        <f>F1812</f>
        <v xml:space="preserve"> I'd probably better get a nice present for my landlady, too.</v>
      </c>
      <c r="G1846" t="str">
        <f t="shared" si="1520"/>
        <v>a</v>
      </c>
      <c r="H1846" t="str">
        <f>VLOOKUP(D1846,name!A:C,3,1)</f>
        <v>assets/icons/image209.png</v>
      </c>
      <c r="I1846" t="str">
        <f>IF(A1846="","",VLOOKUP(A1846,lng!A:B,2,0))</f>
        <v>en-GB</v>
      </c>
    </row>
    <row r="1847" spans="1:9" x14ac:dyDescent="0.15">
      <c r="A1847" t="str">
        <f t="shared" ref="A1847:B1847" si="1545">A1846</f>
        <v>英語</v>
      </c>
      <c r="B1847">
        <f t="shared" si="1545"/>
        <v>18</v>
      </c>
      <c r="C1847">
        <f t="shared" si="1513"/>
        <v>50</v>
      </c>
      <c r="D1847">
        <v>0</v>
      </c>
      <c r="E1847" t="str">
        <f>VLOOKUP(D1847,name!A:B,2,1)</f>
        <v>Player</v>
      </c>
      <c r="F1847" t="str">
        <f>F1812</f>
        <v xml:space="preserve"> I'd probably better get a nice present for my landlady, too.</v>
      </c>
      <c r="G1847" t="str">
        <f t="shared" si="1520"/>
        <v>q</v>
      </c>
      <c r="H1847" t="str">
        <f>VLOOKUP(D1847,name!A:C,3,1)</f>
        <v>assets/icons/image326.png</v>
      </c>
      <c r="I1847" t="str">
        <f>IF(A1847="","",VLOOKUP(A1847,lng!A:B,2,0))</f>
        <v>en-GB</v>
      </c>
    </row>
    <row r="1848" spans="1:9" x14ac:dyDescent="0.15">
      <c r="A1848" t="str">
        <f t="shared" ref="A1848:B1848" si="1546">A1847</f>
        <v>英語</v>
      </c>
      <c r="B1848">
        <f t="shared" si="1546"/>
        <v>18</v>
      </c>
      <c r="C1848">
        <f t="shared" si="1513"/>
        <v>51</v>
      </c>
      <c r="D1848">
        <f>D1813</f>
        <v>33</v>
      </c>
      <c r="E1848" t="str">
        <f>VLOOKUP(D1848,name!A:B,2,1)</f>
        <v>Simon</v>
      </c>
      <c r="F1848" t="str">
        <f>F1813</f>
        <v>はい、そうすべきだと思います。</v>
      </c>
      <c r="G1848" t="str">
        <f t="shared" si="1520"/>
        <v>a</v>
      </c>
      <c r="H1848" t="str">
        <f>VLOOKUP(D1848,name!A:C,3,1)</f>
        <v>assets/icons/image250.png</v>
      </c>
      <c r="I1848" t="s">
        <v>402</v>
      </c>
    </row>
    <row r="1849" spans="1:9" x14ac:dyDescent="0.15">
      <c r="A1849" t="str">
        <f t="shared" ref="A1849:B1849" si="1547">A1848</f>
        <v>英語</v>
      </c>
      <c r="B1849">
        <f t="shared" si="1547"/>
        <v>18</v>
      </c>
      <c r="C1849">
        <f t="shared" si="1513"/>
        <v>52</v>
      </c>
      <c r="D1849">
        <f>D1814</f>
        <v>33</v>
      </c>
      <c r="E1849" t="str">
        <f>VLOOKUP(D1849,name!A:B,2,1)</f>
        <v>Simon</v>
      </c>
      <c r="F1849" t="str">
        <f>F1814</f>
        <v>Yes, I think you should,</v>
      </c>
      <c r="G1849" t="str">
        <f t="shared" si="1520"/>
        <v>a</v>
      </c>
      <c r="H1849" t="str">
        <f>VLOOKUP(D1849,name!A:C,3,1)</f>
        <v>assets/icons/image250.png</v>
      </c>
      <c r="I1849" t="str">
        <f>IF(A1849="","",VLOOKUP(A1849,lng!A:B,2,0))</f>
        <v>en-GB</v>
      </c>
    </row>
    <row r="1850" spans="1:9" x14ac:dyDescent="0.15">
      <c r="A1850" t="str">
        <f t="shared" ref="A1850:B1850" si="1548">A1849</f>
        <v>英語</v>
      </c>
      <c r="B1850">
        <f t="shared" si="1548"/>
        <v>18</v>
      </c>
      <c r="C1850">
        <f t="shared" si="1513"/>
        <v>53</v>
      </c>
      <c r="D1850">
        <v>0</v>
      </c>
      <c r="E1850" t="str">
        <f>VLOOKUP(D1850,name!A:B,2,1)</f>
        <v>Player</v>
      </c>
      <c r="F1850" t="str">
        <f>F1814</f>
        <v>Yes, I think you should,</v>
      </c>
      <c r="G1850" t="str">
        <f t="shared" si="1520"/>
        <v>q</v>
      </c>
      <c r="H1850" t="str">
        <f>VLOOKUP(D1850,name!A:C,3,1)</f>
        <v>assets/icons/image326.png</v>
      </c>
      <c r="I1850" t="str">
        <f>IF(A1850="","",VLOOKUP(A1850,lng!A:B,2,0))</f>
        <v>en-GB</v>
      </c>
    </row>
    <row r="1851" spans="1:9" x14ac:dyDescent="0.15">
      <c r="A1851" t="str">
        <f t="shared" ref="A1851:B1851" si="1549">A1850</f>
        <v>英語</v>
      </c>
      <c r="B1851">
        <f t="shared" si="1549"/>
        <v>18</v>
      </c>
      <c r="C1851">
        <f t="shared" si="1513"/>
        <v>54</v>
      </c>
      <c r="D1851">
        <f>D1815</f>
        <v>33</v>
      </c>
      <c r="E1851" t="str">
        <f>VLOOKUP(D1851,name!A:B,2,1)</f>
        <v>Simon</v>
      </c>
      <c r="F1851" t="str">
        <f>F1815</f>
        <v>彼女はあなたとアシャのクリスマス ディナーを提供してくれるからです。</v>
      </c>
      <c r="G1851" t="str">
        <f t="shared" si="1520"/>
        <v>a</v>
      </c>
      <c r="H1851" t="str">
        <f>VLOOKUP(D1851,name!A:C,3,1)</f>
        <v>assets/icons/image250.png</v>
      </c>
      <c r="I1851" t="s">
        <v>402</v>
      </c>
    </row>
    <row r="1852" spans="1:9" x14ac:dyDescent="0.15">
      <c r="A1852" t="str">
        <f t="shared" ref="A1852:B1852" si="1550">A1851</f>
        <v>英語</v>
      </c>
      <c r="B1852">
        <f t="shared" si="1550"/>
        <v>18</v>
      </c>
      <c r="C1852">
        <f t="shared" si="1513"/>
        <v>55</v>
      </c>
      <c r="D1852">
        <f>D1816</f>
        <v>33</v>
      </c>
      <c r="E1852" t="str">
        <f>VLOOKUP(D1852,name!A:B,2,1)</f>
        <v>Simon</v>
      </c>
      <c r="F1852" t="str">
        <f>F1816</f>
        <v xml:space="preserve"> since she's offered to serve you and Asha Christmas dinner. </v>
      </c>
      <c r="G1852" t="str">
        <f t="shared" si="1520"/>
        <v>a</v>
      </c>
      <c r="H1852" t="str">
        <f>VLOOKUP(D1852,name!A:C,3,1)</f>
        <v>assets/icons/image250.png</v>
      </c>
      <c r="I1852" t="str">
        <f>IF(A1852="","",VLOOKUP(A1852,lng!A:B,2,0))</f>
        <v>en-GB</v>
      </c>
    </row>
    <row r="1853" spans="1:9" x14ac:dyDescent="0.15">
      <c r="A1853" t="str">
        <f t="shared" ref="A1853:B1853" si="1551">A1852</f>
        <v>英語</v>
      </c>
      <c r="B1853">
        <f t="shared" si="1551"/>
        <v>18</v>
      </c>
      <c r="C1853">
        <f t="shared" si="1513"/>
        <v>56</v>
      </c>
      <c r="D1853">
        <v>0</v>
      </c>
      <c r="E1853" t="str">
        <f>VLOOKUP(D1853,name!A:B,2,1)</f>
        <v>Player</v>
      </c>
      <c r="F1853" t="str">
        <f>F1816</f>
        <v xml:space="preserve"> since she's offered to serve you and Asha Christmas dinner. </v>
      </c>
      <c r="G1853" t="str">
        <f t="shared" si="1520"/>
        <v>q</v>
      </c>
      <c r="H1853" t="str">
        <f>VLOOKUP(D1853,name!A:C,3,1)</f>
        <v>assets/icons/image326.png</v>
      </c>
      <c r="I1853" t="str">
        <f>IF(A1853="","",VLOOKUP(A1853,lng!A:B,2,0))</f>
        <v>en-GB</v>
      </c>
    </row>
    <row r="1854" spans="1:9" x14ac:dyDescent="0.15">
      <c r="A1854" t="str">
        <f t="shared" ref="A1854:B1854" si="1552">A1853</f>
        <v>英語</v>
      </c>
      <c r="B1854">
        <f t="shared" si="1552"/>
        <v>18</v>
      </c>
      <c r="C1854">
        <f t="shared" si="1513"/>
        <v>57</v>
      </c>
      <c r="D1854">
        <f>D1817</f>
        <v>33</v>
      </c>
      <c r="E1854" t="str">
        <f>VLOOKUP(D1854,name!A:B,2,1)</f>
        <v>Simon</v>
      </c>
      <c r="F1854" t="str">
        <f>F1817</f>
        <v>七面鳥や付け合わせ！</v>
      </c>
      <c r="G1854" t="str">
        <f t="shared" si="1520"/>
        <v>a</v>
      </c>
      <c r="H1854" t="str">
        <f>VLOOKUP(D1854,name!A:C,3,1)</f>
        <v>assets/icons/image250.png</v>
      </c>
      <c r="I1854" t="s">
        <v>402</v>
      </c>
    </row>
    <row r="1855" spans="1:9" x14ac:dyDescent="0.15">
      <c r="A1855" t="str">
        <f t="shared" ref="A1855:B1855" si="1553">A1854</f>
        <v>英語</v>
      </c>
      <c r="B1855">
        <f t="shared" si="1553"/>
        <v>18</v>
      </c>
      <c r="C1855">
        <f t="shared" si="1513"/>
        <v>58</v>
      </c>
      <c r="D1855">
        <f>D1818</f>
        <v>33</v>
      </c>
      <c r="E1855" t="str">
        <f>VLOOKUP(D1855,name!A:B,2,1)</f>
        <v>Simon</v>
      </c>
      <c r="F1855" t="str">
        <f>F1818</f>
        <v>Turkey and all the trimmings!</v>
      </c>
      <c r="G1855" t="str">
        <f t="shared" si="1520"/>
        <v>a</v>
      </c>
      <c r="H1855" t="str">
        <f>VLOOKUP(D1855,name!A:C,3,1)</f>
        <v>assets/icons/image250.png</v>
      </c>
      <c r="I1855" t="str">
        <f>IF(A1855="","",VLOOKUP(A1855,lng!A:B,2,0))</f>
        <v>en-GB</v>
      </c>
    </row>
    <row r="1856" spans="1:9" x14ac:dyDescent="0.15">
      <c r="A1856" t="str">
        <f t="shared" ref="A1856:B1856" si="1554">A1855</f>
        <v>英語</v>
      </c>
      <c r="B1856">
        <f t="shared" si="1554"/>
        <v>18</v>
      </c>
      <c r="C1856">
        <f t="shared" si="1513"/>
        <v>59</v>
      </c>
      <c r="D1856">
        <v>0</v>
      </c>
      <c r="E1856" t="str">
        <f>VLOOKUP(D1856,name!A:B,2,1)</f>
        <v>Player</v>
      </c>
      <c r="F1856" t="str">
        <f>F1818</f>
        <v>Turkey and all the trimmings!</v>
      </c>
      <c r="G1856" t="str">
        <f t="shared" si="1520"/>
        <v>q</v>
      </c>
      <c r="H1856" t="str">
        <f>VLOOKUP(D1856,name!A:C,3,1)</f>
        <v>assets/icons/image326.png</v>
      </c>
      <c r="I1856" t="str">
        <f>IF(A1856="","",VLOOKUP(A1856,lng!A:B,2,0))</f>
        <v>en-GB</v>
      </c>
    </row>
    <row r="1857" spans="1:9" x14ac:dyDescent="0.15">
      <c r="A1857" t="str">
        <f t="shared" ref="A1857:B1857" si="1555">A1856</f>
        <v>英語</v>
      </c>
      <c r="B1857">
        <f t="shared" si="1555"/>
        <v>18</v>
      </c>
      <c r="C1857">
        <f t="shared" si="1513"/>
        <v>60</v>
      </c>
      <c r="D1857">
        <f>D1819</f>
        <v>33</v>
      </c>
      <c r="E1857" t="str">
        <f>VLOOKUP(D1857,name!A:B,2,1)</f>
        <v>Simon</v>
      </c>
      <c r="F1857" t="str">
        <f>F1819</f>
        <v>うらやましい。</v>
      </c>
      <c r="G1857" t="str">
        <f t="shared" si="1520"/>
        <v>a</v>
      </c>
      <c r="H1857" t="str">
        <f>VLOOKUP(D1857,name!A:C,3,1)</f>
        <v>assets/icons/image250.png</v>
      </c>
      <c r="I1857" t="s">
        <v>402</v>
      </c>
    </row>
    <row r="1858" spans="1:9" x14ac:dyDescent="0.15">
      <c r="A1858" t="str">
        <f t="shared" ref="A1858:B1858" si="1556">A1857</f>
        <v>英語</v>
      </c>
      <c r="B1858">
        <f t="shared" si="1556"/>
        <v>18</v>
      </c>
      <c r="C1858">
        <f t="shared" si="1513"/>
        <v>61</v>
      </c>
      <c r="D1858">
        <f>D1820</f>
        <v>33</v>
      </c>
      <c r="E1858" t="str">
        <f>VLOOKUP(D1858,name!A:B,2,1)</f>
        <v>Simon</v>
      </c>
      <c r="F1858" t="str">
        <f>F1820</f>
        <v>I envy you.</v>
      </c>
      <c r="G1858" t="str">
        <f t="shared" si="1520"/>
        <v>a</v>
      </c>
      <c r="H1858" t="str">
        <f>VLOOKUP(D1858,name!A:C,3,1)</f>
        <v>assets/icons/image250.png</v>
      </c>
      <c r="I1858" t="str">
        <f>IF(A1858="","",VLOOKUP(A1858,lng!A:B,2,0))</f>
        <v>en-GB</v>
      </c>
    </row>
    <row r="1859" spans="1:9" x14ac:dyDescent="0.15">
      <c r="A1859" t="str">
        <f t="shared" ref="A1859:B1859" si="1557">A1858</f>
        <v>英語</v>
      </c>
      <c r="B1859">
        <f t="shared" si="1557"/>
        <v>18</v>
      </c>
      <c r="C1859">
        <f t="shared" si="1513"/>
        <v>62</v>
      </c>
      <c r="D1859">
        <v>0</v>
      </c>
      <c r="E1859" t="str">
        <f>VLOOKUP(D1859,name!A:B,2,1)</f>
        <v>Player</v>
      </c>
      <c r="F1859" t="str">
        <f>F1820</f>
        <v>I envy you.</v>
      </c>
      <c r="G1859" t="str">
        <f t="shared" si="1520"/>
        <v>q</v>
      </c>
      <c r="H1859" t="str">
        <f>VLOOKUP(D1859,name!A:C,3,1)</f>
        <v>assets/icons/image326.png</v>
      </c>
      <c r="I1859" t="str">
        <f>IF(A1859="","",VLOOKUP(A1859,lng!A:B,2,0))</f>
        <v>en-GB</v>
      </c>
    </row>
    <row r="1860" spans="1:9" x14ac:dyDescent="0.15">
      <c r="A1860" t="str">
        <f t="shared" ref="A1860:B1860" si="1558">A1859</f>
        <v>英語</v>
      </c>
      <c r="B1860">
        <f t="shared" si="1558"/>
        <v>18</v>
      </c>
      <c r="C1860">
        <f t="shared" si="1513"/>
        <v>63</v>
      </c>
      <c r="D1860">
        <f>D1821</f>
        <v>33</v>
      </c>
      <c r="E1860" t="str">
        <f>VLOOKUP(D1860,name!A:B,2,1)</f>
        <v>Simon</v>
      </c>
      <c r="F1860" t="str">
        <f>F1821</f>
        <v>たぶん、プリンとミンスパイも。</v>
      </c>
      <c r="G1860" t="str">
        <f t="shared" si="1520"/>
        <v>a</v>
      </c>
      <c r="H1860" t="str">
        <f>VLOOKUP(D1860,name!A:C,3,1)</f>
        <v>assets/icons/image250.png</v>
      </c>
      <c r="I1860" t="s">
        <v>402</v>
      </c>
    </row>
    <row r="1861" spans="1:9" x14ac:dyDescent="0.15">
      <c r="A1861" t="str">
        <f t="shared" ref="A1861:B1861" si="1559">A1860</f>
        <v>英語</v>
      </c>
      <c r="B1861">
        <f t="shared" si="1559"/>
        <v>18</v>
      </c>
      <c r="C1861">
        <f t="shared" si="1513"/>
        <v>64</v>
      </c>
      <c r="D1861">
        <f>D1822</f>
        <v>33</v>
      </c>
      <c r="E1861" t="str">
        <f>VLOOKUP(D1861,name!A:B,2,1)</f>
        <v>Simon</v>
      </c>
      <c r="F1861" t="str">
        <f>F1822</f>
        <v>Pudding and mince pies, too, probably.</v>
      </c>
      <c r="G1861" t="str">
        <f t="shared" si="1520"/>
        <v>a</v>
      </c>
      <c r="H1861" t="str">
        <f>VLOOKUP(D1861,name!A:C,3,1)</f>
        <v>assets/icons/image250.png</v>
      </c>
      <c r="I1861" t="str">
        <f>IF(A1861="","",VLOOKUP(A1861,lng!A:B,2,0))</f>
        <v>en-GB</v>
      </c>
    </row>
    <row r="1862" spans="1:9" x14ac:dyDescent="0.15">
      <c r="A1862" t="str">
        <f t="shared" ref="A1862:B1862" si="1560">A1861</f>
        <v>英語</v>
      </c>
      <c r="B1862">
        <f t="shared" si="1560"/>
        <v>18</v>
      </c>
      <c r="C1862">
        <f t="shared" si="1513"/>
        <v>65</v>
      </c>
      <c r="D1862">
        <v>0</v>
      </c>
      <c r="E1862" t="str">
        <f>VLOOKUP(D1862,name!A:B,2,1)</f>
        <v>Player</v>
      </c>
      <c r="F1862" t="str">
        <f>F1822</f>
        <v>Pudding and mince pies, too, probably.</v>
      </c>
      <c r="G1862" t="str">
        <f t="shared" si="1520"/>
        <v>q</v>
      </c>
      <c r="H1862" t="str">
        <f>VLOOKUP(D1862,name!A:C,3,1)</f>
        <v>assets/icons/image326.png</v>
      </c>
      <c r="I1862" t="str">
        <f>IF(A1862="","",VLOOKUP(A1862,lng!A:B,2,0))</f>
        <v>en-GB</v>
      </c>
    </row>
    <row r="1863" spans="1:9" x14ac:dyDescent="0.15">
      <c r="A1863" t="str">
        <f t="shared" ref="A1863:B1863" si="1561">A1862</f>
        <v>英語</v>
      </c>
      <c r="B1863">
        <f t="shared" si="1561"/>
        <v>18</v>
      </c>
      <c r="C1863">
        <f t="shared" si="1513"/>
        <v>66</v>
      </c>
      <c r="D1863">
        <f>D1823</f>
        <v>29</v>
      </c>
      <c r="E1863" t="str">
        <f>VLOOKUP(D1863,name!A:B,2,1)</f>
        <v>Eri</v>
      </c>
      <c r="F1863" t="str">
        <f>F1823</f>
        <v>彼女はクリスマスイブに必ず私の靴下をサンタのために掛けるように言った.</v>
      </c>
      <c r="G1863" t="str">
        <f t="shared" si="1520"/>
        <v>a</v>
      </c>
      <c r="H1863" t="str">
        <f>VLOOKUP(D1863,name!A:C,3,1)</f>
        <v>assets/icons/image209.png</v>
      </c>
      <c r="I1863" t="s">
        <v>402</v>
      </c>
    </row>
    <row r="1864" spans="1:9" x14ac:dyDescent="0.15">
      <c r="A1864" t="str">
        <f t="shared" ref="A1864:B1864" si="1562">A1863</f>
        <v>英語</v>
      </c>
      <c r="B1864">
        <f t="shared" si="1562"/>
        <v>18</v>
      </c>
      <c r="C1864">
        <f t="shared" ref="C1864:C1901" si="1563">C1863+1</f>
        <v>67</v>
      </c>
      <c r="D1864">
        <f>D1824</f>
        <v>29</v>
      </c>
      <c r="E1864" t="str">
        <f>VLOOKUP(D1864,name!A:B,2,1)</f>
        <v>Eri</v>
      </c>
      <c r="F1864" t="str">
        <f>F1824</f>
        <v>She told me to be sure to hang my stocking for Santa on Christmas Eve.</v>
      </c>
      <c r="G1864" t="str">
        <f t="shared" si="1520"/>
        <v>a</v>
      </c>
      <c r="H1864" t="str">
        <f>VLOOKUP(D1864,name!A:C,3,1)</f>
        <v>assets/icons/image209.png</v>
      </c>
      <c r="I1864" t="str">
        <f>IF(A1864="","",VLOOKUP(A1864,lng!A:B,2,0))</f>
        <v>en-GB</v>
      </c>
    </row>
    <row r="1865" spans="1:9" x14ac:dyDescent="0.15">
      <c r="A1865" t="str">
        <f t="shared" ref="A1865:B1865" si="1564">A1864</f>
        <v>英語</v>
      </c>
      <c r="B1865">
        <f t="shared" si="1564"/>
        <v>18</v>
      </c>
      <c r="C1865">
        <f t="shared" si="1563"/>
        <v>68</v>
      </c>
      <c r="D1865">
        <v>0</v>
      </c>
      <c r="E1865" t="str">
        <f>VLOOKUP(D1865,name!A:B,2,1)</f>
        <v>Player</v>
      </c>
      <c r="F1865" t="str">
        <f>F1824</f>
        <v>She told me to be sure to hang my stocking for Santa on Christmas Eve.</v>
      </c>
      <c r="G1865" t="str">
        <f t="shared" si="1520"/>
        <v>q</v>
      </c>
      <c r="H1865" t="str">
        <f>VLOOKUP(D1865,name!A:C,3,1)</f>
        <v>assets/icons/image326.png</v>
      </c>
      <c r="I1865" t="str">
        <f>IF(A1865="","",VLOOKUP(A1865,lng!A:B,2,0))</f>
        <v>en-GB</v>
      </c>
    </row>
    <row r="1866" spans="1:9" x14ac:dyDescent="0.15">
      <c r="A1866" t="str">
        <f t="shared" ref="A1866:B1866" si="1565">A1865</f>
        <v>英語</v>
      </c>
      <c r="B1866">
        <f t="shared" si="1565"/>
        <v>18</v>
      </c>
      <c r="C1866">
        <f t="shared" si="1563"/>
        <v>69</v>
      </c>
      <c r="D1866">
        <f>D1825</f>
        <v>33</v>
      </c>
      <c r="E1866" t="str">
        <f>VLOOKUP(D1866,name!A:B,2,1)</f>
        <v>Simon</v>
      </c>
      <c r="F1866" t="str">
        <f>F1825</f>
        <v>あなたは一年中いい子でしたか？</v>
      </c>
      <c r="G1866" t="str">
        <f t="shared" si="1520"/>
        <v>a</v>
      </c>
      <c r="H1866" t="str">
        <f>VLOOKUP(D1866,name!A:C,3,1)</f>
        <v>assets/icons/image250.png</v>
      </c>
      <c r="I1866" t="s">
        <v>402</v>
      </c>
    </row>
    <row r="1867" spans="1:9" x14ac:dyDescent="0.15">
      <c r="A1867" t="str">
        <f t="shared" ref="A1867:B1867" si="1566">A1866</f>
        <v>英語</v>
      </c>
      <c r="B1867">
        <f t="shared" si="1566"/>
        <v>18</v>
      </c>
      <c r="C1867">
        <f t="shared" si="1563"/>
        <v>70</v>
      </c>
      <c r="D1867">
        <f>D1826</f>
        <v>33</v>
      </c>
      <c r="E1867" t="str">
        <f>VLOOKUP(D1867,name!A:B,2,1)</f>
        <v>Simon</v>
      </c>
      <c r="F1867" t="str">
        <f>F1826</f>
        <v>Have you been a good girl all year?</v>
      </c>
      <c r="G1867" t="str">
        <f t="shared" si="1520"/>
        <v>a</v>
      </c>
      <c r="H1867" t="str">
        <f>VLOOKUP(D1867,name!A:C,3,1)</f>
        <v>assets/icons/image250.png</v>
      </c>
      <c r="I1867" t="str">
        <f>IF(A1867="","",VLOOKUP(A1867,lng!A:B,2,0))</f>
        <v>en-GB</v>
      </c>
    </row>
    <row r="1868" spans="1:9" x14ac:dyDescent="0.15">
      <c r="A1868" t="str">
        <f t="shared" ref="A1868:B1868" si="1567">A1867</f>
        <v>英語</v>
      </c>
      <c r="B1868">
        <f t="shared" si="1567"/>
        <v>18</v>
      </c>
      <c r="C1868">
        <f t="shared" si="1563"/>
        <v>71</v>
      </c>
      <c r="D1868">
        <v>0</v>
      </c>
      <c r="E1868" t="str">
        <f>VLOOKUP(D1868,name!A:B,2,1)</f>
        <v>Player</v>
      </c>
      <c r="F1868" t="str">
        <f>F1826</f>
        <v>Have you been a good girl all year?</v>
      </c>
      <c r="G1868" t="str">
        <f t="shared" si="1520"/>
        <v>q</v>
      </c>
      <c r="H1868" t="str">
        <f>VLOOKUP(D1868,name!A:C,3,1)</f>
        <v>assets/icons/image326.png</v>
      </c>
      <c r="I1868" t="str">
        <f>IF(A1868="","",VLOOKUP(A1868,lng!A:B,2,0))</f>
        <v>en-GB</v>
      </c>
    </row>
    <row r="1869" spans="1:9" x14ac:dyDescent="0.15">
      <c r="A1869" t="str">
        <f t="shared" ref="A1869:B1869" si="1568">A1868</f>
        <v>英語</v>
      </c>
      <c r="B1869">
        <f t="shared" si="1568"/>
        <v>18</v>
      </c>
      <c r="C1869">
        <f t="shared" si="1563"/>
        <v>72</v>
      </c>
      <c r="D1869">
        <f>D1827</f>
        <v>33</v>
      </c>
      <c r="E1869" t="str">
        <f>VLOOKUP(D1869,name!A:B,2,1)</f>
        <v>Simon</v>
      </c>
      <c r="F1869" t="str">
        <f>F1827</f>
        <v>そうしないとプレゼントはもらえません！</v>
      </c>
      <c r="G1869" t="str">
        <f t="shared" si="1520"/>
        <v>a</v>
      </c>
      <c r="H1869" t="str">
        <f>VLOOKUP(D1869,name!A:C,3,1)</f>
        <v>assets/icons/image250.png</v>
      </c>
      <c r="I1869" t="s">
        <v>402</v>
      </c>
    </row>
    <row r="1870" spans="1:9" x14ac:dyDescent="0.15">
      <c r="A1870" t="str">
        <f t="shared" ref="A1870:B1870" si="1569">A1869</f>
        <v>英語</v>
      </c>
      <c r="B1870">
        <f t="shared" si="1569"/>
        <v>18</v>
      </c>
      <c r="C1870">
        <f t="shared" si="1563"/>
        <v>73</v>
      </c>
      <c r="D1870">
        <f>D1828</f>
        <v>33</v>
      </c>
      <c r="E1870" t="str">
        <f>VLOOKUP(D1870,name!A:B,2,1)</f>
        <v>Simon</v>
      </c>
      <c r="F1870" t="str">
        <f>F1828</f>
        <v>You won't get any presents if you haven't!</v>
      </c>
      <c r="G1870" t="str">
        <f t="shared" si="1520"/>
        <v>a</v>
      </c>
      <c r="H1870" t="str">
        <f>VLOOKUP(D1870,name!A:C,3,1)</f>
        <v>assets/icons/image250.png</v>
      </c>
      <c r="I1870" t="str">
        <f>IF(A1870="","",VLOOKUP(A1870,lng!A:B,2,0))</f>
        <v>en-GB</v>
      </c>
    </row>
    <row r="1871" spans="1:9" x14ac:dyDescent="0.15">
      <c r="A1871" t="str">
        <f t="shared" ref="A1871:B1871" si="1570">A1870</f>
        <v>英語</v>
      </c>
      <c r="B1871">
        <f t="shared" si="1570"/>
        <v>18</v>
      </c>
      <c r="C1871">
        <f t="shared" si="1563"/>
        <v>74</v>
      </c>
      <c r="D1871">
        <v>0</v>
      </c>
      <c r="E1871" t="str">
        <f>VLOOKUP(D1871,name!A:B,2,1)</f>
        <v>Player</v>
      </c>
      <c r="F1871" t="str">
        <f>F1828</f>
        <v>You won't get any presents if you haven't!</v>
      </c>
      <c r="G1871" t="str">
        <f t="shared" si="1520"/>
        <v>q</v>
      </c>
      <c r="H1871" t="str">
        <f>VLOOKUP(D1871,name!A:C,3,1)</f>
        <v>assets/icons/image326.png</v>
      </c>
      <c r="I1871" t="str">
        <f>IF(A1871="","",VLOOKUP(A1871,lng!A:B,2,0))</f>
        <v>en-GB</v>
      </c>
    </row>
    <row r="1872" spans="1:9" x14ac:dyDescent="0.15">
      <c r="A1872" t="str">
        <f t="shared" ref="A1872:B1872" si="1571">A1871</f>
        <v>英語</v>
      </c>
      <c r="B1872">
        <f t="shared" si="1571"/>
        <v>18</v>
      </c>
      <c r="C1872">
        <f t="shared" si="1563"/>
        <v>75</v>
      </c>
      <c r="D1872">
        <v>1</v>
      </c>
      <c r="E1872" t="str">
        <f>VLOOKUP(D1872,name!A:B,2,1)</f>
        <v>Navigator</v>
      </c>
      <c r="F1872" t="str">
        <f>"次の日本語を"&amp;A1872&amp;"に訳して答えてね！"</f>
        <v>次の日本語を英語に訳して答えてね！</v>
      </c>
      <c r="G1872" t="str">
        <f t="shared" si="1520"/>
        <v>a</v>
      </c>
      <c r="H1872" t="str">
        <f>VLOOKUP(D1872,name!A:C,3,1)</f>
        <v>assets/icons/image014.png</v>
      </c>
      <c r="I1872" t="s">
        <v>402</v>
      </c>
    </row>
    <row r="1873" spans="1:9" x14ac:dyDescent="0.15">
      <c r="A1873" t="str">
        <f t="shared" ref="A1873:B1873" si="1572">A1872</f>
        <v>英語</v>
      </c>
      <c r="B1873">
        <f t="shared" si="1572"/>
        <v>18</v>
      </c>
      <c r="C1873">
        <f t="shared" si="1563"/>
        <v>76</v>
      </c>
      <c r="D1873">
        <f>D1801</f>
        <v>29</v>
      </c>
      <c r="E1873" t="str">
        <f>VLOOKUP(D1873,name!A:B,2,1)</f>
        <v>Eri</v>
      </c>
      <c r="F1873" t="str">
        <f t="shared" ref="F1873:F1900" si="1573">F1801</f>
        <v>普通、学科のすべての教師にプレゼントやカードを送りますか。</v>
      </c>
      <c r="G1873" t="str">
        <f t="shared" si="1520"/>
        <v>a</v>
      </c>
      <c r="H1873" t="str">
        <f>VLOOKUP(D1873,name!A:C,3,1)</f>
        <v>assets/icons/image209.png</v>
      </c>
      <c r="I1873" t="s">
        <v>402</v>
      </c>
    </row>
    <row r="1874" spans="1:9" x14ac:dyDescent="0.15">
      <c r="A1874" t="str">
        <f t="shared" ref="A1874:B1874" si="1574">A1873</f>
        <v>英語</v>
      </c>
      <c r="B1874">
        <f t="shared" si="1574"/>
        <v>18</v>
      </c>
      <c r="C1874">
        <f t="shared" si="1563"/>
        <v>77</v>
      </c>
      <c r="D1874">
        <v>0</v>
      </c>
      <c r="E1874" t="str">
        <f>VLOOKUP(D1874,name!A:B,2,1)</f>
        <v>Player</v>
      </c>
      <c r="F1874" t="str">
        <f t="shared" si="1573"/>
        <v>Do you usually send presents or cards to all the teachers in the department?</v>
      </c>
      <c r="G1874" t="str">
        <f t="shared" si="1520"/>
        <v>q</v>
      </c>
      <c r="H1874" t="str">
        <f>VLOOKUP(D1874,name!A:C,3,1)</f>
        <v>assets/icons/image326.png</v>
      </c>
      <c r="I1874" t="str">
        <f>IF(A1874="","",VLOOKUP(A1874,lng!A:B,2,0))</f>
        <v>en-GB</v>
      </c>
    </row>
    <row r="1875" spans="1:9" x14ac:dyDescent="0.15">
      <c r="A1875" t="str">
        <f t="shared" ref="A1875:B1875" si="1575">A1874</f>
        <v>英語</v>
      </c>
      <c r="B1875">
        <f t="shared" si="1575"/>
        <v>18</v>
      </c>
      <c r="C1875">
        <f t="shared" si="1563"/>
        <v>78</v>
      </c>
      <c r="D1875">
        <f>D1803</f>
        <v>33</v>
      </c>
      <c r="E1875" t="str">
        <f>VLOOKUP(D1875,name!A:B,2,1)</f>
        <v>Simon</v>
      </c>
      <c r="F1875" t="str">
        <f t="shared" si="1573"/>
        <v>誰にもプレゼントを渡す必要はありません。</v>
      </c>
      <c r="G1875" t="str">
        <f t="shared" si="1520"/>
        <v>a</v>
      </c>
      <c r="H1875" t="str">
        <f>VLOOKUP(D1875,name!A:C,3,1)</f>
        <v>assets/icons/image250.png</v>
      </c>
      <c r="I1875" t="s">
        <v>402</v>
      </c>
    </row>
    <row r="1876" spans="1:9" x14ac:dyDescent="0.15">
      <c r="A1876" t="str">
        <f t="shared" ref="A1876:B1876" si="1576">A1875</f>
        <v>英語</v>
      </c>
      <c r="B1876">
        <f t="shared" si="1576"/>
        <v>18</v>
      </c>
      <c r="C1876">
        <f t="shared" si="1563"/>
        <v>79</v>
      </c>
      <c r="D1876">
        <v>0</v>
      </c>
      <c r="E1876" t="str">
        <f>VLOOKUP(D1876,name!A:B,2,1)</f>
        <v>Player</v>
      </c>
      <c r="F1876" t="str">
        <f t="shared" si="1573"/>
        <v xml:space="preserve">There's no need to give presents to anyone, </v>
      </c>
      <c r="G1876" t="str">
        <f t="shared" si="1520"/>
        <v>q</v>
      </c>
      <c r="H1876" t="str">
        <f>VLOOKUP(D1876,name!A:C,3,1)</f>
        <v>assets/icons/image326.png</v>
      </c>
      <c r="I1876" t="str">
        <f>IF(A1876="","",VLOOKUP(A1876,lng!A:B,2,0))</f>
        <v>en-GB</v>
      </c>
    </row>
    <row r="1877" spans="1:9" x14ac:dyDescent="0.15">
      <c r="A1877" t="str">
        <f t="shared" ref="A1877:B1877" si="1577">A1876</f>
        <v>英語</v>
      </c>
      <c r="B1877">
        <f t="shared" si="1577"/>
        <v>18</v>
      </c>
      <c r="C1877">
        <f t="shared" si="1563"/>
        <v>80</v>
      </c>
      <c r="D1877">
        <f>D1805</f>
        <v>33</v>
      </c>
      <c r="E1877" t="str">
        <f>VLOOKUP(D1877,name!A:B,2,1)</f>
        <v>Simon</v>
      </c>
      <c r="F1877" t="str">
        <f t="shared" si="1573"/>
        <v>ただし、オーウェン教授はあなたのスーパーバイザーなので、贈った方が良いかも。</v>
      </c>
      <c r="G1877" t="str">
        <f t="shared" si="1520"/>
        <v>a</v>
      </c>
      <c r="H1877" t="str">
        <f>VLOOKUP(D1877,name!A:C,3,1)</f>
        <v>assets/icons/image250.png</v>
      </c>
      <c r="I1877" t="s">
        <v>402</v>
      </c>
    </row>
    <row r="1878" spans="1:9" x14ac:dyDescent="0.15">
      <c r="A1878" t="str">
        <f t="shared" ref="A1878:B1878" si="1578">A1877</f>
        <v>英語</v>
      </c>
      <c r="B1878">
        <f t="shared" si="1578"/>
        <v>18</v>
      </c>
      <c r="C1878">
        <f t="shared" si="1563"/>
        <v>81</v>
      </c>
      <c r="D1878">
        <v>0</v>
      </c>
      <c r="E1878" t="str">
        <f>VLOOKUP(D1878,name!A:B,2,1)</f>
        <v>Player</v>
      </c>
      <c r="F1878" t="str">
        <f t="shared" si="1573"/>
        <v>except perhaps Professor Owen because he's your supervisor,</v>
      </c>
      <c r="G1878" t="str">
        <f t="shared" si="1520"/>
        <v>q</v>
      </c>
      <c r="H1878" t="str">
        <f>VLOOKUP(D1878,name!A:C,3,1)</f>
        <v>assets/icons/image326.png</v>
      </c>
      <c r="I1878" t="str">
        <f>IF(A1878="","",VLOOKUP(A1878,lng!A:B,2,0))</f>
        <v>en-GB</v>
      </c>
    </row>
    <row r="1879" spans="1:9" x14ac:dyDescent="0.15">
      <c r="A1879" t="str">
        <f t="shared" ref="A1879:B1879" si="1579">A1878</f>
        <v>英語</v>
      </c>
      <c r="B1879">
        <f t="shared" si="1579"/>
        <v>18</v>
      </c>
      <c r="C1879">
        <f t="shared" si="1563"/>
        <v>82</v>
      </c>
      <c r="D1879">
        <f>D1807</f>
        <v>33</v>
      </c>
      <c r="E1879" t="str">
        <f>VLOOKUP(D1879,name!A:B,2,1)</f>
        <v>Simon</v>
      </c>
      <c r="F1879" t="str">
        <f t="shared" si="1573"/>
        <v>しかし、すべての教師にカードを送るのは良い考えです。</v>
      </c>
      <c r="G1879" t="str">
        <f t="shared" si="1520"/>
        <v>a</v>
      </c>
      <c r="H1879" t="str">
        <f>VLOOKUP(D1879,name!A:C,3,1)</f>
        <v>assets/icons/image250.png</v>
      </c>
      <c r="I1879" t="s">
        <v>402</v>
      </c>
    </row>
    <row r="1880" spans="1:9" x14ac:dyDescent="0.15">
      <c r="A1880" t="str">
        <f t="shared" ref="A1880:B1880" si="1580">A1879</f>
        <v>英語</v>
      </c>
      <c r="B1880">
        <f t="shared" si="1580"/>
        <v>18</v>
      </c>
      <c r="C1880">
        <f t="shared" si="1563"/>
        <v>83</v>
      </c>
      <c r="D1880">
        <v>0</v>
      </c>
      <c r="E1880" t="str">
        <f>VLOOKUP(D1880,name!A:B,2,1)</f>
        <v>Player</v>
      </c>
      <c r="F1880" t="str">
        <f t="shared" si="1573"/>
        <v>but it's a good idea to send cards to all your teachers.</v>
      </c>
      <c r="G1880" t="str">
        <f t="shared" si="1520"/>
        <v>q</v>
      </c>
      <c r="H1880" t="str">
        <f>VLOOKUP(D1880,name!A:C,3,1)</f>
        <v>assets/icons/image326.png</v>
      </c>
      <c r="I1880" t="str">
        <f>IF(A1880="","",VLOOKUP(A1880,lng!A:B,2,0))</f>
        <v>en-GB</v>
      </c>
    </row>
    <row r="1881" spans="1:9" x14ac:dyDescent="0.15">
      <c r="A1881" t="str">
        <f t="shared" ref="A1881:B1881" si="1581">A1880</f>
        <v>英語</v>
      </c>
      <c r="B1881">
        <f t="shared" si="1581"/>
        <v>18</v>
      </c>
      <c r="C1881">
        <f t="shared" si="1563"/>
        <v>84</v>
      </c>
      <c r="D1881">
        <f>D1809</f>
        <v>29</v>
      </c>
      <c r="E1881" t="str">
        <f>VLOOKUP(D1881,name!A:B,2,1)</f>
        <v>Eri</v>
      </c>
      <c r="F1881" t="str">
        <f t="shared" si="1573"/>
        <v>そうですか。</v>
      </c>
      <c r="G1881" t="str">
        <f t="shared" si="1520"/>
        <v>a</v>
      </c>
      <c r="H1881" t="str">
        <f>VLOOKUP(D1881,name!A:C,3,1)</f>
        <v>assets/icons/image209.png</v>
      </c>
      <c r="I1881" t="s">
        <v>402</v>
      </c>
    </row>
    <row r="1882" spans="1:9" x14ac:dyDescent="0.15">
      <c r="A1882" t="str">
        <f t="shared" ref="A1882:B1882" si="1582">A1881</f>
        <v>英語</v>
      </c>
      <c r="B1882">
        <f t="shared" si="1582"/>
        <v>18</v>
      </c>
      <c r="C1882">
        <f t="shared" si="1563"/>
        <v>85</v>
      </c>
      <c r="D1882">
        <v>0</v>
      </c>
      <c r="E1882" t="str">
        <f>VLOOKUP(D1882,name!A:B,2,1)</f>
        <v>Player</v>
      </c>
      <c r="F1882" t="str">
        <f t="shared" si="1573"/>
        <v>I see.</v>
      </c>
      <c r="G1882" t="str">
        <f t="shared" si="1520"/>
        <v>q</v>
      </c>
      <c r="H1882" t="str">
        <f>VLOOKUP(D1882,name!A:C,3,1)</f>
        <v>assets/icons/image326.png</v>
      </c>
      <c r="I1882" t="str">
        <f>IF(A1882="","",VLOOKUP(A1882,lng!A:B,2,0))</f>
        <v>en-GB</v>
      </c>
    </row>
    <row r="1883" spans="1:9" x14ac:dyDescent="0.15">
      <c r="A1883" t="str">
        <f t="shared" ref="A1883:B1883" si="1583">A1882</f>
        <v>英語</v>
      </c>
      <c r="B1883">
        <f t="shared" si="1583"/>
        <v>18</v>
      </c>
      <c r="C1883">
        <f t="shared" si="1563"/>
        <v>86</v>
      </c>
      <c r="D1883">
        <f>D1811</f>
        <v>29</v>
      </c>
      <c r="E1883" t="str">
        <f>VLOOKUP(D1883,name!A:B,2,1)</f>
        <v>Eri</v>
      </c>
      <c r="F1883" t="str">
        <f t="shared" si="1573"/>
        <v>大家さんにも素敵なプレゼントをあげたほうがいいでしょう。</v>
      </c>
      <c r="G1883" t="str">
        <f t="shared" si="1520"/>
        <v>a</v>
      </c>
      <c r="H1883" t="str">
        <f>VLOOKUP(D1883,name!A:C,3,1)</f>
        <v>assets/icons/image209.png</v>
      </c>
      <c r="I1883" t="s">
        <v>402</v>
      </c>
    </row>
    <row r="1884" spans="1:9" x14ac:dyDescent="0.15">
      <c r="A1884" t="str">
        <f t="shared" ref="A1884:B1884" si="1584">A1883</f>
        <v>英語</v>
      </c>
      <c r="B1884">
        <f t="shared" si="1584"/>
        <v>18</v>
      </c>
      <c r="C1884">
        <f t="shared" si="1563"/>
        <v>87</v>
      </c>
      <c r="D1884">
        <v>0</v>
      </c>
      <c r="E1884" t="str">
        <f>VLOOKUP(D1884,name!A:B,2,1)</f>
        <v>Player</v>
      </c>
      <c r="F1884" t="str">
        <f t="shared" si="1573"/>
        <v xml:space="preserve"> I'd probably better get a nice present for my landlady, too.</v>
      </c>
      <c r="G1884" t="str">
        <f t="shared" si="1520"/>
        <v>q</v>
      </c>
      <c r="H1884" t="str">
        <f>VLOOKUP(D1884,name!A:C,3,1)</f>
        <v>assets/icons/image326.png</v>
      </c>
      <c r="I1884" t="str">
        <f>IF(A1884="","",VLOOKUP(A1884,lng!A:B,2,0))</f>
        <v>en-GB</v>
      </c>
    </row>
    <row r="1885" spans="1:9" x14ac:dyDescent="0.15">
      <c r="A1885" t="str">
        <f t="shared" ref="A1885:B1885" si="1585">A1884</f>
        <v>英語</v>
      </c>
      <c r="B1885">
        <f t="shared" si="1585"/>
        <v>18</v>
      </c>
      <c r="C1885">
        <f t="shared" si="1563"/>
        <v>88</v>
      </c>
      <c r="D1885">
        <f>D1813</f>
        <v>33</v>
      </c>
      <c r="E1885" t="str">
        <f>VLOOKUP(D1885,name!A:B,2,1)</f>
        <v>Simon</v>
      </c>
      <c r="F1885" t="str">
        <f t="shared" si="1573"/>
        <v>はい、そうすべきだと思います。</v>
      </c>
      <c r="G1885" t="str">
        <f t="shared" si="1520"/>
        <v>a</v>
      </c>
      <c r="H1885" t="str">
        <f>VLOOKUP(D1885,name!A:C,3,1)</f>
        <v>assets/icons/image250.png</v>
      </c>
      <c r="I1885" t="s">
        <v>402</v>
      </c>
    </row>
    <row r="1886" spans="1:9" x14ac:dyDescent="0.15">
      <c r="A1886" t="str">
        <f t="shared" ref="A1886:B1886" si="1586">A1885</f>
        <v>英語</v>
      </c>
      <c r="B1886">
        <f t="shared" si="1586"/>
        <v>18</v>
      </c>
      <c r="C1886">
        <f t="shared" si="1563"/>
        <v>89</v>
      </c>
      <c r="D1886">
        <v>0</v>
      </c>
      <c r="E1886" t="str">
        <f>VLOOKUP(D1886,name!A:B,2,1)</f>
        <v>Player</v>
      </c>
      <c r="F1886" t="str">
        <f t="shared" si="1573"/>
        <v>Yes, I think you should,</v>
      </c>
      <c r="G1886" t="str">
        <f t="shared" ref="G1886:G1949" si="1587">IF(B1886&lt;&gt;B1887,"e",IF(D1886=0,"q","a"))</f>
        <v>q</v>
      </c>
      <c r="H1886" t="str">
        <f>VLOOKUP(D1886,name!A:C,3,1)</f>
        <v>assets/icons/image326.png</v>
      </c>
      <c r="I1886" t="str">
        <f>IF(A1886="","",VLOOKUP(A1886,lng!A:B,2,0))</f>
        <v>en-GB</v>
      </c>
    </row>
    <row r="1887" spans="1:9" x14ac:dyDescent="0.15">
      <c r="A1887" t="str">
        <f t="shared" ref="A1887:B1887" si="1588">A1886</f>
        <v>英語</v>
      </c>
      <c r="B1887">
        <f t="shared" si="1588"/>
        <v>18</v>
      </c>
      <c r="C1887">
        <f t="shared" si="1563"/>
        <v>90</v>
      </c>
      <c r="D1887">
        <f>D1815</f>
        <v>33</v>
      </c>
      <c r="E1887" t="str">
        <f>VLOOKUP(D1887,name!A:B,2,1)</f>
        <v>Simon</v>
      </c>
      <c r="F1887" t="str">
        <f t="shared" si="1573"/>
        <v>彼女はあなたとアシャのクリスマス ディナーを提供してくれるからです。</v>
      </c>
      <c r="G1887" t="str">
        <f t="shared" si="1587"/>
        <v>a</v>
      </c>
      <c r="H1887" t="str">
        <f>VLOOKUP(D1887,name!A:C,3,1)</f>
        <v>assets/icons/image250.png</v>
      </c>
      <c r="I1887" t="s">
        <v>402</v>
      </c>
    </row>
    <row r="1888" spans="1:9" x14ac:dyDescent="0.15">
      <c r="A1888" t="str">
        <f t="shared" ref="A1888:B1888" si="1589">A1887</f>
        <v>英語</v>
      </c>
      <c r="B1888">
        <f t="shared" si="1589"/>
        <v>18</v>
      </c>
      <c r="C1888">
        <f t="shared" si="1563"/>
        <v>91</v>
      </c>
      <c r="D1888">
        <v>0</v>
      </c>
      <c r="E1888" t="str">
        <f>VLOOKUP(D1888,name!A:B,2,1)</f>
        <v>Player</v>
      </c>
      <c r="F1888" t="str">
        <f t="shared" si="1573"/>
        <v xml:space="preserve"> since she's offered to serve you and Asha Christmas dinner. </v>
      </c>
      <c r="G1888" t="str">
        <f t="shared" si="1587"/>
        <v>q</v>
      </c>
      <c r="H1888" t="str">
        <f>VLOOKUP(D1888,name!A:C,3,1)</f>
        <v>assets/icons/image326.png</v>
      </c>
      <c r="I1888" t="str">
        <f>IF(A1888="","",VLOOKUP(A1888,lng!A:B,2,0))</f>
        <v>en-GB</v>
      </c>
    </row>
    <row r="1889" spans="1:9" x14ac:dyDescent="0.15">
      <c r="A1889" t="str">
        <f t="shared" ref="A1889:B1889" si="1590">A1888</f>
        <v>英語</v>
      </c>
      <c r="B1889">
        <f t="shared" si="1590"/>
        <v>18</v>
      </c>
      <c r="C1889">
        <f t="shared" si="1563"/>
        <v>92</v>
      </c>
      <c r="D1889">
        <f>D1817</f>
        <v>33</v>
      </c>
      <c r="E1889" t="str">
        <f>VLOOKUP(D1889,name!A:B,2,1)</f>
        <v>Simon</v>
      </c>
      <c r="F1889" t="str">
        <f t="shared" si="1573"/>
        <v>七面鳥や付け合わせ！</v>
      </c>
      <c r="G1889" t="str">
        <f t="shared" si="1587"/>
        <v>a</v>
      </c>
      <c r="H1889" t="str">
        <f>VLOOKUP(D1889,name!A:C,3,1)</f>
        <v>assets/icons/image250.png</v>
      </c>
      <c r="I1889" t="s">
        <v>402</v>
      </c>
    </row>
    <row r="1890" spans="1:9" x14ac:dyDescent="0.15">
      <c r="A1890" t="str">
        <f t="shared" ref="A1890:B1890" si="1591">A1889</f>
        <v>英語</v>
      </c>
      <c r="B1890">
        <f t="shared" si="1591"/>
        <v>18</v>
      </c>
      <c r="C1890">
        <f t="shared" si="1563"/>
        <v>93</v>
      </c>
      <c r="D1890">
        <v>0</v>
      </c>
      <c r="E1890" t="str">
        <f>VLOOKUP(D1890,name!A:B,2,1)</f>
        <v>Player</v>
      </c>
      <c r="F1890" t="str">
        <f t="shared" si="1573"/>
        <v>Turkey and all the trimmings!</v>
      </c>
      <c r="G1890" t="str">
        <f t="shared" si="1587"/>
        <v>q</v>
      </c>
      <c r="H1890" t="str">
        <f>VLOOKUP(D1890,name!A:C,3,1)</f>
        <v>assets/icons/image326.png</v>
      </c>
      <c r="I1890" t="str">
        <f>IF(A1890="","",VLOOKUP(A1890,lng!A:B,2,0))</f>
        <v>en-GB</v>
      </c>
    </row>
    <row r="1891" spans="1:9" x14ac:dyDescent="0.15">
      <c r="A1891" t="str">
        <f t="shared" ref="A1891:B1891" si="1592">A1890</f>
        <v>英語</v>
      </c>
      <c r="B1891">
        <f t="shared" si="1592"/>
        <v>18</v>
      </c>
      <c r="C1891">
        <f t="shared" si="1563"/>
        <v>94</v>
      </c>
      <c r="D1891">
        <f>D1819</f>
        <v>33</v>
      </c>
      <c r="E1891" t="str">
        <f>VLOOKUP(D1891,name!A:B,2,1)</f>
        <v>Simon</v>
      </c>
      <c r="F1891" t="str">
        <f t="shared" si="1573"/>
        <v>うらやましい。</v>
      </c>
      <c r="G1891" t="str">
        <f t="shared" si="1587"/>
        <v>a</v>
      </c>
      <c r="H1891" t="str">
        <f>VLOOKUP(D1891,name!A:C,3,1)</f>
        <v>assets/icons/image250.png</v>
      </c>
      <c r="I1891" t="s">
        <v>402</v>
      </c>
    </row>
    <row r="1892" spans="1:9" x14ac:dyDescent="0.15">
      <c r="A1892" t="str">
        <f t="shared" ref="A1892:B1892" si="1593">A1891</f>
        <v>英語</v>
      </c>
      <c r="B1892">
        <f t="shared" si="1593"/>
        <v>18</v>
      </c>
      <c r="C1892">
        <f t="shared" si="1563"/>
        <v>95</v>
      </c>
      <c r="D1892">
        <v>0</v>
      </c>
      <c r="E1892" t="str">
        <f>VLOOKUP(D1892,name!A:B,2,1)</f>
        <v>Player</v>
      </c>
      <c r="F1892" t="str">
        <f t="shared" si="1573"/>
        <v>I envy you.</v>
      </c>
      <c r="G1892" t="str">
        <f t="shared" si="1587"/>
        <v>q</v>
      </c>
      <c r="H1892" t="str">
        <f>VLOOKUP(D1892,name!A:C,3,1)</f>
        <v>assets/icons/image326.png</v>
      </c>
      <c r="I1892" t="str">
        <f>IF(A1892="","",VLOOKUP(A1892,lng!A:B,2,0))</f>
        <v>en-GB</v>
      </c>
    </row>
    <row r="1893" spans="1:9" x14ac:dyDescent="0.15">
      <c r="A1893" t="str">
        <f t="shared" ref="A1893:B1893" si="1594">A1892</f>
        <v>英語</v>
      </c>
      <c r="B1893">
        <f t="shared" si="1594"/>
        <v>18</v>
      </c>
      <c r="C1893">
        <f t="shared" si="1563"/>
        <v>96</v>
      </c>
      <c r="D1893">
        <f>D1821</f>
        <v>33</v>
      </c>
      <c r="E1893" t="str">
        <f>VLOOKUP(D1893,name!A:B,2,1)</f>
        <v>Simon</v>
      </c>
      <c r="F1893" t="str">
        <f t="shared" si="1573"/>
        <v>たぶん、プリンとミンスパイも。</v>
      </c>
      <c r="G1893" t="str">
        <f t="shared" si="1587"/>
        <v>a</v>
      </c>
      <c r="H1893" t="str">
        <f>VLOOKUP(D1893,name!A:C,3,1)</f>
        <v>assets/icons/image250.png</v>
      </c>
      <c r="I1893" t="s">
        <v>402</v>
      </c>
    </row>
    <row r="1894" spans="1:9" x14ac:dyDescent="0.15">
      <c r="A1894" t="str">
        <f t="shared" ref="A1894:B1894" si="1595">A1893</f>
        <v>英語</v>
      </c>
      <c r="B1894">
        <f t="shared" si="1595"/>
        <v>18</v>
      </c>
      <c r="C1894">
        <f t="shared" si="1563"/>
        <v>97</v>
      </c>
      <c r="D1894">
        <v>0</v>
      </c>
      <c r="E1894" t="str">
        <f>VLOOKUP(D1894,name!A:B,2,1)</f>
        <v>Player</v>
      </c>
      <c r="F1894" t="str">
        <f t="shared" si="1573"/>
        <v>Pudding and mince pies, too, probably.</v>
      </c>
      <c r="G1894" t="str">
        <f t="shared" si="1587"/>
        <v>q</v>
      </c>
      <c r="H1894" t="str">
        <f>VLOOKUP(D1894,name!A:C,3,1)</f>
        <v>assets/icons/image326.png</v>
      </c>
      <c r="I1894" t="str">
        <f>IF(A1894="","",VLOOKUP(A1894,lng!A:B,2,0))</f>
        <v>en-GB</v>
      </c>
    </row>
    <row r="1895" spans="1:9" x14ac:dyDescent="0.15">
      <c r="A1895" t="str">
        <f t="shared" ref="A1895:B1895" si="1596">A1894</f>
        <v>英語</v>
      </c>
      <c r="B1895">
        <f t="shared" si="1596"/>
        <v>18</v>
      </c>
      <c r="C1895">
        <f t="shared" si="1563"/>
        <v>98</v>
      </c>
      <c r="D1895">
        <f>D1823</f>
        <v>29</v>
      </c>
      <c r="E1895" t="str">
        <f>VLOOKUP(D1895,name!A:B,2,1)</f>
        <v>Eri</v>
      </c>
      <c r="F1895" t="str">
        <f t="shared" si="1573"/>
        <v>彼女はクリスマスイブに必ず私の靴下をサンタのために掛けるように言った.</v>
      </c>
      <c r="G1895" t="str">
        <f t="shared" si="1587"/>
        <v>a</v>
      </c>
      <c r="H1895" t="str">
        <f>VLOOKUP(D1895,name!A:C,3,1)</f>
        <v>assets/icons/image209.png</v>
      </c>
      <c r="I1895" t="s">
        <v>402</v>
      </c>
    </row>
    <row r="1896" spans="1:9" x14ac:dyDescent="0.15">
      <c r="A1896" t="str">
        <f t="shared" ref="A1896:B1896" si="1597">A1895</f>
        <v>英語</v>
      </c>
      <c r="B1896">
        <f t="shared" si="1597"/>
        <v>18</v>
      </c>
      <c r="C1896">
        <f t="shared" si="1563"/>
        <v>99</v>
      </c>
      <c r="D1896">
        <v>0</v>
      </c>
      <c r="E1896" t="str">
        <f>VLOOKUP(D1896,name!A:B,2,1)</f>
        <v>Player</v>
      </c>
      <c r="F1896" t="str">
        <f t="shared" si="1573"/>
        <v>She told me to be sure to hang my stocking for Santa on Christmas Eve.</v>
      </c>
      <c r="G1896" t="str">
        <f t="shared" si="1587"/>
        <v>q</v>
      </c>
      <c r="H1896" t="str">
        <f>VLOOKUP(D1896,name!A:C,3,1)</f>
        <v>assets/icons/image326.png</v>
      </c>
      <c r="I1896" t="str">
        <f>IF(A1896="","",VLOOKUP(A1896,lng!A:B,2,0))</f>
        <v>en-GB</v>
      </c>
    </row>
    <row r="1897" spans="1:9" x14ac:dyDescent="0.15">
      <c r="A1897" t="str">
        <f t="shared" ref="A1897:B1897" si="1598">A1896</f>
        <v>英語</v>
      </c>
      <c r="B1897">
        <f t="shared" si="1598"/>
        <v>18</v>
      </c>
      <c r="C1897">
        <f t="shared" si="1563"/>
        <v>100</v>
      </c>
      <c r="D1897">
        <f>D1825</f>
        <v>33</v>
      </c>
      <c r="E1897" t="str">
        <f>VLOOKUP(D1897,name!A:B,2,1)</f>
        <v>Simon</v>
      </c>
      <c r="F1897" t="str">
        <f t="shared" si="1573"/>
        <v>あなたは一年中いい子でしたか？</v>
      </c>
      <c r="G1897" t="str">
        <f t="shared" si="1587"/>
        <v>a</v>
      </c>
      <c r="H1897" t="str">
        <f>VLOOKUP(D1897,name!A:C,3,1)</f>
        <v>assets/icons/image250.png</v>
      </c>
      <c r="I1897" t="s">
        <v>402</v>
      </c>
    </row>
    <row r="1898" spans="1:9" x14ac:dyDescent="0.15">
      <c r="A1898" t="str">
        <f t="shared" ref="A1898:B1898" si="1599">A1897</f>
        <v>英語</v>
      </c>
      <c r="B1898">
        <f t="shared" si="1599"/>
        <v>18</v>
      </c>
      <c r="C1898">
        <f t="shared" si="1563"/>
        <v>101</v>
      </c>
      <c r="D1898">
        <v>0</v>
      </c>
      <c r="E1898" t="str">
        <f>VLOOKUP(D1898,name!A:B,2,1)</f>
        <v>Player</v>
      </c>
      <c r="F1898" t="str">
        <f t="shared" si="1573"/>
        <v>Have you been a good girl all year?</v>
      </c>
      <c r="G1898" t="str">
        <f t="shared" si="1587"/>
        <v>q</v>
      </c>
      <c r="H1898" t="str">
        <f>VLOOKUP(D1898,name!A:C,3,1)</f>
        <v>assets/icons/image326.png</v>
      </c>
      <c r="I1898" t="str">
        <f>IF(A1898="","",VLOOKUP(A1898,lng!A:B,2,0))</f>
        <v>en-GB</v>
      </c>
    </row>
    <row r="1899" spans="1:9" x14ac:dyDescent="0.15">
      <c r="A1899" t="str">
        <f t="shared" ref="A1899:B1899" si="1600">A1898</f>
        <v>英語</v>
      </c>
      <c r="B1899">
        <f t="shared" si="1600"/>
        <v>18</v>
      </c>
      <c r="C1899">
        <f t="shared" si="1563"/>
        <v>102</v>
      </c>
      <c r="D1899">
        <f>D1827</f>
        <v>33</v>
      </c>
      <c r="E1899" t="str">
        <f>VLOOKUP(D1899,name!A:B,2,1)</f>
        <v>Simon</v>
      </c>
      <c r="F1899" t="str">
        <f t="shared" si="1573"/>
        <v>そうしないとプレゼントはもらえません！</v>
      </c>
      <c r="G1899" t="str">
        <f t="shared" si="1587"/>
        <v>a</v>
      </c>
      <c r="H1899" t="str">
        <f>VLOOKUP(D1899,name!A:C,3,1)</f>
        <v>assets/icons/image250.png</v>
      </c>
      <c r="I1899" t="s">
        <v>402</v>
      </c>
    </row>
    <row r="1900" spans="1:9" x14ac:dyDescent="0.15">
      <c r="A1900" t="str">
        <f t="shared" ref="A1900:B1900" si="1601">A1899</f>
        <v>英語</v>
      </c>
      <c r="B1900">
        <f t="shared" si="1601"/>
        <v>18</v>
      </c>
      <c r="C1900">
        <f t="shared" si="1563"/>
        <v>103</v>
      </c>
      <c r="D1900">
        <v>0</v>
      </c>
      <c r="E1900" t="str">
        <f>VLOOKUP(D1900,name!A:B,2,1)</f>
        <v>Player</v>
      </c>
      <c r="F1900" t="str">
        <f t="shared" si="1573"/>
        <v>You won't get any presents if you haven't!</v>
      </c>
      <c r="G1900" t="str">
        <f t="shared" si="1587"/>
        <v>q</v>
      </c>
      <c r="H1900" t="str">
        <f>VLOOKUP(D1900,name!A:C,3,1)</f>
        <v>assets/icons/image326.png</v>
      </c>
      <c r="I1900" t="str">
        <f>IF(A1900="","",VLOOKUP(A1900,lng!A:B,2,0))</f>
        <v>en-GB</v>
      </c>
    </row>
    <row r="1901" spans="1:9" x14ac:dyDescent="0.15">
      <c r="A1901" t="str">
        <f t="shared" ref="A1901:B1901" si="1602">A1900</f>
        <v>英語</v>
      </c>
      <c r="B1901">
        <f t="shared" si="1602"/>
        <v>18</v>
      </c>
      <c r="C1901">
        <f t="shared" si="1563"/>
        <v>104</v>
      </c>
      <c r="D1901">
        <v>1</v>
      </c>
      <c r="E1901" t="str">
        <f>VLOOKUP(D1901,name!A:B,2,1)</f>
        <v>Navigator</v>
      </c>
      <c r="F1901" t="str">
        <f>"とても良くできました。レッスン"&amp;B1901&amp;"はこれで終了です。"</f>
        <v>とても良くできました。レッスン18はこれで終了です。</v>
      </c>
      <c r="G1901" t="str">
        <f t="shared" si="1587"/>
        <v>e</v>
      </c>
      <c r="H1901" t="str">
        <f>VLOOKUP(D1901,name!A:C,3,1)</f>
        <v>assets/icons/image014.png</v>
      </c>
      <c r="I1901" t="s">
        <v>402</v>
      </c>
    </row>
    <row r="1902" spans="1:9" x14ac:dyDescent="0.15">
      <c r="A1902" t="str">
        <f>A1901</f>
        <v>英語</v>
      </c>
      <c r="B1902">
        <f>B1901+1</f>
        <v>19</v>
      </c>
      <c r="C1902">
        <v>1</v>
      </c>
      <c r="D1902">
        <v>1</v>
      </c>
      <c r="E1902" t="str">
        <f>VLOOKUP(D1902,name!A:B,2,1)</f>
        <v>Navigator</v>
      </c>
      <c r="F1902" t="s">
        <v>979</v>
      </c>
      <c r="G1902" t="str">
        <f t="shared" si="1587"/>
        <v>a</v>
      </c>
      <c r="H1902" t="str">
        <f>VLOOKUP(D1902,name!A:C,3,1)</f>
        <v>assets/icons/image014.png</v>
      </c>
      <c r="I1902" t="str">
        <f>IF(A1902="","",VLOOKUP(A1902,lng!A:B,2,0))</f>
        <v>en-GB</v>
      </c>
    </row>
    <row r="1903" spans="1:9" x14ac:dyDescent="0.15">
      <c r="A1903" t="str">
        <f t="shared" ref="A1903:B1909" si="1603">A1902</f>
        <v>英語</v>
      </c>
      <c r="B1903">
        <f>B1902</f>
        <v>19</v>
      </c>
      <c r="C1903">
        <f>C1902+1</f>
        <v>2</v>
      </c>
      <c r="D1903">
        <v>1</v>
      </c>
      <c r="E1903" t="str">
        <f>VLOOKUP(D1903,name!A:B,2,1)</f>
        <v>Navigator</v>
      </c>
      <c r="F1903" t="str">
        <f>"レッスン"&amp;B1903</f>
        <v>レッスン19</v>
      </c>
      <c r="G1903" t="str">
        <f t="shared" si="1587"/>
        <v>a</v>
      </c>
      <c r="H1903" t="str">
        <f>VLOOKUP(D1903,name!A:C,3,1)</f>
        <v>assets/icons/image014.png</v>
      </c>
      <c r="I1903" t="s">
        <v>402</v>
      </c>
    </row>
    <row r="1904" spans="1:9" ht="40.5" x14ac:dyDescent="0.15">
      <c r="A1904" t="str">
        <f t="shared" si="1603"/>
        <v>英語</v>
      </c>
      <c r="B1904">
        <f t="shared" si="1603"/>
        <v>19</v>
      </c>
      <c r="C1904">
        <f t="shared" ref="C1904:C1967" si="1604">C1903+1</f>
        <v>3</v>
      </c>
      <c r="D1904">
        <v>1</v>
      </c>
      <c r="E1904" t="str">
        <f>VLOOKUP(D1904,name!A:B,2,1)</f>
        <v>Navigator</v>
      </c>
      <c r="F1904" s="1" t="str">
        <f>"まずは対話文を流します。その後に、日本語と"&amp;A1904&amp;"を一文ずつ流すので"&amp;A1904&amp;"を真似して下さい。最後に日本語のみを流すので、"&amp;A1904&amp;"で答えてください。"</f>
        <v>まずは対話文を流します。その後に、日本語と英語を一文ずつ流すので英語を真似して下さい。最後に日本語のみを流すので、英語で答えてください。</v>
      </c>
      <c r="G1904" t="str">
        <f t="shared" si="1587"/>
        <v>a</v>
      </c>
      <c r="H1904" t="str">
        <f>VLOOKUP(D1904,name!A:C,3,1)</f>
        <v>assets/icons/image014.png</v>
      </c>
      <c r="I1904" t="s">
        <v>402</v>
      </c>
    </row>
    <row r="1905" spans="1:9" x14ac:dyDescent="0.15">
      <c r="A1905" t="str">
        <f t="shared" si="1603"/>
        <v>英語</v>
      </c>
      <c r="B1905">
        <f t="shared" si="1603"/>
        <v>19</v>
      </c>
      <c r="C1905">
        <f t="shared" si="1604"/>
        <v>4</v>
      </c>
      <c r="D1905">
        <f>D1906</f>
        <v>29</v>
      </c>
      <c r="E1905" t="str">
        <f>VLOOKUP(D1905,name!A:B,2,1)</f>
        <v>Eri</v>
      </c>
      <c r="F1905" t="s">
        <v>981</v>
      </c>
      <c r="G1905" t="str">
        <f t="shared" si="1587"/>
        <v>a</v>
      </c>
      <c r="H1905" t="str">
        <f>VLOOKUP(D1905,name!A:C,3,1)</f>
        <v>assets/icons/image209.png</v>
      </c>
      <c r="I1905" t="s">
        <v>402</v>
      </c>
    </row>
    <row r="1906" spans="1:9" x14ac:dyDescent="0.15">
      <c r="A1906" t="str">
        <f t="shared" si="1603"/>
        <v>英語</v>
      </c>
      <c r="B1906">
        <f t="shared" si="1603"/>
        <v>19</v>
      </c>
      <c r="C1906">
        <f t="shared" si="1604"/>
        <v>5</v>
      </c>
      <c r="D1906">
        <v>29</v>
      </c>
      <c r="E1906" t="str">
        <f>VLOOKUP(D1906,name!A:B,2,1)</f>
        <v>Eri</v>
      </c>
      <c r="F1906" t="s">
        <v>982</v>
      </c>
      <c r="G1906" t="str">
        <f t="shared" si="1587"/>
        <v>a</v>
      </c>
      <c r="H1906" t="str">
        <f>VLOOKUP(D1906,name!A:C,3,1)</f>
        <v>assets/icons/image209.png</v>
      </c>
      <c r="I1906" t="str">
        <f>IF(A1906="","",VLOOKUP(A1906,lng!A:B,2,0))</f>
        <v>en-GB</v>
      </c>
    </row>
    <row r="1907" spans="1:9" x14ac:dyDescent="0.15">
      <c r="A1907" t="str">
        <f t="shared" si="1603"/>
        <v>英語</v>
      </c>
      <c r="B1907">
        <f t="shared" si="1603"/>
        <v>19</v>
      </c>
      <c r="C1907">
        <f t="shared" si="1604"/>
        <v>6</v>
      </c>
      <c r="D1907">
        <f t="shared" ref="D1907:D1925" si="1605">D1908</f>
        <v>35</v>
      </c>
      <c r="E1907" t="str">
        <f>VLOOKUP(D1907,name!A:B,2,1)</f>
        <v>Fiona</v>
      </c>
      <c r="F1907" t="s">
        <v>992</v>
      </c>
      <c r="G1907" t="str">
        <f t="shared" si="1587"/>
        <v>a</v>
      </c>
      <c r="H1907" t="str">
        <f>VLOOKUP(D1907,name!A:C,3,1)</f>
        <v>assets/icons/image329.png</v>
      </c>
      <c r="I1907" t="s">
        <v>402</v>
      </c>
    </row>
    <row r="1908" spans="1:9" x14ac:dyDescent="0.15">
      <c r="A1908" t="str">
        <f t="shared" si="1603"/>
        <v>英語</v>
      </c>
      <c r="B1908">
        <f t="shared" si="1603"/>
        <v>19</v>
      </c>
      <c r="C1908">
        <f t="shared" si="1604"/>
        <v>7</v>
      </c>
      <c r="D1908">
        <f t="shared" si="1605"/>
        <v>35</v>
      </c>
      <c r="E1908" t="str">
        <f>VLOOKUP(D1908,name!A:B,2,1)</f>
        <v>Fiona</v>
      </c>
      <c r="F1908" t="s">
        <v>983</v>
      </c>
      <c r="G1908" t="str">
        <f t="shared" si="1587"/>
        <v>a</v>
      </c>
      <c r="H1908" t="str">
        <f>VLOOKUP(D1908,name!A:C,3,1)</f>
        <v>assets/icons/image329.png</v>
      </c>
      <c r="I1908" t="str">
        <f>IF(A1908="","",VLOOKUP(A1908,lng!A:B,2,0))</f>
        <v>en-GB</v>
      </c>
    </row>
    <row r="1909" spans="1:9" x14ac:dyDescent="0.15">
      <c r="A1909" t="str">
        <f t="shared" si="1603"/>
        <v>英語</v>
      </c>
      <c r="B1909">
        <f t="shared" si="1603"/>
        <v>19</v>
      </c>
      <c r="C1909">
        <f t="shared" si="1604"/>
        <v>8</v>
      </c>
      <c r="D1909">
        <f t="shared" si="1605"/>
        <v>35</v>
      </c>
      <c r="E1909" t="str">
        <f>VLOOKUP(D1909,name!A:B,2,1)</f>
        <v>Fiona</v>
      </c>
      <c r="F1909" t="s">
        <v>993</v>
      </c>
      <c r="G1909" t="str">
        <f t="shared" si="1587"/>
        <v>a</v>
      </c>
      <c r="H1909" t="str">
        <f>VLOOKUP(D1909,name!A:C,3,1)</f>
        <v>assets/icons/image329.png</v>
      </c>
      <c r="I1909" t="s">
        <v>402</v>
      </c>
    </row>
    <row r="1910" spans="1:9" x14ac:dyDescent="0.15">
      <c r="A1910" t="str">
        <f t="shared" ref="A1910:B1910" si="1606">A1909</f>
        <v>英語</v>
      </c>
      <c r="B1910">
        <f t="shared" si="1606"/>
        <v>19</v>
      </c>
      <c r="C1910">
        <f t="shared" si="1604"/>
        <v>9</v>
      </c>
      <c r="D1910">
        <v>35</v>
      </c>
      <c r="E1910" t="str">
        <f>VLOOKUP(D1910,name!A:B,2,1)</f>
        <v>Fiona</v>
      </c>
      <c r="F1910" t="s">
        <v>984</v>
      </c>
      <c r="G1910" t="str">
        <f t="shared" si="1587"/>
        <v>a</v>
      </c>
      <c r="H1910" t="str">
        <f>VLOOKUP(D1910,name!A:C,3,1)</f>
        <v>assets/icons/image329.png</v>
      </c>
      <c r="I1910" t="str">
        <f>IF(A1910="","",VLOOKUP(A1910,lng!A:B,2,0))</f>
        <v>en-GB</v>
      </c>
    </row>
    <row r="1911" spans="1:9" x14ac:dyDescent="0.15">
      <c r="A1911" t="str">
        <f t="shared" ref="A1911:B1911" si="1607">A1910</f>
        <v>英語</v>
      </c>
      <c r="B1911">
        <f t="shared" si="1607"/>
        <v>19</v>
      </c>
      <c r="C1911">
        <f t="shared" si="1604"/>
        <v>10</v>
      </c>
      <c r="D1911">
        <f t="shared" si="1605"/>
        <v>29</v>
      </c>
      <c r="E1911" t="str">
        <f>VLOOKUP(D1911,name!A:B,2,1)</f>
        <v>Eri</v>
      </c>
      <c r="F1911" t="s">
        <v>994</v>
      </c>
      <c r="G1911" t="str">
        <f t="shared" si="1587"/>
        <v>a</v>
      </c>
      <c r="H1911" t="str">
        <f>VLOOKUP(D1911,name!A:C,3,1)</f>
        <v>assets/icons/image209.png</v>
      </c>
      <c r="I1911" t="s">
        <v>402</v>
      </c>
    </row>
    <row r="1912" spans="1:9" x14ac:dyDescent="0.15">
      <c r="A1912" t="str">
        <f t="shared" ref="A1912:B1912" si="1608">A1911</f>
        <v>英語</v>
      </c>
      <c r="B1912">
        <f t="shared" si="1608"/>
        <v>19</v>
      </c>
      <c r="C1912">
        <f t="shared" si="1604"/>
        <v>11</v>
      </c>
      <c r="D1912">
        <v>29</v>
      </c>
      <c r="E1912" t="str">
        <f>VLOOKUP(D1912,name!A:B,2,1)</f>
        <v>Eri</v>
      </c>
      <c r="F1912" t="s">
        <v>985</v>
      </c>
      <c r="G1912" t="str">
        <f t="shared" si="1587"/>
        <v>a</v>
      </c>
      <c r="H1912" t="str">
        <f>VLOOKUP(D1912,name!A:C,3,1)</f>
        <v>assets/icons/image209.png</v>
      </c>
      <c r="I1912" t="str">
        <f>IF(A1912="","",VLOOKUP(A1912,lng!A:B,2,0))</f>
        <v>en-GB</v>
      </c>
    </row>
    <row r="1913" spans="1:9" x14ac:dyDescent="0.15">
      <c r="A1913" t="str">
        <f t="shared" ref="A1913:B1913" si="1609">A1912</f>
        <v>英語</v>
      </c>
      <c r="B1913">
        <f t="shared" si="1609"/>
        <v>19</v>
      </c>
      <c r="C1913">
        <f t="shared" si="1604"/>
        <v>12</v>
      </c>
      <c r="D1913">
        <f t="shared" si="1605"/>
        <v>29</v>
      </c>
      <c r="E1913" t="str">
        <f>VLOOKUP(D1913,name!A:B,2,1)</f>
        <v>Eri</v>
      </c>
      <c r="F1913" t="s">
        <v>995</v>
      </c>
      <c r="G1913" t="str">
        <f t="shared" si="1587"/>
        <v>a</v>
      </c>
      <c r="H1913" t="str">
        <f>VLOOKUP(D1913,name!A:C,3,1)</f>
        <v>assets/icons/image209.png</v>
      </c>
      <c r="I1913" t="s">
        <v>402</v>
      </c>
    </row>
    <row r="1914" spans="1:9" x14ac:dyDescent="0.15">
      <c r="A1914" t="str">
        <f t="shared" ref="A1914:B1914" si="1610">A1913</f>
        <v>英語</v>
      </c>
      <c r="B1914">
        <f t="shared" si="1610"/>
        <v>19</v>
      </c>
      <c r="C1914">
        <f t="shared" si="1604"/>
        <v>13</v>
      </c>
      <c r="D1914">
        <v>29</v>
      </c>
      <c r="E1914" t="str">
        <f>VLOOKUP(D1914,name!A:B,2,1)</f>
        <v>Eri</v>
      </c>
      <c r="F1914" t="s">
        <v>986</v>
      </c>
      <c r="G1914" t="str">
        <f t="shared" si="1587"/>
        <v>a</v>
      </c>
      <c r="H1914" t="str">
        <f>VLOOKUP(D1914,name!A:C,3,1)</f>
        <v>assets/icons/image209.png</v>
      </c>
      <c r="I1914" t="str">
        <f>IF(A1914="","",VLOOKUP(A1914,lng!A:B,2,0))</f>
        <v>en-GB</v>
      </c>
    </row>
    <row r="1915" spans="1:9" x14ac:dyDescent="0.15">
      <c r="A1915" t="str">
        <f t="shared" ref="A1915:B1915" si="1611">A1914</f>
        <v>英語</v>
      </c>
      <c r="B1915">
        <f t="shared" si="1611"/>
        <v>19</v>
      </c>
      <c r="C1915">
        <f t="shared" si="1604"/>
        <v>14</v>
      </c>
      <c r="D1915">
        <f t="shared" si="1605"/>
        <v>35</v>
      </c>
      <c r="E1915" t="str">
        <f>VLOOKUP(D1915,name!A:B,2,1)</f>
        <v>Fiona</v>
      </c>
      <c r="F1915" t="s">
        <v>996</v>
      </c>
      <c r="G1915" t="str">
        <f t="shared" si="1587"/>
        <v>a</v>
      </c>
      <c r="H1915" t="str">
        <f>VLOOKUP(D1915,name!A:C,3,1)</f>
        <v>assets/icons/image329.png</v>
      </c>
      <c r="I1915" t="s">
        <v>402</v>
      </c>
    </row>
    <row r="1916" spans="1:9" x14ac:dyDescent="0.15">
      <c r="A1916" t="str">
        <f t="shared" ref="A1916:B1916" si="1612">A1915</f>
        <v>英語</v>
      </c>
      <c r="B1916">
        <f t="shared" si="1612"/>
        <v>19</v>
      </c>
      <c r="C1916">
        <f t="shared" si="1604"/>
        <v>15</v>
      </c>
      <c r="D1916">
        <f t="shared" si="1605"/>
        <v>35</v>
      </c>
      <c r="E1916" t="str">
        <f>VLOOKUP(D1916,name!A:B,2,1)</f>
        <v>Fiona</v>
      </c>
      <c r="F1916" t="s">
        <v>987</v>
      </c>
      <c r="G1916" t="str">
        <f t="shared" si="1587"/>
        <v>a</v>
      </c>
      <c r="H1916" t="str">
        <f>VLOOKUP(D1916,name!A:C,3,1)</f>
        <v>assets/icons/image329.png</v>
      </c>
      <c r="I1916" t="str">
        <f>IF(A1916="","",VLOOKUP(A1916,lng!A:B,2,0))</f>
        <v>en-GB</v>
      </c>
    </row>
    <row r="1917" spans="1:9" x14ac:dyDescent="0.15">
      <c r="A1917" t="str">
        <f t="shared" ref="A1917:B1917" si="1613">A1916</f>
        <v>英語</v>
      </c>
      <c r="B1917">
        <f t="shared" si="1613"/>
        <v>19</v>
      </c>
      <c r="C1917">
        <f t="shared" si="1604"/>
        <v>16</v>
      </c>
      <c r="D1917">
        <f t="shared" si="1605"/>
        <v>35</v>
      </c>
      <c r="E1917" t="str">
        <f>VLOOKUP(D1917,name!A:B,2,1)</f>
        <v>Fiona</v>
      </c>
      <c r="F1917" t="s">
        <v>997</v>
      </c>
      <c r="G1917" t="str">
        <f t="shared" si="1587"/>
        <v>a</v>
      </c>
      <c r="H1917" t="str">
        <f>VLOOKUP(D1917,name!A:C,3,1)</f>
        <v>assets/icons/image329.png</v>
      </c>
      <c r="I1917" t="s">
        <v>402</v>
      </c>
    </row>
    <row r="1918" spans="1:9" x14ac:dyDescent="0.15">
      <c r="A1918" t="str">
        <f t="shared" ref="A1918:B1918" si="1614">A1917</f>
        <v>英語</v>
      </c>
      <c r="B1918">
        <f t="shared" si="1614"/>
        <v>19</v>
      </c>
      <c r="C1918">
        <f t="shared" si="1604"/>
        <v>17</v>
      </c>
      <c r="D1918">
        <f t="shared" si="1605"/>
        <v>35</v>
      </c>
      <c r="E1918" t="str">
        <f>VLOOKUP(D1918,name!A:B,2,1)</f>
        <v>Fiona</v>
      </c>
      <c r="F1918" t="s">
        <v>988</v>
      </c>
      <c r="G1918" t="str">
        <f t="shared" si="1587"/>
        <v>a</v>
      </c>
      <c r="H1918" t="str">
        <f>VLOOKUP(D1918,name!A:C,3,1)</f>
        <v>assets/icons/image329.png</v>
      </c>
      <c r="I1918" t="str">
        <f>IF(A1918="","",VLOOKUP(A1918,lng!A:B,2,0))</f>
        <v>en-GB</v>
      </c>
    </row>
    <row r="1919" spans="1:9" x14ac:dyDescent="0.15">
      <c r="A1919" t="str">
        <f t="shared" ref="A1919:B1919" si="1615">A1918</f>
        <v>英語</v>
      </c>
      <c r="B1919">
        <f t="shared" si="1615"/>
        <v>19</v>
      </c>
      <c r="C1919">
        <f t="shared" si="1604"/>
        <v>18</v>
      </c>
      <c r="D1919">
        <v>35</v>
      </c>
      <c r="E1919" t="str">
        <f>VLOOKUP(D1919,name!A:B,2,1)</f>
        <v>Fiona</v>
      </c>
      <c r="F1919" t="s">
        <v>998</v>
      </c>
      <c r="G1919" t="str">
        <f t="shared" si="1587"/>
        <v>a</v>
      </c>
      <c r="H1919" t="str">
        <f>VLOOKUP(D1919,name!A:C,3,1)</f>
        <v>assets/icons/image329.png</v>
      </c>
      <c r="I1919" t="s">
        <v>402</v>
      </c>
    </row>
    <row r="1920" spans="1:9" x14ac:dyDescent="0.15">
      <c r="A1920" t="str">
        <f t="shared" ref="A1920:B1920" si="1616">A1919</f>
        <v>英語</v>
      </c>
      <c r="B1920">
        <f t="shared" si="1616"/>
        <v>19</v>
      </c>
      <c r="C1920">
        <f t="shared" si="1604"/>
        <v>19</v>
      </c>
      <c r="D1920">
        <f t="shared" si="1605"/>
        <v>35</v>
      </c>
      <c r="E1920" t="str">
        <f>VLOOKUP(D1920,name!A:B,2,1)</f>
        <v>Fiona</v>
      </c>
      <c r="F1920" t="s">
        <v>989</v>
      </c>
      <c r="G1920" t="str">
        <f t="shared" si="1587"/>
        <v>a</v>
      </c>
      <c r="H1920" t="str">
        <f>VLOOKUP(D1920,name!A:C,3,1)</f>
        <v>assets/icons/image329.png</v>
      </c>
      <c r="I1920" t="str">
        <f>IF(A1920="","",VLOOKUP(A1920,lng!A:B,2,0))</f>
        <v>en-GB</v>
      </c>
    </row>
    <row r="1921" spans="1:9" x14ac:dyDescent="0.15">
      <c r="A1921" t="str">
        <f t="shared" ref="A1921:B1921" si="1617">A1920</f>
        <v>英語</v>
      </c>
      <c r="B1921">
        <f t="shared" si="1617"/>
        <v>19</v>
      </c>
      <c r="C1921">
        <f t="shared" si="1604"/>
        <v>20</v>
      </c>
      <c r="D1921">
        <f t="shared" si="1605"/>
        <v>35</v>
      </c>
      <c r="E1921" t="str">
        <f>VLOOKUP(D1921,name!A:B,2,1)</f>
        <v>Fiona</v>
      </c>
      <c r="F1921" t="s">
        <v>999</v>
      </c>
      <c r="G1921" t="str">
        <f t="shared" si="1587"/>
        <v>a</v>
      </c>
      <c r="H1921" t="str">
        <f>VLOOKUP(D1921,name!A:C,3,1)</f>
        <v>assets/icons/image329.png</v>
      </c>
      <c r="I1921" t="s">
        <v>402</v>
      </c>
    </row>
    <row r="1922" spans="1:9" x14ac:dyDescent="0.15">
      <c r="A1922" t="str">
        <f t="shared" ref="A1922:B1922" si="1618">A1921</f>
        <v>英語</v>
      </c>
      <c r="B1922">
        <f t="shared" si="1618"/>
        <v>19</v>
      </c>
      <c r="C1922">
        <f t="shared" si="1604"/>
        <v>21</v>
      </c>
      <c r="D1922">
        <v>35</v>
      </c>
      <c r="E1922" t="str">
        <f>VLOOKUP(D1922,name!A:B,2,1)</f>
        <v>Fiona</v>
      </c>
      <c r="F1922" t="s">
        <v>990</v>
      </c>
      <c r="G1922" t="str">
        <f t="shared" si="1587"/>
        <v>a</v>
      </c>
      <c r="H1922" t="str">
        <f>VLOOKUP(D1922,name!A:C,3,1)</f>
        <v>assets/icons/image329.png</v>
      </c>
      <c r="I1922" t="str">
        <f>IF(A1922="","",VLOOKUP(A1922,lng!A:B,2,0))</f>
        <v>en-GB</v>
      </c>
    </row>
    <row r="1923" spans="1:9" x14ac:dyDescent="0.15">
      <c r="A1923" t="str">
        <f t="shared" ref="A1923:B1923" si="1619">A1922</f>
        <v>英語</v>
      </c>
      <c r="B1923">
        <f t="shared" si="1619"/>
        <v>19</v>
      </c>
      <c r="C1923">
        <f t="shared" si="1604"/>
        <v>22</v>
      </c>
      <c r="D1923">
        <f t="shared" si="1605"/>
        <v>29</v>
      </c>
      <c r="E1923" t="str">
        <f>VLOOKUP(D1923,name!A:B,2,1)</f>
        <v>Eri</v>
      </c>
      <c r="F1923" t="s">
        <v>1000</v>
      </c>
      <c r="G1923" t="str">
        <f t="shared" si="1587"/>
        <v>a</v>
      </c>
      <c r="H1923" t="str">
        <f>VLOOKUP(D1923,name!A:C,3,1)</f>
        <v>assets/icons/image209.png</v>
      </c>
      <c r="I1923" t="s">
        <v>402</v>
      </c>
    </row>
    <row r="1924" spans="1:9" x14ac:dyDescent="0.15">
      <c r="A1924" t="str">
        <f t="shared" ref="A1924:B1924" si="1620">A1923</f>
        <v>英語</v>
      </c>
      <c r="B1924">
        <f t="shared" si="1620"/>
        <v>19</v>
      </c>
      <c r="C1924">
        <f t="shared" si="1604"/>
        <v>23</v>
      </c>
      <c r="D1924">
        <v>29</v>
      </c>
      <c r="E1924" t="str">
        <f>VLOOKUP(D1924,name!A:B,2,1)</f>
        <v>Eri</v>
      </c>
      <c r="F1924" t="s">
        <v>980</v>
      </c>
      <c r="G1924" t="str">
        <f t="shared" si="1587"/>
        <v>a</v>
      </c>
      <c r="H1924" t="str">
        <f>VLOOKUP(D1924,name!A:C,3,1)</f>
        <v>assets/icons/image209.png</v>
      </c>
      <c r="I1924" t="str">
        <f>IF(A1924="","",VLOOKUP(A1924,lng!A:B,2,0))</f>
        <v>en-GB</v>
      </c>
    </row>
    <row r="1925" spans="1:9" x14ac:dyDescent="0.15">
      <c r="A1925" t="str">
        <f t="shared" ref="A1925:B1925" si="1621">A1924</f>
        <v>英語</v>
      </c>
      <c r="B1925">
        <f t="shared" si="1621"/>
        <v>19</v>
      </c>
      <c r="C1925">
        <f t="shared" si="1604"/>
        <v>24</v>
      </c>
      <c r="D1925">
        <f t="shared" si="1605"/>
        <v>35</v>
      </c>
      <c r="E1925" t="str">
        <f>VLOOKUP(D1925,name!A:B,2,1)</f>
        <v>Fiona</v>
      </c>
      <c r="F1925" t="s">
        <v>1001</v>
      </c>
      <c r="G1925" t="str">
        <f t="shared" si="1587"/>
        <v>a</v>
      </c>
      <c r="H1925" t="str">
        <f>VLOOKUP(D1925,name!A:C,3,1)</f>
        <v>assets/icons/image329.png</v>
      </c>
      <c r="I1925" t="s">
        <v>402</v>
      </c>
    </row>
    <row r="1926" spans="1:9" x14ac:dyDescent="0.15">
      <c r="A1926" t="str">
        <f t="shared" ref="A1926:B1926" si="1622">A1925</f>
        <v>英語</v>
      </c>
      <c r="B1926">
        <f t="shared" si="1622"/>
        <v>19</v>
      </c>
      <c r="C1926">
        <f t="shared" si="1604"/>
        <v>25</v>
      </c>
      <c r="D1926">
        <v>35</v>
      </c>
      <c r="E1926" t="str">
        <f>VLOOKUP(D1926,name!A:B,2,1)</f>
        <v>Fiona</v>
      </c>
      <c r="F1926" t="s">
        <v>991</v>
      </c>
      <c r="G1926" t="str">
        <f t="shared" si="1587"/>
        <v>a</v>
      </c>
      <c r="H1926" t="str">
        <f>VLOOKUP(D1926,name!A:C,3,1)</f>
        <v>assets/icons/image329.png</v>
      </c>
      <c r="I1926" t="str">
        <f>IF(A1926="","",VLOOKUP(A1926,lng!A:B,2,0))</f>
        <v>en-GB</v>
      </c>
    </row>
    <row r="1927" spans="1:9" x14ac:dyDescent="0.15">
      <c r="A1927" t="str">
        <f t="shared" ref="A1927:B1927" si="1623">A1926</f>
        <v>英語</v>
      </c>
      <c r="B1927">
        <f t="shared" si="1623"/>
        <v>19</v>
      </c>
      <c r="C1927">
        <f t="shared" si="1604"/>
        <v>26</v>
      </c>
      <c r="D1927">
        <v>1</v>
      </c>
      <c r="E1927" t="str">
        <f>VLOOKUP(D1927,name!A:B,2,1)</f>
        <v>Navigator</v>
      </c>
      <c r="F1927" t="str">
        <f>"次の"&amp;A1927&amp;"を真似してね！"</f>
        <v>次の英語を真似してね！</v>
      </c>
      <c r="G1927" t="str">
        <f t="shared" si="1587"/>
        <v>a</v>
      </c>
      <c r="H1927" t="str">
        <f>VLOOKUP(D1927,name!A:C,3,1)</f>
        <v>assets/icons/image014.png</v>
      </c>
      <c r="I1927" t="s">
        <v>402</v>
      </c>
    </row>
    <row r="1928" spans="1:9" x14ac:dyDescent="0.15">
      <c r="A1928" t="str">
        <f t="shared" ref="A1928:B1928" si="1624">A1927</f>
        <v>英語</v>
      </c>
      <c r="B1928">
        <f t="shared" si="1624"/>
        <v>19</v>
      </c>
      <c r="C1928">
        <f t="shared" si="1604"/>
        <v>27</v>
      </c>
      <c r="D1928">
        <f>D1905</f>
        <v>29</v>
      </c>
      <c r="E1928" t="str">
        <f>VLOOKUP(D1928,name!A:B,2,1)</f>
        <v>Eri</v>
      </c>
      <c r="F1928" t="str">
        <f>F1905</f>
        <v>今晩の学生会主催の新年パーティにはいらっしゃるんですよね。</v>
      </c>
      <c r="G1928" t="str">
        <f t="shared" si="1587"/>
        <v>a</v>
      </c>
      <c r="H1928" t="str">
        <f>VLOOKUP(D1928,name!A:C,3,1)</f>
        <v>assets/icons/image209.png</v>
      </c>
      <c r="I1928" t="s">
        <v>402</v>
      </c>
    </row>
    <row r="1929" spans="1:9" x14ac:dyDescent="0.15">
      <c r="A1929" t="str">
        <f t="shared" ref="A1929:B1929" si="1625">A1928</f>
        <v>英語</v>
      </c>
      <c r="B1929">
        <f t="shared" si="1625"/>
        <v>19</v>
      </c>
      <c r="C1929">
        <f t="shared" si="1604"/>
        <v>28</v>
      </c>
      <c r="D1929">
        <f>D1906</f>
        <v>29</v>
      </c>
      <c r="E1929" t="str">
        <f>VLOOKUP(D1929,name!A:B,2,1)</f>
        <v>Eri</v>
      </c>
      <c r="F1929" t="str">
        <f>F1906</f>
        <v>You're going to the Guild's New Year party tonight, aren't you?</v>
      </c>
      <c r="G1929" t="str">
        <f t="shared" si="1587"/>
        <v>a</v>
      </c>
      <c r="H1929" t="str">
        <f>VLOOKUP(D1929,name!A:C,3,1)</f>
        <v>assets/icons/image209.png</v>
      </c>
      <c r="I1929" t="str">
        <f>IF(A1929="","",VLOOKUP(A1929,lng!A:B,2,0))</f>
        <v>en-GB</v>
      </c>
    </row>
    <row r="1930" spans="1:9" x14ac:dyDescent="0.15">
      <c r="A1930" t="str">
        <f t="shared" ref="A1930:B1930" si="1626">A1929</f>
        <v>英語</v>
      </c>
      <c r="B1930">
        <f t="shared" si="1626"/>
        <v>19</v>
      </c>
      <c r="C1930">
        <f t="shared" si="1604"/>
        <v>29</v>
      </c>
      <c r="D1930">
        <v>0</v>
      </c>
      <c r="E1930" t="str">
        <f>VLOOKUP(D1930,name!A:B,2,1)</f>
        <v>Player</v>
      </c>
      <c r="F1930" t="str">
        <f>F1906</f>
        <v>You're going to the Guild's New Year party tonight, aren't you?</v>
      </c>
      <c r="G1930" t="str">
        <f t="shared" si="1587"/>
        <v>q</v>
      </c>
      <c r="H1930" t="str">
        <f>VLOOKUP(D1930,name!A:C,3,1)</f>
        <v>assets/icons/image326.png</v>
      </c>
      <c r="I1930" t="str">
        <f>IF(A1930="","",VLOOKUP(A1930,lng!A:B,2,0))</f>
        <v>en-GB</v>
      </c>
    </row>
    <row r="1931" spans="1:9" x14ac:dyDescent="0.15">
      <c r="A1931" t="str">
        <f t="shared" ref="A1931:B1931" si="1627">A1930</f>
        <v>英語</v>
      </c>
      <c r="B1931">
        <f t="shared" si="1627"/>
        <v>19</v>
      </c>
      <c r="C1931">
        <f t="shared" si="1604"/>
        <v>30</v>
      </c>
      <c r="D1931">
        <f>D1907</f>
        <v>35</v>
      </c>
      <c r="E1931" t="str">
        <f>VLOOKUP(D1931,name!A:B,2,1)</f>
        <v>Fiona</v>
      </c>
      <c r="F1931" t="str">
        <f>F1907</f>
        <v>行くわ、でもあれはイングリッシュ風の新年なの。</v>
      </c>
      <c r="G1931" t="str">
        <f t="shared" si="1587"/>
        <v>a</v>
      </c>
      <c r="H1931" t="str">
        <f>VLOOKUP(D1931,name!A:C,3,1)</f>
        <v>assets/icons/image329.png</v>
      </c>
      <c r="I1931" t="s">
        <v>402</v>
      </c>
    </row>
    <row r="1932" spans="1:9" x14ac:dyDescent="0.15">
      <c r="A1932" t="str">
        <f t="shared" ref="A1932:B1932" si="1628">A1931</f>
        <v>英語</v>
      </c>
      <c r="B1932">
        <f t="shared" si="1628"/>
        <v>19</v>
      </c>
      <c r="C1932">
        <f t="shared" si="1604"/>
        <v>31</v>
      </c>
      <c r="D1932">
        <f>D1908</f>
        <v>35</v>
      </c>
      <c r="E1932" t="str">
        <f>VLOOKUP(D1932,name!A:B,2,1)</f>
        <v>Fiona</v>
      </c>
      <c r="F1932" t="str">
        <f>F1908</f>
        <v xml:space="preserve"> I am, but it's just English New Year. </v>
      </c>
      <c r="G1932" t="str">
        <f t="shared" si="1587"/>
        <v>a</v>
      </c>
      <c r="H1932" t="str">
        <f>VLOOKUP(D1932,name!A:C,3,1)</f>
        <v>assets/icons/image329.png</v>
      </c>
      <c r="I1932" t="str">
        <f>IF(A1932="","",VLOOKUP(A1932,lng!A:B,2,0))</f>
        <v>en-GB</v>
      </c>
    </row>
    <row r="1933" spans="1:9" x14ac:dyDescent="0.15">
      <c r="A1933" t="str">
        <f t="shared" ref="A1933:B1933" si="1629">A1932</f>
        <v>英語</v>
      </c>
      <c r="B1933">
        <f t="shared" si="1629"/>
        <v>19</v>
      </c>
      <c r="C1933">
        <f t="shared" si="1604"/>
        <v>32</v>
      </c>
      <c r="D1933">
        <v>0</v>
      </c>
      <c r="E1933" t="str">
        <f>VLOOKUP(D1933,name!A:B,2,1)</f>
        <v>Player</v>
      </c>
      <c r="F1933" t="str">
        <f>F1908</f>
        <v xml:space="preserve"> I am, but it's just English New Year. </v>
      </c>
      <c r="G1933" t="str">
        <f t="shared" si="1587"/>
        <v>q</v>
      </c>
      <c r="H1933" t="str">
        <f>VLOOKUP(D1933,name!A:C,3,1)</f>
        <v>assets/icons/image326.png</v>
      </c>
      <c r="I1933" t="str">
        <f>IF(A1933="","",VLOOKUP(A1933,lng!A:B,2,0))</f>
        <v>en-GB</v>
      </c>
    </row>
    <row r="1934" spans="1:9" x14ac:dyDescent="0.15">
      <c r="A1934" t="str">
        <f t="shared" ref="A1934:B1934" si="1630">A1933</f>
        <v>英語</v>
      </c>
      <c r="B1934">
        <f t="shared" si="1630"/>
        <v>19</v>
      </c>
      <c r="C1934">
        <f t="shared" si="1604"/>
        <v>33</v>
      </c>
      <c r="D1934">
        <f>D1909</f>
        <v>35</v>
      </c>
      <c r="E1934" t="str">
        <f>VLOOKUP(D1934,name!A:B,2,1)</f>
        <v>Fiona</v>
      </c>
      <c r="F1934" t="str">
        <f>F1909</f>
        <v>私は、スコットランド風の大みそかのお祝いがなつかしいわ。</v>
      </c>
      <c r="G1934" t="str">
        <f t="shared" si="1587"/>
        <v>a</v>
      </c>
      <c r="H1934" t="str">
        <f>VLOOKUP(D1934,name!A:C,3,1)</f>
        <v>assets/icons/image329.png</v>
      </c>
      <c r="I1934" t="s">
        <v>402</v>
      </c>
    </row>
    <row r="1935" spans="1:9" x14ac:dyDescent="0.15">
      <c r="A1935" t="str">
        <f t="shared" ref="A1935:B1935" si="1631">A1934</f>
        <v>英語</v>
      </c>
      <c r="B1935">
        <f t="shared" si="1631"/>
        <v>19</v>
      </c>
      <c r="C1935">
        <f t="shared" si="1604"/>
        <v>34</v>
      </c>
      <c r="D1935">
        <f>D1910</f>
        <v>35</v>
      </c>
      <c r="E1935" t="str">
        <f>VLOOKUP(D1935,name!A:B,2,1)</f>
        <v>Fiona</v>
      </c>
      <c r="F1935" t="str">
        <f>F1910</f>
        <v>I'll miss all the joys of Hogmanay.</v>
      </c>
      <c r="G1935" t="str">
        <f t="shared" si="1587"/>
        <v>a</v>
      </c>
      <c r="H1935" t="str">
        <f>VLOOKUP(D1935,name!A:C,3,1)</f>
        <v>assets/icons/image329.png</v>
      </c>
      <c r="I1935" t="str">
        <f>IF(A1935="","",VLOOKUP(A1935,lng!A:B,2,0))</f>
        <v>en-GB</v>
      </c>
    </row>
    <row r="1936" spans="1:9" x14ac:dyDescent="0.15">
      <c r="A1936" t="str">
        <f t="shared" ref="A1936:B1936" si="1632">A1935</f>
        <v>英語</v>
      </c>
      <c r="B1936">
        <f t="shared" si="1632"/>
        <v>19</v>
      </c>
      <c r="C1936">
        <f t="shared" si="1604"/>
        <v>35</v>
      </c>
      <c r="D1936">
        <v>0</v>
      </c>
      <c r="E1936" t="str">
        <f>VLOOKUP(D1936,name!A:B,2,1)</f>
        <v>Player</v>
      </c>
      <c r="F1936" t="str">
        <f>F1910</f>
        <v>I'll miss all the joys of Hogmanay.</v>
      </c>
      <c r="G1936" t="str">
        <f t="shared" si="1587"/>
        <v>q</v>
      </c>
      <c r="H1936" t="str">
        <f>VLOOKUP(D1936,name!A:C,3,1)</f>
        <v>assets/icons/image326.png</v>
      </c>
      <c r="I1936" t="str">
        <f>IF(A1936="","",VLOOKUP(A1936,lng!A:B,2,0))</f>
        <v>en-GB</v>
      </c>
    </row>
    <row r="1937" spans="1:9" x14ac:dyDescent="0.15">
      <c r="A1937" t="str">
        <f t="shared" ref="A1937:B1937" si="1633">A1936</f>
        <v>英語</v>
      </c>
      <c r="B1937">
        <f t="shared" si="1633"/>
        <v>19</v>
      </c>
      <c r="C1937">
        <f t="shared" si="1604"/>
        <v>36</v>
      </c>
      <c r="D1937">
        <f>D1911</f>
        <v>29</v>
      </c>
      <c r="E1937" t="str">
        <f>VLOOKUP(D1937,name!A:B,2,1)</f>
        <v>Eri</v>
      </c>
      <c r="F1937" t="str">
        <f>F1911</f>
        <v>何がそんなに違うの？</v>
      </c>
      <c r="G1937" t="str">
        <f t="shared" si="1587"/>
        <v>a</v>
      </c>
      <c r="H1937" t="str">
        <f>VLOOKUP(D1937,name!A:C,3,1)</f>
        <v>assets/icons/image209.png</v>
      </c>
      <c r="I1937" t="s">
        <v>402</v>
      </c>
    </row>
    <row r="1938" spans="1:9" x14ac:dyDescent="0.15">
      <c r="A1938" t="str">
        <f t="shared" ref="A1938:B1938" si="1634">A1937</f>
        <v>英語</v>
      </c>
      <c r="B1938">
        <f t="shared" si="1634"/>
        <v>19</v>
      </c>
      <c r="C1938">
        <f t="shared" si="1604"/>
        <v>37</v>
      </c>
      <c r="D1938">
        <f>D1912</f>
        <v>29</v>
      </c>
      <c r="E1938" t="str">
        <f>VLOOKUP(D1938,name!A:B,2,1)</f>
        <v>Eri</v>
      </c>
      <c r="F1938" t="str">
        <f>F1912</f>
        <v>What's so different?</v>
      </c>
      <c r="G1938" t="str">
        <f t="shared" si="1587"/>
        <v>a</v>
      </c>
      <c r="H1938" t="str">
        <f>VLOOKUP(D1938,name!A:C,3,1)</f>
        <v>assets/icons/image209.png</v>
      </c>
      <c r="I1938" t="str">
        <f>IF(A1938="","",VLOOKUP(A1938,lng!A:B,2,0))</f>
        <v>en-GB</v>
      </c>
    </row>
    <row r="1939" spans="1:9" x14ac:dyDescent="0.15">
      <c r="A1939" t="str">
        <f t="shared" ref="A1939:B1939" si="1635">A1938</f>
        <v>英語</v>
      </c>
      <c r="B1939">
        <f t="shared" si="1635"/>
        <v>19</v>
      </c>
      <c r="C1939">
        <f t="shared" si="1604"/>
        <v>38</v>
      </c>
      <c r="D1939">
        <v>0</v>
      </c>
      <c r="E1939" t="str">
        <f>VLOOKUP(D1939,name!A:B,2,1)</f>
        <v>Player</v>
      </c>
      <c r="F1939" t="str">
        <f>F1912</f>
        <v>What's so different?</v>
      </c>
      <c r="G1939" t="str">
        <f t="shared" si="1587"/>
        <v>q</v>
      </c>
      <c r="H1939" t="str">
        <f>VLOOKUP(D1939,name!A:C,3,1)</f>
        <v>assets/icons/image326.png</v>
      </c>
      <c r="I1939" t="str">
        <f>IF(A1939="","",VLOOKUP(A1939,lng!A:B,2,0))</f>
        <v>en-GB</v>
      </c>
    </row>
    <row r="1940" spans="1:9" x14ac:dyDescent="0.15">
      <c r="A1940" t="str">
        <f t="shared" ref="A1940:B1940" si="1636">A1939</f>
        <v>英語</v>
      </c>
      <c r="B1940">
        <f t="shared" si="1636"/>
        <v>19</v>
      </c>
      <c r="C1940">
        <f t="shared" si="1604"/>
        <v>39</v>
      </c>
      <c r="D1940">
        <f>D1913</f>
        <v>29</v>
      </c>
      <c r="E1940" t="str">
        <f>VLOOKUP(D1940,name!A:B,2,1)</f>
        <v>Eri</v>
      </c>
      <c r="F1940" t="str">
        <f>F1913</f>
        <v>イギリス人は正月を大事にしていなかったと思います。</v>
      </c>
      <c r="G1940" t="str">
        <f t="shared" si="1587"/>
        <v>a</v>
      </c>
      <c r="H1940" t="str">
        <f>VLOOKUP(D1940,name!A:C,3,1)</f>
        <v>assets/icons/image209.png</v>
      </c>
      <c r="I1940" t="s">
        <v>402</v>
      </c>
    </row>
    <row r="1941" spans="1:9" x14ac:dyDescent="0.15">
      <c r="A1941" t="str">
        <f t="shared" ref="A1941:B1941" si="1637">A1940</f>
        <v>英語</v>
      </c>
      <c r="B1941">
        <f t="shared" si="1637"/>
        <v>19</v>
      </c>
      <c r="C1941">
        <f t="shared" si="1604"/>
        <v>40</v>
      </c>
      <c r="D1941">
        <f>D1914</f>
        <v>29</v>
      </c>
      <c r="E1941" t="str">
        <f>VLOOKUP(D1941,name!A:B,2,1)</f>
        <v>Eri</v>
      </c>
      <c r="F1941" t="str">
        <f>F1914</f>
        <v>I didn't think British people made much of New Year.</v>
      </c>
      <c r="G1941" t="str">
        <f t="shared" si="1587"/>
        <v>a</v>
      </c>
      <c r="H1941" t="str">
        <f>VLOOKUP(D1941,name!A:C,3,1)</f>
        <v>assets/icons/image209.png</v>
      </c>
      <c r="I1941" t="str">
        <f>IF(A1941="","",VLOOKUP(A1941,lng!A:B,2,0))</f>
        <v>en-GB</v>
      </c>
    </row>
    <row r="1942" spans="1:9" x14ac:dyDescent="0.15">
      <c r="A1942" t="str">
        <f t="shared" ref="A1942:B1942" si="1638">A1941</f>
        <v>英語</v>
      </c>
      <c r="B1942">
        <f t="shared" si="1638"/>
        <v>19</v>
      </c>
      <c r="C1942">
        <f t="shared" si="1604"/>
        <v>41</v>
      </c>
      <c r="D1942">
        <v>0</v>
      </c>
      <c r="E1942" t="str">
        <f>VLOOKUP(D1942,name!A:B,2,1)</f>
        <v>Player</v>
      </c>
      <c r="F1942" t="str">
        <f>F1914</f>
        <v>I didn't think British people made much of New Year.</v>
      </c>
      <c r="G1942" t="str">
        <f t="shared" si="1587"/>
        <v>q</v>
      </c>
      <c r="H1942" t="str">
        <f>VLOOKUP(D1942,name!A:C,3,1)</f>
        <v>assets/icons/image326.png</v>
      </c>
      <c r="I1942" t="str">
        <f>IF(A1942="","",VLOOKUP(A1942,lng!A:B,2,0))</f>
        <v>en-GB</v>
      </c>
    </row>
    <row r="1943" spans="1:9" x14ac:dyDescent="0.15">
      <c r="A1943" t="str">
        <f t="shared" ref="A1943:B1943" si="1639">A1942</f>
        <v>英語</v>
      </c>
      <c r="B1943">
        <f t="shared" si="1639"/>
        <v>19</v>
      </c>
      <c r="C1943">
        <f t="shared" si="1604"/>
        <v>42</v>
      </c>
      <c r="D1943">
        <f>D1915</f>
        <v>35</v>
      </c>
      <c r="E1943" t="str">
        <f>VLOOKUP(D1943,name!A:B,2,1)</f>
        <v>Fiona</v>
      </c>
      <c r="F1943" t="str">
        <f>F1915</f>
        <v>まあ、慣習に関して言えば、</v>
      </c>
      <c r="G1943" t="str">
        <f t="shared" si="1587"/>
        <v>a</v>
      </c>
      <c r="H1943" t="str">
        <f>VLOOKUP(D1943,name!A:C,3,1)</f>
        <v>assets/icons/image329.png</v>
      </c>
      <c r="I1943" t="s">
        <v>402</v>
      </c>
    </row>
    <row r="1944" spans="1:9" x14ac:dyDescent="0.15">
      <c r="A1944" t="str">
        <f t="shared" ref="A1944:B1944" si="1640">A1943</f>
        <v>英語</v>
      </c>
      <c r="B1944">
        <f t="shared" si="1640"/>
        <v>19</v>
      </c>
      <c r="C1944">
        <f t="shared" si="1604"/>
        <v>43</v>
      </c>
      <c r="D1944">
        <f>D1916</f>
        <v>35</v>
      </c>
      <c r="E1944" t="str">
        <f>VLOOKUP(D1944,name!A:B,2,1)</f>
        <v>Fiona</v>
      </c>
      <c r="F1944" t="str">
        <f>F1916</f>
        <v xml:space="preserve">Well, as far as customs go, </v>
      </c>
      <c r="G1944" t="str">
        <f t="shared" si="1587"/>
        <v>a</v>
      </c>
      <c r="H1944" t="str">
        <f>VLOOKUP(D1944,name!A:C,3,1)</f>
        <v>assets/icons/image329.png</v>
      </c>
      <c r="I1944" t="str">
        <f>IF(A1944="","",VLOOKUP(A1944,lng!A:B,2,0))</f>
        <v>en-GB</v>
      </c>
    </row>
    <row r="1945" spans="1:9" x14ac:dyDescent="0.15">
      <c r="A1945" t="str">
        <f t="shared" ref="A1945:B1945" si="1641">A1944</f>
        <v>英語</v>
      </c>
      <c r="B1945">
        <f t="shared" si="1641"/>
        <v>19</v>
      </c>
      <c r="C1945">
        <f t="shared" si="1604"/>
        <v>44</v>
      </c>
      <c r="D1945">
        <v>0</v>
      </c>
      <c r="E1945" t="str">
        <f>VLOOKUP(D1945,name!A:B,2,1)</f>
        <v>Player</v>
      </c>
      <c r="F1945" t="str">
        <f>F1916</f>
        <v xml:space="preserve">Well, as far as customs go, </v>
      </c>
      <c r="G1945" t="str">
        <f t="shared" si="1587"/>
        <v>q</v>
      </c>
      <c r="H1945" t="str">
        <f>VLOOKUP(D1945,name!A:C,3,1)</f>
        <v>assets/icons/image326.png</v>
      </c>
      <c r="I1945" t="str">
        <f>IF(A1945="","",VLOOKUP(A1945,lng!A:B,2,0))</f>
        <v>en-GB</v>
      </c>
    </row>
    <row r="1946" spans="1:9" x14ac:dyDescent="0.15">
      <c r="A1946" t="str">
        <f t="shared" ref="A1946:B1946" si="1642">A1945</f>
        <v>英語</v>
      </c>
      <c r="B1946">
        <f t="shared" si="1642"/>
        <v>19</v>
      </c>
      <c r="C1946">
        <f t="shared" si="1604"/>
        <v>45</v>
      </c>
      <c r="D1946">
        <f>D1917</f>
        <v>35</v>
      </c>
      <c r="E1946" t="str">
        <f>VLOOKUP(D1946,name!A:B,2,1)</f>
        <v>Fiona</v>
      </c>
      <c r="F1946" t="str">
        <f>F1917</f>
        <v>「蛍の光」 を歌うことと新年の最初の客を迎えることはイングランドでもかなり一般的</v>
      </c>
      <c r="G1946" t="str">
        <f t="shared" si="1587"/>
        <v>a</v>
      </c>
      <c r="H1946" t="str">
        <f>VLOOKUP(D1946,name!A:C,3,1)</f>
        <v>assets/icons/image329.png</v>
      </c>
      <c r="I1946" t="s">
        <v>402</v>
      </c>
    </row>
    <row r="1947" spans="1:9" x14ac:dyDescent="0.15">
      <c r="A1947" t="str">
        <f t="shared" ref="A1947:B1947" si="1643">A1946</f>
        <v>英語</v>
      </c>
      <c r="B1947">
        <f t="shared" si="1643"/>
        <v>19</v>
      </c>
      <c r="C1947">
        <f t="shared" si="1604"/>
        <v>46</v>
      </c>
      <c r="D1947">
        <f>D1918</f>
        <v>35</v>
      </c>
      <c r="E1947" t="str">
        <f>VLOOKUP(D1947,name!A:B,2,1)</f>
        <v>Fiona</v>
      </c>
      <c r="F1947" t="str">
        <f>F1918</f>
        <v>Auld Lang Syne and First Footing are fairly common in England, too.</v>
      </c>
      <c r="G1947" t="str">
        <f t="shared" si="1587"/>
        <v>a</v>
      </c>
      <c r="H1947" t="str">
        <f>VLOOKUP(D1947,name!A:C,3,1)</f>
        <v>assets/icons/image329.png</v>
      </c>
      <c r="I1947" t="str">
        <f>IF(A1947="","",VLOOKUP(A1947,lng!A:B,2,0))</f>
        <v>en-GB</v>
      </c>
    </row>
    <row r="1948" spans="1:9" x14ac:dyDescent="0.15">
      <c r="A1948" t="str">
        <f t="shared" ref="A1948:B1948" si="1644">A1947</f>
        <v>英語</v>
      </c>
      <c r="B1948">
        <f t="shared" si="1644"/>
        <v>19</v>
      </c>
      <c r="C1948">
        <f t="shared" si="1604"/>
        <v>47</v>
      </c>
      <c r="D1948">
        <v>0</v>
      </c>
      <c r="E1948" t="str">
        <f>VLOOKUP(D1948,name!A:B,2,1)</f>
        <v>Player</v>
      </c>
      <c r="F1948" t="str">
        <f>F1918</f>
        <v>Auld Lang Syne and First Footing are fairly common in England, too.</v>
      </c>
      <c r="G1948" t="str">
        <f t="shared" si="1587"/>
        <v>q</v>
      </c>
      <c r="H1948" t="str">
        <f>VLOOKUP(D1948,name!A:C,3,1)</f>
        <v>assets/icons/image326.png</v>
      </c>
      <c r="I1948" t="str">
        <f>IF(A1948="","",VLOOKUP(A1948,lng!A:B,2,0))</f>
        <v>en-GB</v>
      </c>
    </row>
    <row r="1949" spans="1:9" x14ac:dyDescent="0.15">
      <c r="A1949" t="str">
        <f t="shared" ref="A1949:B1949" si="1645">A1948</f>
        <v>英語</v>
      </c>
      <c r="B1949">
        <f t="shared" si="1645"/>
        <v>19</v>
      </c>
      <c r="C1949">
        <f t="shared" si="1604"/>
        <v>48</v>
      </c>
      <c r="D1949">
        <f>D1919</f>
        <v>35</v>
      </c>
      <c r="E1949" t="str">
        <f>VLOOKUP(D1949,name!A:B,2,1)</f>
        <v>Fiona</v>
      </c>
      <c r="F1949" t="str">
        <f>F1919</f>
        <v>訪問と食べ物、そして花火が一番恋しいです。</v>
      </c>
      <c r="G1949" t="str">
        <f t="shared" si="1587"/>
        <v>a</v>
      </c>
      <c r="H1949" t="str">
        <f>VLOOKUP(D1949,name!A:C,3,1)</f>
        <v>assets/icons/image329.png</v>
      </c>
      <c r="I1949" t="s">
        <v>402</v>
      </c>
    </row>
    <row r="1950" spans="1:9" x14ac:dyDescent="0.15">
      <c r="A1950" t="str">
        <f t="shared" ref="A1950:B1950" si="1646">A1949</f>
        <v>英語</v>
      </c>
      <c r="B1950">
        <f t="shared" si="1646"/>
        <v>19</v>
      </c>
      <c r="C1950">
        <f t="shared" si="1604"/>
        <v>49</v>
      </c>
      <c r="D1950">
        <f>D1920</f>
        <v>35</v>
      </c>
      <c r="E1950" t="str">
        <f>VLOOKUP(D1950,name!A:B,2,1)</f>
        <v>Fiona</v>
      </c>
      <c r="F1950" t="str">
        <f>F1920</f>
        <v>The visiting and the food are what I'll miss most, and the fireworks.</v>
      </c>
      <c r="G1950" t="str">
        <f t="shared" ref="G1950:G2013" si="1647">IF(B1950&lt;&gt;B1951,"e",IF(D1950=0,"q","a"))</f>
        <v>a</v>
      </c>
      <c r="H1950" t="str">
        <f>VLOOKUP(D1950,name!A:C,3,1)</f>
        <v>assets/icons/image329.png</v>
      </c>
      <c r="I1950" t="str">
        <f>IF(A1950="","",VLOOKUP(A1950,lng!A:B,2,0))</f>
        <v>en-GB</v>
      </c>
    </row>
    <row r="1951" spans="1:9" x14ac:dyDescent="0.15">
      <c r="A1951" t="str">
        <f t="shared" ref="A1951:B1951" si="1648">A1950</f>
        <v>英語</v>
      </c>
      <c r="B1951">
        <f t="shared" si="1648"/>
        <v>19</v>
      </c>
      <c r="C1951">
        <f t="shared" si="1604"/>
        <v>50</v>
      </c>
      <c r="D1951">
        <v>0</v>
      </c>
      <c r="E1951" t="str">
        <f>VLOOKUP(D1951,name!A:B,2,1)</f>
        <v>Player</v>
      </c>
      <c r="F1951" t="str">
        <f>F1920</f>
        <v>The visiting and the food are what I'll miss most, and the fireworks.</v>
      </c>
      <c r="G1951" t="str">
        <f t="shared" si="1647"/>
        <v>q</v>
      </c>
      <c r="H1951" t="str">
        <f>VLOOKUP(D1951,name!A:C,3,1)</f>
        <v>assets/icons/image326.png</v>
      </c>
      <c r="I1951" t="str">
        <f>IF(A1951="","",VLOOKUP(A1951,lng!A:B,2,0))</f>
        <v>en-GB</v>
      </c>
    </row>
    <row r="1952" spans="1:9" x14ac:dyDescent="0.15">
      <c r="A1952" t="str">
        <f t="shared" ref="A1952:B1952" si="1649">A1951</f>
        <v>英語</v>
      </c>
      <c r="B1952">
        <f t="shared" si="1649"/>
        <v>19</v>
      </c>
      <c r="C1952">
        <f t="shared" si="1604"/>
        <v>51</v>
      </c>
      <c r="D1952">
        <f>D1921</f>
        <v>35</v>
      </c>
      <c r="E1952" t="str">
        <f>VLOOKUP(D1952,name!A:B,2,1)</f>
        <v>Fiona</v>
      </c>
      <c r="F1952" t="str">
        <f>F1921</f>
        <v>たいまつや火の玉のパレードがまだ行われている場所もあります。</v>
      </c>
      <c r="G1952" t="str">
        <f t="shared" si="1647"/>
        <v>a</v>
      </c>
      <c r="H1952" t="str">
        <f>VLOOKUP(D1952,name!A:C,3,1)</f>
        <v>assets/icons/image329.png</v>
      </c>
      <c r="I1952" t="s">
        <v>402</v>
      </c>
    </row>
    <row r="1953" spans="1:9" x14ac:dyDescent="0.15">
      <c r="A1953" t="str">
        <f t="shared" ref="A1953:B1953" si="1650">A1952</f>
        <v>英語</v>
      </c>
      <c r="B1953">
        <f t="shared" si="1650"/>
        <v>19</v>
      </c>
      <c r="C1953">
        <f t="shared" si="1604"/>
        <v>52</v>
      </c>
      <c r="D1953">
        <f>D1922</f>
        <v>35</v>
      </c>
      <c r="E1953" t="str">
        <f>VLOOKUP(D1953,name!A:B,2,1)</f>
        <v>Fiona</v>
      </c>
      <c r="F1953" t="str">
        <f>F1922</f>
        <v>Some places still have torchlight or fireball parades, too.</v>
      </c>
      <c r="G1953" t="str">
        <f t="shared" si="1647"/>
        <v>a</v>
      </c>
      <c r="H1953" t="str">
        <f>VLOOKUP(D1953,name!A:C,3,1)</f>
        <v>assets/icons/image329.png</v>
      </c>
      <c r="I1953" t="str">
        <f>IF(A1953="","",VLOOKUP(A1953,lng!A:B,2,0))</f>
        <v>en-GB</v>
      </c>
    </row>
    <row r="1954" spans="1:9" x14ac:dyDescent="0.15">
      <c r="A1954" t="str">
        <f t="shared" ref="A1954:B1954" si="1651">A1953</f>
        <v>英語</v>
      </c>
      <c r="B1954">
        <f t="shared" si="1651"/>
        <v>19</v>
      </c>
      <c r="C1954">
        <f t="shared" si="1604"/>
        <v>53</v>
      </c>
      <c r="D1954">
        <v>0</v>
      </c>
      <c r="E1954" t="str">
        <f>VLOOKUP(D1954,name!A:B,2,1)</f>
        <v>Player</v>
      </c>
      <c r="F1954" t="str">
        <f>F1922</f>
        <v>Some places still have torchlight or fireball parades, too.</v>
      </c>
      <c r="G1954" t="str">
        <f t="shared" si="1647"/>
        <v>q</v>
      </c>
      <c r="H1954" t="str">
        <f>VLOOKUP(D1954,name!A:C,3,1)</f>
        <v>assets/icons/image326.png</v>
      </c>
      <c r="I1954" t="str">
        <f>IF(A1954="","",VLOOKUP(A1954,lng!A:B,2,0))</f>
        <v>en-GB</v>
      </c>
    </row>
    <row r="1955" spans="1:9" x14ac:dyDescent="0.15">
      <c r="A1955" t="str">
        <f t="shared" ref="A1955:B1955" si="1652">A1954</f>
        <v>英語</v>
      </c>
      <c r="B1955">
        <f t="shared" si="1652"/>
        <v>19</v>
      </c>
      <c r="C1955">
        <f t="shared" si="1604"/>
        <v>54</v>
      </c>
      <c r="D1955">
        <f>D1923</f>
        <v>29</v>
      </c>
      <c r="E1955" t="str">
        <f>VLOOKUP(D1955,name!A:B,2,1)</f>
        <v>Eri</v>
      </c>
      <c r="F1955" t="str">
        <f>F1923</f>
        <v>ええと、パーティーでは食べ物と飲み物がありますよね？</v>
      </c>
      <c r="G1955" t="str">
        <f t="shared" si="1647"/>
        <v>a</v>
      </c>
      <c r="H1955" t="str">
        <f>VLOOKUP(D1955,name!A:C,3,1)</f>
        <v>assets/icons/image209.png</v>
      </c>
      <c r="I1955" t="s">
        <v>402</v>
      </c>
    </row>
    <row r="1956" spans="1:9" x14ac:dyDescent="0.15">
      <c r="A1956" t="str">
        <f t="shared" ref="A1956:B1956" si="1653">A1955</f>
        <v>英語</v>
      </c>
      <c r="B1956">
        <f t="shared" si="1653"/>
        <v>19</v>
      </c>
      <c r="C1956">
        <f t="shared" si="1604"/>
        <v>55</v>
      </c>
      <c r="D1956">
        <f>D1924</f>
        <v>29</v>
      </c>
      <c r="E1956" t="str">
        <f>VLOOKUP(D1956,name!A:B,2,1)</f>
        <v>Eri</v>
      </c>
      <c r="F1956" t="str">
        <f>F1924</f>
        <v>Well, there'll be food and drink at the party, won't there?</v>
      </c>
      <c r="G1956" t="str">
        <f t="shared" si="1647"/>
        <v>a</v>
      </c>
      <c r="H1956" t="str">
        <f>VLOOKUP(D1956,name!A:C,3,1)</f>
        <v>assets/icons/image209.png</v>
      </c>
      <c r="I1956" t="str">
        <f>IF(A1956="","",VLOOKUP(A1956,lng!A:B,2,0))</f>
        <v>en-GB</v>
      </c>
    </row>
    <row r="1957" spans="1:9" x14ac:dyDescent="0.15">
      <c r="A1957" t="str">
        <f t="shared" ref="A1957:B1957" si="1654">A1956</f>
        <v>英語</v>
      </c>
      <c r="B1957">
        <f t="shared" si="1654"/>
        <v>19</v>
      </c>
      <c r="C1957">
        <f t="shared" si="1604"/>
        <v>56</v>
      </c>
      <c r="D1957">
        <v>0</v>
      </c>
      <c r="E1957" t="str">
        <f>VLOOKUP(D1957,name!A:B,2,1)</f>
        <v>Player</v>
      </c>
      <c r="F1957" t="str">
        <f>F1924</f>
        <v>Well, there'll be food and drink at the party, won't there?</v>
      </c>
      <c r="G1957" t="str">
        <f t="shared" si="1647"/>
        <v>q</v>
      </c>
      <c r="H1957" t="str">
        <f>VLOOKUP(D1957,name!A:C,3,1)</f>
        <v>assets/icons/image326.png</v>
      </c>
      <c r="I1957" t="str">
        <f>IF(A1957="","",VLOOKUP(A1957,lng!A:B,2,0))</f>
        <v>en-GB</v>
      </c>
    </row>
    <row r="1958" spans="1:9" x14ac:dyDescent="0.15">
      <c r="A1958" t="str">
        <f t="shared" ref="A1958:B1958" si="1655">A1957</f>
        <v>英語</v>
      </c>
      <c r="B1958">
        <f t="shared" si="1655"/>
        <v>19</v>
      </c>
      <c r="C1958">
        <f t="shared" si="1604"/>
        <v>57</v>
      </c>
      <c r="D1958">
        <f>D1925</f>
        <v>35</v>
      </c>
      <c r="E1958" t="str">
        <f>VLOOKUP(D1958,name!A:B,2,1)</f>
        <v>Fiona</v>
      </c>
      <c r="F1958" t="str">
        <f>F1925</f>
        <v>はい、でもブラックバンもハギスもありません！</v>
      </c>
      <c r="G1958" t="str">
        <f t="shared" si="1647"/>
        <v>a</v>
      </c>
      <c r="H1958" t="str">
        <f>VLOOKUP(D1958,name!A:C,3,1)</f>
        <v>assets/icons/image329.png</v>
      </c>
      <c r="I1958" t="s">
        <v>402</v>
      </c>
    </row>
    <row r="1959" spans="1:9" x14ac:dyDescent="0.15">
      <c r="A1959" t="str">
        <f t="shared" ref="A1959:B1959" si="1656">A1958</f>
        <v>英語</v>
      </c>
      <c r="B1959">
        <f t="shared" si="1656"/>
        <v>19</v>
      </c>
      <c r="C1959">
        <f t="shared" si="1604"/>
        <v>58</v>
      </c>
      <c r="D1959">
        <f>D1926</f>
        <v>35</v>
      </c>
      <c r="E1959" t="str">
        <f>VLOOKUP(D1959,name!A:B,2,1)</f>
        <v>Fiona</v>
      </c>
      <c r="F1959" t="str">
        <f>F1926</f>
        <v>Aye, but there'll be no black bun and no haggis!</v>
      </c>
      <c r="G1959" t="str">
        <f t="shared" si="1647"/>
        <v>a</v>
      </c>
      <c r="H1959" t="str">
        <f>VLOOKUP(D1959,name!A:C,3,1)</f>
        <v>assets/icons/image329.png</v>
      </c>
      <c r="I1959" t="str">
        <f>IF(A1959="","",VLOOKUP(A1959,lng!A:B,2,0))</f>
        <v>en-GB</v>
      </c>
    </row>
    <row r="1960" spans="1:9" x14ac:dyDescent="0.15">
      <c r="A1960" t="str">
        <f t="shared" ref="A1960:B1960" si="1657">A1959</f>
        <v>英語</v>
      </c>
      <c r="B1960">
        <f t="shared" si="1657"/>
        <v>19</v>
      </c>
      <c r="C1960">
        <f t="shared" si="1604"/>
        <v>59</v>
      </c>
      <c r="D1960">
        <v>0</v>
      </c>
      <c r="E1960" t="str">
        <f>VLOOKUP(D1960,name!A:B,2,1)</f>
        <v>Player</v>
      </c>
      <c r="F1960" t="str">
        <f>F1926</f>
        <v>Aye, but there'll be no black bun and no haggis!</v>
      </c>
      <c r="G1960" t="str">
        <f t="shared" si="1647"/>
        <v>q</v>
      </c>
      <c r="H1960" t="str">
        <f>VLOOKUP(D1960,name!A:C,3,1)</f>
        <v>assets/icons/image326.png</v>
      </c>
      <c r="I1960" t="str">
        <f>IF(A1960="","",VLOOKUP(A1960,lng!A:B,2,0))</f>
        <v>en-GB</v>
      </c>
    </row>
    <row r="1961" spans="1:9" x14ac:dyDescent="0.15">
      <c r="A1961" t="str">
        <f t="shared" ref="A1961:B1961" si="1658">A1960</f>
        <v>英語</v>
      </c>
      <c r="B1961">
        <f t="shared" si="1658"/>
        <v>19</v>
      </c>
      <c r="C1961">
        <f t="shared" si="1604"/>
        <v>60</v>
      </c>
      <c r="D1961">
        <v>1</v>
      </c>
      <c r="E1961" t="str">
        <f>VLOOKUP(D1961,name!A:B,2,1)</f>
        <v>Navigator</v>
      </c>
      <c r="F1961" t="str">
        <f>"次の日本語を"&amp;A1961&amp;"に訳して答えてね！"</f>
        <v>次の日本語を英語に訳して答えてね！</v>
      </c>
      <c r="G1961" t="str">
        <f t="shared" si="1647"/>
        <v>a</v>
      </c>
      <c r="H1961" t="str">
        <f>VLOOKUP(D1961,name!A:C,3,1)</f>
        <v>assets/icons/image014.png</v>
      </c>
      <c r="I1961" t="s">
        <v>402</v>
      </c>
    </row>
    <row r="1962" spans="1:9" x14ac:dyDescent="0.15">
      <c r="A1962" t="str">
        <f t="shared" ref="A1962:B1962" si="1659">A1961</f>
        <v>英語</v>
      </c>
      <c r="B1962">
        <f t="shared" si="1659"/>
        <v>19</v>
      </c>
      <c r="C1962">
        <f t="shared" si="1604"/>
        <v>61</v>
      </c>
      <c r="D1962">
        <f>D1905</f>
        <v>29</v>
      </c>
      <c r="E1962" t="str">
        <f>VLOOKUP(D1962,name!A:B,2,1)</f>
        <v>Eri</v>
      </c>
      <c r="F1962" t="str">
        <f t="shared" ref="F1962:F1983" si="1660">F1905</f>
        <v>今晩の学生会主催の新年パーティにはいらっしゃるんですよね。</v>
      </c>
      <c r="G1962" t="str">
        <f t="shared" si="1647"/>
        <v>a</v>
      </c>
      <c r="H1962" t="str">
        <f>VLOOKUP(D1962,name!A:C,3,1)</f>
        <v>assets/icons/image209.png</v>
      </c>
      <c r="I1962" t="s">
        <v>402</v>
      </c>
    </row>
    <row r="1963" spans="1:9" x14ac:dyDescent="0.15">
      <c r="A1963" t="str">
        <f t="shared" ref="A1963:B1963" si="1661">A1962</f>
        <v>英語</v>
      </c>
      <c r="B1963">
        <f t="shared" si="1661"/>
        <v>19</v>
      </c>
      <c r="C1963">
        <f t="shared" si="1604"/>
        <v>62</v>
      </c>
      <c r="D1963">
        <v>0</v>
      </c>
      <c r="E1963" t="str">
        <f>VLOOKUP(D1963,name!A:B,2,1)</f>
        <v>Player</v>
      </c>
      <c r="F1963" t="str">
        <f t="shared" si="1660"/>
        <v>You're going to the Guild's New Year party tonight, aren't you?</v>
      </c>
      <c r="G1963" t="str">
        <f t="shared" si="1647"/>
        <v>q</v>
      </c>
      <c r="H1963" t="str">
        <f>VLOOKUP(D1963,name!A:C,3,1)</f>
        <v>assets/icons/image326.png</v>
      </c>
      <c r="I1963" t="str">
        <f>IF(A1963="","",VLOOKUP(A1963,lng!A:B,2,0))</f>
        <v>en-GB</v>
      </c>
    </row>
    <row r="1964" spans="1:9" x14ac:dyDescent="0.15">
      <c r="A1964" t="str">
        <f t="shared" ref="A1964:B1964" si="1662">A1963</f>
        <v>英語</v>
      </c>
      <c r="B1964">
        <f t="shared" si="1662"/>
        <v>19</v>
      </c>
      <c r="C1964">
        <f t="shared" si="1604"/>
        <v>63</v>
      </c>
      <c r="D1964">
        <f>D1907</f>
        <v>35</v>
      </c>
      <c r="E1964" t="str">
        <f>VLOOKUP(D1964,name!A:B,2,1)</f>
        <v>Fiona</v>
      </c>
      <c r="F1964" t="str">
        <f t="shared" si="1660"/>
        <v>行くわ、でもあれはイングリッシュ風の新年なの。</v>
      </c>
      <c r="G1964" t="str">
        <f t="shared" si="1647"/>
        <v>a</v>
      </c>
      <c r="H1964" t="str">
        <f>VLOOKUP(D1964,name!A:C,3,1)</f>
        <v>assets/icons/image329.png</v>
      </c>
      <c r="I1964" t="s">
        <v>402</v>
      </c>
    </row>
    <row r="1965" spans="1:9" x14ac:dyDescent="0.15">
      <c r="A1965" t="str">
        <f t="shared" ref="A1965:B1965" si="1663">A1964</f>
        <v>英語</v>
      </c>
      <c r="B1965">
        <f t="shared" si="1663"/>
        <v>19</v>
      </c>
      <c r="C1965">
        <f t="shared" si="1604"/>
        <v>64</v>
      </c>
      <c r="D1965">
        <v>0</v>
      </c>
      <c r="E1965" t="str">
        <f>VLOOKUP(D1965,name!A:B,2,1)</f>
        <v>Player</v>
      </c>
      <c r="F1965" t="str">
        <f t="shared" si="1660"/>
        <v xml:space="preserve"> I am, but it's just English New Year. </v>
      </c>
      <c r="G1965" t="str">
        <f t="shared" si="1647"/>
        <v>q</v>
      </c>
      <c r="H1965" t="str">
        <f>VLOOKUP(D1965,name!A:C,3,1)</f>
        <v>assets/icons/image326.png</v>
      </c>
      <c r="I1965" t="str">
        <f>IF(A1965="","",VLOOKUP(A1965,lng!A:B,2,0))</f>
        <v>en-GB</v>
      </c>
    </row>
    <row r="1966" spans="1:9" x14ac:dyDescent="0.15">
      <c r="A1966" t="str">
        <f t="shared" ref="A1966:B1966" si="1664">A1965</f>
        <v>英語</v>
      </c>
      <c r="B1966">
        <f t="shared" si="1664"/>
        <v>19</v>
      </c>
      <c r="C1966">
        <f t="shared" si="1604"/>
        <v>65</v>
      </c>
      <c r="D1966">
        <f>D1909</f>
        <v>35</v>
      </c>
      <c r="E1966" t="str">
        <f>VLOOKUP(D1966,name!A:B,2,1)</f>
        <v>Fiona</v>
      </c>
      <c r="F1966" t="str">
        <f t="shared" si="1660"/>
        <v>私は、スコットランド風の大みそかのお祝いがなつかしいわ。</v>
      </c>
      <c r="G1966" t="str">
        <f t="shared" si="1647"/>
        <v>a</v>
      </c>
      <c r="H1966" t="str">
        <f>VLOOKUP(D1966,name!A:C,3,1)</f>
        <v>assets/icons/image329.png</v>
      </c>
      <c r="I1966" t="s">
        <v>402</v>
      </c>
    </row>
    <row r="1967" spans="1:9" x14ac:dyDescent="0.15">
      <c r="A1967" t="str">
        <f t="shared" ref="A1967:B1967" si="1665">A1966</f>
        <v>英語</v>
      </c>
      <c r="B1967">
        <f t="shared" si="1665"/>
        <v>19</v>
      </c>
      <c r="C1967">
        <f t="shared" si="1604"/>
        <v>66</v>
      </c>
      <c r="D1967">
        <v>0</v>
      </c>
      <c r="E1967" t="str">
        <f>VLOOKUP(D1967,name!A:B,2,1)</f>
        <v>Player</v>
      </c>
      <c r="F1967" t="str">
        <f t="shared" si="1660"/>
        <v>I'll miss all the joys of Hogmanay.</v>
      </c>
      <c r="G1967" t="str">
        <f t="shared" si="1647"/>
        <v>q</v>
      </c>
      <c r="H1967" t="str">
        <f>VLOOKUP(D1967,name!A:C,3,1)</f>
        <v>assets/icons/image326.png</v>
      </c>
      <c r="I1967" t="str">
        <f>IF(A1967="","",VLOOKUP(A1967,lng!A:B,2,0))</f>
        <v>en-GB</v>
      </c>
    </row>
    <row r="1968" spans="1:9" x14ac:dyDescent="0.15">
      <c r="A1968" t="str">
        <f t="shared" ref="A1968:B1968" si="1666">A1967</f>
        <v>英語</v>
      </c>
      <c r="B1968">
        <f t="shared" si="1666"/>
        <v>19</v>
      </c>
      <c r="C1968">
        <f t="shared" ref="C1968:C1984" si="1667">C1967+1</f>
        <v>67</v>
      </c>
      <c r="D1968">
        <f>D1911</f>
        <v>29</v>
      </c>
      <c r="E1968" t="str">
        <f>VLOOKUP(D1968,name!A:B,2,1)</f>
        <v>Eri</v>
      </c>
      <c r="F1968" t="str">
        <f t="shared" si="1660"/>
        <v>何がそんなに違うの？</v>
      </c>
      <c r="G1968" t="str">
        <f t="shared" si="1647"/>
        <v>a</v>
      </c>
      <c r="H1968" t="str">
        <f>VLOOKUP(D1968,name!A:C,3,1)</f>
        <v>assets/icons/image209.png</v>
      </c>
      <c r="I1968" t="s">
        <v>402</v>
      </c>
    </row>
    <row r="1969" spans="1:9" x14ac:dyDescent="0.15">
      <c r="A1969" t="str">
        <f t="shared" ref="A1969:B1969" si="1668">A1968</f>
        <v>英語</v>
      </c>
      <c r="B1969">
        <f t="shared" si="1668"/>
        <v>19</v>
      </c>
      <c r="C1969">
        <f t="shared" si="1667"/>
        <v>68</v>
      </c>
      <c r="D1969">
        <v>0</v>
      </c>
      <c r="E1969" t="str">
        <f>VLOOKUP(D1969,name!A:B,2,1)</f>
        <v>Player</v>
      </c>
      <c r="F1969" t="str">
        <f t="shared" si="1660"/>
        <v>What's so different?</v>
      </c>
      <c r="G1969" t="str">
        <f t="shared" si="1647"/>
        <v>q</v>
      </c>
      <c r="H1969" t="str">
        <f>VLOOKUP(D1969,name!A:C,3,1)</f>
        <v>assets/icons/image326.png</v>
      </c>
      <c r="I1969" t="str">
        <f>IF(A1969="","",VLOOKUP(A1969,lng!A:B,2,0))</f>
        <v>en-GB</v>
      </c>
    </row>
    <row r="1970" spans="1:9" x14ac:dyDescent="0.15">
      <c r="A1970" t="str">
        <f t="shared" ref="A1970:B1970" si="1669">A1969</f>
        <v>英語</v>
      </c>
      <c r="B1970">
        <f t="shared" si="1669"/>
        <v>19</v>
      </c>
      <c r="C1970">
        <f t="shared" si="1667"/>
        <v>69</v>
      </c>
      <c r="D1970">
        <f>D1913</f>
        <v>29</v>
      </c>
      <c r="E1970" t="str">
        <f>VLOOKUP(D1970,name!A:B,2,1)</f>
        <v>Eri</v>
      </c>
      <c r="F1970" t="str">
        <f t="shared" si="1660"/>
        <v>イギリス人は正月を大事にしていなかったと思います。</v>
      </c>
      <c r="G1970" t="str">
        <f t="shared" si="1647"/>
        <v>a</v>
      </c>
      <c r="H1970" t="str">
        <f>VLOOKUP(D1970,name!A:C,3,1)</f>
        <v>assets/icons/image209.png</v>
      </c>
      <c r="I1970" t="s">
        <v>402</v>
      </c>
    </row>
    <row r="1971" spans="1:9" x14ac:dyDescent="0.15">
      <c r="A1971" t="str">
        <f t="shared" ref="A1971:B1971" si="1670">A1970</f>
        <v>英語</v>
      </c>
      <c r="B1971">
        <f t="shared" si="1670"/>
        <v>19</v>
      </c>
      <c r="C1971">
        <f t="shared" si="1667"/>
        <v>70</v>
      </c>
      <c r="D1971">
        <v>0</v>
      </c>
      <c r="E1971" t="str">
        <f>VLOOKUP(D1971,name!A:B,2,1)</f>
        <v>Player</v>
      </c>
      <c r="F1971" t="str">
        <f t="shared" si="1660"/>
        <v>I didn't think British people made much of New Year.</v>
      </c>
      <c r="G1971" t="str">
        <f t="shared" si="1647"/>
        <v>q</v>
      </c>
      <c r="H1971" t="str">
        <f>VLOOKUP(D1971,name!A:C,3,1)</f>
        <v>assets/icons/image326.png</v>
      </c>
      <c r="I1971" t="str">
        <f>IF(A1971="","",VLOOKUP(A1971,lng!A:B,2,0))</f>
        <v>en-GB</v>
      </c>
    </row>
    <row r="1972" spans="1:9" x14ac:dyDescent="0.15">
      <c r="A1972" t="str">
        <f t="shared" ref="A1972:B1972" si="1671">A1971</f>
        <v>英語</v>
      </c>
      <c r="B1972">
        <f t="shared" si="1671"/>
        <v>19</v>
      </c>
      <c r="C1972">
        <f t="shared" si="1667"/>
        <v>71</v>
      </c>
      <c r="D1972">
        <f>D1915</f>
        <v>35</v>
      </c>
      <c r="E1972" t="str">
        <f>VLOOKUP(D1972,name!A:B,2,1)</f>
        <v>Fiona</v>
      </c>
      <c r="F1972" t="str">
        <f t="shared" si="1660"/>
        <v>まあ、慣習に関して言えば、</v>
      </c>
      <c r="G1972" t="str">
        <f t="shared" si="1647"/>
        <v>a</v>
      </c>
      <c r="H1972" t="str">
        <f>VLOOKUP(D1972,name!A:C,3,1)</f>
        <v>assets/icons/image329.png</v>
      </c>
      <c r="I1972" t="s">
        <v>402</v>
      </c>
    </row>
    <row r="1973" spans="1:9" x14ac:dyDescent="0.15">
      <c r="A1973" t="str">
        <f t="shared" ref="A1973:B1973" si="1672">A1972</f>
        <v>英語</v>
      </c>
      <c r="B1973">
        <f t="shared" si="1672"/>
        <v>19</v>
      </c>
      <c r="C1973">
        <f t="shared" si="1667"/>
        <v>72</v>
      </c>
      <c r="D1973">
        <v>0</v>
      </c>
      <c r="E1973" t="str">
        <f>VLOOKUP(D1973,name!A:B,2,1)</f>
        <v>Player</v>
      </c>
      <c r="F1973" t="str">
        <f t="shared" si="1660"/>
        <v xml:space="preserve">Well, as far as customs go, </v>
      </c>
      <c r="G1973" t="str">
        <f t="shared" si="1647"/>
        <v>q</v>
      </c>
      <c r="H1973" t="str">
        <f>VLOOKUP(D1973,name!A:C,3,1)</f>
        <v>assets/icons/image326.png</v>
      </c>
      <c r="I1973" t="str">
        <f>IF(A1973="","",VLOOKUP(A1973,lng!A:B,2,0))</f>
        <v>en-GB</v>
      </c>
    </row>
    <row r="1974" spans="1:9" x14ac:dyDescent="0.15">
      <c r="A1974" t="str">
        <f t="shared" ref="A1974:B1974" si="1673">A1973</f>
        <v>英語</v>
      </c>
      <c r="B1974">
        <f t="shared" si="1673"/>
        <v>19</v>
      </c>
      <c r="C1974">
        <f t="shared" si="1667"/>
        <v>73</v>
      </c>
      <c r="D1974">
        <f>D1917</f>
        <v>35</v>
      </c>
      <c r="E1974" t="str">
        <f>VLOOKUP(D1974,name!A:B,2,1)</f>
        <v>Fiona</v>
      </c>
      <c r="F1974" t="str">
        <f t="shared" si="1660"/>
        <v>「蛍の光」 を歌うことと新年の最初の客を迎えることはイングランドでもかなり一般的</v>
      </c>
      <c r="G1974" t="str">
        <f t="shared" si="1647"/>
        <v>a</v>
      </c>
      <c r="H1974" t="str">
        <f>VLOOKUP(D1974,name!A:C,3,1)</f>
        <v>assets/icons/image329.png</v>
      </c>
      <c r="I1974" t="s">
        <v>402</v>
      </c>
    </row>
    <row r="1975" spans="1:9" x14ac:dyDescent="0.15">
      <c r="A1975" t="str">
        <f t="shared" ref="A1975:B1975" si="1674">A1974</f>
        <v>英語</v>
      </c>
      <c r="B1975">
        <f t="shared" si="1674"/>
        <v>19</v>
      </c>
      <c r="C1975">
        <f t="shared" si="1667"/>
        <v>74</v>
      </c>
      <c r="D1975">
        <v>0</v>
      </c>
      <c r="E1975" t="str">
        <f>VLOOKUP(D1975,name!A:B,2,1)</f>
        <v>Player</v>
      </c>
      <c r="F1975" t="str">
        <f t="shared" si="1660"/>
        <v>Auld Lang Syne and First Footing are fairly common in England, too.</v>
      </c>
      <c r="G1975" t="str">
        <f t="shared" si="1647"/>
        <v>q</v>
      </c>
      <c r="H1975" t="str">
        <f>VLOOKUP(D1975,name!A:C,3,1)</f>
        <v>assets/icons/image326.png</v>
      </c>
      <c r="I1975" t="str">
        <f>IF(A1975="","",VLOOKUP(A1975,lng!A:B,2,0))</f>
        <v>en-GB</v>
      </c>
    </row>
    <row r="1976" spans="1:9" x14ac:dyDescent="0.15">
      <c r="A1976" t="str">
        <f t="shared" ref="A1976:B1976" si="1675">A1975</f>
        <v>英語</v>
      </c>
      <c r="B1976">
        <f t="shared" si="1675"/>
        <v>19</v>
      </c>
      <c r="C1976">
        <f t="shared" si="1667"/>
        <v>75</v>
      </c>
      <c r="D1976">
        <f>D1919</f>
        <v>35</v>
      </c>
      <c r="E1976" t="str">
        <f>VLOOKUP(D1976,name!A:B,2,1)</f>
        <v>Fiona</v>
      </c>
      <c r="F1976" t="str">
        <f t="shared" si="1660"/>
        <v>訪問と食べ物、そして花火が一番恋しいです。</v>
      </c>
      <c r="G1976" t="str">
        <f t="shared" si="1647"/>
        <v>a</v>
      </c>
      <c r="H1976" t="str">
        <f>VLOOKUP(D1976,name!A:C,3,1)</f>
        <v>assets/icons/image329.png</v>
      </c>
      <c r="I1976" t="s">
        <v>402</v>
      </c>
    </row>
    <row r="1977" spans="1:9" x14ac:dyDescent="0.15">
      <c r="A1977" t="str">
        <f t="shared" ref="A1977:B1977" si="1676">A1976</f>
        <v>英語</v>
      </c>
      <c r="B1977">
        <f t="shared" si="1676"/>
        <v>19</v>
      </c>
      <c r="C1977">
        <f t="shared" si="1667"/>
        <v>76</v>
      </c>
      <c r="D1977">
        <v>0</v>
      </c>
      <c r="E1977" t="str">
        <f>VLOOKUP(D1977,name!A:B,2,1)</f>
        <v>Player</v>
      </c>
      <c r="F1977" t="str">
        <f t="shared" si="1660"/>
        <v>The visiting and the food are what I'll miss most, and the fireworks.</v>
      </c>
      <c r="G1977" t="str">
        <f t="shared" si="1647"/>
        <v>q</v>
      </c>
      <c r="H1977" t="str">
        <f>VLOOKUP(D1977,name!A:C,3,1)</f>
        <v>assets/icons/image326.png</v>
      </c>
      <c r="I1977" t="str">
        <f>IF(A1977="","",VLOOKUP(A1977,lng!A:B,2,0))</f>
        <v>en-GB</v>
      </c>
    </row>
    <row r="1978" spans="1:9" x14ac:dyDescent="0.15">
      <c r="A1978" t="str">
        <f t="shared" ref="A1978:B1978" si="1677">A1977</f>
        <v>英語</v>
      </c>
      <c r="B1978">
        <f t="shared" si="1677"/>
        <v>19</v>
      </c>
      <c r="C1978">
        <f t="shared" si="1667"/>
        <v>77</v>
      </c>
      <c r="D1978">
        <f>D1921</f>
        <v>35</v>
      </c>
      <c r="E1978" t="str">
        <f>VLOOKUP(D1978,name!A:B,2,1)</f>
        <v>Fiona</v>
      </c>
      <c r="F1978" t="str">
        <f t="shared" si="1660"/>
        <v>たいまつや火の玉のパレードがまだ行われている場所もあります。</v>
      </c>
      <c r="G1978" t="str">
        <f t="shared" si="1647"/>
        <v>a</v>
      </c>
      <c r="H1978" t="str">
        <f>VLOOKUP(D1978,name!A:C,3,1)</f>
        <v>assets/icons/image329.png</v>
      </c>
      <c r="I1978" t="s">
        <v>402</v>
      </c>
    </row>
    <row r="1979" spans="1:9" x14ac:dyDescent="0.15">
      <c r="A1979" t="str">
        <f t="shared" ref="A1979:B1979" si="1678">A1978</f>
        <v>英語</v>
      </c>
      <c r="B1979">
        <f t="shared" si="1678"/>
        <v>19</v>
      </c>
      <c r="C1979">
        <f t="shared" si="1667"/>
        <v>78</v>
      </c>
      <c r="D1979">
        <v>0</v>
      </c>
      <c r="E1979" t="str">
        <f>VLOOKUP(D1979,name!A:B,2,1)</f>
        <v>Player</v>
      </c>
      <c r="F1979" t="str">
        <f t="shared" si="1660"/>
        <v>Some places still have torchlight or fireball parades, too.</v>
      </c>
      <c r="G1979" t="str">
        <f t="shared" si="1647"/>
        <v>q</v>
      </c>
      <c r="H1979" t="str">
        <f>VLOOKUP(D1979,name!A:C,3,1)</f>
        <v>assets/icons/image326.png</v>
      </c>
      <c r="I1979" t="str">
        <f>IF(A1979="","",VLOOKUP(A1979,lng!A:B,2,0))</f>
        <v>en-GB</v>
      </c>
    </row>
    <row r="1980" spans="1:9" x14ac:dyDescent="0.15">
      <c r="A1980" t="str">
        <f t="shared" ref="A1980:B1980" si="1679">A1979</f>
        <v>英語</v>
      </c>
      <c r="B1980">
        <f t="shared" si="1679"/>
        <v>19</v>
      </c>
      <c r="C1980">
        <f t="shared" si="1667"/>
        <v>79</v>
      </c>
      <c r="D1980">
        <f>D1923</f>
        <v>29</v>
      </c>
      <c r="E1980" t="str">
        <f>VLOOKUP(D1980,name!A:B,2,1)</f>
        <v>Eri</v>
      </c>
      <c r="F1980" t="str">
        <f t="shared" si="1660"/>
        <v>ええと、パーティーでは食べ物と飲み物がありますよね？</v>
      </c>
      <c r="G1980" t="str">
        <f t="shared" si="1647"/>
        <v>a</v>
      </c>
      <c r="H1980" t="str">
        <f>VLOOKUP(D1980,name!A:C,3,1)</f>
        <v>assets/icons/image209.png</v>
      </c>
      <c r="I1980" t="s">
        <v>402</v>
      </c>
    </row>
    <row r="1981" spans="1:9" x14ac:dyDescent="0.15">
      <c r="A1981" t="str">
        <f t="shared" ref="A1981:B1981" si="1680">A1980</f>
        <v>英語</v>
      </c>
      <c r="B1981">
        <f t="shared" si="1680"/>
        <v>19</v>
      </c>
      <c r="C1981">
        <f t="shared" si="1667"/>
        <v>80</v>
      </c>
      <c r="D1981">
        <v>0</v>
      </c>
      <c r="E1981" t="str">
        <f>VLOOKUP(D1981,name!A:B,2,1)</f>
        <v>Player</v>
      </c>
      <c r="F1981" t="str">
        <f t="shared" si="1660"/>
        <v>Well, there'll be food and drink at the party, won't there?</v>
      </c>
      <c r="G1981" t="str">
        <f t="shared" si="1647"/>
        <v>q</v>
      </c>
      <c r="H1981" t="str">
        <f>VLOOKUP(D1981,name!A:C,3,1)</f>
        <v>assets/icons/image326.png</v>
      </c>
      <c r="I1981" t="str">
        <f>IF(A1981="","",VLOOKUP(A1981,lng!A:B,2,0))</f>
        <v>en-GB</v>
      </c>
    </row>
    <row r="1982" spans="1:9" x14ac:dyDescent="0.15">
      <c r="A1982" t="str">
        <f t="shared" ref="A1982:B1982" si="1681">A1981</f>
        <v>英語</v>
      </c>
      <c r="B1982">
        <f t="shared" si="1681"/>
        <v>19</v>
      </c>
      <c r="C1982">
        <f t="shared" si="1667"/>
        <v>81</v>
      </c>
      <c r="D1982">
        <f>D1925</f>
        <v>35</v>
      </c>
      <c r="E1982" t="str">
        <f>VLOOKUP(D1982,name!A:B,2,1)</f>
        <v>Fiona</v>
      </c>
      <c r="F1982" t="str">
        <f t="shared" si="1660"/>
        <v>はい、でもブラックバンもハギスもありません！</v>
      </c>
      <c r="G1982" t="str">
        <f t="shared" si="1647"/>
        <v>a</v>
      </c>
      <c r="H1982" t="str">
        <f>VLOOKUP(D1982,name!A:C,3,1)</f>
        <v>assets/icons/image329.png</v>
      </c>
      <c r="I1982" t="s">
        <v>402</v>
      </c>
    </row>
    <row r="1983" spans="1:9" x14ac:dyDescent="0.15">
      <c r="A1983" t="str">
        <f t="shared" ref="A1983:B1983" si="1682">A1982</f>
        <v>英語</v>
      </c>
      <c r="B1983">
        <f t="shared" si="1682"/>
        <v>19</v>
      </c>
      <c r="C1983">
        <f t="shared" si="1667"/>
        <v>82</v>
      </c>
      <c r="D1983">
        <v>0</v>
      </c>
      <c r="E1983" t="str">
        <f>VLOOKUP(D1983,name!A:B,2,1)</f>
        <v>Player</v>
      </c>
      <c r="F1983" t="str">
        <f t="shared" si="1660"/>
        <v>Aye, but there'll be no black bun and no haggis!</v>
      </c>
      <c r="G1983" t="str">
        <f t="shared" si="1647"/>
        <v>q</v>
      </c>
      <c r="H1983" t="str">
        <f>VLOOKUP(D1983,name!A:C,3,1)</f>
        <v>assets/icons/image326.png</v>
      </c>
      <c r="I1983" t="str">
        <f>IF(A1983="","",VLOOKUP(A1983,lng!A:B,2,0))</f>
        <v>en-GB</v>
      </c>
    </row>
    <row r="1984" spans="1:9" x14ac:dyDescent="0.15">
      <c r="A1984" t="str">
        <f t="shared" ref="A1984:B1984" si="1683">A1983</f>
        <v>英語</v>
      </c>
      <c r="B1984">
        <f t="shared" si="1683"/>
        <v>19</v>
      </c>
      <c r="C1984">
        <f t="shared" si="1667"/>
        <v>83</v>
      </c>
      <c r="D1984">
        <v>1</v>
      </c>
      <c r="E1984" t="str">
        <f>VLOOKUP(D1984,name!A:B,2,1)</f>
        <v>Navigator</v>
      </c>
      <c r="F1984" t="str">
        <f>"とても良くできました。レッスン"&amp;B1984&amp;"はこれで終了です。"</f>
        <v>とても良くできました。レッスン19はこれで終了です。</v>
      </c>
      <c r="G1984" t="str">
        <f t="shared" si="1647"/>
        <v>e</v>
      </c>
      <c r="H1984" t="str">
        <f>VLOOKUP(D1984,name!A:C,3,1)</f>
        <v>assets/icons/image014.png</v>
      </c>
      <c r="I1984" t="s">
        <v>402</v>
      </c>
    </row>
    <row r="1985" spans="1:9" x14ac:dyDescent="0.15">
      <c r="A1985" t="str">
        <f>A1984</f>
        <v>英語</v>
      </c>
      <c r="B1985">
        <f>B1984+1</f>
        <v>20</v>
      </c>
      <c r="C1985">
        <v>1</v>
      </c>
      <c r="D1985">
        <v>1</v>
      </c>
      <c r="E1985" t="str">
        <f>VLOOKUP(D1985,name!A:B,2,1)</f>
        <v>Navigator</v>
      </c>
      <c r="F1985" t="s">
        <v>1002</v>
      </c>
      <c r="G1985" t="str">
        <f t="shared" si="1647"/>
        <v>a</v>
      </c>
      <c r="H1985" t="str">
        <f>VLOOKUP(D1985,name!A:C,3,1)</f>
        <v>assets/icons/image014.png</v>
      </c>
      <c r="I1985" t="str">
        <f>IF(A1985="","",VLOOKUP(A1985,lng!A:B,2,0))</f>
        <v>en-GB</v>
      </c>
    </row>
    <row r="1986" spans="1:9" x14ac:dyDescent="0.15">
      <c r="A1986" t="str">
        <f t="shared" ref="A1986:B2001" si="1684">A1985</f>
        <v>英語</v>
      </c>
      <c r="B1986">
        <f>B1985</f>
        <v>20</v>
      </c>
      <c r="C1986">
        <f>C1985+1</f>
        <v>2</v>
      </c>
      <c r="D1986">
        <v>1</v>
      </c>
      <c r="E1986" t="str">
        <f>VLOOKUP(D1986,name!A:B,2,1)</f>
        <v>Navigator</v>
      </c>
      <c r="F1986" t="str">
        <f>"レッスン"&amp;B1986</f>
        <v>レッスン20</v>
      </c>
      <c r="G1986" t="str">
        <f t="shared" si="1647"/>
        <v>a</v>
      </c>
      <c r="H1986" t="str">
        <f>VLOOKUP(D1986,name!A:C,3,1)</f>
        <v>assets/icons/image014.png</v>
      </c>
      <c r="I1986" t="s">
        <v>402</v>
      </c>
    </row>
    <row r="1987" spans="1:9" ht="40.5" x14ac:dyDescent="0.15">
      <c r="A1987" t="str">
        <f t="shared" si="1684"/>
        <v>英語</v>
      </c>
      <c r="B1987">
        <f t="shared" si="1684"/>
        <v>20</v>
      </c>
      <c r="C1987">
        <f t="shared" ref="C1987:C2050" si="1685">C1986+1</f>
        <v>3</v>
      </c>
      <c r="D1987">
        <v>1</v>
      </c>
      <c r="E1987" t="str">
        <f>VLOOKUP(D1987,name!A:B,2,1)</f>
        <v>Navigator</v>
      </c>
      <c r="F1987" s="1" t="str">
        <f>"まずは対話文を流します。その後に、日本語と"&amp;A1987&amp;"を一文ずつ流すので"&amp;A1987&amp;"を真似して下さい。最後に日本語のみを流すので、"&amp;A1987&amp;"で答えてください。"</f>
        <v>まずは対話文を流します。その後に、日本語と英語を一文ずつ流すので英語を真似して下さい。最後に日本語のみを流すので、英語で答えてください。</v>
      </c>
      <c r="G1987" t="str">
        <f t="shared" si="1647"/>
        <v>a</v>
      </c>
      <c r="H1987" t="str">
        <f>VLOOKUP(D1987,name!A:C,3,1)</f>
        <v>assets/icons/image014.png</v>
      </c>
      <c r="I1987" t="s">
        <v>402</v>
      </c>
    </row>
    <row r="1988" spans="1:9" x14ac:dyDescent="0.15">
      <c r="A1988" t="str">
        <f t="shared" si="1684"/>
        <v>英語</v>
      </c>
      <c r="B1988">
        <f t="shared" si="1684"/>
        <v>20</v>
      </c>
      <c r="C1988">
        <f t="shared" si="1685"/>
        <v>4</v>
      </c>
      <c r="D1988">
        <f>D1989</f>
        <v>33</v>
      </c>
      <c r="E1988" t="str">
        <f>VLOOKUP(D1988,name!A:B,2,1)</f>
        <v>Simon</v>
      </c>
      <c r="F1988" t="s">
        <v>1019</v>
      </c>
      <c r="G1988" t="str">
        <f t="shared" si="1647"/>
        <v>a</v>
      </c>
      <c r="H1988" t="str">
        <f>VLOOKUP(D1988,name!A:C,3,1)</f>
        <v>assets/icons/image250.png</v>
      </c>
      <c r="I1988" t="s">
        <v>402</v>
      </c>
    </row>
    <row r="1989" spans="1:9" x14ac:dyDescent="0.15">
      <c r="A1989" t="str">
        <f t="shared" si="1684"/>
        <v>英語</v>
      </c>
      <c r="B1989">
        <f t="shared" si="1684"/>
        <v>20</v>
      </c>
      <c r="C1989">
        <f t="shared" si="1685"/>
        <v>5</v>
      </c>
      <c r="D1989">
        <f t="shared" ref="D1989:D2020" si="1686">D1990</f>
        <v>33</v>
      </c>
      <c r="E1989" t="str">
        <f>VLOOKUP(D1989,name!A:B,2,1)</f>
        <v>Simon</v>
      </c>
      <c r="F1989" t="s">
        <v>1004</v>
      </c>
      <c r="G1989" t="str">
        <f t="shared" si="1647"/>
        <v>a</v>
      </c>
      <c r="H1989" t="str">
        <f>VLOOKUP(D1989,name!A:C,3,1)</f>
        <v>assets/icons/image250.png</v>
      </c>
      <c r="I1989" t="str">
        <f>IF(A1989="","",VLOOKUP(A1989,lng!A:B,2,0))</f>
        <v>en-GB</v>
      </c>
    </row>
    <row r="1990" spans="1:9" x14ac:dyDescent="0.15">
      <c r="A1990" t="str">
        <f t="shared" si="1684"/>
        <v>英語</v>
      </c>
      <c r="B1990">
        <f t="shared" si="1684"/>
        <v>20</v>
      </c>
      <c r="C1990">
        <f t="shared" si="1685"/>
        <v>6</v>
      </c>
      <c r="D1990">
        <f t="shared" si="1686"/>
        <v>33</v>
      </c>
      <c r="E1990" t="str">
        <f>VLOOKUP(D1990,name!A:B,2,1)</f>
        <v>Simon</v>
      </c>
      <c r="F1990" t="s">
        <v>1020</v>
      </c>
      <c r="G1990" t="str">
        <f t="shared" si="1647"/>
        <v>a</v>
      </c>
      <c r="H1990" t="str">
        <f>VLOOKUP(D1990,name!A:C,3,1)</f>
        <v>assets/icons/image250.png</v>
      </c>
      <c r="I1990" t="s">
        <v>402</v>
      </c>
    </row>
    <row r="1991" spans="1:9" x14ac:dyDescent="0.15">
      <c r="A1991" t="str">
        <f t="shared" si="1684"/>
        <v>英語</v>
      </c>
      <c r="B1991">
        <f t="shared" si="1684"/>
        <v>20</v>
      </c>
      <c r="C1991">
        <f t="shared" si="1685"/>
        <v>7</v>
      </c>
      <c r="D1991">
        <f t="shared" si="1686"/>
        <v>33</v>
      </c>
      <c r="E1991" t="str">
        <f>VLOOKUP(D1991,name!A:B,2,1)</f>
        <v>Simon</v>
      </c>
      <c r="F1991" t="s">
        <v>1005</v>
      </c>
      <c r="G1991" t="str">
        <f t="shared" si="1647"/>
        <v>a</v>
      </c>
      <c r="H1991" t="str">
        <f>VLOOKUP(D1991,name!A:C,3,1)</f>
        <v>assets/icons/image250.png</v>
      </c>
      <c r="I1991" t="str">
        <f>IF(A1991="","",VLOOKUP(A1991,lng!A:B,2,0))</f>
        <v>en-GB</v>
      </c>
    </row>
    <row r="1992" spans="1:9" x14ac:dyDescent="0.15">
      <c r="A1992" t="str">
        <f t="shared" si="1684"/>
        <v>英語</v>
      </c>
      <c r="B1992">
        <f t="shared" si="1684"/>
        <v>20</v>
      </c>
      <c r="C1992">
        <f t="shared" si="1685"/>
        <v>8</v>
      </c>
      <c r="D1992">
        <f t="shared" si="1686"/>
        <v>33</v>
      </c>
      <c r="E1992" t="str">
        <f>VLOOKUP(D1992,name!A:B,2,1)</f>
        <v>Simon</v>
      </c>
      <c r="F1992" t="s">
        <v>1021</v>
      </c>
      <c r="G1992" t="str">
        <f t="shared" si="1647"/>
        <v>a</v>
      </c>
      <c r="H1992" t="str">
        <f>VLOOKUP(D1992,name!A:C,3,1)</f>
        <v>assets/icons/image250.png</v>
      </c>
      <c r="I1992" t="s">
        <v>402</v>
      </c>
    </row>
    <row r="1993" spans="1:9" x14ac:dyDescent="0.15">
      <c r="A1993" t="str">
        <f t="shared" si="1684"/>
        <v>英語</v>
      </c>
      <c r="B1993">
        <f t="shared" si="1684"/>
        <v>20</v>
      </c>
      <c r="C1993">
        <f t="shared" si="1685"/>
        <v>9</v>
      </c>
      <c r="D1993">
        <f t="shared" si="1686"/>
        <v>33</v>
      </c>
      <c r="E1993" t="str">
        <f>VLOOKUP(D1993,name!A:B,2,1)</f>
        <v>Simon</v>
      </c>
      <c r="F1993" t="s">
        <v>1006</v>
      </c>
      <c r="G1993" t="str">
        <f t="shared" si="1647"/>
        <v>a</v>
      </c>
      <c r="H1993" t="str">
        <f>VLOOKUP(D1993,name!A:C,3,1)</f>
        <v>assets/icons/image250.png</v>
      </c>
      <c r="I1993" t="str">
        <f>IF(A1993="","",VLOOKUP(A1993,lng!A:B,2,0))</f>
        <v>en-GB</v>
      </c>
    </row>
    <row r="1994" spans="1:9" x14ac:dyDescent="0.15">
      <c r="A1994" t="str">
        <f t="shared" si="1684"/>
        <v>英語</v>
      </c>
      <c r="B1994">
        <f t="shared" si="1684"/>
        <v>20</v>
      </c>
      <c r="C1994">
        <f t="shared" si="1685"/>
        <v>10</v>
      </c>
      <c r="D1994">
        <f t="shared" si="1686"/>
        <v>33</v>
      </c>
      <c r="E1994" t="str">
        <f>VLOOKUP(D1994,name!A:B,2,1)</f>
        <v>Simon</v>
      </c>
      <c r="F1994" t="s">
        <v>1022</v>
      </c>
      <c r="G1994" t="str">
        <f t="shared" si="1647"/>
        <v>a</v>
      </c>
      <c r="H1994" t="str">
        <f>VLOOKUP(D1994,name!A:C,3,1)</f>
        <v>assets/icons/image250.png</v>
      </c>
      <c r="I1994" t="s">
        <v>402</v>
      </c>
    </row>
    <row r="1995" spans="1:9" x14ac:dyDescent="0.15">
      <c r="A1995" t="str">
        <f t="shared" si="1684"/>
        <v>英語</v>
      </c>
      <c r="B1995">
        <f t="shared" si="1684"/>
        <v>20</v>
      </c>
      <c r="C1995">
        <f t="shared" si="1685"/>
        <v>11</v>
      </c>
      <c r="D1995">
        <v>33</v>
      </c>
      <c r="E1995" t="str">
        <f>VLOOKUP(D1995,name!A:B,2,1)</f>
        <v>Simon</v>
      </c>
      <c r="F1995" t="s">
        <v>1007</v>
      </c>
      <c r="G1995" t="str">
        <f t="shared" si="1647"/>
        <v>a</v>
      </c>
      <c r="H1995" t="str">
        <f>VLOOKUP(D1995,name!A:C,3,1)</f>
        <v>assets/icons/image250.png</v>
      </c>
      <c r="I1995" t="str">
        <f>IF(A1995="","",VLOOKUP(A1995,lng!A:B,2,0))</f>
        <v>en-GB</v>
      </c>
    </row>
    <row r="1996" spans="1:9" x14ac:dyDescent="0.15">
      <c r="A1996" t="str">
        <f t="shared" si="1684"/>
        <v>英語</v>
      </c>
      <c r="B1996">
        <f t="shared" si="1684"/>
        <v>20</v>
      </c>
      <c r="C1996">
        <f t="shared" si="1685"/>
        <v>12</v>
      </c>
      <c r="D1996">
        <f t="shared" si="1686"/>
        <v>29</v>
      </c>
      <c r="E1996" t="str">
        <f>VLOOKUP(D1996,name!A:B,2,1)</f>
        <v>Eri</v>
      </c>
      <c r="F1996" t="s">
        <v>1023</v>
      </c>
      <c r="G1996" t="str">
        <f t="shared" si="1647"/>
        <v>a</v>
      </c>
      <c r="H1996" t="str">
        <f>VLOOKUP(D1996,name!A:C,3,1)</f>
        <v>assets/icons/image209.png</v>
      </c>
      <c r="I1996" t="s">
        <v>402</v>
      </c>
    </row>
    <row r="1997" spans="1:9" x14ac:dyDescent="0.15">
      <c r="A1997" t="str">
        <f t="shared" si="1684"/>
        <v>英語</v>
      </c>
      <c r="B1997">
        <f t="shared" si="1684"/>
        <v>20</v>
      </c>
      <c r="C1997">
        <f t="shared" si="1685"/>
        <v>13</v>
      </c>
      <c r="D1997">
        <v>29</v>
      </c>
      <c r="E1997" t="str">
        <f>VLOOKUP(D1997,name!A:B,2,1)</f>
        <v>Eri</v>
      </c>
      <c r="F1997" t="s">
        <v>1008</v>
      </c>
      <c r="G1997" t="str">
        <f t="shared" si="1647"/>
        <v>a</v>
      </c>
      <c r="H1997" t="str">
        <f>VLOOKUP(D1997,name!A:C,3,1)</f>
        <v>assets/icons/image209.png</v>
      </c>
      <c r="I1997" t="str">
        <f>IF(A1997="","",VLOOKUP(A1997,lng!A:B,2,0))</f>
        <v>en-GB</v>
      </c>
    </row>
    <row r="1998" spans="1:9" x14ac:dyDescent="0.15">
      <c r="A1998" t="str">
        <f t="shared" si="1684"/>
        <v>英語</v>
      </c>
      <c r="B1998">
        <f t="shared" si="1684"/>
        <v>20</v>
      </c>
      <c r="C1998">
        <f t="shared" si="1685"/>
        <v>14</v>
      </c>
      <c r="D1998">
        <f t="shared" si="1686"/>
        <v>33</v>
      </c>
      <c r="E1998" t="str">
        <f>VLOOKUP(D1998,name!A:B,2,1)</f>
        <v>Simon</v>
      </c>
      <c r="F1998" t="s">
        <v>1024</v>
      </c>
      <c r="G1998" t="str">
        <f t="shared" si="1647"/>
        <v>a</v>
      </c>
      <c r="H1998" t="str">
        <f>VLOOKUP(D1998,name!A:C,3,1)</f>
        <v>assets/icons/image250.png</v>
      </c>
      <c r="I1998" t="s">
        <v>402</v>
      </c>
    </row>
    <row r="1999" spans="1:9" x14ac:dyDescent="0.15">
      <c r="A1999" t="str">
        <f t="shared" si="1684"/>
        <v>英語</v>
      </c>
      <c r="B1999">
        <f t="shared" si="1684"/>
        <v>20</v>
      </c>
      <c r="C1999">
        <f t="shared" si="1685"/>
        <v>15</v>
      </c>
      <c r="D1999">
        <f t="shared" si="1686"/>
        <v>33</v>
      </c>
      <c r="E1999" t="str">
        <f>VLOOKUP(D1999,name!A:B,2,1)</f>
        <v>Simon</v>
      </c>
      <c r="F1999" t="s">
        <v>1009</v>
      </c>
      <c r="G1999" t="str">
        <f t="shared" si="1647"/>
        <v>a</v>
      </c>
      <c r="H1999" t="str">
        <f>VLOOKUP(D1999,name!A:C,3,1)</f>
        <v>assets/icons/image250.png</v>
      </c>
      <c r="I1999" t="str">
        <f>IF(A1999="","",VLOOKUP(A1999,lng!A:B,2,0))</f>
        <v>en-GB</v>
      </c>
    </row>
    <row r="2000" spans="1:9" x14ac:dyDescent="0.15">
      <c r="A2000" t="str">
        <f t="shared" si="1684"/>
        <v>英語</v>
      </c>
      <c r="B2000">
        <f t="shared" si="1684"/>
        <v>20</v>
      </c>
      <c r="C2000">
        <f t="shared" si="1685"/>
        <v>16</v>
      </c>
      <c r="D2000">
        <f t="shared" si="1686"/>
        <v>33</v>
      </c>
      <c r="E2000" t="str">
        <f>VLOOKUP(D2000,name!A:B,2,1)</f>
        <v>Simon</v>
      </c>
      <c r="F2000" t="s">
        <v>1025</v>
      </c>
      <c r="G2000" t="str">
        <f t="shared" si="1647"/>
        <v>a</v>
      </c>
      <c r="H2000" t="str">
        <f>VLOOKUP(D2000,name!A:C,3,1)</f>
        <v>assets/icons/image250.png</v>
      </c>
      <c r="I2000" t="s">
        <v>402</v>
      </c>
    </row>
    <row r="2001" spans="1:9" x14ac:dyDescent="0.15">
      <c r="A2001" t="str">
        <f t="shared" si="1684"/>
        <v>英語</v>
      </c>
      <c r="B2001">
        <f t="shared" si="1684"/>
        <v>20</v>
      </c>
      <c r="C2001">
        <f t="shared" si="1685"/>
        <v>17</v>
      </c>
      <c r="D2001">
        <v>33</v>
      </c>
      <c r="E2001" t="str">
        <f>VLOOKUP(D2001,name!A:B,2,1)</f>
        <v>Simon</v>
      </c>
      <c r="F2001" t="s">
        <v>1010</v>
      </c>
      <c r="G2001" t="str">
        <f t="shared" si="1647"/>
        <v>a</v>
      </c>
      <c r="H2001" t="str">
        <f>VLOOKUP(D2001,name!A:C,3,1)</f>
        <v>assets/icons/image250.png</v>
      </c>
      <c r="I2001" t="str">
        <f>IF(A2001="","",VLOOKUP(A2001,lng!A:B,2,0))</f>
        <v>en-GB</v>
      </c>
    </row>
    <row r="2002" spans="1:9" x14ac:dyDescent="0.15">
      <c r="A2002" t="str">
        <f t="shared" ref="A2002:B2016" si="1687">A2001</f>
        <v>英語</v>
      </c>
      <c r="B2002">
        <f t="shared" si="1687"/>
        <v>20</v>
      </c>
      <c r="C2002">
        <f t="shared" si="1685"/>
        <v>18</v>
      </c>
      <c r="D2002">
        <f t="shared" si="1686"/>
        <v>29</v>
      </c>
      <c r="E2002" t="str">
        <f>VLOOKUP(D2002,name!A:B,2,1)</f>
        <v>Eri</v>
      </c>
      <c r="F2002" t="s">
        <v>1026</v>
      </c>
      <c r="G2002" t="str">
        <f t="shared" si="1647"/>
        <v>a</v>
      </c>
      <c r="H2002" t="str">
        <f>VLOOKUP(D2002,name!A:C,3,1)</f>
        <v>assets/icons/image209.png</v>
      </c>
      <c r="I2002" t="s">
        <v>402</v>
      </c>
    </row>
    <row r="2003" spans="1:9" x14ac:dyDescent="0.15">
      <c r="A2003" t="str">
        <f t="shared" si="1687"/>
        <v>英語</v>
      </c>
      <c r="B2003">
        <f t="shared" si="1687"/>
        <v>20</v>
      </c>
      <c r="C2003">
        <f t="shared" si="1685"/>
        <v>19</v>
      </c>
      <c r="D2003">
        <f t="shared" si="1686"/>
        <v>29</v>
      </c>
      <c r="E2003" t="str">
        <f>VLOOKUP(D2003,name!A:B,2,1)</f>
        <v>Eri</v>
      </c>
      <c r="F2003" t="s">
        <v>1011</v>
      </c>
      <c r="G2003" t="str">
        <f t="shared" si="1647"/>
        <v>a</v>
      </c>
      <c r="H2003" t="str">
        <f>VLOOKUP(D2003,name!A:C,3,1)</f>
        <v>assets/icons/image209.png</v>
      </c>
      <c r="I2003" t="str">
        <f>IF(A2003="","",VLOOKUP(A2003,lng!A:B,2,0))</f>
        <v>en-GB</v>
      </c>
    </row>
    <row r="2004" spans="1:9" x14ac:dyDescent="0.15">
      <c r="A2004" t="str">
        <f t="shared" si="1687"/>
        <v>英語</v>
      </c>
      <c r="B2004">
        <f t="shared" si="1687"/>
        <v>20</v>
      </c>
      <c r="C2004">
        <f t="shared" si="1685"/>
        <v>20</v>
      </c>
      <c r="D2004">
        <f t="shared" si="1686"/>
        <v>29</v>
      </c>
      <c r="E2004" t="str">
        <f>VLOOKUP(D2004,name!A:B,2,1)</f>
        <v>Eri</v>
      </c>
      <c r="F2004" t="s">
        <v>1027</v>
      </c>
      <c r="G2004" t="str">
        <f t="shared" si="1647"/>
        <v>a</v>
      </c>
      <c r="H2004" t="str">
        <f>VLOOKUP(D2004,name!A:C,3,1)</f>
        <v>assets/icons/image209.png</v>
      </c>
      <c r="I2004" t="s">
        <v>402</v>
      </c>
    </row>
    <row r="2005" spans="1:9" x14ac:dyDescent="0.15">
      <c r="A2005" t="str">
        <f t="shared" si="1687"/>
        <v>英語</v>
      </c>
      <c r="B2005">
        <f t="shared" si="1687"/>
        <v>20</v>
      </c>
      <c r="C2005">
        <f t="shared" si="1685"/>
        <v>21</v>
      </c>
      <c r="D2005">
        <v>29</v>
      </c>
      <c r="E2005" t="str">
        <f>VLOOKUP(D2005,name!A:B,2,1)</f>
        <v>Eri</v>
      </c>
      <c r="F2005" t="s">
        <v>1012</v>
      </c>
      <c r="G2005" t="str">
        <f t="shared" si="1647"/>
        <v>a</v>
      </c>
      <c r="H2005" t="str">
        <f>VLOOKUP(D2005,name!A:C,3,1)</f>
        <v>assets/icons/image209.png</v>
      </c>
      <c r="I2005" t="str">
        <f>IF(A2005="","",VLOOKUP(A2005,lng!A:B,2,0))</f>
        <v>en-GB</v>
      </c>
    </row>
    <row r="2006" spans="1:9" x14ac:dyDescent="0.15">
      <c r="A2006" t="str">
        <f t="shared" si="1687"/>
        <v>英語</v>
      </c>
      <c r="B2006">
        <f t="shared" si="1687"/>
        <v>20</v>
      </c>
      <c r="C2006">
        <f t="shared" si="1685"/>
        <v>22</v>
      </c>
      <c r="D2006">
        <f t="shared" si="1686"/>
        <v>33</v>
      </c>
      <c r="E2006" t="str">
        <f>VLOOKUP(D2006,name!A:B,2,1)</f>
        <v>Simon</v>
      </c>
      <c r="F2006" t="s">
        <v>1028</v>
      </c>
      <c r="G2006" t="str">
        <f t="shared" si="1647"/>
        <v>a</v>
      </c>
      <c r="H2006" t="str">
        <f>VLOOKUP(D2006,name!A:C,3,1)</f>
        <v>assets/icons/image250.png</v>
      </c>
      <c r="I2006" t="s">
        <v>402</v>
      </c>
    </row>
    <row r="2007" spans="1:9" x14ac:dyDescent="0.15">
      <c r="A2007" t="str">
        <f t="shared" si="1687"/>
        <v>英語</v>
      </c>
      <c r="B2007">
        <f t="shared" si="1687"/>
        <v>20</v>
      </c>
      <c r="C2007">
        <f t="shared" si="1685"/>
        <v>23</v>
      </c>
      <c r="D2007">
        <f t="shared" si="1686"/>
        <v>33</v>
      </c>
      <c r="E2007" t="str">
        <f>VLOOKUP(D2007,name!A:B,2,1)</f>
        <v>Simon</v>
      </c>
      <c r="F2007" t="s">
        <v>1013</v>
      </c>
      <c r="G2007" t="str">
        <f t="shared" si="1647"/>
        <v>a</v>
      </c>
      <c r="H2007" t="str">
        <f>VLOOKUP(D2007,name!A:C,3,1)</f>
        <v>assets/icons/image250.png</v>
      </c>
      <c r="I2007" t="str">
        <f>IF(A2007="","",VLOOKUP(A2007,lng!A:B,2,0))</f>
        <v>en-GB</v>
      </c>
    </row>
    <row r="2008" spans="1:9" x14ac:dyDescent="0.15">
      <c r="A2008" t="str">
        <f t="shared" si="1687"/>
        <v>英語</v>
      </c>
      <c r="B2008">
        <f t="shared" si="1687"/>
        <v>20</v>
      </c>
      <c r="C2008">
        <f t="shared" si="1685"/>
        <v>24</v>
      </c>
      <c r="D2008">
        <f t="shared" si="1686"/>
        <v>33</v>
      </c>
      <c r="E2008" t="str">
        <f>VLOOKUP(D2008,name!A:B,2,1)</f>
        <v>Simon</v>
      </c>
      <c r="F2008" t="s">
        <v>1029</v>
      </c>
      <c r="G2008" t="str">
        <f t="shared" si="1647"/>
        <v>a</v>
      </c>
      <c r="H2008" t="str">
        <f>VLOOKUP(D2008,name!A:C,3,1)</f>
        <v>assets/icons/image250.png</v>
      </c>
      <c r="I2008" t="s">
        <v>402</v>
      </c>
    </row>
    <row r="2009" spans="1:9" x14ac:dyDescent="0.15">
      <c r="A2009" t="str">
        <f t="shared" si="1687"/>
        <v>英語</v>
      </c>
      <c r="B2009">
        <f t="shared" si="1687"/>
        <v>20</v>
      </c>
      <c r="C2009">
        <f t="shared" si="1685"/>
        <v>25</v>
      </c>
      <c r="D2009">
        <f t="shared" si="1686"/>
        <v>33</v>
      </c>
      <c r="E2009" t="str">
        <f>VLOOKUP(D2009,name!A:B,2,1)</f>
        <v>Simon</v>
      </c>
      <c r="F2009" t="s">
        <v>1036</v>
      </c>
      <c r="G2009" t="str">
        <f t="shared" si="1647"/>
        <v>a</v>
      </c>
      <c r="H2009" t="str">
        <f>VLOOKUP(D2009,name!A:C,3,1)</f>
        <v>assets/icons/image250.png</v>
      </c>
      <c r="I2009" t="str">
        <f>IF(A2009="","",VLOOKUP(A2009,lng!A:B,2,0))</f>
        <v>en-GB</v>
      </c>
    </row>
    <row r="2010" spans="1:9" x14ac:dyDescent="0.15">
      <c r="A2010" t="str">
        <f t="shared" si="1687"/>
        <v>英語</v>
      </c>
      <c r="B2010">
        <f t="shared" si="1687"/>
        <v>20</v>
      </c>
      <c r="C2010">
        <f t="shared" si="1685"/>
        <v>26</v>
      </c>
      <c r="D2010">
        <f t="shared" si="1686"/>
        <v>33</v>
      </c>
      <c r="E2010" t="str">
        <f>VLOOKUP(D2010,name!A:B,2,1)</f>
        <v>Simon</v>
      </c>
      <c r="F2010" t="s">
        <v>1030</v>
      </c>
      <c r="G2010" t="str">
        <f t="shared" si="1647"/>
        <v>a</v>
      </c>
      <c r="H2010" t="str">
        <f>VLOOKUP(D2010,name!A:C,3,1)</f>
        <v>assets/icons/image250.png</v>
      </c>
      <c r="I2010" t="s">
        <v>402</v>
      </c>
    </row>
    <row r="2011" spans="1:9" x14ac:dyDescent="0.15">
      <c r="A2011" t="str">
        <f t="shared" si="1687"/>
        <v>英語</v>
      </c>
      <c r="B2011">
        <f t="shared" si="1687"/>
        <v>20</v>
      </c>
      <c r="C2011">
        <f t="shared" si="1685"/>
        <v>27</v>
      </c>
      <c r="D2011">
        <v>33</v>
      </c>
      <c r="E2011" t="str">
        <f>VLOOKUP(D2011,name!A:B,2,1)</f>
        <v>Simon</v>
      </c>
      <c r="F2011" t="s">
        <v>1003</v>
      </c>
      <c r="G2011" t="str">
        <f t="shared" si="1647"/>
        <v>a</v>
      </c>
      <c r="H2011" t="str">
        <f>VLOOKUP(D2011,name!A:C,3,1)</f>
        <v>assets/icons/image250.png</v>
      </c>
      <c r="I2011" t="str">
        <f>IF(A2011="","",VLOOKUP(A2011,lng!A:B,2,0))</f>
        <v>en-GB</v>
      </c>
    </row>
    <row r="2012" spans="1:9" x14ac:dyDescent="0.15">
      <c r="A2012" t="str">
        <f t="shared" si="1687"/>
        <v>英語</v>
      </c>
      <c r="B2012">
        <f t="shared" si="1687"/>
        <v>20</v>
      </c>
      <c r="C2012">
        <f t="shared" si="1685"/>
        <v>28</v>
      </c>
      <c r="D2012">
        <f t="shared" si="1686"/>
        <v>29</v>
      </c>
      <c r="E2012" t="str">
        <f>VLOOKUP(D2012,name!A:B,2,1)</f>
        <v>Eri</v>
      </c>
      <c r="F2012" t="s">
        <v>1031</v>
      </c>
      <c r="G2012" t="str">
        <f t="shared" si="1647"/>
        <v>a</v>
      </c>
      <c r="H2012" t="str">
        <f>VLOOKUP(D2012,name!A:C,3,1)</f>
        <v>assets/icons/image209.png</v>
      </c>
      <c r="I2012" t="s">
        <v>402</v>
      </c>
    </row>
    <row r="2013" spans="1:9" x14ac:dyDescent="0.15">
      <c r="A2013" t="str">
        <f t="shared" si="1687"/>
        <v>英語</v>
      </c>
      <c r="B2013">
        <f t="shared" si="1687"/>
        <v>20</v>
      </c>
      <c r="C2013">
        <f t="shared" si="1685"/>
        <v>29</v>
      </c>
      <c r="D2013">
        <f t="shared" si="1686"/>
        <v>29</v>
      </c>
      <c r="E2013" t="str">
        <f>VLOOKUP(D2013,name!A:B,2,1)</f>
        <v>Eri</v>
      </c>
      <c r="F2013" t="s">
        <v>1014</v>
      </c>
      <c r="G2013" t="str">
        <f t="shared" si="1647"/>
        <v>a</v>
      </c>
      <c r="H2013" t="str">
        <f>VLOOKUP(D2013,name!A:C,3,1)</f>
        <v>assets/icons/image209.png</v>
      </c>
      <c r="I2013" t="str">
        <f>IF(A2013="","",VLOOKUP(A2013,lng!A:B,2,0))</f>
        <v>en-GB</v>
      </c>
    </row>
    <row r="2014" spans="1:9" x14ac:dyDescent="0.15">
      <c r="A2014" t="str">
        <f t="shared" si="1687"/>
        <v>英語</v>
      </c>
      <c r="B2014">
        <f t="shared" si="1687"/>
        <v>20</v>
      </c>
      <c r="C2014">
        <f t="shared" si="1685"/>
        <v>30</v>
      </c>
      <c r="D2014">
        <f t="shared" si="1686"/>
        <v>29</v>
      </c>
      <c r="E2014" t="str">
        <f>VLOOKUP(D2014,name!A:B,2,1)</f>
        <v>Eri</v>
      </c>
      <c r="F2014" t="s">
        <v>1032</v>
      </c>
      <c r="G2014" t="str">
        <f t="shared" ref="G2014:G2077" si="1688">IF(B2014&lt;&gt;B2015,"e",IF(D2014=0,"q","a"))</f>
        <v>a</v>
      </c>
      <c r="H2014" t="str">
        <f>VLOOKUP(D2014,name!A:C,3,1)</f>
        <v>assets/icons/image209.png</v>
      </c>
      <c r="I2014" t="s">
        <v>402</v>
      </c>
    </row>
    <row r="2015" spans="1:9" x14ac:dyDescent="0.15">
      <c r="A2015" t="str">
        <f t="shared" si="1687"/>
        <v>英語</v>
      </c>
      <c r="B2015">
        <f t="shared" si="1687"/>
        <v>20</v>
      </c>
      <c r="C2015">
        <f t="shared" si="1685"/>
        <v>31</v>
      </c>
      <c r="D2015">
        <v>29</v>
      </c>
      <c r="E2015" t="str">
        <f>VLOOKUP(D2015,name!A:B,2,1)</f>
        <v>Eri</v>
      </c>
      <c r="F2015" t="s">
        <v>1015</v>
      </c>
      <c r="G2015" t="str">
        <f t="shared" si="1688"/>
        <v>a</v>
      </c>
      <c r="H2015" t="str">
        <f>VLOOKUP(D2015,name!A:C,3,1)</f>
        <v>assets/icons/image209.png</v>
      </c>
      <c r="I2015" t="str">
        <f>IF(A2015="","",VLOOKUP(A2015,lng!A:B,2,0))</f>
        <v>en-GB</v>
      </c>
    </row>
    <row r="2016" spans="1:9" x14ac:dyDescent="0.15">
      <c r="A2016" t="str">
        <f t="shared" si="1687"/>
        <v>英語</v>
      </c>
      <c r="B2016">
        <f t="shared" si="1687"/>
        <v>20</v>
      </c>
      <c r="C2016">
        <f t="shared" si="1685"/>
        <v>32</v>
      </c>
      <c r="D2016">
        <f t="shared" si="1686"/>
        <v>33</v>
      </c>
      <c r="E2016" t="str">
        <f>VLOOKUP(D2016,name!A:B,2,1)</f>
        <v>Simon</v>
      </c>
      <c r="F2016" t="s">
        <v>1033</v>
      </c>
      <c r="G2016" t="str">
        <f t="shared" si="1688"/>
        <v>a</v>
      </c>
      <c r="H2016" t="str">
        <f>VLOOKUP(D2016,name!A:C,3,1)</f>
        <v>assets/icons/image250.png</v>
      </c>
      <c r="I2016" t="s">
        <v>402</v>
      </c>
    </row>
    <row r="2017" spans="1:9" x14ac:dyDescent="0.15">
      <c r="A2017" t="str">
        <f t="shared" ref="A2017:B2017" si="1689">A2016</f>
        <v>英語</v>
      </c>
      <c r="B2017">
        <f t="shared" si="1689"/>
        <v>20</v>
      </c>
      <c r="C2017">
        <f t="shared" si="1685"/>
        <v>33</v>
      </c>
      <c r="D2017">
        <f t="shared" si="1686"/>
        <v>33</v>
      </c>
      <c r="E2017" t="str">
        <f>VLOOKUP(D2017,name!A:B,2,1)</f>
        <v>Simon</v>
      </c>
      <c r="F2017" t="s">
        <v>1016</v>
      </c>
      <c r="G2017" t="str">
        <f t="shared" si="1688"/>
        <v>a</v>
      </c>
      <c r="H2017" t="str">
        <f>VLOOKUP(D2017,name!A:C,3,1)</f>
        <v>assets/icons/image250.png</v>
      </c>
      <c r="I2017" t="str">
        <f>IF(A2017="","",VLOOKUP(A2017,lng!A:B,2,0))</f>
        <v>en-GB</v>
      </c>
    </row>
    <row r="2018" spans="1:9" x14ac:dyDescent="0.15">
      <c r="A2018" t="str">
        <f t="shared" ref="A2018:B2018" si="1690">A2017</f>
        <v>英語</v>
      </c>
      <c r="B2018">
        <f t="shared" si="1690"/>
        <v>20</v>
      </c>
      <c r="C2018">
        <f t="shared" si="1685"/>
        <v>34</v>
      </c>
      <c r="D2018">
        <f t="shared" si="1686"/>
        <v>33</v>
      </c>
      <c r="E2018" t="str">
        <f>VLOOKUP(D2018,name!A:B,2,1)</f>
        <v>Simon</v>
      </c>
      <c r="F2018" t="s">
        <v>1034</v>
      </c>
      <c r="G2018" t="str">
        <f t="shared" si="1688"/>
        <v>a</v>
      </c>
      <c r="H2018" t="str">
        <f>VLOOKUP(D2018,name!A:C,3,1)</f>
        <v>assets/icons/image250.png</v>
      </c>
      <c r="I2018" t="s">
        <v>402</v>
      </c>
    </row>
    <row r="2019" spans="1:9" x14ac:dyDescent="0.15">
      <c r="A2019" t="str">
        <f t="shared" ref="A2019:B2019" si="1691">A2018</f>
        <v>英語</v>
      </c>
      <c r="B2019">
        <f t="shared" si="1691"/>
        <v>20</v>
      </c>
      <c r="C2019">
        <f t="shared" si="1685"/>
        <v>35</v>
      </c>
      <c r="D2019">
        <f t="shared" si="1686"/>
        <v>33</v>
      </c>
      <c r="E2019" t="str">
        <f>VLOOKUP(D2019,name!A:B,2,1)</f>
        <v>Simon</v>
      </c>
      <c r="F2019" t="s">
        <v>1017</v>
      </c>
      <c r="G2019" t="str">
        <f t="shared" si="1688"/>
        <v>a</v>
      </c>
      <c r="H2019" t="str">
        <f>VLOOKUP(D2019,name!A:C,3,1)</f>
        <v>assets/icons/image250.png</v>
      </c>
      <c r="I2019" t="str">
        <f>IF(A2019="","",VLOOKUP(A2019,lng!A:B,2,0))</f>
        <v>en-GB</v>
      </c>
    </row>
    <row r="2020" spans="1:9" x14ac:dyDescent="0.15">
      <c r="A2020" t="str">
        <f t="shared" ref="A2020:B2020" si="1692">A2019</f>
        <v>英語</v>
      </c>
      <c r="B2020">
        <f t="shared" si="1692"/>
        <v>20</v>
      </c>
      <c r="C2020">
        <f t="shared" si="1685"/>
        <v>36</v>
      </c>
      <c r="D2020">
        <f t="shared" si="1686"/>
        <v>33</v>
      </c>
      <c r="E2020" t="str">
        <f>VLOOKUP(D2020,name!A:B,2,1)</f>
        <v>Simon</v>
      </c>
      <c r="F2020" t="s">
        <v>1035</v>
      </c>
      <c r="G2020" t="str">
        <f t="shared" si="1688"/>
        <v>a</v>
      </c>
      <c r="H2020" t="str">
        <f>VLOOKUP(D2020,name!A:C,3,1)</f>
        <v>assets/icons/image250.png</v>
      </c>
      <c r="I2020" t="s">
        <v>402</v>
      </c>
    </row>
    <row r="2021" spans="1:9" x14ac:dyDescent="0.15">
      <c r="A2021" t="str">
        <f t="shared" ref="A2021:B2021" si="1693">A2020</f>
        <v>英語</v>
      </c>
      <c r="B2021">
        <f t="shared" si="1693"/>
        <v>20</v>
      </c>
      <c r="C2021">
        <f t="shared" si="1685"/>
        <v>37</v>
      </c>
      <c r="D2021">
        <v>33</v>
      </c>
      <c r="E2021" t="str">
        <f>VLOOKUP(D2021,name!A:B,2,1)</f>
        <v>Simon</v>
      </c>
      <c r="F2021" t="s">
        <v>1018</v>
      </c>
      <c r="G2021" t="str">
        <f t="shared" si="1688"/>
        <v>a</v>
      </c>
      <c r="H2021" t="str">
        <f>VLOOKUP(D2021,name!A:C,3,1)</f>
        <v>assets/icons/image250.png</v>
      </c>
      <c r="I2021" t="str">
        <f>IF(A2021="","",VLOOKUP(A2021,lng!A:B,2,0))</f>
        <v>en-GB</v>
      </c>
    </row>
    <row r="2022" spans="1:9" x14ac:dyDescent="0.15">
      <c r="A2022" t="str">
        <f t="shared" ref="A2022:B2022" si="1694">A2021</f>
        <v>英語</v>
      </c>
      <c r="B2022">
        <f t="shared" si="1694"/>
        <v>20</v>
      </c>
      <c r="C2022">
        <f t="shared" si="1685"/>
        <v>38</v>
      </c>
      <c r="D2022">
        <v>1</v>
      </c>
      <c r="E2022" t="str">
        <f>VLOOKUP(D2022,name!A:B,2,1)</f>
        <v>Navigator</v>
      </c>
      <c r="F2022" t="str">
        <f>"次の"&amp;A2022&amp;"を真似してね！"</f>
        <v>次の英語を真似してね！</v>
      </c>
      <c r="G2022" t="str">
        <f t="shared" si="1688"/>
        <v>a</v>
      </c>
      <c r="H2022" t="str">
        <f>VLOOKUP(D2022,name!A:C,3,1)</f>
        <v>assets/icons/image014.png</v>
      </c>
      <c r="I2022" t="s">
        <v>402</v>
      </c>
    </row>
    <row r="2023" spans="1:9" x14ac:dyDescent="0.15">
      <c r="A2023" t="str">
        <f t="shared" ref="A2023:B2023" si="1695">A2022</f>
        <v>英語</v>
      </c>
      <c r="B2023">
        <f t="shared" si="1695"/>
        <v>20</v>
      </c>
      <c r="C2023">
        <f t="shared" si="1685"/>
        <v>39</v>
      </c>
      <c r="D2023">
        <f>D1988</f>
        <v>33</v>
      </c>
      <c r="E2023" t="str">
        <f>VLOOKUP(D2023,name!A:B,2,1)</f>
        <v>Simon</v>
      </c>
      <c r="F2023" t="str">
        <f>F1988</f>
        <v>こんにちは、えりさん！</v>
      </c>
      <c r="G2023" t="str">
        <f t="shared" si="1688"/>
        <v>a</v>
      </c>
      <c r="H2023" t="str">
        <f>VLOOKUP(D2023,name!A:C,3,1)</f>
        <v>assets/icons/image250.png</v>
      </c>
      <c r="I2023" t="s">
        <v>402</v>
      </c>
    </row>
    <row r="2024" spans="1:9" x14ac:dyDescent="0.15">
      <c r="A2024" t="str">
        <f t="shared" ref="A2024:B2024" si="1696">A2023</f>
        <v>英語</v>
      </c>
      <c r="B2024">
        <f t="shared" si="1696"/>
        <v>20</v>
      </c>
      <c r="C2024">
        <f t="shared" si="1685"/>
        <v>40</v>
      </c>
      <c r="D2024">
        <f>D1989</f>
        <v>33</v>
      </c>
      <c r="E2024" t="str">
        <f>VLOOKUP(D2024,name!A:B,2,1)</f>
        <v>Simon</v>
      </c>
      <c r="F2024" t="str">
        <f>F1989</f>
        <v>Hi, there, Eri!</v>
      </c>
      <c r="G2024" t="str">
        <f t="shared" si="1688"/>
        <v>a</v>
      </c>
      <c r="H2024" t="str">
        <f>VLOOKUP(D2024,name!A:C,3,1)</f>
        <v>assets/icons/image250.png</v>
      </c>
      <c r="I2024" t="str">
        <f>IF(A2024="","",VLOOKUP(A2024,lng!A:B,2,0))</f>
        <v>en-GB</v>
      </c>
    </row>
    <row r="2025" spans="1:9" x14ac:dyDescent="0.15">
      <c r="A2025" t="str">
        <f t="shared" ref="A2025:B2025" si="1697">A2024</f>
        <v>英語</v>
      </c>
      <c r="B2025">
        <f t="shared" si="1697"/>
        <v>20</v>
      </c>
      <c r="C2025">
        <f t="shared" si="1685"/>
        <v>41</v>
      </c>
      <c r="D2025">
        <v>0</v>
      </c>
      <c r="E2025" t="str">
        <f>VLOOKUP(D2025,name!A:B,2,1)</f>
        <v>Player</v>
      </c>
      <c r="F2025" t="str">
        <f>F1989</f>
        <v>Hi, there, Eri!</v>
      </c>
      <c r="G2025" t="str">
        <f t="shared" si="1688"/>
        <v>q</v>
      </c>
      <c r="H2025" t="str">
        <f>VLOOKUP(D2025,name!A:C,3,1)</f>
        <v>assets/icons/image326.png</v>
      </c>
      <c r="I2025" t="str">
        <f>IF(A2025="","",VLOOKUP(A2025,lng!A:B,2,0))</f>
        <v>en-GB</v>
      </c>
    </row>
    <row r="2026" spans="1:9" x14ac:dyDescent="0.15">
      <c r="A2026" t="str">
        <f t="shared" ref="A2026:B2026" si="1698">A2025</f>
        <v>英語</v>
      </c>
      <c r="B2026">
        <f t="shared" si="1698"/>
        <v>20</v>
      </c>
      <c r="C2026">
        <f t="shared" si="1685"/>
        <v>42</v>
      </c>
      <c r="D2026">
        <f>D1990</f>
        <v>33</v>
      </c>
      <c r="E2026" t="str">
        <f>VLOOKUP(D2026,name!A:B,2,1)</f>
        <v>Simon</v>
      </c>
      <c r="F2026" t="str">
        <f>F1990</f>
        <v>あなたにお会いできてうれしいです、</v>
      </c>
      <c r="G2026" t="str">
        <f t="shared" si="1688"/>
        <v>a</v>
      </c>
      <c r="H2026" t="str">
        <f>VLOOKUP(D2026,name!A:C,3,1)</f>
        <v>assets/icons/image250.png</v>
      </c>
      <c r="I2026" t="s">
        <v>402</v>
      </c>
    </row>
    <row r="2027" spans="1:9" x14ac:dyDescent="0.15">
      <c r="A2027" t="str">
        <f t="shared" ref="A2027:B2027" si="1699">A2026</f>
        <v>英語</v>
      </c>
      <c r="B2027">
        <f t="shared" si="1699"/>
        <v>20</v>
      </c>
      <c r="C2027">
        <f t="shared" si="1685"/>
        <v>43</v>
      </c>
      <c r="D2027">
        <f>D1991</f>
        <v>33</v>
      </c>
      <c r="E2027" t="str">
        <f>VLOOKUP(D2027,name!A:B,2,1)</f>
        <v>Simon</v>
      </c>
      <c r="F2027" t="str">
        <f>F1991</f>
        <v xml:space="preserve"> I'm glad to see you, </v>
      </c>
      <c r="G2027" t="str">
        <f t="shared" si="1688"/>
        <v>a</v>
      </c>
      <c r="H2027" t="str">
        <f>VLOOKUP(D2027,name!A:C,3,1)</f>
        <v>assets/icons/image250.png</v>
      </c>
      <c r="I2027" t="str">
        <f>IF(A2027="","",VLOOKUP(A2027,lng!A:B,2,0))</f>
        <v>en-GB</v>
      </c>
    </row>
    <row r="2028" spans="1:9" x14ac:dyDescent="0.15">
      <c r="A2028" t="str">
        <f t="shared" ref="A2028:B2028" si="1700">A2027</f>
        <v>英語</v>
      </c>
      <c r="B2028">
        <f t="shared" si="1700"/>
        <v>20</v>
      </c>
      <c r="C2028">
        <f t="shared" si="1685"/>
        <v>44</v>
      </c>
      <c r="D2028">
        <v>0</v>
      </c>
      <c r="E2028" t="str">
        <f>VLOOKUP(D2028,name!A:B,2,1)</f>
        <v>Player</v>
      </c>
      <c r="F2028" t="str">
        <f>F1991</f>
        <v xml:space="preserve"> I'm glad to see you, </v>
      </c>
      <c r="G2028" t="str">
        <f t="shared" si="1688"/>
        <v>q</v>
      </c>
      <c r="H2028" t="str">
        <f>VLOOKUP(D2028,name!A:C,3,1)</f>
        <v>assets/icons/image326.png</v>
      </c>
      <c r="I2028" t="str">
        <f>IF(A2028="","",VLOOKUP(A2028,lng!A:B,2,0))</f>
        <v>en-GB</v>
      </c>
    </row>
    <row r="2029" spans="1:9" x14ac:dyDescent="0.15">
      <c r="A2029" t="str">
        <f t="shared" ref="A2029:B2029" si="1701">A2028</f>
        <v>英語</v>
      </c>
      <c r="B2029">
        <f t="shared" si="1701"/>
        <v>20</v>
      </c>
      <c r="C2029">
        <f t="shared" si="1685"/>
        <v>45</v>
      </c>
      <c r="D2029">
        <f>D1992</f>
        <v>33</v>
      </c>
      <c r="E2029" t="str">
        <f>VLOOKUP(D2029,name!A:B,2,1)</f>
        <v>Simon</v>
      </c>
      <c r="F2029" t="str">
        <f>F1992</f>
        <v>でも、スーツケースや荷物を詰めるのに忙しくないのはなぜですか？</v>
      </c>
      <c r="G2029" t="str">
        <f t="shared" si="1688"/>
        <v>a</v>
      </c>
      <c r="H2029" t="str">
        <f>VLOOKUP(D2029,name!A:C,3,1)</f>
        <v>assets/icons/image250.png</v>
      </c>
      <c r="I2029" t="s">
        <v>402</v>
      </c>
    </row>
    <row r="2030" spans="1:9" x14ac:dyDescent="0.15">
      <c r="A2030" t="str">
        <f t="shared" ref="A2030:B2030" si="1702">A2029</f>
        <v>英語</v>
      </c>
      <c r="B2030">
        <f t="shared" si="1702"/>
        <v>20</v>
      </c>
      <c r="C2030">
        <f t="shared" si="1685"/>
        <v>46</v>
      </c>
      <c r="D2030">
        <f>D1993</f>
        <v>33</v>
      </c>
      <c r="E2030" t="str">
        <f>VLOOKUP(D2030,name!A:B,2,1)</f>
        <v>Simon</v>
      </c>
      <c r="F2030" t="str">
        <f>F1993</f>
        <v>but how come you're not busy packing suitcases and things?</v>
      </c>
      <c r="G2030" t="str">
        <f t="shared" si="1688"/>
        <v>a</v>
      </c>
      <c r="H2030" t="str">
        <f>VLOOKUP(D2030,name!A:C,3,1)</f>
        <v>assets/icons/image250.png</v>
      </c>
      <c r="I2030" t="str">
        <f>IF(A2030="","",VLOOKUP(A2030,lng!A:B,2,0))</f>
        <v>en-GB</v>
      </c>
    </row>
    <row r="2031" spans="1:9" x14ac:dyDescent="0.15">
      <c r="A2031" t="str">
        <f t="shared" ref="A2031:B2031" si="1703">A2030</f>
        <v>英語</v>
      </c>
      <c r="B2031">
        <f t="shared" si="1703"/>
        <v>20</v>
      </c>
      <c r="C2031">
        <f t="shared" si="1685"/>
        <v>47</v>
      </c>
      <c r="D2031">
        <v>0</v>
      </c>
      <c r="E2031" t="str">
        <f>VLOOKUP(D2031,name!A:B,2,1)</f>
        <v>Player</v>
      </c>
      <c r="F2031" t="str">
        <f>F1993</f>
        <v>but how come you're not busy packing suitcases and things?</v>
      </c>
      <c r="G2031" t="str">
        <f t="shared" si="1688"/>
        <v>q</v>
      </c>
      <c r="H2031" t="str">
        <f>VLOOKUP(D2031,name!A:C,3,1)</f>
        <v>assets/icons/image326.png</v>
      </c>
      <c r="I2031" t="str">
        <f>IF(A2031="","",VLOOKUP(A2031,lng!A:B,2,0))</f>
        <v>en-GB</v>
      </c>
    </row>
    <row r="2032" spans="1:9" x14ac:dyDescent="0.15">
      <c r="A2032" t="str">
        <f t="shared" ref="A2032:B2032" si="1704">A2031</f>
        <v>英語</v>
      </c>
      <c r="B2032">
        <f t="shared" si="1704"/>
        <v>20</v>
      </c>
      <c r="C2032">
        <f t="shared" si="1685"/>
        <v>48</v>
      </c>
      <c r="D2032">
        <f>D1994</f>
        <v>33</v>
      </c>
      <c r="E2032" t="str">
        <f>VLOOKUP(D2032,name!A:B,2,1)</f>
        <v>Simon</v>
      </c>
      <c r="F2032" t="str">
        <f>F1994</f>
        <v>あなたは明日東京に出発しますよね？</v>
      </c>
      <c r="G2032" t="str">
        <f t="shared" si="1688"/>
        <v>a</v>
      </c>
      <c r="H2032" t="str">
        <f>VLOOKUP(D2032,name!A:C,3,1)</f>
        <v>assets/icons/image250.png</v>
      </c>
      <c r="I2032" t="s">
        <v>402</v>
      </c>
    </row>
    <row r="2033" spans="1:9" x14ac:dyDescent="0.15">
      <c r="A2033" t="str">
        <f t="shared" ref="A2033:B2033" si="1705">A2032</f>
        <v>英語</v>
      </c>
      <c r="B2033">
        <f t="shared" si="1705"/>
        <v>20</v>
      </c>
      <c r="C2033">
        <f t="shared" si="1685"/>
        <v>49</v>
      </c>
      <c r="D2033">
        <f>D1995</f>
        <v>33</v>
      </c>
      <c r="E2033" t="str">
        <f>VLOOKUP(D2033,name!A:B,2,1)</f>
        <v>Simon</v>
      </c>
      <c r="F2033" t="str">
        <f>F1995</f>
        <v>You're leaving for Tokyo tomorrow, aren't you?</v>
      </c>
      <c r="G2033" t="str">
        <f t="shared" si="1688"/>
        <v>a</v>
      </c>
      <c r="H2033" t="str">
        <f>VLOOKUP(D2033,name!A:C,3,1)</f>
        <v>assets/icons/image250.png</v>
      </c>
      <c r="I2033" t="str">
        <f>IF(A2033="","",VLOOKUP(A2033,lng!A:B,2,0))</f>
        <v>en-GB</v>
      </c>
    </row>
    <row r="2034" spans="1:9" x14ac:dyDescent="0.15">
      <c r="A2034" t="str">
        <f t="shared" ref="A2034:B2034" si="1706">A2033</f>
        <v>英語</v>
      </c>
      <c r="B2034">
        <f t="shared" si="1706"/>
        <v>20</v>
      </c>
      <c r="C2034">
        <f t="shared" si="1685"/>
        <v>50</v>
      </c>
      <c r="D2034">
        <v>0</v>
      </c>
      <c r="E2034" t="str">
        <f>VLOOKUP(D2034,name!A:B,2,1)</f>
        <v>Player</v>
      </c>
      <c r="F2034" t="str">
        <f>F1995</f>
        <v>You're leaving for Tokyo tomorrow, aren't you?</v>
      </c>
      <c r="G2034" t="str">
        <f t="shared" si="1688"/>
        <v>q</v>
      </c>
      <c r="H2034" t="str">
        <f>VLOOKUP(D2034,name!A:C,3,1)</f>
        <v>assets/icons/image326.png</v>
      </c>
      <c r="I2034" t="str">
        <f>IF(A2034="","",VLOOKUP(A2034,lng!A:B,2,0))</f>
        <v>en-GB</v>
      </c>
    </row>
    <row r="2035" spans="1:9" x14ac:dyDescent="0.15">
      <c r="A2035" t="str">
        <f t="shared" ref="A2035:B2035" si="1707">A2034</f>
        <v>英語</v>
      </c>
      <c r="B2035">
        <f t="shared" si="1707"/>
        <v>20</v>
      </c>
      <c r="C2035">
        <f t="shared" si="1685"/>
        <v>51</v>
      </c>
      <c r="D2035">
        <f>D1996</f>
        <v>29</v>
      </c>
      <c r="E2035" t="str">
        <f>VLOOKUP(D2035,name!A:B,2,1)</f>
        <v>Eri</v>
      </c>
      <c r="F2035" t="str">
        <f>F1996</f>
        <v>はい。でも、先にヒースローに 2 つの大きなスーツケースを引き取ってもらい、届けてもらいました。</v>
      </c>
      <c r="G2035" t="str">
        <f t="shared" si="1688"/>
        <v>a</v>
      </c>
      <c r="H2035" t="str">
        <f>VLOOKUP(D2035,name!A:C,3,1)</f>
        <v>assets/icons/image209.png</v>
      </c>
      <c r="I2035" t="s">
        <v>402</v>
      </c>
    </row>
    <row r="2036" spans="1:9" x14ac:dyDescent="0.15">
      <c r="A2036" t="str">
        <f t="shared" ref="A2036:B2036" si="1708">A2035</f>
        <v>英語</v>
      </c>
      <c r="B2036">
        <f t="shared" si="1708"/>
        <v>20</v>
      </c>
      <c r="C2036">
        <f t="shared" si="1685"/>
        <v>52</v>
      </c>
      <c r="D2036">
        <f>D1997</f>
        <v>29</v>
      </c>
      <c r="E2036" t="str">
        <f>VLOOKUP(D2036,name!A:B,2,1)</f>
        <v>Eri</v>
      </c>
      <c r="F2036" t="str">
        <f>F1997</f>
        <v>Yes, but I had my two big cases picked up and delivered to Heathrow earlier.</v>
      </c>
      <c r="G2036" t="str">
        <f t="shared" si="1688"/>
        <v>a</v>
      </c>
      <c r="H2036" t="str">
        <f>VLOOKUP(D2036,name!A:C,3,1)</f>
        <v>assets/icons/image209.png</v>
      </c>
      <c r="I2036" t="str">
        <f>IF(A2036="","",VLOOKUP(A2036,lng!A:B,2,0))</f>
        <v>en-GB</v>
      </c>
    </row>
    <row r="2037" spans="1:9" x14ac:dyDescent="0.15">
      <c r="A2037" t="str">
        <f t="shared" ref="A2037:B2037" si="1709">A2036</f>
        <v>英語</v>
      </c>
      <c r="B2037">
        <f t="shared" si="1709"/>
        <v>20</v>
      </c>
      <c r="C2037">
        <f t="shared" si="1685"/>
        <v>53</v>
      </c>
      <c r="D2037">
        <v>0</v>
      </c>
      <c r="E2037" t="str">
        <f>VLOOKUP(D2037,name!A:B,2,1)</f>
        <v>Player</v>
      </c>
      <c r="F2037" t="str">
        <f>F1997</f>
        <v>Yes, but I had my two big cases picked up and delivered to Heathrow earlier.</v>
      </c>
      <c r="G2037" t="str">
        <f t="shared" si="1688"/>
        <v>q</v>
      </c>
      <c r="H2037" t="str">
        <f>VLOOKUP(D2037,name!A:C,3,1)</f>
        <v>assets/icons/image326.png</v>
      </c>
      <c r="I2037" t="str">
        <f>IF(A2037="","",VLOOKUP(A2037,lng!A:B,2,0))</f>
        <v>en-GB</v>
      </c>
    </row>
    <row r="2038" spans="1:9" x14ac:dyDescent="0.15">
      <c r="A2038" t="str">
        <f t="shared" ref="A2038:B2038" si="1710">A2037</f>
        <v>英語</v>
      </c>
      <c r="B2038">
        <f t="shared" si="1710"/>
        <v>20</v>
      </c>
      <c r="C2038">
        <f t="shared" si="1685"/>
        <v>54</v>
      </c>
      <c r="D2038">
        <f>D1998</f>
        <v>33</v>
      </c>
      <c r="E2038" t="str">
        <f>VLOOKUP(D2038,name!A:B,2,1)</f>
        <v>Simon</v>
      </c>
      <c r="F2038" t="str">
        <f>F1998</f>
        <v>それは賢い考えです！</v>
      </c>
      <c r="G2038" t="str">
        <f t="shared" si="1688"/>
        <v>a</v>
      </c>
      <c r="H2038" t="str">
        <f>VLOOKUP(D2038,name!A:C,3,1)</f>
        <v>assets/icons/image250.png</v>
      </c>
      <c r="I2038" t="s">
        <v>402</v>
      </c>
    </row>
    <row r="2039" spans="1:9" x14ac:dyDescent="0.15">
      <c r="A2039" t="str">
        <f t="shared" ref="A2039:B2039" si="1711">A2038</f>
        <v>英語</v>
      </c>
      <c r="B2039">
        <f t="shared" si="1711"/>
        <v>20</v>
      </c>
      <c r="C2039">
        <f t="shared" si="1685"/>
        <v>55</v>
      </c>
      <c r="D2039">
        <f>D1999</f>
        <v>33</v>
      </c>
      <c r="E2039" t="str">
        <f>VLOOKUP(D2039,name!A:B,2,1)</f>
        <v>Simon</v>
      </c>
      <c r="F2039" t="str">
        <f>F1999</f>
        <v>That's smart thinking!</v>
      </c>
      <c r="G2039" t="str">
        <f t="shared" si="1688"/>
        <v>a</v>
      </c>
      <c r="H2039" t="str">
        <f>VLOOKUP(D2039,name!A:C,3,1)</f>
        <v>assets/icons/image250.png</v>
      </c>
      <c r="I2039" t="str">
        <f>IF(A2039="","",VLOOKUP(A2039,lng!A:B,2,0))</f>
        <v>en-GB</v>
      </c>
    </row>
    <row r="2040" spans="1:9" x14ac:dyDescent="0.15">
      <c r="A2040" t="str">
        <f t="shared" ref="A2040:B2040" si="1712">A2039</f>
        <v>英語</v>
      </c>
      <c r="B2040">
        <f t="shared" si="1712"/>
        <v>20</v>
      </c>
      <c r="C2040">
        <f t="shared" si="1685"/>
        <v>56</v>
      </c>
      <c r="D2040">
        <v>0</v>
      </c>
      <c r="E2040" t="str">
        <f>VLOOKUP(D2040,name!A:B,2,1)</f>
        <v>Player</v>
      </c>
      <c r="F2040" t="str">
        <f>F1999</f>
        <v>That's smart thinking!</v>
      </c>
      <c r="G2040" t="str">
        <f t="shared" si="1688"/>
        <v>q</v>
      </c>
      <c r="H2040" t="str">
        <f>VLOOKUP(D2040,name!A:C,3,1)</f>
        <v>assets/icons/image326.png</v>
      </c>
      <c r="I2040" t="str">
        <f>IF(A2040="","",VLOOKUP(A2040,lng!A:B,2,0))</f>
        <v>en-GB</v>
      </c>
    </row>
    <row r="2041" spans="1:9" x14ac:dyDescent="0.15">
      <c r="A2041" t="str">
        <f t="shared" ref="A2041:B2041" si="1713">A2040</f>
        <v>英語</v>
      </c>
      <c r="B2041">
        <f t="shared" si="1713"/>
        <v>20</v>
      </c>
      <c r="C2041">
        <f t="shared" si="1685"/>
        <v>57</v>
      </c>
      <c r="D2041">
        <f>D2000</f>
        <v>33</v>
      </c>
      <c r="E2041" t="str">
        <f>VLOOKUP(D2041,name!A:B,2,1)</f>
        <v>Simon</v>
      </c>
      <c r="F2041" t="str">
        <f>F2000</f>
        <v>面倒な作業はすべて他の人に任せましょう。</v>
      </c>
      <c r="G2041" t="str">
        <f t="shared" si="1688"/>
        <v>a</v>
      </c>
      <c r="H2041" t="str">
        <f>VLOOKUP(D2041,name!A:C,3,1)</f>
        <v>assets/icons/image250.png</v>
      </c>
      <c r="I2041" t="s">
        <v>402</v>
      </c>
    </row>
    <row r="2042" spans="1:9" x14ac:dyDescent="0.15">
      <c r="A2042" t="str">
        <f t="shared" ref="A2042:B2042" si="1714">A2041</f>
        <v>英語</v>
      </c>
      <c r="B2042">
        <f t="shared" si="1714"/>
        <v>20</v>
      </c>
      <c r="C2042">
        <f t="shared" si="1685"/>
        <v>58</v>
      </c>
      <c r="D2042">
        <f>D2001</f>
        <v>33</v>
      </c>
      <c r="E2042" t="str">
        <f>VLOOKUP(D2042,name!A:B,2,1)</f>
        <v>Simon</v>
      </c>
      <c r="F2042" t="str">
        <f>F2001</f>
        <v>Let someone else do all the heavy work.</v>
      </c>
      <c r="G2042" t="str">
        <f t="shared" si="1688"/>
        <v>a</v>
      </c>
      <c r="H2042" t="str">
        <f>VLOOKUP(D2042,name!A:C,3,1)</f>
        <v>assets/icons/image250.png</v>
      </c>
      <c r="I2042" t="str">
        <f>IF(A2042="","",VLOOKUP(A2042,lng!A:B,2,0))</f>
        <v>en-GB</v>
      </c>
    </row>
    <row r="2043" spans="1:9" x14ac:dyDescent="0.15">
      <c r="A2043" t="str">
        <f t="shared" ref="A2043:B2043" si="1715">A2042</f>
        <v>英語</v>
      </c>
      <c r="B2043">
        <f t="shared" si="1715"/>
        <v>20</v>
      </c>
      <c r="C2043">
        <f t="shared" si="1685"/>
        <v>59</v>
      </c>
      <c r="D2043">
        <v>0</v>
      </c>
      <c r="E2043" t="str">
        <f>VLOOKUP(D2043,name!A:B,2,1)</f>
        <v>Player</v>
      </c>
      <c r="F2043" t="str">
        <f>F2001</f>
        <v>Let someone else do all the heavy work.</v>
      </c>
      <c r="G2043" t="str">
        <f t="shared" si="1688"/>
        <v>q</v>
      </c>
      <c r="H2043" t="str">
        <f>VLOOKUP(D2043,name!A:C,3,1)</f>
        <v>assets/icons/image326.png</v>
      </c>
      <c r="I2043" t="str">
        <f>IF(A2043="","",VLOOKUP(A2043,lng!A:B,2,0))</f>
        <v>en-GB</v>
      </c>
    </row>
    <row r="2044" spans="1:9" x14ac:dyDescent="0.15">
      <c r="A2044" t="str">
        <f t="shared" ref="A2044:B2044" si="1716">A2043</f>
        <v>英語</v>
      </c>
      <c r="B2044">
        <f t="shared" si="1716"/>
        <v>20</v>
      </c>
      <c r="C2044">
        <f t="shared" si="1685"/>
        <v>60</v>
      </c>
      <c r="D2044">
        <f>D2002</f>
        <v>29</v>
      </c>
      <c r="E2044" t="str">
        <f>VLOOKUP(D2044,name!A:B,2,1)</f>
        <v>Eri</v>
      </c>
      <c r="F2044" t="str">
        <f>F2002</f>
        <v>これはすてきな庭です。</v>
      </c>
      <c r="G2044" t="str">
        <f t="shared" si="1688"/>
        <v>a</v>
      </c>
      <c r="H2044" t="str">
        <f>VLOOKUP(D2044,name!A:C,3,1)</f>
        <v>assets/icons/image209.png</v>
      </c>
      <c r="I2044" t="s">
        <v>402</v>
      </c>
    </row>
    <row r="2045" spans="1:9" x14ac:dyDescent="0.15">
      <c r="A2045" t="str">
        <f t="shared" ref="A2045:B2045" si="1717">A2044</f>
        <v>英語</v>
      </c>
      <c r="B2045">
        <f t="shared" si="1717"/>
        <v>20</v>
      </c>
      <c r="C2045">
        <f t="shared" si="1685"/>
        <v>61</v>
      </c>
      <c r="D2045">
        <f>D2003</f>
        <v>29</v>
      </c>
      <c r="E2045" t="str">
        <f>VLOOKUP(D2045,name!A:B,2,1)</f>
        <v>Eri</v>
      </c>
      <c r="F2045" t="str">
        <f>F2003</f>
        <v>This is a lovely garden.</v>
      </c>
      <c r="G2045" t="str">
        <f t="shared" si="1688"/>
        <v>a</v>
      </c>
      <c r="H2045" t="str">
        <f>VLOOKUP(D2045,name!A:C,3,1)</f>
        <v>assets/icons/image209.png</v>
      </c>
      <c r="I2045" t="str">
        <f>IF(A2045="","",VLOOKUP(A2045,lng!A:B,2,0))</f>
        <v>en-GB</v>
      </c>
    </row>
    <row r="2046" spans="1:9" x14ac:dyDescent="0.15">
      <c r="A2046" t="str">
        <f t="shared" ref="A2046:B2046" si="1718">A2045</f>
        <v>英語</v>
      </c>
      <c r="B2046">
        <f t="shared" si="1718"/>
        <v>20</v>
      </c>
      <c r="C2046">
        <f t="shared" si="1685"/>
        <v>62</v>
      </c>
      <c r="D2046">
        <v>0</v>
      </c>
      <c r="E2046" t="str">
        <f>VLOOKUP(D2046,name!A:B,2,1)</f>
        <v>Player</v>
      </c>
      <c r="F2046" t="str">
        <f>F2003</f>
        <v>This is a lovely garden.</v>
      </c>
      <c r="G2046" t="str">
        <f t="shared" si="1688"/>
        <v>q</v>
      </c>
      <c r="H2046" t="str">
        <f>VLOOKUP(D2046,name!A:C,3,1)</f>
        <v>assets/icons/image326.png</v>
      </c>
      <c r="I2046" t="str">
        <f>IF(A2046="","",VLOOKUP(A2046,lng!A:B,2,0))</f>
        <v>en-GB</v>
      </c>
    </row>
    <row r="2047" spans="1:9" x14ac:dyDescent="0.15">
      <c r="A2047" t="str">
        <f t="shared" ref="A2047:B2047" si="1719">A2046</f>
        <v>英語</v>
      </c>
      <c r="B2047">
        <f t="shared" si="1719"/>
        <v>20</v>
      </c>
      <c r="C2047">
        <f t="shared" si="1685"/>
        <v>63</v>
      </c>
      <c r="D2047">
        <f>D2004</f>
        <v>29</v>
      </c>
      <c r="E2047" t="str">
        <f>VLOOKUP(D2047,name!A:B,2,1)</f>
        <v>Eri</v>
      </c>
      <c r="F2047" t="str">
        <f>F2004</f>
        <v>今日は風が強くて寒いのが残念です。</v>
      </c>
      <c r="G2047" t="str">
        <f t="shared" si="1688"/>
        <v>a</v>
      </c>
      <c r="H2047" t="str">
        <f>VLOOKUP(D2047,name!A:C,3,1)</f>
        <v>assets/icons/image209.png</v>
      </c>
      <c r="I2047" t="s">
        <v>402</v>
      </c>
    </row>
    <row r="2048" spans="1:9" x14ac:dyDescent="0.15">
      <c r="A2048" t="str">
        <f t="shared" ref="A2048:B2048" si="1720">A2047</f>
        <v>英語</v>
      </c>
      <c r="B2048">
        <f t="shared" si="1720"/>
        <v>20</v>
      </c>
      <c r="C2048">
        <f t="shared" si="1685"/>
        <v>64</v>
      </c>
      <c r="D2048">
        <f>D2005</f>
        <v>29</v>
      </c>
      <c r="E2048" t="str">
        <f>VLOOKUP(D2048,name!A:B,2,1)</f>
        <v>Eri</v>
      </c>
      <c r="F2048" t="str">
        <f>F2005</f>
        <v xml:space="preserve"> It's a pity it's so windy and cold today.</v>
      </c>
      <c r="G2048" t="str">
        <f t="shared" si="1688"/>
        <v>a</v>
      </c>
      <c r="H2048" t="str">
        <f>VLOOKUP(D2048,name!A:C,3,1)</f>
        <v>assets/icons/image209.png</v>
      </c>
      <c r="I2048" t="str">
        <f>IF(A2048="","",VLOOKUP(A2048,lng!A:B,2,0))</f>
        <v>en-GB</v>
      </c>
    </row>
    <row r="2049" spans="1:9" x14ac:dyDescent="0.15">
      <c r="A2049" t="str">
        <f t="shared" ref="A2049:B2049" si="1721">A2048</f>
        <v>英語</v>
      </c>
      <c r="B2049">
        <f t="shared" si="1721"/>
        <v>20</v>
      </c>
      <c r="C2049">
        <f t="shared" si="1685"/>
        <v>65</v>
      </c>
      <c r="D2049">
        <v>0</v>
      </c>
      <c r="E2049" t="str">
        <f>VLOOKUP(D2049,name!A:B,2,1)</f>
        <v>Player</v>
      </c>
      <c r="F2049" t="str">
        <f>F2005</f>
        <v xml:space="preserve"> It's a pity it's so windy and cold today.</v>
      </c>
      <c r="G2049" t="str">
        <f t="shared" si="1688"/>
        <v>q</v>
      </c>
      <c r="H2049" t="str">
        <f>VLOOKUP(D2049,name!A:C,3,1)</f>
        <v>assets/icons/image326.png</v>
      </c>
      <c r="I2049" t="str">
        <f>IF(A2049="","",VLOOKUP(A2049,lng!A:B,2,0))</f>
        <v>en-GB</v>
      </c>
    </row>
    <row r="2050" spans="1:9" x14ac:dyDescent="0.15">
      <c r="A2050" t="str">
        <f t="shared" ref="A2050:B2050" si="1722">A2049</f>
        <v>英語</v>
      </c>
      <c r="B2050">
        <f t="shared" si="1722"/>
        <v>20</v>
      </c>
      <c r="C2050">
        <f t="shared" si="1685"/>
        <v>66</v>
      </c>
      <c r="D2050">
        <f>D2006</f>
        <v>33</v>
      </c>
      <c r="E2050" t="str">
        <f>VLOOKUP(D2050,name!A:B,2,1)</f>
        <v>Simon</v>
      </c>
      <c r="F2050" t="str">
        <f>F2006</f>
        <v>さて、 なにせいよいよ3月だからね。</v>
      </c>
      <c r="G2050" t="str">
        <f t="shared" si="1688"/>
        <v>a</v>
      </c>
      <c r="H2050" t="str">
        <f>VLOOKUP(D2050,name!A:C,3,1)</f>
        <v>assets/icons/image250.png</v>
      </c>
      <c r="I2050" t="s">
        <v>402</v>
      </c>
    </row>
    <row r="2051" spans="1:9" x14ac:dyDescent="0.15">
      <c r="A2051" t="str">
        <f t="shared" ref="A2051:B2051" si="1723">A2050</f>
        <v>英語</v>
      </c>
      <c r="B2051">
        <f t="shared" si="1723"/>
        <v>20</v>
      </c>
      <c r="C2051">
        <f t="shared" ref="C2051:C2109" si="1724">C2050+1</f>
        <v>67</v>
      </c>
      <c r="D2051">
        <f>D2007</f>
        <v>33</v>
      </c>
      <c r="E2051" t="str">
        <f>VLOOKUP(D2051,name!A:B,2,1)</f>
        <v>Simon</v>
      </c>
      <c r="F2051" t="str">
        <f>F2007</f>
        <v>Well, it is March, after all.</v>
      </c>
      <c r="G2051" t="str">
        <f t="shared" si="1688"/>
        <v>a</v>
      </c>
      <c r="H2051" t="str">
        <f>VLOOKUP(D2051,name!A:C,3,1)</f>
        <v>assets/icons/image250.png</v>
      </c>
      <c r="I2051" t="str">
        <f>IF(A2051="","",VLOOKUP(A2051,lng!A:B,2,0))</f>
        <v>en-GB</v>
      </c>
    </row>
    <row r="2052" spans="1:9" x14ac:dyDescent="0.15">
      <c r="A2052" t="str">
        <f t="shared" ref="A2052:B2052" si="1725">A2051</f>
        <v>英語</v>
      </c>
      <c r="B2052">
        <f t="shared" si="1725"/>
        <v>20</v>
      </c>
      <c r="C2052">
        <f t="shared" si="1724"/>
        <v>68</v>
      </c>
      <c r="D2052">
        <v>0</v>
      </c>
      <c r="E2052" t="str">
        <f>VLOOKUP(D2052,name!A:B,2,1)</f>
        <v>Player</v>
      </c>
      <c r="F2052" t="str">
        <f>F2007</f>
        <v>Well, it is March, after all.</v>
      </c>
      <c r="G2052" t="str">
        <f t="shared" si="1688"/>
        <v>q</v>
      </c>
      <c r="H2052" t="str">
        <f>VLOOKUP(D2052,name!A:C,3,1)</f>
        <v>assets/icons/image326.png</v>
      </c>
      <c r="I2052" t="str">
        <f>IF(A2052="","",VLOOKUP(A2052,lng!A:B,2,0))</f>
        <v>en-GB</v>
      </c>
    </row>
    <row r="2053" spans="1:9" x14ac:dyDescent="0.15">
      <c r="A2053" t="str">
        <f t="shared" ref="A2053:B2053" si="1726">A2052</f>
        <v>英語</v>
      </c>
      <c r="B2053">
        <f t="shared" si="1726"/>
        <v>20</v>
      </c>
      <c r="C2053">
        <f t="shared" si="1724"/>
        <v>69</v>
      </c>
      <c r="D2053">
        <f>D2008</f>
        <v>33</v>
      </c>
      <c r="E2053" t="str">
        <f>VLOOKUP(D2053,name!A:B,2,1)</f>
        <v>Simon</v>
      </c>
      <c r="F2053" t="str">
        <f>F2008</f>
        <v xml:space="preserve"> 「まだライオンでこれから仔羊」</v>
      </c>
      <c r="G2053" t="str">
        <f t="shared" si="1688"/>
        <v>a</v>
      </c>
      <c r="H2053" t="str">
        <f>VLOOKUP(D2053,name!A:C,3,1)</f>
        <v>assets/icons/image250.png</v>
      </c>
      <c r="I2053" t="s">
        <v>402</v>
      </c>
    </row>
    <row r="2054" spans="1:9" x14ac:dyDescent="0.15">
      <c r="A2054" t="str">
        <f t="shared" ref="A2054:B2054" si="1727">A2053</f>
        <v>英語</v>
      </c>
      <c r="B2054">
        <f t="shared" si="1727"/>
        <v>20</v>
      </c>
      <c r="C2054">
        <f t="shared" si="1724"/>
        <v>70</v>
      </c>
      <c r="D2054">
        <f>D2009</f>
        <v>33</v>
      </c>
      <c r="E2054" t="str">
        <f>VLOOKUP(D2054,name!A:B,2,1)</f>
        <v>Simon</v>
      </c>
      <c r="F2054" t="str">
        <f>F2009</f>
        <v xml:space="preserve"> 'In like a lion, out like a lamb',</v>
      </c>
      <c r="G2054" t="str">
        <f t="shared" si="1688"/>
        <v>a</v>
      </c>
      <c r="H2054" t="str">
        <f>VLOOKUP(D2054,name!A:C,3,1)</f>
        <v>assets/icons/image250.png</v>
      </c>
      <c r="I2054" t="str">
        <f>IF(A2054="","",VLOOKUP(A2054,lng!A:B,2,0))</f>
        <v>en-GB</v>
      </c>
    </row>
    <row r="2055" spans="1:9" x14ac:dyDescent="0.15">
      <c r="A2055" t="str">
        <f t="shared" ref="A2055:B2055" si="1728">A2054</f>
        <v>英語</v>
      </c>
      <c r="B2055">
        <f t="shared" si="1728"/>
        <v>20</v>
      </c>
      <c r="C2055">
        <f t="shared" si="1724"/>
        <v>71</v>
      </c>
      <c r="D2055">
        <v>0</v>
      </c>
      <c r="E2055" t="str">
        <f>VLOOKUP(D2055,name!A:B,2,1)</f>
        <v>Player</v>
      </c>
      <c r="F2055" t="str">
        <f>F2009</f>
        <v xml:space="preserve"> 'In like a lion, out like a lamb',</v>
      </c>
      <c r="G2055" t="str">
        <f t="shared" si="1688"/>
        <v>q</v>
      </c>
      <c r="H2055" t="str">
        <f>VLOOKUP(D2055,name!A:C,3,1)</f>
        <v>assets/icons/image326.png</v>
      </c>
      <c r="I2055" t="str">
        <f>IF(A2055="","",VLOOKUP(A2055,lng!A:B,2,0))</f>
        <v>en-GB</v>
      </c>
    </row>
    <row r="2056" spans="1:9" x14ac:dyDescent="0.15">
      <c r="A2056" t="str">
        <f t="shared" ref="A2056:B2056" si="1729">A2055</f>
        <v>英語</v>
      </c>
      <c r="B2056">
        <f t="shared" si="1729"/>
        <v>20</v>
      </c>
      <c r="C2056">
        <f t="shared" si="1724"/>
        <v>72</v>
      </c>
      <c r="D2056">
        <f>D2010</f>
        <v>33</v>
      </c>
      <c r="E2056" t="str">
        <f>VLOOKUP(D2056,name!A:B,2,1)</f>
        <v>Simon</v>
      </c>
      <c r="F2056" t="str">
        <f>F2010</f>
        <v>そう私たちは言っています。</v>
      </c>
      <c r="G2056" t="str">
        <f t="shared" si="1688"/>
        <v>a</v>
      </c>
      <c r="H2056" t="str">
        <f>VLOOKUP(D2056,name!A:C,3,1)</f>
        <v>assets/icons/image250.png</v>
      </c>
      <c r="I2056" t="s">
        <v>402</v>
      </c>
    </row>
    <row r="2057" spans="1:9" x14ac:dyDescent="0.15">
      <c r="A2057" t="str">
        <f t="shared" ref="A2057:B2057" si="1730">A2056</f>
        <v>英語</v>
      </c>
      <c r="B2057">
        <f t="shared" si="1730"/>
        <v>20</v>
      </c>
      <c r="C2057">
        <f t="shared" si="1724"/>
        <v>73</v>
      </c>
      <c r="D2057">
        <f>D2011</f>
        <v>33</v>
      </c>
      <c r="E2057" t="str">
        <f>VLOOKUP(D2057,name!A:B,2,1)</f>
        <v>Simon</v>
      </c>
      <c r="F2057" t="str">
        <f>F2011</f>
        <v>that's what we say.</v>
      </c>
      <c r="G2057" t="str">
        <f t="shared" si="1688"/>
        <v>a</v>
      </c>
      <c r="H2057" t="str">
        <f>VLOOKUP(D2057,name!A:C,3,1)</f>
        <v>assets/icons/image250.png</v>
      </c>
      <c r="I2057" t="str">
        <f>IF(A2057="","",VLOOKUP(A2057,lng!A:B,2,0))</f>
        <v>en-GB</v>
      </c>
    </row>
    <row r="2058" spans="1:9" x14ac:dyDescent="0.15">
      <c r="A2058" t="str">
        <f t="shared" ref="A2058:B2058" si="1731">A2057</f>
        <v>英語</v>
      </c>
      <c r="B2058">
        <f t="shared" si="1731"/>
        <v>20</v>
      </c>
      <c r="C2058">
        <f t="shared" si="1724"/>
        <v>74</v>
      </c>
      <c r="D2058">
        <v>0</v>
      </c>
      <c r="E2058" t="str">
        <f>VLOOKUP(D2058,name!A:B,2,1)</f>
        <v>Player</v>
      </c>
      <c r="F2058" t="str">
        <f>F2011</f>
        <v>that's what we say.</v>
      </c>
      <c r="G2058" t="str">
        <f t="shared" si="1688"/>
        <v>q</v>
      </c>
      <c r="H2058" t="str">
        <f>VLOOKUP(D2058,name!A:C,3,1)</f>
        <v>assets/icons/image326.png</v>
      </c>
      <c r="I2058" t="str">
        <f>IF(A2058="","",VLOOKUP(A2058,lng!A:B,2,0))</f>
        <v>en-GB</v>
      </c>
    </row>
    <row r="2059" spans="1:9" x14ac:dyDescent="0.15">
      <c r="A2059" t="str">
        <f t="shared" ref="A2059:B2059" si="1732">A2058</f>
        <v>英語</v>
      </c>
      <c r="B2059">
        <f t="shared" si="1732"/>
        <v>20</v>
      </c>
      <c r="C2059">
        <f t="shared" si="1724"/>
        <v>75</v>
      </c>
      <c r="D2059">
        <f>D2012</f>
        <v>29</v>
      </c>
      <c r="E2059" t="str">
        <f>VLOOKUP(D2059,name!A:B,2,1)</f>
        <v>Eri</v>
      </c>
      <c r="F2059" t="str">
        <f>F2012</f>
        <v>東京のベランダに庭を作りたいです。</v>
      </c>
      <c r="G2059" t="str">
        <f t="shared" si="1688"/>
        <v>a</v>
      </c>
      <c r="H2059" t="str">
        <f>VLOOKUP(D2059,name!A:C,3,1)</f>
        <v>assets/icons/image209.png</v>
      </c>
      <c r="I2059" t="s">
        <v>402</v>
      </c>
    </row>
    <row r="2060" spans="1:9" x14ac:dyDescent="0.15">
      <c r="A2060" t="str">
        <f t="shared" ref="A2060:B2060" si="1733">A2059</f>
        <v>英語</v>
      </c>
      <c r="B2060">
        <f t="shared" si="1733"/>
        <v>20</v>
      </c>
      <c r="C2060">
        <f t="shared" si="1724"/>
        <v>76</v>
      </c>
      <c r="D2060">
        <f>D2013</f>
        <v>29</v>
      </c>
      <c r="E2060" t="str">
        <f>VLOOKUP(D2060,name!A:B,2,1)</f>
        <v>Eri</v>
      </c>
      <c r="F2060" t="str">
        <f>F2013</f>
        <v>I'd like to make a garden on my balcony in Tokyo.</v>
      </c>
      <c r="G2060" t="str">
        <f t="shared" si="1688"/>
        <v>a</v>
      </c>
      <c r="H2060" t="str">
        <f>VLOOKUP(D2060,name!A:C,3,1)</f>
        <v>assets/icons/image209.png</v>
      </c>
      <c r="I2060" t="str">
        <f>IF(A2060="","",VLOOKUP(A2060,lng!A:B,2,0))</f>
        <v>en-GB</v>
      </c>
    </row>
    <row r="2061" spans="1:9" x14ac:dyDescent="0.15">
      <c r="A2061" t="str">
        <f t="shared" ref="A2061:B2061" si="1734">A2060</f>
        <v>英語</v>
      </c>
      <c r="B2061">
        <f t="shared" si="1734"/>
        <v>20</v>
      </c>
      <c r="C2061">
        <f t="shared" si="1724"/>
        <v>77</v>
      </c>
      <c r="D2061">
        <v>0</v>
      </c>
      <c r="E2061" t="str">
        <f>VLOOKUP(D2061,name!A:B,2,1)</f>
        <v>Player</v>
      </c>
      <c r="F2061" t="str">
        <f>F2013</f>
        <v>I'd like to make a garden on my balcony in Tokyo.</v>
      </c>
      <c r="G2061" t="str">
        <f t="shared" si="1688"/>
        <v>q</v>
      </c>
      <c r="H2061" t="str">
        <f>VLOOKUP(D2061,name!A:C,3,1)</f>
        <v>assets/icons/image326.png</v>
      </c>
      <c r="I2061" t="str">
        <f>IF(A2061="","",VLOOKUP(A2061,lng!A:B,2,0))</f>
        <v>en-GB</v>
      </c>
    </row>
    <row r="2062" spans="1:9" x14ac:dyDescent="0.15">
      <c r="A2062" t="str">
        <f t="shared" ref="A2062:B2062" si="1735">A2061</f>
        <v>英語</v>
      </c>
      <c r="B2062">
        <f t="shared" si="1735"/>
        <v>20</v>
      </c>
      <c r="C2062">
        <f t="shared" si="1724"/>
        <v>78</v>
      </c>
      <c r="D2062">
        <f>D2014</f>
        <v>29</v>
      </c>
      <c r="E2062" t="str">
        <f>VLOOKUP(D2062,name!A:B,2,1)</f>
        <v>Eri</v>
      </c>
      <c r="F2062" t="str">
        <f>F2014</f>
        <v>難しいと思いますか？</v>
      </c>
      <c r="G2062" t="str">
        <f t="shared" si="1688"/>
        <v>a</v>
      </c>
      <c r="H2062" t="str">
        <f>VLOOKUP(D2062,name!A:C,3,1)</f>
        <v>assets/icons/image209.png</v>
      </c>
      <c r="I2062" t="s">
        <v>402</v>
      </c>
    </row>
    <row r="2063" spans="1:9" x14ac:dyDescent="0.15">
      <c r="A2063" t="str">
        <f t="shared" ref="A2063:B2063" si="1736">A2062</f>
        <v>英語</v>
      </c>
      <c r="B2063">
        <f t="shared" si="1736"/>
        <v>20</v>
      </c>
      <c r="C2063">
        <f t="shared" si="1724"/>
        <v>79</v>
      </c>
      <c r="D2063">
        <f>D2015</f>
        <v>29</v>
      </c>
      <c r="E2063" t="str">
        <f>VLOOKUP(D2063,name!A:B,2,1)</f>
        <v>Eri</v>
      </c>
      <c r="F2063" t="str">
        <f>F2015</f>
        <v>Do you think it's difficult?</v>
      </c>
      <c r="G2063" t="str">
        <f t="shared" si="1688"/>
        <v>a</v>
      </c>
      <c r="H2063" t="str">
        <f>VLOOKUP(D2063,name!A:C,3,1)</f>
        <v>assets/icons/image209.png</v>
      </c>
      <c r="I2063" t="str">
        <f>IF(A2063="","",VLOOKUP(A2063,lng!A:B,2,0))</f>
        <v>en-GB</v>
      </c>
    </row>
    <row r="2064" spans="1:9" x14ac:dyDescent="0.15">
      <c r="A2064" t="str">
        <f t="shared" ref="A2064:B2064" si="1737">A2063</f>
        <v>英語</v>
      </c>
      <c r="B2064">
        <f t="shared" si="1737"/>
        <v>20</v>
      </c>
      <c r="C2064">
        <f t="shared" si="1724"/>
        <v>80</v>
      </c>
      <c r="D2064">
        <v>0</v>
      </c>
      <c r="E2064" t="str">
        <f>VLOOKUP(D2064,name!A:B,2,1)</f>
        <v>Player</v>
      </c>
      <c r="F2064" t="str">
        <f>F2015</f>
        <v>Do you think it's difficult?</v>
      </c>
      <c r="G2064" t="str">
        <f t="shared" si="1688"/>
        <v>q</v>
      </c>
      <c r="H2064" t="str">
        <f>VLOOKUP(D2064,name!A:C,3,1)</f>
        <v>assets/icons/image326.png</v>
      </c>
      <c r="I2064" t="str">
        <f>IF(A2064="","",VLOOKUP(A2064,lng!A:B,2,0))</f>
        <v>en-GB</v>
      </c>
    </row>
    <row r="2065" spans="1:9" x14ac:dyDescent="0.15">
      <c r="A2065" t="str">
        <f t="shared" ref="A2065:B2065" si="1738">A2064</f>
        <v>英語</v>
      </c>
      <c r="B2065">
        <f t="shared" si="1738"/>
        <v>20</v>
      </c>
      <c r="C2065">
        <f t="shared" si="1724"/>
        <v>81</v>
      </c>
      <c r="D2065">
        <f>D2016</f>
        <v>33</v>
      </c>
      <c r="E2065" t="str">
        <f>VLOOKUP(D2065,name!A:B,2,1)</f>
        <v>Simon</v>
      </c>
      <c r="F2065" t="str">
        <f>F2016</f>
        <v>たくさんの本やウェブサイトがあり、アドバイスが満載です。</v>
      </c>
      <c r="G2065" t="str">
        <f t="shared" si="1688"/>
        <v>a</v>
      </c>
      <c r="H2065" t="str">
        <f>VLOOKUP(D2065,name!A:C,3,1)</f>
        <v>assets/icons/image250.png</v>
      </c>
      <c r="I2065" t="s">
        <v>402</v>
      </c>
    </row>
    <row r="2066" spans="1:9" x14ac:dyDescent="0.15">
      <c r="A2066" t="str">
        <f t="shared" ref="A2066:B2066" si="1739">A2065</f>
        <v>英語</v>
      </c>
      <c r="B2066">
        <f t="shared" si="1739"/>
        <v>20</v>
      </c>
      <c r="C2066">
        <f t="shared" si="1724"/>
        <v>82</v>
      </c>
      <c r="D2066">
        <f>D2017</f>
        <v>33</v>
      </c>
      <c r="E2066" t="str">
        <f>VLOOKUP(D2066,name!A:B,2,1)</f>
        <v>Simon</v>
      </c>
      <c r="F2066" t="str">
        <f>F2017</f>
        <v>There are loads of books and websites available, full of advice.</v>
      </c>
      <c r="G2066" t="str">
        <f t="shared" si="1688"/>
        <v>a</v>
      </c>
      <c r="H2066" t="str">
        <f>VLOOKUP(D2066,name!A:C,3,1)</f>
        <v>assets/icons/image250.png</v>
      </c>
      <c r="I2066" t="str">
        <f>IF(A2066="","",VLOOKUP(A2066,lng!A:B,2,0))</f>
        <v>en-GB</v>
      </c>
    </row>
    <row r="2067" spans="1:9" x14ac:dyDescent="0.15">
      <c r="A2067" t="str">
        <f t="shared" ref="A2067:B2067" si="1740">A2066</f>
        <v>英語</v>
      </c>
      <c r="B2067">
        <f t="shared" si="1740"/>
        <v>20</v>
      </c>
      <c r="C2067">
        <f t="shared" si="1724"/>
        <v>83</v>
      </c>
      <c r="D2067">
        <v>0</v>
      </c>
      <c r="E2067" t="str">
        <f>VLOOKUP(D2067,name!A:B,2,1)</f>
        <v>Player</v>
      </c>
      <c r="F2067" t="str">
        <f>F2017</f>
        <v>There are loads of books and websites available, full of advice.</v>
      </c>
      <c r="G2067" t="str">
        <f t="shared" si="1688"/>
        <v>q</v>
      </c>
      <c r="H2067" t="str">
        <f>VLOOKUP(D2067,name!A:C,3,1)</f>
        <v>assets/icons/image326.png</v>
      </c>
      <c r="I2067" t="str">
        <f>IF(A2067="","",VLOOKUP(A2067,lng!A:B,2,0))</f>
        <v>en-GB</v>
      </c>
    </row>
    <row r="2068" spans="1:9" x14ac:dyDescent="0.15">
      <c r="A2068" t="str">
        <f t="shared" ref="A2068:B2068" si="1741">A2067</f>
        <v>英語</v>
      </c>
      <c r="B2068">
        <f t="shared" si="1741"/>
        <v>20</v>
      </c>
      <c r="C2068">
        <f t="shared" si="1724"/>
        <v>84</v>
      </c>
      <c r="D2068">
        <f>D2018</f>
        <v>33</v>
      </c>
      <c r="E2068" t="str">
        <f>VLOOKUP(D2068,name!A:B,2,1)</f>
        <v>Simon</v>
      </c>
      <c r="F2068" t="str">
        <f>F2018</f>
        <v>イモムシ、ナメクジ、カタツムリから目を離さないようにしてください。</v>
      </c>
      <c r="G2068" t="str">
        <f t="shared" si="1688"/>
        <v>a</v>
      </c>
      <c r="H2068" t="str">
        <f>VLOOKUP(D2068,name!A:C,3,1)</f>
        <v>assets/icons/image250.png</v>
      </c>
      <c r="I2068" t="s">
        <v>402</v>
      </c>
    </row>
    <row r="2069" spans="1:9" x14ac:dyDescent="0.15">
      <c r="A2069" t="str">
        <f t="shared" ref="A2069:B2069" si="1742">A2068</f>
        <v>英語</v>
      </c>
      <c r="B2069">
        <f t="shared" si="1742"/>
        <v>20</v>
      </c>
      <c r="C2069">
        <f t="shared" si="1724"/>
        <v>85</v>
      </c>
      <c r="D2069">
        <f>D2019</f>
        <v>33</v>
      </c>
      <c r="E2069" t="str">
        <f>VLOOKUP(D2069,name!A:B,2,1)</f>
        <v>Simon</v>
      </c>
      <c r="F2069" t="str">
        <f>F2019</f>
        <v>Just remember to keep an eye on the caterpillars, slugs, and snails.</v>
      </c>
      <c r="G2069" t="str">
        <f t="shared" si="1688"/>
        <v>a</v>
      </c>
      <c r="H2069" t="str">
        <f>VLOOKUP(D2069,name!A:C,3,1)</f>
        <v>assets/icons/image250.png</v>
      </c>
      <c r="I2069" t="str">
        <f>IF(A2069="","",VLOOKUP(A2069,lng!A:B,2,0))</f>
        <v>en-GB</v>
      </c>
    </row>
    <row r="2070" spans="1:9" x14ac:dyDescent="0.15">
      <c r="A2070" t="str">
        <f t="shared" ref="A2070:B2070" si="1743">A2069</f>
        <v>英語</v>
      </c>
      <c r="B2070">
        <f t="shared" si="1743"/>
        <v>20</v>
      </c>
      <c r="C2070">
        <f t="shared" si="1724"/>
        <v>86</v>
      </c>
      <c r="D2070">
        <v>0</v>
      </c>
      <c r="E2070" t="str">
        <f>VLOOKUP(D2070,name!A:B,2,1)</f>
        <v>Player</v>
      </c>
      <c r="F2070" t="str">
        <f>F2019</f>
        <v>Just remember to keep an eye on the caterpillars, slugs, and snails.</v>
      </c>
      <c r="G2070" t="str">
        <f t="shared" si="1688"/>
        <v>q</v>
      </c>
      <c r="H2070" t="str">
        <f>VLOOKUP(D2070,name!A:C,3,1)</f>
        <v>assets/icons/image326.png</v>
      </c>
      <c r="I2070" t="str">
        <f>IF(A2070="","",VLOOKUP(A2070,lng!A:B,2,0))</f>
        <v>en-GB</v>
      </c>
    </row>
    <row r="2071" spans="1:9" x14ac:dyDescent="0.15">
      <c r="A2071" t="str">
        <f t="shared" ref="A2071:B2071" si="1744">A2070</f>
        <v>英語</v>
      </c>
      <c r="B2071">
        <f t="shared" si="1744"/>
        <v>20</v>
      </c>
      <c r="C2071">
        <f t="shared" si="1724"/>
        <v>87</v>
      </c>
      <c r="D2071">
        <f>D2020</f>
        <v>33</v>
      </c>
      <c r="E2071" t="str">
        <f>VLOOKUP(D2071,name!A:B,2,1)</f>
        <v>Simon</v>
      </c>
      <c r="F2071" t="str">
        <f>F2020</f>
        <v>そして私たちに写真を送ってください！</v>
      </c>
      <c r="G2071" t="str">
        <f t="shared" si="1688"/>
        <v>a</v>
      </c>
      <c r="H2071" t="str">
        <f>VLOOKUP(D2071,name!A:C,3,1)</f>
        <v>assets/icons/image250.png</v>
      </c>
      <c r="I2071" t="s">
        <v>402</v>
      </c>
    </row>
    <row r="2072" spans="1:9" x14ac:dyDescent="0.15">
      <c r="A2072" t="str">
        <f t="shared" ref="A2072:B2072" si="1745">A2071</f>
        <v>英語</v>
      </c>
      <c r="B2072">
        <f t="shared" si="1745"/>
        <v>20</v>
      </c>
      <c r="C2072">
        <f t="shared" si="1724"/>
        <v>88</v>
      </c>
      <c r="D2072">
        <f>D2021</f>
        <v>33</v>
      </c>
      <c r="E2072" t="str">
        <f>VLOOKUP(D2072,name!A:B,2,1)</f>
        <v>Simon</v>
      </c>
      <c r="F2072" t="str">
        <f>F2021</f>
        <v>And do send us pictures!</v>
      </c>
      <c r="G2072" t="str">
        <f t="shared" si="1688"/>
        <v>a</v>
      </c>
      <c r="H2072" t="str">
        <f>VLOOKUP(D2072,name!A:C,3,1)</f>
        <v>assets/icons/image250.png</v>
      </c>
      <c r="I2072" t="str">
        <f>IF(A2072="","",VLOOKUP(A2072,lng!A:B,2,0))</f>
        <v>en-GB</v>
      </c>
    </row>
    <row r="2073" spans="1:9" x14ac:dyDescent="0.15">
      <c r="A2073" t="str">
        <f t="shared" ref="A2073:B2073" si="1746">A2072</f>
        <v>英語</v>
      </c>
      <c r="B2073">
        <f t="shared" si="1746"/>
        <v>20</v>
      </c>
      <c r="C2073">
        <f t="shared" si="1724"/>
        <v>89</v>
      </c>
      <c r="D2073">
        <v>0</v>
      </c>
      <c r="E2073" t="str">
        <f>VLOOKUP(D2073,name!A:B,2,1)</f>
        <v>Player</v>
      </c>
      <c r="F2073" t="str">
        <f>F2021</f>
        <v>And do send us pictures!</v>
      </c>
      <c r="G2073" t="str">
        <f t="shared" si="1688"/>
        <v>q</v>
      </c>
      <c r="H2073" t="str">
        <f>VLOOKUP(D2073,name!A:C,3,1)</f>
        <v>assets/icons/image326.png</v>
      </c>
      <c r="I2073" t="str">
        <f>IF(A2073="","",VLOOKUP(A2073,lng!A:B,2,0))</f>
        <v>en-GB</v>
      </c>
    </row>
    <row r="2074" spans="1:9" x14ac:dyDescent="0.15">
      <c r="A2074" t="str">
        <f t="shared" ref="A2074:B2074" si="1747">A2073</f>
        <v>英語</v>
      </c>
      <c r="B2074">
        <f t="shared" si="1747"/>
        <v>20</v>
      </c>
      <c r="C2074">
        <f t="shared" si="1724"/>
        <v>90</v>
      </c>
      <c r="D2074">
        <v>1</v>
      </c>
      <c r="E2074" t="str">
        <f>VLOOKUP(D2074,name!A:B,2,1)</f>
        <v>Navigator</v>
      </c>
      <c r="F2074" t="str">
        <f>"次の日本語を"&amp;A2074&amp;"に訳して答えてね！"</f>
        <v>次の日本語を英語に訳して答えてね！</v>
      </c>
      <c r="G2074" t="str">
        <f t="shared" si="1688"/>
        <v>a</v>
      </c>
      <c r="H2074" t="str">
        <f>VLOOKUP(D2074,name!A:C,3,1)</f>
        <v>assets/icons/image014.png</v>
      </c>
      <c r="I2074" t="s">
        <v>402</v>
      </c>
    </row>
    <row r="2075" spans="1:9" x14ac:dyDescent="0.15">
      <c r="A2075" t="str">
        <f t="shared" ref="A2075:B2075" si="1748">A2074</f>
        <v>英語</v>
      </c>
      <c r="B2075">
        <f t="shared" si="1748"/>
        <v>20</v>
      </c>
      <c r="C2075">
        <f t="shared" si="1724"/>
        <v>91</v>
      </c>
      <c r="D2075">
        <f>D1988</f>
        <v>33</v>
      </c>
      <c r="E2075" t="str">
        <f>VLOOKUP(D2075,name!A:B,2,1)</f>
        <v>Simon</v>
      </c>
      <c r="F2075" t="str">
        <f t="shared" ref="F2075:F2108" si="1749">F1988</f>
        <v>こんにちは、えりさん！</v>
      </c>
      <c r="G2075" t="str">
        <f t="shared" si="1688"/>
        <v>a</v>
      </c>
      <c r="H2075" t="str">
        <f>VLOOKUP(D2075,name!A:C,3,1)</f>
        <v>assets/icons/image250.png</v>
      </c>
      <c r="I2075" t="s">
        <v>402</v>
      </c>
    </row>
    <row r="2076" spans="1:9" x14ac:dyDescent="0.15">
      <c r="A2076" t="str">
        <f t="shared" ref="A2076:B2076" si="1750">A2075</f>
        <v>英語</v>
      </c>
      <c r="B2076">
        <f t="shared" si="1750"/>
        <v>20</v>
      </c>
      <c r="C2076">
        <f t="shared" si="1724"/>
        <v>92</v>
      </c>
      <c r="D2076">
        <v>0</v>
      </c>
      <c r="E2076" t="str">
        <f>VLOOKUP(D2076,name!A:B,2,1)</f>
        <v>Player</v>
      </c>
      <c r="F2076" t="str">
        <f t="shared" si="1749"/>
        <v>Hi, there, Eri!</v>
      </c>
      <c r="G2076" t="str">
        <f t="shared" si="1688"/>
        <v>q</v>
      </c>
      <c r="H2076" t="str">
        <f>VLOOKUP(D2076,name!A:C,3,1)</f>
        <v>assets/icons/image326.png</v>
      </c>
      <c r="I2076" t="str">
        <f>IF(A2076="","",VLOOKUP(A2076,lng!A:B,2,0))</f>
        <v>en-GB</v>
      </c>
    </row>
    <row r="2077" spans="1:9" x14ac:dyDescent="0.15">
      <c r="A2077" t="str">
        <f t="shared" ref="A2077:B2077" si="1751">A2076</f>
        <v>英語</v>
      </c>
      <c r="B2077">
        <f t="shared" si="1751"/>
        <v>20</v>
      </c>
      <c r="C2077">
        <f t="shared" si="1724"/>
        <v>93</v>
      </c>
      <c r="D2077">
        <f>D1990</f>
        <v>33</v>
      </c>
      <c r="E2077" t="str">
        <f>VLOOKUP(D2077,name!A:B,2,1)</f>
        <v>Simon</v>
      </c>
      <c r="F2077" t="str">
        <f t="shared" si="1749"/>
        <v>あなたにお会いできてうれしいです、</v>
      </c>
      <c r="G2077" t="str">
        <f t="shared" si="1688"/>
        <v>a</v>
      </c>
      <c r="H2077" t="str">
        <f>VLOOKUP(D2077,name!A:C,3,1)</f>
        <v>assets/icons/image250.png</v>
      </c>
      <c r="I2077" t="s">
        <v>402</v>
      </c>
    </row>
    <row r="2078" spans="1:9" x14ac:dyDescent="0.15">
      <c r="A2078" t="str">
        <f t="shared" ref="A2078:B2078" si="1752">A2077</f>
        <v>英語</v>
      </c>
      <c r="B2078">
        <f t="shared" si="1752"/>
        <v>20</v>
      </c>
      <c r="C2078">
        <f t="shared" si="1724"/>
        <v>94</v>
      </c>
      <c r="D2078">
        <v>0</v>
      </c>
      <c r="E2078" t="str">
        <f>VLOOKUP(D2078,name!A:B,2,1)</f>
        <v>Player</v>
      </c>
      <c r="F2078" t="str">
        <f t="shared" si="1749"/>
        <v xml:space="preserve"> I'm glad to see you, </v>
      </c>
      <c r="G2078" t="str">
        <f t="shared" ref="G2078:G2109" si="1753">IF(B2078&lt;&gt;B2079,"e",IF(D2078=0,"q","a"))</f>
        <v>q</v>
      </c>
      <c r="H2078" t="str">
        <f>VLOOKUP(D2078,name!A:C,3,1)</f>
        <v>assets/icons/image326.png</v>
      </c>
      <c r="I2078" t="str">
        <f>IF(A2078="","",VLOOKUP(A2078,lng!A:B,2,0))</f>
        <v>en-GB</v>
      </c>
    </row>
    <row r="2079" spans="1:9" x14ac:dyDescent="0.15">
      <c r="A2079" t="str">
        <f t="shared" ref="A2079:B2079" si="1754">A2078</f>
        <v>英語</v>
      </c>
      <c r="B2079">
        <f t="shared" si="1754"/>
        <v>20</v>
      </c>
      <c r="C2079">
        <f t="shared" si="1724"/>
        <v>95</v>
      </c>
      <c r="D2079">
        <f>D1992</f>
        <v>33</v>
      </c>
      <c r="E2079" t="str">
        <f>VLOOKUP(D2079,name!A:B,2,1)</f>
        <v>Simon</v>
      </c>
      <c r="F2079" t="str">
        <f t="shared" si="1749"/>
        <v>でも、スーツケースや荷物を詰めるのに忙しくないのはなぜですか？</v>
      </c>
      <c r="G2079" t="str">
        <f t="shared" si="1753"/>
        <v>a</v>
      </c>
      <c r="H2079" t="str">
        <f>VLOOKUP(D2079,name!A:C,3,1)</f>
        <v>assets/icons/image250.png</v>
      </c>
      <c r="I2079" t="s">
        <v>402</v>
      </c>
    </row>
    <row r="2080" spans="1:9" x14ac:dyDescent="0.15">
      <c r="A2080" t="str">
        <f t="shared" ref="A2080:B2080" si="1755">A2079</f>
        <v>英語</v>
      </c>
      <c r="B2080">
        <f t="shared" si="1755"/>
        <v>20</v>
      </c>
      <c r="C2080">
        <f t="shared" si="1724"/>
        <v>96</v>
      </c>
      <c r="D2080">
        <v>0</v>
      </c>
      <c r="E2080" t="str">
        <f>VLOOKUP(D2080,name!A:B,2,1)</f>
        <v>Player</v>
      </c>
      <c r="F2080" t="str">
        <f t="shared" si="1749"/>
        <v>but how come you're not busy packing suitcases and things?</v>
      </c>
      <c r="G2080" t="str">
        <f t="shared" si="1753"/>
        <v>q</v>
      </c>
      <c r="H2080" t="str">
        <f>VLOOKUP(D2080,name!A:C,3,1)</f>
        <v>assets/icons/image326.png</v>
      </c>
      <c r="I2080" t="str">
        <f>IF(A2080="","",VLOOKUP(A2080,lng!A:B,2,0))</f>
        <v>en-GB</v>
      </c>
    </row>
    <row r="2081" spans="1:9" x14ac:dyDescent="0.15">
      <c r="A2081" t="str">
        <f t="shared" ref="A2081:B2081" si="1756">A2080</f>
        <v>英語</v>
      </c>
      <c r="B2081">
        <f t="shared" si="1756"/>
        <v>20</v>
      </c>
      <c r="C2081">
        <f t="shared" si="1724"/>
        <v>97</v>
      </c>
      <c r="D2081">
        <f>D1994</f>
        <v>33</v>
      </c>
      <c r="E2081" t="str">
        <f>VLOOKUP(D2081,name!A:B,2,1)</f>
        <v>Simon</v>
      </c>
      <c r="F2081" t="str">
        <f t="shared" si="1749"/>
        <v>あなたは明日東京に出発しますよね？</v>
      </c>
      <c r="G2081" t="str">
        <f t="shared" si="1753"/>
        <v>a</v>
      </c>
      <c r="H2081" t="str">
        <f>VLOOKUP(D2081,name!A:C,3,1)</f>
        <v>assets/icons/image250.png</v>
      </c>
      <c r="I2081" t="s">
        <v>402</v>
      </c>
    </row>
    <row r="2082" spans="1:9" x14ac:dyDescent="0.15">
      <c r="A2082" t="str">
        <f t="shared" ref="A2082:B2082" si="1757">A2081</f>
        <v>英語</v>
      </c>
      <c r="B2082">
        <f t="shared" si="1757"/>
        <v>20</v>
      </c>
      <c r="C2082">
        <f t="shared" si="1724"/>
        <v>98</v>
      </c>
      <c r="D2082">
        <v>0</v>
      </c>
      <c r="E2082" t="str">
        <f>VLOOKUP(D2082,name!A:B,2,1)</f>
        <v>Player</v>
      </c>
      <c r="F2082" t="str">
        <f t="shared" si="1749"/>
        <v>You're leaving for Tokyo tomorrow, aren't you?</v>
      </c>
      <c r="G2082" t="str">
        <f t="shared" si="1753"/>
        <v>q</v>
      </c>
      <c r="H2082" t="str">
        <f>VLOOKUP(D2082,name!A:C,3,1)</f>
        <v>assets/icons/image326.png</v>
      </c>
      <c r="I2082" t="str">
        <f>IF(A2082="","",VLOOKUP(A2082,lng!A:B,2,0))</f>
        <v>en-GB</v>
      </c>
    </row>
    <row r="2083" spans="1:9" x14ac:dyDescent="0.15">
      <c r="A2083" t="str">
        <f t="shared" ref="A2083:B2083" si="1758">A2082</f>
        <v>英語</v>
      </c>
      <c r="B2083">
        <f t="shared" si="1758"/>
        <v>20</v>
      </c>
      <c r="C2083">
        <f t="shared" si="1724"/>
        <v>99</v>
      </c>
      <c r="D2083">
        <f>D1996</f>
        <v>29</v>
      </c>
      <c r="E2083" t="str">
        <f>VLOOKUP(D2083,name!A:B,2,1)</f>
        <v>Eri</v>
      </c>
      <c r="F2083" t="str">
        <f t="shared" si="1749"/>
        <v>はい。でも、先にヒースローに 2 つの大きなスーツケースを引き取ってもらい、届けてもらいました。</v>
      </c>
      <c r="G2083" t="str">
        <f t="shared" si="1753"/>
        <v>a</v>
      </c>
      <c r="H2083" t="str">
        <f>VLOOKUP(D2083,name!A:C,3,1)</f>
        <v>assets/icons/image209.png</v>
      </c>
      <c r="I2083" t="s">
        <v>402</v>
      </c>
    </row>
    <row r="2084" spans="1:9" x14ac:dyDescent="0.15">
      <c r="A2084" t="str">
        <f t="shared" ref="A2084:B2084" si="1759">A2083</f>
        <v>英語</v>
      </c>
      <c r="B2084">
        <f t="shared" si="1759"/>
        <v>20</v>
      </c>
      <c r="C2084">
        <f t="shared" si="1724"/>
        <v>100</v>
      </c>
      <c r="D2084">
        <v>0</v>
      </c>
      <c r="E2084" t="str">
        <f>VLOOKUP(D2084,name!A:B,2,1)</f>
        <v>Player</v>
      </c>
      <c r="F2084" t="str">
        <f t="shared" si="1749"/>
        <v>Yes, but I had my two big cases picked up and delivered to Heathrow earlier.</v>
      </c>
      <c r="G2084" t="str">
        <f t="shared" si="1753"/>
        <v>q</v>
      </c>
      <c r="H2084" t="str">
        <f>VLOOKUP(D2084,name!A:C,3,1)</f>
        <v>assets/icons/image326.png</v>
      </c>
      <c r="I2084" t="str">
        <f>IF(A2084="","",VLOOKUP(A2084,lng!A:B,2,0))</f>
        <v>en-GB</v>
      </c>
    </row>
    <row r="2085" spans="1:9" x14ac:dyDescent="0.15">
      <c r="A2085" t="str">
        <f t="shared" ref="A2085:B2085" si="1760">A2084</f>
        <v>英語</v>
      </c>
      <c r="B2085">
        <f t="shared" si="1760"/>
        <v>20</v>
      </c>
      <c r="C2085">
        <f t="shared" si="1724"/>
        <v>101</v>
      </c>
      <c r="D2085">
        <f>D1998</f>
        <v>33</v>
      </c>
      <c r="E2085" t="str">
        <f>VLOOKUP(D2085,name!A:B,2,1)</f>
        <v>Simon</v>
      </c>
      <c r="F2085" t="str">
        <f t="shared" si="1749"/>
        <v>それは賢い考えです！</v>
      </c>
      <c r="G2085" t="str">
        <f t="shared" si="1753"/>
        <v>a</v>
      </c>
      <c r="H2085" t="str">
        <f>VLOOKUP(D2085,name!A:C,3,1)</f>
        <v>assets/icons/image250.png</v>
      </c>
      <c r="I2085" t="s">
        <v>402</v>
      </c>
    </row>
    <row r="2086" spans="1:9" x14ac:dyDescent="0.15">
      <c r="A2086" t="str">
        <f t="shared" ref="A2086:B2086" si="1761">A2085</f>
        <v>英語</v>
      </c>
      <c r="B2086">
        <f t="shared" si="1761"/>
        <v>20</v>
      </c>
      <c r="C2086">
        <f t="shared" si="1724"/>
        <v>102</v>
      </c>
      <c r="D2086">
        <v>0</v>
      </c>
      <c r="E2086" t="str">
        <f>VLOOKUP(D2086,name!A:B,2,1)</f>
        <v>Player</v>
      </c>
      <c r="F2086" t="str">
        <f t="shared" si="1749"/>
        <v>That's smart thinking!</v>
      </c>
      <c r="G2086" t="str">
        <f t="shared" si="1753"/>
        <v>q</v>
      </c>
      <c r="H2086" t="str">
        <f>VLOOKUP(D2086,name!A:C,3,1)</f>
        <v>assets/icons/image326.png</v>
      </c>
      <c r="I2086" t="str">
        <f>IF(A2086="","",VLOOKUP(A2086,lng!A:B,2,0))</f>
        <v>en-GB</v>
      </c>
    </row>
    <row r="2087" spans="1:9" x14ac:dyDescent="0.15">
      <c r="A2087" t="str">
        <f t="shared" ref="A2087:B2087" si="1762">A2086</f>
        <v>英語</v>
      </c>
      <c r="B2087">
        <f t="shared" si="1762"/>
        <v>20</v>
      </c>
      <c r="C2087">
        <f t="shared" si="1724"/>
        <v>103</v>
      </c>
      <c r="D2087">
        <f>D2000</f>
        <v>33</v>
      </c>
      <c r="E2087" t="str">
        <f>VLOOKUP(D2087,name!A:B,2,1)</f>
        <v>Simon</v>
      </c>
      <c r="F2087" t="str">
        <f t="shared" si="1749"/>
        <v>面倒な作業はすべて他の人に任せましょう。</v>
      </c>
      <c r="G2087" t="str">
        <f t="shared" si="1753"/>
        <v>a</v>
      </c>
      <c r="H2087" t="str">
        <f>VLOOKUP(D2087,name!A:C,3,1)</f>
        <v>assets/icons/image250.png</v>
      </c>
      <c r="I2087" t="s">
        <v>402</v>
      </c>
    </row>
    <row r="2088" spans="1:9" x14ac:dyDescent="0.15">
      <c r="A2088" t="str">
        <f t="shared" ref="A2088:B2088" si="1763">A2087</f>
        <v>英語</v>
      </c>
      <c r="B2088">
        <f t="shared" si="1763"/>
        <v>20</v>
      </c>
      <c r="C2088">
        <f t="shared" si="1724"/>
        <v>104</v>
      </c>
      <c r="D2088">
        <v>0</v>
      </c>
      <c r="E2088" t="str">
        <f>VLOOKUP(D2088,name!A:B,2,1)</f>
        <v>Player</v>
      </c>
      <c r="F2088" t="str">
        <f t="shared" si="1749"/>
        <v>Let someone else do all the heavy work.</v>
      </c>
      <c r="G2088" t="str">
        <f t="shared" si="1753"/>
        <v>q</v>
      </c>
      <c r="H2088" t="str">
        <f>VLOOKUP(D2088,name!A:C,3,1)</f>
        <v>assets/icons/image326.png</v>
      </c>
      <c r="I2088" t="str">
        <f>IF(A2088="","",VLOOKUP(A2088,lng!A:B,2,0))</f>
        <v>en-GB</v>
      </c>
    </row>
    <row r="2089" spans="1:9" x14ac:dyDescent="0.15">
      <c r="A2089" t="str">
        <f t="shared" ref="A2089:B2089" si="1764">A2088</f>
        <v>英語</v>
      </c>
      <c r="B2089">
        <f t="shared" si="1764"/>
        <v>20</v>
      </c>
      <c r="C2089">
        <f t="shared" si="1724"/>
        <v>105</v>
      </c>
      <c r="D2089">
        <f>D2002</f>
        <v>29</v>
      </c>
      <c r="E2089" t="str">
        <f>VLOOKUP(D2089,name!A:B,2,1)</f>
        <v>Eri</v>
      </c>
      <c r="F2089" t="str">
        <f t="shared" si="1749"/>
        <v>これはすてきな庭です。</v>
      </c>
      <c r="G2089" t="str">
        <f t="shared" si="1753"/>
        <v>a</v>
      </c>
      <c r="H2089" t="str">
        <f>VLOOKUP(D2089,name!A:C,3,1)</f>
        <v>assets/icons/image209.png</v>
      </c>
      <c r="I2089" t="s">
        <v>402</v>
      </c>
    </row>
    <row r="2090" spans="1:9" x14ac:dyDescent="0.15">
      <c r="A2090" t="str">
        <f t="shared" ref="A2090:B2090" si="1765">A2089</f>
        <v>英語</v>
      </c>
      <c r="B2090">
        <f t="shared" si="1765"/>
        <v>20</v>
      </c>
      <c r="C2090">
        <f t="shared" si="1724"/>
        <v>106</v>
      </c>
      <c r="D2090">
        <v>0</v>
      </c>
      <c r="E2090" t="str">
        <f>VLOOKUP(D2090,name!A:B,2,1)</f>
        <v>Player</v>
      </c>
      <c r="F2090" t="str">
        <f t="shared" si="1749"/>
        <v>This is a lovely garden.</v>
      </c>
      <c r="G2090" t="str">
        <f t="shared" si="1753"/>
        <v>q</v>
      </c>
      <c r="H2090" t="str">
        <f>VLOOKUP(D2090,name!A:C,3,1)</f>
        <v>assets/icons/image326.png</v>
      </c>
      <c r="I2090" t="str">
        <f>IF(A2090="","",VLOOKUP(A2090,lng!A:B,2,0))</f>
        <v>en-GB</v>
      </c>
    </row>
    <row r="2091" spans="1:9" x14ac:dyDescent="0.15">
      <c r="A2091" t="str">
        <f t="shared" ref="A2091:B2091" si="1766">A2090</f>
        <v>英語</v>
      </c>
      <c r="B2091">
        <f t="shared" si="1766"/>
        <v>20</v>
      </c>
      <c r="C2091">
        <f t="shared" si="1724"/>
        <v>107</v>
      </c>
      <c r="D2091">
        <f>D2004</f>
        <v>29</v>
      </c>
      <c r="E2091" t="str">
        <f>VLOOKUP(D2091,name!A:B,2,1)</f>
        <v>Eri</v>
      </c>
      <c r="F2091" t="str">
        <f t="shared" si="1749"/>
        <v>今日は風が強くて寒いのが残念です。</v>
      </c>
      <c r="G2091" t="str">
        <f t="shared" si="1753"/>
        <v>a</v>
      </c>
      <c r="H2091" t="str">
        <f>VLOOKUP(D2091,name!A:C,3,1)</f>
        <v>assets/icons/image209.png</v>
      </c>
      <c r="I2091" t="s">
        <v>402</v>
      </c>
    </row>
    <row r="2092" spans="1:9" x14ac:dyDescent="0.15">
      <c r="A2092" t="str">
        <f t="shared" ref="A2092:B2092" si="1767">A2091</f>
        <v>英語</v>
      </c>
      <c r="B2092">
        <f t="shared" si="1767"/>
        <v>20</v>
      </c>
      <c r="C2092">
        <f t="shared" si="1724"/>
        <v>108</v>
      </c>
      <c r="D2092">
        <v>0</v>
      </c>
      <c r="E2092" t="str">
        <f>VLOOKUP(D2092,name!A:B,2,1)</f>
        <v>Player</v>
      </c>
      <c r="F2092" t="str">
        <f t="shared" si="1749"/>
        <v xml:space="preserve"> It's a pity it's so windy and cold today.</v>
      </c>
      <c r="G2092" t="str">
        <f t="shared" si="1753"/>
        <v>q</v>
      </c>
      <c r="H2092" t="str">
        <f>VLOOKUP(D2092,name!A:C,3,1)</f>
        <v>assets/icons/image326.png</v>
      </c>
      <c r="I2092" t="str">
        <f>IF(A2092="","",VLOOKUP(A2092,lng!A:B,2,0))</f>
        <v>en-GB</v>
      </c>
    </row>
    <row r="2093" spans="1:9" x14ac:dyDescent="0.15">
      <c r="A2093" t="str">
        <f t="shared" ref="A2093:B2093" si="1768">A2092</f>
        <v>英語</v>
      </c>
      <c r="B2093">
        <f t="shared" si="1768"/>
        <v>20</v>
      </c>
      <c r="C2093">
        <f t="shared" si="1724"/>
        <v>109</v>
      </c>
      <c r="D2093">
        <f>D2006</f>
        <v>33</v>
      </c>
      <c r="E2093" t="str">
        <f>VLOOKUP(D2093,name!A:B,2,1)</f>
        <v>Simon</v>
      </c>
      <c r="F2093" t="str">
        <f t="shared" si="1749"/>
        <v>さて、 なにせいよいよ3月だからね。</v>
      </c>
      <c r="G2093" t="str">
        <f t="shared" si="1753"/>
        <v>a</v>
      </c>
      <c r="H2093" t="str">
        <f>VLOOKUP(D2093,name!A:C,3,1)</f>
        <v>assets/icons/image250.png</v>
      </c>
      <c r="I2093" t="s">
        <v>402</v>
      </c>
    </row>
    <row r="2094" spans="1:9" x14ac:dyDescent="0.15">
      <c r="A2094" t="str">
        <f t="shared" ref="A2094:B2094" si="1769">A2093</f>
        <v>英語</v>
      </c>
      <c r="B2094">
        <f t="shared" si="1769"/>
        <v>20</v>
      </c>
      <c r="C2094">
        <f t="shared" si="1724"/>
        <v>110</v>
      </c>
      <c r="D2094">
        <v>0</v>
      </c>
      <c r="E2094" t="str">
        <f>VLOOKUP(D2094,name!A:B,2,1)</f>
        <v>Player</v>
      </c>
      <c r="F2094" t="str">
        <f t="shared" si="1749"/>
        <v>Well, it is March, after all.</v>
      </c>
      <c r="G2094" t="str">
        <f t="shared" si="1753"/>
        <v>q</v>
      </c>
      <c r="H2094" t="str">
        <f>VLOOKUP(D2094,name!A:C,3,1)</f>
        <v>assets/icons/image326.png</v>
      </c>
      <c r="I2094" t="str">
        <f>IF(A2094="","",VLOOKUP(A2094,lng!A:B,2,0))</f>
        <v>en-GB</v>
      </c>
    </row>
    <row r="2095" spans="1:9" x14ac:dyDescent="0.15">
      <c r="A2095" t="str">
        <f t="shared" ref="A2095:B2095" si="1770">A2094</f>
        <v>英語</v>
      </c>
      <c r="B2095">
        <f t="shared" si="1770"/>
        <v>20</v>
      </c>
      <c r="C2095">
        <f t="shared" si="1724"/>
        <v>111</v>
      </c>
      <c r="D2095">
        <f>D2008</f>
        <v>33</v>
      </c>
      <c r="E2095" t="str">
        <f>VLOOKUP(D2095,name!A:B,2,1)</f>
        <v>Simon</v>
      </c>
      <c r="F2095" t="str">
        <f t="shared" si="1749"/>
        <v xml:space="preserve"> 「まだライオンでこれから仔羊」</v>
      </c>
      <c r="G2095" t="str">
        <f t="shared" si="1753"/>
        <v>a</v>
      </c>
      <c r="H2095" t="str">
        <f>VLOOKUP(D2095,name!A:C,3,1)</f>
        <v>assets/icons/image250.png</v>
      </c>
      <c r="I2095" t="s">
        <v>402</v>
      </c>
    </row>
    <row r="2096" spans="1:9" x14ac:dyDescent="0.15">
      <c r="A2096" t="str">
        <f t="shared" ref="A2096:B2096" si="1771">A2095</f>
        <v>英語</v>
      </c>
      <c r="B2096">
        <f t="shared" si="1771"/>
        <v>20</v>
      </c>
      <c r="C2096">
        <f t="shared" si="1724"/>
        <v>112</v>
      </c>
      <c r="D2096">
        <v>0</v>
      </c>
      <c r="E2096" t="str">
        <f>VLOOKUP(D2096,name!A:B,2,1)</f>
        <v>Player</v>
      </c>
      <c r="F2096" t="str">
        <f t="shared" si="1749"/>
        <v xml:space="preserve"> 'In like a lion, out like a lamb',</v>
      </c>
      <c r="G2096" t="str">
        <f t="shared" si="1753"/>
        <v>q</v>
      </c>
      <c r="H2096" t="str">
        <f>VLOOKUP(D2096,name!A:C,3,1)</f>
        <v>assets/icons/image326.png</v>
      </c>
      <c r="I2096" t="str">
        <f>IF(A2096="","",VLOOKUP(A2096,lng!A:B,2,0))</f>
        <v>en-GB</v>
      </c>
    </row>
    <row r="2097" spans="1:9" x14ac:dyDescent="0.15">
      <c r="A2097" t="str">
        <f t="shared" ref="A2097:B2097" si="1772">A2096</f>
        <v>英語</v>
      </c>
      <c r="B2097">
        <f t="shared" si="1772"/>
        <v>20</v>
      </c>
      <c r="C2097">
        <f t="shared" si="1724"/>
        <v>113</v>
      </c>
      <c r="D2097">
        <f>D2010</f>
        <v>33</v>
      </c>
      <c r="E2097" t="str">
        <f>VLOOKUP(D2097,name!A:B,2,1)</f>
        <v>Simon</v>
      </c>
      <c r="F2097" t="str">
        <f t="shared" si="1749"/>
        <v>そう私たちは言っています。</v>
      </c>
      <c r="G2097" t="str">
        <f t="shared" si="1753"/>
        <v>a</v>
      </c>
      <c r="H2097" t="str">
        <f>VLOOKUP(D2097,name!A:C,3,1)</f>
        <v>assets/icons/image250.png</v>
      </c>
      <c r="I2097" t="s">
        <v>402</v>
      </c>
    </row>
    <row r="2098" spans="1:9" x14ac:dyDescent="0.15">
      <c r="A2098" t="str">
        <f t="shared" ref="A2098:B2098" si="1773">A2097</f>
        <v>英語</v>
      </c>
      <c r="B2098">
        <f t="shared" si="1773"/>
        <v>20</v>
      </c>
      <c r="C2098">
        <f t="shared" si="1724"/>
        <v>114</v>
      </c>
      <c r="D2098">
        <v>0</v>
      </c>
      <c r="E2098" t="str">
        <f>VLOOKUP(D2098,name!A:B,2,1)</f>
        <v>Player</v>
      </c>
      <c r="F2098" t="str">
        <f t="shared" si="1749"/>
        <v>that's what we say.</v>
      </c>
      <c r="G2098" t="str">
        <f t="shared" si="1753"/>
        <v>q</v>
      </c>
      <c r="H2098" t="str">
        <f>VLOOKUP(D2098,name!A:C,3,1)</f>
        <v>assets/icons/image326.png</v>
      </c>
      <c r="I2098" t="str">
        <f>IF(A2098="","",VLOOKUP(A2098,lng!A:B,2,0))</f>
        <v>en-GB</v>
      </c>
    </row>
    <row r="2099" spans="1:9" x14ac:dyDescent="0.15">
      <c r="A2099" t="str">
        <f t="shared" ref="A2099:B2099" si="1774">A2098</f>
        <v>英語</v>
      </c>
      <c r="B2099">
        <f t="shared" si="1774"/>
        <v>20</v>
      </c>
      <c r="C2099">
        <f t="shared" si="1724"/>
        <v>115</v>
      </c>
      <c r="D2099">
        <f>D2012</f>
        <v>29</v>
      </c>
      <c r="E2099" t="str">
        <f>VLOOKUP(D2099,name!A:B,2,1)</f>
        <v>Eri</v>
      </c>
      <c r="F2099" t="str">
        <f t="shared" si="1749"/>
        <v>東京のベランダに庭を作りたいです。</v>
      </c>
      <c r="G2099" t="str">
        <f t="shared" si="1753"/>
        <v>a</v>
      </c>
      <c r="H2099" t="str">
        <f>VLOOKUP(D2099,name!A:C,3,1)</f>
        <v>assets/icons/image209.png</v>
      </c>
      <c r="I2099" t="s">
        <v>402</v>
      </c>
    </row>
    <row r="2100" spans="1:9" x14ac:dyDescent="0.15">
      <c r="A2100" t="str">
        <f t="shared" ref="A2100:B2100" si="1775">A2099</f>
        <v>英語</v>
      </c>
      <c r="B2100">
        <f t="shared" si="1775"/>
        <v>20</v>
      </c>
      <c r="C2100">
        <f t="shared" si="1724"/>
        <v>116</v>
      </c>
      <c r="D2100">
        <v>0</v>
      </c>
      <c r="E2100" t="str">
        <f>VLOOKUP(D2100,name!A:B,2,1)</f>
        <v>Player</v>
      </c>
      <c r="F2100" t="str">
        <f t="shared" si="1749"/>
        <v>I'd like to make a garden on my balcony in Tokyo.</v>
      </c>
      <c r="G2100" t="str">
        <f t="shared" si="1753"/>
        <v>q</v>
      </c>
      <c r="H2100" t="str">
        <f>VLOOKUP(D2100,name!A:C,3,1)</f>
        <v>assets/icons/image326.png</v>
      </c>
      <c r="I2100" t="str">
        <f>IF(A2100="","",VLOOKUP(A2100,lng!A:B,2,0))</f>
        <v>en-GB</v>
      </c>
    </row>
    <row r="2101" spans="1:9" x14ac:dyDescent="0.15">
      <c r="A2101" t="str">
        <f t="shared" ref="A2101:B2101" si="1776">A2100</f>
        <v>英語</v>
      </c>
      <c r="B2101">
        <f t="shared" si="1776"/>
        <v>20</v>
      </c>
      <c r="C2101">
        <f t="shared" si="1724"/>
        <v>117</v>
      </c>
      <c r="D2101">
        <f>D2014</f>
        <v>29</v>
      </c>
      <c r="E2101" t="str">
        <f>VLOOKUP(D2101,name!A:B,2,1)</f>
        <v>Eri</v>
      </c>
      <c r="F2101" t="str">
        <f t="shared" si="1749"/>
        <v>難しいと思いますか？</v>
      </c>
      <c r="G2101" t="str">
        <f t="shared" si="1753"/>
        <v>a</v>
      </c>
      <c r="H2101" t="str">
        <f>VLOOKUP(D2101,name!A:C,3,1)</f>
        <v>assets/icons/image209.png</v>
      </c>
      <c r="I2101" t="s">
        <v>402</v>
      </c>
    </row>
    <row r="2102" spans="1:9" x14ac:dyDescent="0.15">
      <c r="A2102" t="str">
        <f t="shared" ref="A2102:B2102" si="1777">A2101</f>
        <v>英語</v>
      </c>
      <c r="B2102">
        <f t="shared" si="1777"/>
        <v>20</v>
      </c>
      <c r="C2102">
        <f t="shared" si="1724"/>
        <v>118</v>
      </c>
      <c r="D2102">
        <v>0</v>
      </c>
      <c r="E2102" t="str">
        <f>VLOOKUP(D2102,name!A:B,2,1)</f>
        <v>Player</v>
      </c>
      <c r="F2102" t="str">
        <f t="shared" si="1749"/>
        <v>Do you think it's difficult?</v>
      </c>
      <c r="G2102" t="str">
        <f t="shared" si="1753"/>
        <v>q</v>
      </c>
      <c r="H2102" t="str">
        <f>VLOOKUP(D2102,name!A:C,3,1)</f>
        <v>assets/icons/image326.png</v>
      </c>
      <c r="I2102" t="str">
        <f>IF(A2102="","",VLOOKUP(A2102,lng!A:B,2,0))</f>
        <v>en-GB</v>
      </c>
    </row>
    <row r="2103" spans="1:9" x14ac:dyDescent="0.15">
      <c r="A2103" t="str">
        <f t="shared" ref="A2103:B2103" si="1778">A2102</f>
        <v>英語</v>
      </c>
      <c r="B2103">
        <f t="shared" si="1778"/>
        <v>20</v>
      </c>
      <c r="C2103">
        <f t="shared" si="1724"/>
        <v>119</v>
      </c>
      <c r="D2103">
        <f>D2016</f>
        <v>33</v>
      </c>
      <c r="E2103" t="str">
        <f>VLOOKUP(D2103,name!A:B,2,1)</f>
        <v>Simon</v>
      </c>
      <c r="F2103" t="str">
        <f t="shared" si="1749"/>
        <v>たくさんの本やウェブサイトがあり、アドバイスが満載です。</v>
      </c>
      <c r="G2103" t="str">
        <f t="shared" si="1753"/>
        <v>a</v>
      </c>
      <c r="H2103" t="str">
        <f>VLOOKUP(D2103,name!A:C,3,1)</f>
        <v>assets/icons/image250.png</v>
      </c>
      <c r="I2103" t="s">
        <v>402</v>
      </c>
    </row>
    <row r="2104" spans="1:9" x14ac:dyDescent="0.15">
      <c r="A2104" t="str">
        <f t="shared" ref="A2104:B2104" si="1779">A2103</f>
        <v>英語</v>
      </c>
      <c r="B2104">
        <f t="shared" si="1779"/>
        <v>20</v>
      </c>
      <c r="C2104">
        <f t="shared" si="1724"/>
        <v>120</v>
      </c>
      <c r="D2104">
        <v>0</v>
      </c>
      <c r="E2104" t="str">
        <f>VLOOKUP(D2104,name!A:B,2,1)</f>
        <v>Player</v>
      </c>
      <c r="F2104" t="str">
        <f t="shared" si="1749"/>
        <v>There are loads of books and websites available, full of advice.</v>
      </c>
      <c r="G2104" t="str">
        <f t="shared" si="1753"/>
        <v>q</v>
      </c>
      <c r="H2104" t="str">
        <f>VLOOKUP(D2104,name!A:C,3,1)</f>
        <v>assets/icons/image326.png</v>
      </c>
      <c r="I2104" t="str">
        <f>IF(A2104="","",VLOOKUP(A2104,lng!A:B,2,0))</f>
        <v>en-GB</v>
      </c>
    </row>
    <row r="2105" spans="1:9" x14ac:dyDescent="0.15">
      <c r="A2105" t="str">
        <f t="shared" ref="A2105:B2105" si="1780">A2104</f>
        <v>英語</v>
      </c>
      <c r="B2105">
        <f t="shared" si="1780"/>
        <v>20</v>
      </c>
      <c r="C2105">
        <f t="shared" si="1724"/>
        <v>121</v>
      </c>
      <c r="D2105">
        <f>D2018</f>
        <v>33</v>
      </c>
      <c r="E2105" t="str">
        <f>VLOOKUP(D2105,name!A:B,2,1)</f>
        <v>Simon</v>
      </c>
      <c r="F2105" t="str">
        <f t="shared" si="1749"/>
        <v>イモムシ、ナメクジ、カタツムリから目を離さないようにしてください。</v>
      </c>
      <c r="G2105" t="str">
        <f t="shared" si="1753"/>
        <v>a</v>
      </c>
      <c r="H2105" t="str">
        <f>VLOOKUP(D2105,name!A:C,3,1)</f>
        <v>assets/icons/image250.png</v>
      </c>
      <c r="I2105" t="s">
        <v>402</v>
      </c>
    </row>
    <row r="2106" spans="1:9" x14ac:dyDescent="0.15">
      <c r="A2106" t="str">
        <f t="shared" ref="A2106:B2106" si="1781">A2105</f>
        <v>英語</v>
      </c>
      <c r="B2106">
        <f t="shared" si="1781"/>
        <v>20</v>
      </c>
      <c r="C2106">
        <f t="shared" si="1724"/>
        <v>122</v>
      </c>
      <c r="D2106">
        <v>0</v>
      </c>
      <c r="E2106" t="str">
        <f>VLOOKUP(D2106,name!A:B,2,1)</f>
        <v>Player</v>
      </c>
      <c r="F2106" t="str">
        <f t="shared" si="1749"/>
        <v>Just remember to keep an eye on the caterpillars, slugs, and snails.</v>
      </c>
      <c r="G2106" t="str">
        <f t="shared" si="1753"/>
        <v>q</v>
      </c>
      <c r="H2106" t="str">
        <f>VLOOKUP(D2106,name!A:C,3,1)</f>
        <v>assets/icons/image326.png</v>
      </c>
      <c r="I2106" t="str">
        <f>IF(A2106="","",VLOOKUP(A2106,lng!A:B,2,0))</f>
        <v>en-GB</v>
      </c>
    </row>
    <row r="2107" spans="1:9" x14ac:dyDescent="0.15">
      <c r="A2107" t="str">
        <f t="shared" ref="A2107:B2107" si="1782">A2106</f>
        <v>英語</v>
      </c>
      <c r="B2107">
        <f t="shared" si="1782"/>
        <v>20</v>
      </c>
      <c r="C2107">
        <f t="shared" si="1724"/>
        <v>123</v>
      </c>
      <c r="D2107">
        <f>D2020</f>
        <v>33</v>
      </c>
      <c r="E2107" t="str">
        <f>VLOOKUP(D2107,name!A:B,2,1)</f>
        <v>Simon</v>
      </c>
      <c r="F2107" t="str">
        <f t="shared" si="1749"/>
        <v>そして私たちに写真を送ってください！</v>
      </c>
      <c r="G2107" t="str">
        <f t="shared" si="1753"/>
        <v>a</v>
      </c>
      <c r="H2107" t="str">
        <f>VLOOKUP(D2107,name!A:C,3,1)</f>
        <v>assets/icons/image250.png</v>
      </c>
      <c r="I2107" t="s">
        <v>402</v>
      </c>
    </row>
    <row r="2108" spans="1:9" x14ac:dyDescent="0.15">
      <c r="A2108" t="str">
        <f t="shared" ref="A2108:B2108" si="1783">A2107</f>
        <v>英語</v>
      </c>
      <c r="B2108">
        <f t="shared" si="1783"/>
        <v>20</v>
      </c>
      <c r="C2108">
        <f t="shared" si="1724"/>
        <v>124</v>
      </c>
      <c r="D2108">
        <v>0</v>
      </c>
      <c r="E2108" t="str">
        <f>VLOOKUP(D2108,name!A:B,2,1)</f>
        <v>Player</v>
      </c>
      <c r="F2108" t="str">
        <f t="shared" si="1749"/>
        <v>And do send us pictures!</v>
      </c>
      <c r="G2108" t="str">
        <f t="shared" si="1753"/>
        <v>q</v>
      </c>
      <c r="H2108" t="str">
        <f>VLOOKUP(D2108,name!A:C,3,1)</f>
        <v>assets/icons/image326.png</v>
      </c>
      <c r="I2108" t="str">
        <f>IF(A2108="","",VLOOKUP(A2108,lng!A:B,2,0))</f>
        <v>en-GB</v>
      </c>
    </row>
    <row r="2109" spans="1:9" x14ac:dyDescent="0.15">
      <c r="A2109" t="str">
        <f t="shared" ref="A2109:B2109" si="1784">A2108</f>
        <v>英語</v>
      </c>
      <c r="B2109">
        <f t="shared" si="1784"/>
        <v>20</v>
      </c>
      <c r="C2109">
        <f t="shared" si="1724"/>
        <v>125</v>
      </c>
      <c r="D2109">
        <v>1</v>
      </c>
      <c r="E2109" t="str">
        <f>VLOOKUP(D2109,name!A:B,2,1)</f>
        <v>Navigator</v>
      </c>
      <c r="F2109" t="str">
        <f>"とても良くできました。レッスン"&amp;B2109&amp;"はこれで終了です。"</f>
        <v>とても良くできました。レッスン20はこれで終了です。</v>
      </c>
      <c r="G2109" t="str">
        <f t="shared" si="1753"/>
        <v>e</v>
      </c>
      <c r="H2109" t="str">
        <f>VLOOKUP(D2109,name!A:C,3,1)</f>
        <v>assets/icons/image014.png</v>
      </c>
      <c r="I2109" t="s">
        <v>402</v>
      </c>
    </row>
  </sheetData>
  <phoneticPr fontId="1"/>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616" operator="containsText" id="{354324D1-2780-4CFA-8138-08D349C6EA0B}">
            <xm:f>NOT(ISERROR(SEARCH($G$4,G2110)))</xm:f>
            <xm:f>$G$4</xm:f>
            <x14:dxf>
              <font>
                <color auto="1"/>
              </font>
              <fill>
                <patternFill>
                  <bgColor rgb="FFFFC000"/>
                </patternFill>
              </fill>
            </x14:dxf>
          </x14:cfRule>
          <xm:sqref>G2110:G1048576</xm:sqref>
        </x14:conditionalFormatting>
        <x14:conditionalFormatting xmlns:xm="http://schemas.microsoft.com/office/excel/2006/main">
          <x14:cfRule type="containsText" priority="37" operator="containsText" id="{8DE396A9-3D7D-486A-AAE7-8B8980200441}">
            <xm:f>NOT(ISERROR(SEARCH(#REF!,G2)))</xm:f>
            <xm:f>#REF!</xm:f>
            <x14:dxf>
              <font>
                <color auto="1"/>
              </font>
              <fill>
                <patternFill>
                  <bgColor rgb="FFFFC000"/>
                </patternFill>
              </fill>
            </x14:dxf>
          </x14:cfRule>
          <xm:sqref>G2:G2109</xm:sqref>
        </x14:conditionalFormatting>
        <x14:conditionalFormatting xmlns:xm="http://schemas.microsoft.com/office/excel/2006/main">
          <x14:cfRule type="containsText" priority="21" operator="containsText" id="{2687D8D3-BAAA-4C43-AC35-ED8E24421BD1}">
            <xm:f>NOT(ISERROR(SEARCH($G$4,G1)))</xm:f>
            <xm:f>$G$4</xm:f>
            <x14:dxf>
              <font>
                <color auto="1"/>
              </font>
              <fill>
                <patternFill>
                  <bgColor rgb="FFFFC000"/>
                </patternFill>
              </fill>
            </x14:dxf>
          </x14:cfRule>
          <xm:sqref>G1:I1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L1270"/>
  <sheetViews>
    <sheetView workbookViewId="0">
      <selection activeCell="L1266" sqref="L1266"/>
    </sheetView>
  </sheetViews>
  <sheetFormatPr defaultRowHeight="13.5" x14ac:dyDescent="0.15"/>
  <sheetData>
    <row r="2" spans="1:8" x14ac:dyDescent="0.15">
      <c r="A2" t="s">
        <v>57</v>
      </c>
      <c r="B2" t="s">
        <v>408</v>
      </c>
      <c r="F2" t="s">
        <v>74</v>
      </c>
      <c r="G2" t="s">
        <v>75</v>
      </c>
      <c r="H2" t="s">
        <v>76</v>
      </c>
    </row>
    <row r="3" spans="1:8" x14ac:dyDescent="0.15">
      <c r="A3" t="s">
        <v>9</v>
      </c>
      <c r="B3" t="s">
        <v>409</v>
      </c>
      <c r="F3" t="s">
        <v>77</v>
      </c>
      <c r="G3" t="s">
        <v>78</v>
      </c>
      <c r="H3" t="s">
        <v>79</v>
      </c>
    </row>
    <row r="4" spans="1:8" x14ac:dyDescent="0.15">
      <c r="A4" t="s">
        <v>13</v>
      </c>
      <c r="B4" t="s">
        <v>410</v>
      </c>
      <c r="F4" t="s">
        <v>80</v>
      </c>
      <c r="G4" t="s">
        <v>81</v>
      </c>
      <c r="H4" t="s">
        <v>82</v>
      </c>
    </row>
    <row r="5" spans="1:8" x14ac:dyDescent="0.15">
      <c r="A5" t="s">
        <v>37</v>
      </c>
      <c r="B5" t="s">
        <v>414</v>
      </c>
      <c r="F5" t="s">
        <v>64</v>
      </c>
      <c r="G5" t="s">
        <v>83</v>
      </c>
      <c r="H5" t="s">
        <v>84</v>
      </c>
    </row>
    <row r="6" spans="1:8" x14ac:dyDescent="0.15">
      <c r="A6" t="s">
        <v>61</v>
      </c>
      <c r="B6" t="s">
        <v>413</v>
      </c>
      <c r="F6" t="s">
        <v>85</v>
      </c>
      <c r="G6" t="s">
        <v>86</v>
      </c>
      <c r="H6" t="s">
        <v>87</v>
      </c>
    </row>
    <row r="7" spans="1:8" x14ac:dyDescent="0.15">
      <c r="A7" t="s">
        <v>63</v>
      </c>
      <c r="B7" t="s">
        <v>415</v>
      </c>
      <c r="F7" t="s">
        <v>88</v>
      </c>
      <c r="G7" t="s">
        <v>89</v>
      </c>
      <c r="H7" t="s">
        <v>92</v>
      </c>
    </row>
    <row r="8" spans="1:8" x14ac:dyDescent="0.15">
      <c r="A8" t="s">
        <v>65</v>
      </c>
      <c r="B8" t="s">
        <v>412</v>
      </c>
      <c r="G8" t="s">
        <v>90</v>
      </c>
    </row>
    <row r="9" spans="1:8" x14ac:dyDescent="0.15">
      <c r="A9" t="s">
        <v>67</v>
      </c>
      <c r="B9" t="s">
        <v>411</v>
      </c>
      <c r="G9" t="s">
        <v>91</v>
      </c>
    </row>
    <row r="10" spans="1:8" x14ac:dyDescent="0.15">
      <c r="A10" t="s">
        <v>69</v>
      </c>
      <c r="B10" t="s">
        <v>416</v>
      </c>
      <c r="F10" t="s">
        <v>400</v>
      </c>
      <c r="G10" t="s">
        <v>93</v>
      </c>
      <c r="H10" t="s">
        <v>94</v>
      </c>
    </row>
    <row r="11" spans="1:8" x14ac:dyDescent="0.15">
      <c r="A11" t="s">
        <v>140</v>
      </c>
      <c r="B11" t="s">
        <v>417</v>
      </c>
      <c r="F11" t="s">
        <v>95</v>
      </c>
      <c r="G11" t="s">
        <v>96</v>
      </c>
      <c r="H11" t="s">
        <v>97</v>
      </c>
    </row>
    <row r="12" spans="1:8" x14ac:dyDescent="0.15">
      <c r="A12" t="s">
        <v>144</v>
      </c>
      <c r="B12" t="s">
        <v>418</v>
      </c>
      <c r="F12" t="s">
        <v>98</v>
      </c>
      <c r="G12" t="s">
        <v>99</v>
      </c>
      <c r="H12" t="s">
        <v>100</v>
      </c>
    </row>
    <row r="13" spans="1:8" x14ac:dyDescent="0.15">
      <c r="A13" t="s">
        <v>220</v>
      </c>
      <c r="B13" t="s">
        <v>419</v>
      </c>
      <c r="F13" t="s">
        <v>101</v>
      </c>
      <c r="G13" t="s">
        <v>102</v>
      </c>
      <c r="H13" t="s">
        <v>103</v>
      </c>
    </row>
    <row r="14" spans="1:8" x14ac:dyDescent="0.15">
      <c r="A14" t="s">
        <v>336</v>
      </c>
      <c r="B14" t="s">
        <v>420</v>
      </c>
      <c r="F14" t="s">
        <v>104</v>
      </c>
      <c r="G14" t="s">
        <v>105</v>
      </c>
      <c r="H14" t="s">
        <v>106</v>
      </c>
    </row>
    <row r="15" spans="1:8" x14ac:dyDescent="0.15">
      <c r="F15" t="s">
        <v>107</v>
      </c>
      <c r="G15" t="s">
        <v>108</v>
      </c>
      <c r="H15" t="s">
        <v>109</v>
      </c>
    </row>
    <row r="16" spans="1:8" x14ac:dyDescent="0.15">
      <c r="F16" t="s">
        <v>110</v>
      </c>
      <c r="G16" t="s">
        <v>112</v>
      </c>
      <c r="H16" t="s">
        <v>114</v>
      </c>
    </row>
    <row r="17" spans="6:8" x14ac:dyDescent="0.15">
      <c r="F17" t="s">
        <v>111</v>
      </c>
      <c r="G17" t="s">
        <v>113</v>
      </c>
    </row>
    <row r="18" spans="6:8" x14ac:dyDescent="0.15">
      <c r="F18" t="s">
        <v>115</v>
      </c>
      <c r="G18" t="s">
        <v>116</v>
      </c>
      <c r="H18" t="s">
        <v>118</v>
      </c>
    </row>
    <row r="19" spans="6:8" x14ac:dyDescent="0.15">
      <c r="G19" t="s">
        <v>117</v>
      </c>
    </row>
    <row r="20" spans="6:8" x14ac:dyDescent="0.15">
      <c r="F20" t="s">
        <v>59</v>
      </c>
      <c r="G20" t="s">
        <v>119</v>
      </c>
      <c r="H20" t="s">
        <v>73</v>
      </c>
    </row>
    <row r="21" spans="6:8" x14ac:dyDescent="0.15">
      <c r="F21" t="s">
        <v>120</v>
      </c>
      <c r="G21" t="s">
        <v>121</v>
      </c>
      <c r="H21" t="s">
        <v>122</v>
      </c>
    </row>
    <row r="22" spans="6:8" x14ac:dyDescent="0.15">
      <c r="F22" t="s">
        <v>123</v>
      </c>
      <c r="G22" t="s">
        <v>124</v>
      </c>
      <c r="H22" t="s">
        <v>125</v>
      </c>
    </row>
    <row r="23" spans="6:8" x14ac:dyDescent="0.15">
      <c r="F23" t="s">
        <v>126</v>
      </c>
      <c r="G23" t="s">
        <v>127</v>
      </c>
      <c r="H23" t="s">
        <v>129</v>
      </c>
    </row>
    <row r="24" spans="6:8" x14ac:dyDescent="0.15">
      <c r="G24" t="s">
        <v>128</v>
      </c>
    </row>
    <row r="25" spans="6:8" x14ac:dyDescent="0.15">
      <c r="F25" t="s">
        <v>130</v>
      </c>
      <c r="G25" t="s">
        <v>131</v>
      </c>
      <c r="H25" t="s">
        <v>132</v>
      </c>
    </row>
    <row r="26" spans="6:8" x14ac:dyDescent="0.15">
      <c r="F26" t="s">
        <v>133</v>
      </c>
      <c r="G26" t="s">
        <v>134</v>
      </c>
      <c r="H26" t="s">
        <v>136</v>
      </c>
    </row>
    <row r="27" spans="6:8" x14ac:dyDescent="0.15">
      <c r="G27" t="s">
        <v>135</v>
      </c>
    </row>
    <row r="28" spans="6:8" x14ac:dyDescent="0.15">
      <c r="F28" t="s">
        <v>137</v>
      </c>
      <c r="G28" t="s">
        <v>138</v>
      </c>
      <c r="H28" t="s">
        <v>139</v>
      </c>
    </row>
    <row r="29" spans="6:8" x14ac:dyDescent="0.15">
      <c r="F29" t="s">
        <v>140</v>
      </c>
      <c r="G29" t="s">
        <v>141</v>
      </c>
      <c r="H29" t="s">
        <v>142</v>
      </c>
    </row>
    <row r="30" spans="6:8" x14ac:dyDescent="0.15">
      <c r="F30" t="s">
        <v>56</v>
      </c>
      <c r="G30" t="s">
        <v>143</v>
      </c>
      <c r="H30" t="s">
        <v>70</v>
      </c>
    </row>
    <row r="31" spans="6:8" x14ac:dyDescent="0.15">
      <c r="F31" t="s">
        <v>144</v>
      </c>
      <c r="G31" t="s">
        <v>145</v>
      </c>
      <c r="H31" t="s">
        <v>146</v>
      </c>
    </row>
    <row r="32" spans="6:8" x14ac:dyDescent="0.15">
      <c r="F32" t="s">
        <v>147</v>
      </c>
      <c r="G32" t="s">
        <v>148</v>
      </c>
      <c r="H32" t="s">
        <v>149</v>
      </c>
    </row>
    <row r="33" spans="6:8" x14ac:dyDescent="0.15">
      <c r="F33" t="s">
        <v>66</v>
      </c>
      <c r="G33" t="s">
        <v>150</v>
      </c>
      <c r="H33" t="s">
        <v>152</v>
      </c>
    </row>
    <row r="34" spans="6:8" x14ac:dyDescent="0.15">
      <c r="G34" t="s">
        <v>151</v>
      </c>
    </row>
    <row r="35" spans="6:8" x14ac:dyDescent="0.15">
      <c r="F35" t="s">
        <v>58</v>
      </c>
      <c r="G35" t="s">
        <v>153</v>
      </c>
      <c r="H35" t="s">
        <v>72</v>
      </c>
    </row>
    <row r="36" spans="6:8" x14ac:dyDescent="0.15">
      <c r="F36" t="s">
        <v>154</v>
      </c>
      <c r="G36" t="s">
        <v>155</v>
      </c>
      <c r="H36" t="s">
        <v>156</v>
      </c>
    </row>
    <row r="37" spans="6:8" x14ac:dyDescent="0.15">
      <c r="F37" t="s">
        <v>157</v>
      </c>
      <c r="G37" t="s">
        <v>158</v>
      </c>
      <c r="H37" t="s">
        <v>159</v>
      </c>
    </row>
    <row r="38" spans="6:8" x14ac:dyDescent="0.15">
      <c r="F38" t="s">
        <v>55</v>
      </c>
      <c r="G38" t="s">
        <v>160</v>
      </c>
      <c r="H38" t="s">
        <v>71</v>
      </c>
    </row>
    <row r="39" spans="6:8" x14ac:dyDescent="0.15">
      <c r="F39" t="s">
        <v>161</v>
      </c>
      <c r="G39" t="s">
        <v>162</v>
      </c>
      <c r="H39" t="s">
        <v>163</v>
      </c>
    </row>
    <row r="40" spans="6:8" x14ac:dyDescent="0.15">
      <c r="F40" t="s">
        <v>164</v>
      </c>
      <c r="G40" t="s">
        <v>165</v>
      </c>
      <c r="H40" t="s">
        <v>166</v>
      </c>
    </row>
    <row r="41" spans="6:8" x14ac:dyDescent="0.15">
      <c r="F41" t="s">
        <v>167</v>
      </c>
      <c r="G41" t="s">
        <v>168</v>
      </c>
      <c r="H41" t="s">
        <v>169</v>
      </c>
    </row>
    <row r="42" spans="6:8" x14ac:dyDescent="0.15">
      <c r="F42" t="s">
        <v>170</v>
      </c>
      <c r="G42" t="s">
        <v>171</v>
      </c>
      <c r="H42" t="s">
        <v>173</v>
      </c>
    </row>
    <row r="43" spans="6:8" x14ac:dyDescent="0.15">
      <c r="G43" t="s">
        <v>172</v>
      </c>
    </row>
    <row r="44" spans="6:8" x14ac:dyDescent="0.15">
      <c r="F44" t="s">
        <v>174</v>
      </c>
      <c r="G44" t="s">
        <v>175</v>
      </c>
      <c r="H44" t="s">
        <v>176</v>
      </c>
    </row>
    <row r="45" spans="6:8" x14ac:dyDescent="0.15">
      <c r="F45" t="s">
        <v>177</v>
      </c>
      <c r="G45" t="s">
        <v>178</v>
      </c>
      <c r="H45" t="s">
        <v>179</v>
      </c>
    </row>
    <row r="46" spans="6:8" x14ac:dyDescent="0.15">
      <c r="F46" t="s">
        <v>180</v>
      </c>
      <c r="G46" t="s">
        <v>181</v>
      </c>
      <c r="H46" t="s">
        <v>182</v>
      </c>
    </row>
    <row r="47" spans="6:8" x14ac:dyDescent="0.15">
      <c r="F47" t="s">
        <v>183</v>
      </c>
      <c r="G47" t="s">
        <v>184</v>
      </c>
      <c r="H47" t="s">
        <v>185</v>
      </c>
    </row>
    <row r="48" spans="6:8" x14ac:dyDescent="0.15">
      <c r="F48" t="s">
        <v>186</v>
      </c>
      <c r="G48" t="s">
        <v>187</v>
      </c>
      <c r="H48" t="s">
        <v>188</v>
      </c>
    </row>
    <row r="49" spans="6:8" x14ac:dyDescent="0.15">
      <c r="F49" t="s">
        <v>189</v>
      </c>
      <c r="G49" t="s">
        <v>190</v>
      </c>
      <c r="H49" t="s">
        <v>191</v>
      </c>
    </row>
    <row r="50" spans="6:8" x14ac:dyDescent="0.15">
      <c r="F50" t="s">
        <v>192</v>
      </c>
      <c r="G50" t="s">
        <v>193</v>
      </c>
      <c r="H50" t="s">
        <v>194</v>
      </c>
    </row>
    <row r="51" spans="6:8" x14ac:dyDescent="0.15">
      <c r="F51" t="s">
        <v>195</v>
      </c>
      <c r="G51" t="s">
        <v>196</v>
      </c>
      <c r="H51" t="s">
        <v>197</v>
      </c>
    </row>
    <row r="52" spans="6:8" x14ac:dyDescent="0.15">
      <c r="F52" t="s">
        <v>198</v>
      </c>
      <c r="G52" t="s">
        <v>198</v>
      </c>
      <c r="H52" t="s">
        <v>199</v>
      </c>
    </row>
    <row r="53" spans="6:8" x14ac:dyDescent="0.15">
      <c r="F53" t="s">
        <v>200</v>
      </c>
      <c r="G53" t="s">
        <v>201</v>
      </c>
      <c r="H53" t="s">
        <v>203</v>
      </c>
    </row>
    <row r="54" spans="6:8" x14ac:dyDescent="0.15">
      <c r="G54" t="s">
        <v>202</v>
      </c>
    </row>
    <row r="55" spans="6:8" x14ac:dyDescent="0.15">
      <c r="F55" t="s">
        <v>204</v>
      </c>
      <c r="G55" t="s">
        <v>205</v>
      </c>
      <c r="H55" t="s">
        <v>206</v>
      </c>
    </row>
    <row r="56" spans="6:8" x14ac:dyDescent="0.15">
      <c r="F56" t="s">
        <v>207</v>
      </c>
      <c r="G56" t="s">
        <v>208</v>
      </c>
      <c r="H56" t="s">
        <v>211</v>
      </c>
    </row>
    <row r="57" spans="6:8" x14ac:dyDescent="0.15">
      <c r="G57" t="s">
        <v>209</v>
      </c>
    </row>
    <row r="58" spans="6:8" x14ac:dyDescent="0.15">
      <c r="G58" t="s">
        <v>210</v>
      </c>
    </row>
    <row r="59" spans="6:8" x14ac:dyDescent="0.15">
      <c r="F59" t="s">
        <v>212</v>
      </c>
      <c r="G59" t="s">
        <v>213</v>
      </c>
      <c r="H59" t="s">
        <v>214</v>
      </c>
    </row>
    <row r="60" spans="6:8" x14ac:dyDescent="0.15">
      <c r="F60" t="s">
        <v>215</v>
      </c>
      <c r="G60" t="s">
        <v>216</v>
      </c>
      <c r="H60" t="s">
        <v>219</v>
      </c>
    </row>
    <row r="61" spans="6:8" x14ac:dyDescent="0.15">
      <c r="G61" t="s">
        <v>217</v>
      </c>
    </row>
    <row r="62" spans="6:8" x14ac:dyDescent="0.15">
      <c r="G62" t="s">
        <v>218</v>
      </c>
    </row>
    <row r="63" spans="6:8" x14ac:dyDescent="0.15">
      <c r="F63" t="s">
        <v>220</v>
      </c>
      <c r="G63" t="s">
        <v>221</v>
      </c>
      <c r="H63" t="s">
        <v>223</v>
      </c>
    </row>
    <row r="64" spans="6:8" x14ac:dyDescent="0.15">
      <c r="G64" t="s">
        <v>222</v>
      </c>
    </row>
    <row r="65" spans="6:8" x14ac:dyDescent="0.15">
      <c r="F65" t="s">
        <v>224</v>
      </c>
      <c r="G65" t="s">
        <v>225</v>
      </c>
      <c r="H65" t="s">
        <v>227</v>
      </c>
    </row>
    <row r="66" spans="6:8" x14ac:dyDescent="0.15">
      <c r="G66" t="s">
        <v>226</v>
      </c>
    </row>
    <row r="67" spans="6:8" x14ac:dyDescent="0.15">
      <c r="F67" t="s">
        <v>68</v>
      </c>
      <c r="G67" t="s">
        <v>228</v>
      </c>
      <c r="H67" t="s">
        <v>229</v>
      </c>
    </row>
    <row r="68" spans="6:8" x14ac:dyDescent="0.15">
      <c r="F68" t="s">
        <v>230</v>
      </c>
      <c r="G68" t="s">
        <v>231</v>
      </c>
      <c r="H68" t="s">
        <v>232</v>
      </c>
    </row>
    <row r="69" spans="6:8" x14ac:dyDescent="0.15">
      <c r="F69" t="s">
        <v>233</v>
      </c>
      <c r="G69" t="s">
        <v>234</v>
      </c>
      <c r="H69" t="s">
        <v>235</v>
      </c>
    </row>
    <row r="70" spans="6:8" x14ac:dyDescent="0.15">
      <c r="F70" t="s">
        <v>236</v>
      </c>
      <c r="G70" t="s">
        <v>237</v>
      </c>
      <c r="H70" t="s">
        <v>238</v>
      </c>
    </row>
    <row r="71" spans="6:8" x14ac:dyDescent="0.15">
      <c r="F71" t="s">
        <v>239</v>
      </c>
      <c r="G71" t="s">
        <v>240</v>
      </c>
      <c r="H71" t="s">
        <v>241</v>
      </c>
    </row>
    <row r="72" spans="6:8" x14ac:dyDescent="0.15">
      <c r="F72" t="s">
        <v>242</v>
      </c>
      <c r="G72" t="s">
        <v>243</v>
      </c>
      <c r="H72" t="s">
        <v>244</v>
      </c>
    </row>
    <row r="73" spans="6:8" x14ac:dyDescent="0.15">
      <c r="F73" t="s">
        <v>245</v>
      </c>
      <c r="G73" t="s">
        <v>246</v>
      </c>
      <c r="H73" t="s">
        <v>247</v>
      </c>
    </row>
    <row r="74" spans="6:8" x14ac:dyDescent="0.15">
      <c r="F74" t="s">
        <v>248</v>
      </c>
      <c r="G74" t="s">
        <v>249</v>
      </c>
      <c r="H74" t="s">
        <v>251</v>
      </c>
    </row>
    <row r="75" spans="6:8" x14ac:dyDescent="0.15">
      <c r="G75" t="s">
        <v>250</v>
      </c>
    </row>
    <row r="76" spans="6:8" x14ac:dyDescent="0.15">
      <c r="F76" t="s">
        <v>252</v>
      </c>
      <c r="G76" t="s">
        <v>253</v>
      </c>
      <c r="H76" t="s">
        <v>254</v>
      </c>
    </row>
    <row r="77" spans="6:8" x14ac:dyDescent="0.15">
      <c r="F77" t="s">
        <v>255</v>
      </c>
      <c r="G77" t="s">
        <v>256</v>
      </c>
      <c r="H77" t="s">
        <v>257</v>
      </c>
    </row>
    <row r="78" spans="6:8" x14ac:dyDescent="0.15">
      <c r="F78" t="s">
        <v>258</v>
      </c>
      <c r="G78" t="s">
        <v>259</v>
      </c>
      <c r="H78" t="s">
        <v>260</v>
      </c>
    </row>
    <row r="79" spans="6:8" x14ac:dyDescent="0.15">
      <c r="F79" t="s">
        <v>261</v>
      </c>
      <c r="G79" t="s">
        <v>262</v>
      </c>
      <c r="H79" t="s">
        <v>263</v>
      </c>
    </row>
    <row r="80" spans="6:8" x14ac:dyDescent="0.15">
      <c r="F80" t="s">
        <v>264</v>
      </c>
      <c r="G80" t="s">
        <v>265</v>
      </c>
      <c r="H80" t="s">
        <v>267</v>
      </c>
    </row>
    <row r="81" spans="6:8" x14ac:dyDescent="0.15">
      <c r="G81" t="s">
        <v>266</v>
      </c>
    </row>
    <row r="82" spans="6:8" x14ac:dyDescent="0.15">
      <c r="F82" t="s">
        <v>268</v>
      </c>
      <c r="G82" t="s">
        <v>270</v>
      </c>
      <c r="H82" t="s">
        <v>271</v>
      </c>
    </row>
    <row r="83" spans="6:8" x14ac:dyDescent="0.15">
      <c r="F83" t="s">
        <v>269</v>
      </c>
    </row>
    <row r="84" spans="6:8" x14ac:dyDescent="0.15">
      <c r="F84" t="s">
        <v>272</v>
      </c>
      <c r="G84" t="s">
        <v>273</v>
      </c>
      <c r="H84" t="s">
        <v>274</v>
      </c>
    </row>
    <row r="85" spans="6:8" x14ac:dyDescent="0.15">
      <c r="F85" t="s">
        <v>275</v>
      </c>
      <c r="G85" t="s">
        <v>276</v>
      </c>
      <c r="H85" t="s">
        <v>277</v>
      </c>
    </row>
    <row r="86" spans="6:8" x14ac:dyDescent="0.15">
      <c r="F86" t="s">
        <v>278</v>
      </c>
      <c r="G86" t="s">
        <v>279</v>
      </c>
      <c r="H86" t="s">
        <v>281</v>
      </c>
    </row>
    <row r="87" spans="6:8" x14ac:dyDescent="0.15">
      <c r="G87" t="s">
        <v>280</v>
      </c>
    </row>
    <row r="88" spans="6:8" x14ac:dyDescent="0.15">
      <c r="F88" t="s">
        <v>282</v>
      </c>
      <c r="G88" t="s">
        <v>283</v>
      </c>
      <c r="H88" t="s">
        <v>284</v>
      </c>
    </row>
    <row r="89" spans="6:8" x14ac:dyDescent="0.15">
      <c r="F89" t="s">
        <v>285</v>
      </c>
      <c r="G89" t="s">
        <v>286</v>
      </c>
      <c r="H89" t="s">
        <v>288</v>
      </c>
    </row>
    <row r="90" spans="6:8" x14ac:dyDescent="0.15">
      <c r="G90" t="s">
        <v>287</v>
      </c>
    </row>
    <row r="91" spans="6:8" x14ac:dyDescent="0.15">
      <c r="F91" t="s">
        <v>289</v>
      </c>
      <c r="G91" t="s">
        <v>290</v>
      </c>
      <c r="H91" t="s">
        <v>291</v>
      </c>
    </row>
    <row r="92" spans="6:8" x14ac:dyDescent="0.15">
      <c r="F92" t="s">
        <v>292</v>
      </c>
      <c r="G92" t="s">
        <v>293</v>
      </c>
      <c r="H92" t="s">
        <v>294</v>
      </c>
    </row>
    <row r="93" spans="6:8" x14ac:dyDescent="0.15">
      <c r="F93" t="s">
        <v>295</v>
      </c>
      <c r="G93" t="s">
        <v>297</v>
      </c>
      <c r="H93" t="s">
        <v>299</v>
      </c>
    </row>
    <row r="94" spans="6:8" x14ac:dyDescent="0.15">
      <c r="F94" t="s">
        <v>296</v>
      </c>
      <c r="G94" t="s">
        <v>298</v>
      </c>
    </row>
    <row r="95" spans="6:8" x14ac:dyDescent="0.15">
      <c r="F95" t="s">
        <v>60</v>
      </c>
      <c r="G95" t="s">
        <v>300</v>
      </c>
      <c r="H95" t="s">
        <v>301</v>
      </c>
    </row>
    <row r="96" spans="6:8" x14ac:dyDescent="0.15">
      <c r="F96" t="s">
        <v>302</v>
      </c>
      <c r="G96" t="s">
        <v>303</v>
      </c>
      <c r="H96" t="s">
        <v>305</v>
      </c>
    </row>
    <row r="97" spans="6:8" x14ac:dyDescent="0.15">
      <c r="G97" t="s">
        <v>304</v>
      </c>
    </row>
    <row r="98" spans="6:8" x14ac:dyDescent="0.15">
      <c r="F98" t="s">
        <v>306</v>
      </c>
      <c r="G98" t="s">
        <v>307</v>
      </c>
      <c r="H98" t="s">
        <v>308</v>
      </c>
    </row>
    <row r="99" spans="6:8" x14ac:dyDescent="0.15">
      <c r="F99" t="s">
        <v>309</v>
      </c>
      <c r="G99" t="s">
        <v>310</v>
      </c>
      <c r="H99" t="s">
        <v>312</v>
      </c>
    </row>
    <row r="100" spans="6:8" x14ac:dyDescent="0.15">
      <c r="G100" t="s">
        <v>311</v>
      </c>
    </row>
    <row r="101" spans="6:8" x14ac:dyDescent="0.15">
      <c r="F101" t="s">
        <v>313</v>
      </c>
      <c r="G101" t="s">
        <v>314</v>
      </c>
      <c r="H101" t="s">
        <v>315</v>
      </c>
    </row>
    <row r="102" spans="6:8" x14ac:dyDescent="0.15">
      <c r="F102" t="s">
        <v>316</v>
      </c>
      <c r="G102" t="s">
        <v>317</v>
      </c>
      <c r="H102" t="s">
        <v>318</v>
      </c>
    </row>
    <row r="103" spans="6:8" x14ac:dyDescent="0.15">
      <c r="F103" t="s">
        <v>319</v>
      </c>
      <c r="G103" t="s">
        <v>320</v>
      </c>
      <c r="H103" t="s">
        <v>321</v>
      </c>
    </row>
    <row r="104" spans="6:8" x14ac:dyDescent="0.15">
      <c r="F104" t="s">
        <v>322</v>
      </c>
      <c r="G104" t="s">
        <v>323</v>
      </c>
      <c r="H104" t="s">
        <v>325</v>
      </c>
    </row>
    <row r="105" spans="6:8" x14ac:dyDescent="0.15">
      <c r="G105" t="s">
        <v>324</v>
      </c>
    </row>
    <row r="106" spans="6:8" x14ac:dyDescent="0.15">
      <c r="F106" t="s">
        <v>326</v>
      </c>
      <c r="G106" t="s">
        <v>327</v>
      </c>
      <c r="H106" t="s">
        <v>329</v>
      </c>
    </row>
    <row r="107" spans="6:8" x14ac:dyDescent="0.15">
      <c r="G107" t="s">
        <v>328</v>
      </c>
    </row>
    <row r="108" spans="6:8" x14ac:dyDescent="0.15">
      <c r="F108" t="s">
        <v>330</v>
      </c>
      <c r="G108" t="s">
        <v>331</v>
      </c>
      <c r="H108" t="s">
        <v>332</v>
      </c>
    </row>
    <row r="109" spans="6:8" x14ac:dyDescent="0.15">
      <c r="F109" t="s">
        <v>333</v>
      </c>
      <c r="G109" t="s">
        <v>334</v>
      </c>
      <c r="H109" t="s">
        <v>335</v>
      </c>
    </row>
    <row r="110" spans="6:8" x14ac:dyDescent="0.15">
      <c r="F110" t="s">
        <v>336</v>
      </c>
      <c r="G110" t="s">
        <v>337</v>
      </c>
      <c r="H110" t="s">
        <v>339</v>
      </c>
    </row>
    <row r="111" spans="6:8" x14ac:dyDescent="0.15">
      <c r="G111" t="s">
        <v>338</v>
      </c>
    </row>
    <row r="112" spans="6:8" x14ac:dyDescent="0.15">
      <c r="F112" t="s">
        <v>340</v>
      </c>
      <c r="G112" t="s">
        <v>341</v>
      </c>
      <c r="H112" t="s">
        <v>342</v>
      </c>
    </row>
    <row r="113" spans="6:8" x14ac:dyDescent="0.15">
      <c r="F113" t="s">
        <v>343</v>
      </c>
      <c r="G113" t="s">
        <v>344</v>
      </c>
      <c r="H113" t="s">
        <v>345</v>
      </c>
    </row>
    <row r="114" spans="6:8" x14ac:dyDescent="0.15">
      <c r="F114" t="s">
        <v>346</v>
      </c>
      <c r="G114" t="s">
        <v>347</v>
      </c>
      <c r="H114" t="s">
        <v>348</v>
      </c>
    </row>
    <row r="115" spans="6:8" x14ac:dyDescent="0.15">
      <c r="F115" t="s">
        <v>349</v>
      </c>
      <c r="G115" t="s">
        <v>350</v>
      </c>
      <c r="H115" t="s">
        <v>351</v>
      </c>
    </row>
    <row r="116" spans="6:8" x14ac:dyDescent="0.15">
      <c r="F116" t="s">
        <v>352</v>
      </c>
      <c r="G116" t="s">
        <v>353</v>
      </c>
      <c r="H116" t="s">
        <v>354</v>
      </c>
    </row>
    <row r="117" spans="6:8" x14ac:dyDescent="0.15">
      <c r="F117" t="s">
        <v>355</v>
      </c>
      <c r="G117" t="s">
        <v>356</v>
      </c>
      <c r="H117" t="s">
        <v>359</v>
      </c>
    </row>
    <row r="118" spans="6:8" x14ac:dyDescent="0.15">
      <c r="G118" t="s">
        <v>357</v>
      </c>
    </row>
    <row r="119" spans="6:8" x14ac:dyDescent="0.15">
      <c r="G119" t="s">
        <v>358</v>
      </c>
    </row>
    <row r="120" spans="6:8" x14ac:dyDescent="0.15">
      <c r="F120" t="s">
        <v>360</v>
      </c>
      <c r="G120" t="s">
        <v>361</v>
      </c>
      <c r="H120" t="s">
        <v>362</v>
      </c>
    </row>
    <row r="121" spans="6:8" x14ac:dyDescent="0.15">
      <c r="F121" t="s">
        <v>363</v>
      </c>
      <c r="G121" t="s">
        <v>364</v>
      </c>
      <c r="H121" t="s">
        <v>365</v>
      </c>
    </row>
    <row r="122" spans="6:8" x14ac:dyDescent="0.15">
      <c r="F122" t="s">
        <v>366</v>
      </c>
      <c r="G122" t="s">
        <v>367</v>
      </c>
      <c r="H122" t="s">
        <v>368</v>
      </c>
    </row>
    <row r="123" spans="6:8" x14ac:dyDescent="0.15">
      <c r="F123" t="s">
        <v>62</v>
      </c>
      <c r="G123" t="s">
        <v>369</v>
      </c>
      <c r="H123" t="s">
        <v>370</v>
      </c>
    </row>
    <row r="124" spans="6:8" x14ac:dyDescent="0.15">
      <c r="F124" t="s">
        <v>371</v>
      </c>
      <c r="G124" t="s">
        <v>372</v>
      </c>
      <c r="H124" t="s">
        <v>373</v>
      </c>
    </row>
    <row r="125" spans="6:8" x14ac:dyDescent="0.15">
      <c r="F125" t="s">
        <v>374</v>
      </c>
      <c r="G125" t="s">
        <v>375</v>
      </c>
      <c r="H125" t="s">
        <v>378</v>
      </c>
    </row>
    <row r="126" spans="6:8" x14ac:dyDescent="0.15">
      <c r="G126" t="s">
        <v>376</v>
      </c>
    </row>
    <row r="127" spans="6:8" x14ac:dyDescent="0.15">
      <c r="G127" t="s">
        <v>377</v>
      </c>
    </row>
    <row r="128" spans="6:8" x14ac:dyDescent="0.15">
      <c r="F128" t="s">
        <v>379</v>
      </c>
      <c r="G128" t="s">
        <v>380</v>
      </c>
      <c r="H128" t="s">
        <v>381</v>
      </c>
    </row>
    <row r="129" spans="6:8" x14ac:dyDescent="0.15">
      <c r="F129" t="s">
        <v>382</v>
      </c>
      <c r="G129" t="s">
        <v>383</v>
      </c>
      <c r="H129" t="s">
        <v>384</v>
      </c>
    </row>
    <row r="130" spans="6:8" x14ac:dyDescent="0.15">
      <c r="F130" t="s">
        <v>385</v>
      </c>
      <c r="G130" t="s">
        <v>386</v>
      </c>
      <c r="H130" t="s">
        <v>387</v>
      </c>
    </row>
    <row r="131" spans="6:8" x14ac:dyDescent="0.15">
      <c r="F131" t="s">
        <v>388</v>
      </c>
      <c r="G131" t="s">
        <v>389</v>
      </c>
      <c r="H131" t="s">
        <v>390</v>
      </c>
    </row>
    <row r="132" spans="6:8" x14ac:dyDescent="0.15">
      <c r="F132" t="s">
        <v>391</v>
      </c>
      <c r="G132" t="s">
        <v>392</v>
      </c>
      <c r="H132" t="s">
        <v>393</v>
      </c>
    </row>
    <row r="133" spans="6:8" x14ac:dyDescent="0.15">
      <c r="F133" t="s">
        <v>394</v>
      </c>
      <c r="G133" t="s">
        <v>395</v>
      </c>
      <c r="H133" t="s">
        <v>396</v>
      </c>
    </row>
    <row r="134" spans="6:8" x14ac:dyDescent="0.15">
      <c r="F134" t="s">
        <v>397</v>
      </c>
      <c r="G134" t="s">
        <v>398</v>
      </c>
      <c r="H134" t="s">
        <v>399</v>
      </c>
    </row>
    <row r="1264" spans="6:6" x14ac:dyDescent="0.15">
      <c r="F1264" t="s">
        <v>436</v>
      </c>
    </row>
    <row r="1266" spans="4:12" ht="409.5" x14ac:dyDescent="0.15">
      <c r="L1266" s="1" t="s">
        <v>439</v>
      </c>
    </row>
    <row r="1268" spans="4:12" x14ac:dyDescent="0.15">
      <c r="D1268">
        <v>21</v>
      </c>
      <c r="F1268" t="s">
        <v>437</v>
      </c>
    </row>
    <row r="1270" spans="4:12" x14ac:dyDescent="0.15">
      <c r="F1270" t="s">
        <v>438</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37"/>
  <sheetViews>
    <sheetView topLeftCell="A12" workbookViewId="0">
      <selection activeCell="C38" sqref="C38"/>
    </sheetView>
  </sheetViews>
  <sheetFormatPr defaultRowHeight="13.5" x14ac:dyDescent="0.15"/>
  <sheetData>
    <row r="1" spans="1:3" x14ac:dyDescent="0.15">
      <c r="A1" t="s">
        <v>6</v>
      </c>
      <c r="B1" t="s">
        <v>7</v>
      </c>
      <c r="C1" t="s">
        <v>42</v>
      </c>
    </row>
    <row r="2" spans="1:3" x14ac:dyDescent="0.15">
      <c r="A2">
        <v>0</v>
      </c>
      <c r="B2" t="s">
        <v>32</v>
      </c>
      <c r="C2" t="s">
        <v>21</v>
      </c>
    </row>
    <row r="3" spans="1:3" x14ac:dyDescent="0.15">
      <c r="A3">
        <v>1</v>
      </c>
      <c r="B3" t="s">
        <v>31</v>
      </c>
      <c r="C3" t="s">
        <v>22</v>
      </c>
    </row>
    <row r="4" spans="1:3" x14ac:dyDescent="0.15">
      <c r="A4">
        <v>2</v>
      </c>
      <c r="B4" t="s">
        <v>30</v>
      </c>
      <c r="C4" t="s">
        <v>23</v>
      </c>
    </row>
    <row r="5" spans="1:3" x14ac:dyDescent="0.15">
      <c r="A5">
        <v>3</v>
      </c>
      <c r="B5" t="s">
        <v>8</v>
      </c>
      <c r="C5" t="s">
        <v>24</v>
      </c>
    </row>
    <row r="6" spans="1:3" x14ac:dyDescent="0.15">
      <c r="A6">
        <v>4</v>
      </c>
      <c r="B6" t="s">
        <v>10</v>
      </c>
      <c r="C6" t="s">
        <v>25</v>
      </c>
    </row>
    <row r="7" spans="1:3" x14ac:dyDescent="0.15">
      <c r="A7">
        <v>5</v>
      </c>
      <c r="B7" t="s">
        <v>15</v>
      </c>
      <c r="C7" t="s">
        <v>26</v>
      </c>
    </row>
    <row r="8" spans="1:3" x14ac:dyDescent="0.15">
      <c r="A8">
        <v>6</v>
      </c>
      <c r="B8" t="s">
        <v>16</v>
      </c>
      <c r="C8" t="s">
        <v>27</v>
      </c>
    </row>
    <row r="9" spans="1:3" x14ac:dyDescent="0.15">
      <c r="A9">
        <v>7</v>
      </c>
      <c r="B9" t="s">
        <v>17</v>
      </c>
      <c r="C9" t="s">
        <v>28</v>
      </c>
    </row>
    <row r="10" spans="1:3" x14ac:dyDescent="0.15">
      <c r="A10">
        <v>8</v>
      </c>
      <c r="B10" t="s">
        <v>18</v>
      </c>
      <c r="C10" t="s">
        <v>29</v>
      </c>
    </row>
    <row r="11" spans="1:3" x14ac:dyDescent="0.15">
      <c r="A11">
        <v>9</v>
      </c>
      <c r="B11" t="s">
        <v>33</v>
      </c>
      <c r="C11" t="s">
        <v>34</v>
      </c>
    </row>
    <row r="12" spans="1:3" x14ac:dyDescent="0.15">
      <c r="A12">
        <v>10</v>
      </c>
      <c r="B12" t="s">
        <v>35</v>
      </c>
      <c r="C12" t="s">
        <v>36</v>
      </c>
    </row>
    <row r="13" spans="1:3" x14ac:dyDescent="0.15">
      <c r="A13">
        <v>11</v>
      </c>
      <c r="B13" t="s">
        <v>38</v>
      </c>
      <c r="C13" t="s">
        <v>39</v>
      </c>
    </row>
    <row r="14" spans="1:3" x14ac:dyDescent="0.15">
      <c r="A14">
        <v>12</v>
      </c>
      <c r="B14" t="s">
        <v>40</v>
      </c>
      <c r="C14" t="s">
        <v>41</v>
      </c>
    </row>
    <row r="15" spans="1:3" x14ac:dyDescent="0.15">
      <c r="A15">
        <v>13</v>
      </c>
      <c r="B15" t="s">
        <v>43</v>
      </c>
      <c r="C15" t="s">
        <v>44</v>
      </c>
    </row>
    <row r="16" spans="1:3" x14ac:dyDescent="0.15">
      <c r="A16">
        <v>14</v>
      </c>
      <c r="B16" t="s">
        <v>45</v>
      </c>
      <c r="C16" t="s">
        <v>46</v>
      </c>
    </row>
    <row r="17" spans="1:3" x14ac:dyDescent="0.15">
      <c r="A17">
        <v>15</v>
      </c>
      <c r="B17" t="s">
        <v>47</v>
      </c>
      <c r="C17" t="s">
        <v>48</v>
      </c>
    </row>
    <row r="18" spans="1:3" x14ac:dyDescent="0.15">
      <c r="A18">
        <v>16</v>
      </c>
      <c r="B18" t="s">
        <v>49</v>
      </c>
      <c r="C18" t="s">
        <v>50</v>
      </c>
    </row>
    <row r="19" spans="1:3" x14ac:dyDescent="0.15">
      <c r="A19">
        <v>17</v>
      </c>
      <c r="B19" t="s">
        <v>51</v>
      </c>
      <c r="C19" t="s">
        <v>53</v>
      </c>
    </row>
    <row r="20" spans="1:3" x14ac:dyDescent="0.15">
      <c r="A20">
        <v>18</v>
      </c>
      <c r="B20" t="s">
        <v>52</v>
      </c>
      <c r="C20" t="s">
        <v>54</v>
      </c>
    </row>
    <row r="21" spans="1:3" x14ac:dyDescent="0.15">
      <c r="A21">
        <v>19</v>
      </c>
      <c r="B21" t="s">
        <v>406</v>
      </c>
      <c r="C21" t="s">
        <v>407</v>
      </c>
    </row>
    <row r="22" spans="1:3" x14ac:dyDescent="0.15">
      <c r="A22">
        <v>20</v>
      </c>
      <c r="B22" t="s">
        <v>422</v>
      </c>
      <c r="C22" t="s">
        <v>421</v>
      </c>
    </row>
    <row r="23" spans="1:3" x14ac:dyDescent="0.15">
      <c r="A23">
        <v>21</v>
      </c>
      <c r="B23" t="s">
        <v>423</v>
      </c>
      <c r="C23" t="s">
        <v>424</v>
      </c>
    </row>
    <row r="24" spans="1:3" x14ac:dyDescent="0.15">
      <c r="A24">
        <v>22</v>
      </c>
      <c r="B24" t="s">
        <v>425</v>
      </c>
      <c r="C24" t="s">
        <v>429</v>
      </c>
    </row>
    <row r="25" spans="1:3" x14ac:dyDescent="0.15">
      <c r="A25">
        <v>23</v>
      </c>
      <c r="B25" t="s">
        <v>426</v>
      </c>
      <c r="C25" t="s">
        <v>427</v>
      </c>
    </row>
    <row r="26" spans="1:3" x14ac:dyDescent="0.15">
      <c r="A26">
        <v>24</v>
      </c>
      <c r="B26" t="s">
        <v>430</v>
      </c>
      <c r="C26" t="s">
        <v>432</v>
      </c>
    </row>
    <row r="27" spans="1:3" x14ac:dyDescent="0.15">
      <c r="A27">
        <v>25</v>
      </c>
      <c r="B27" t="s">
        <v>431</v>
      </c>
      <c r="C27" t="s">
        <v>433</v>
      </c>
    </row>
    <row r="28" spans="1:3" x14ac:dyDescent="0.15">
      <c r="A28">
        <v>26</v>
      </c>
      <c r="B28" t="s">
        <v>434</v>
      </c>
      <c r="C28" t="s">
        <v>435</v>
      </c>
    </row>
    <row r="29" spans="1:3" x14ac:dyDescent="0.15">
      <c r="A29">
        <v>27</v>
      </c>
      <c r="B29" t="s">
        <v>440</v>
      </c>
      <c r="C29" t="s">
        <v>441</v>
      </c>
    </row>
    <row r="30" spans="1:3" x14ac:dyDescent="0.15">
      <c r="A30">
        <v>28</v>
      </c>
      <c r="B30" t="s">
        <v>444</v>
      </c>
      <c r="C30" t="s">
        <v>445</v>
      </c>
    </row>
    <row r="31" spans="1:3" x14ac:dyDescent="0.15">
      <c r="A31">
        <v>29</v>
      </c>
      <c r="B31" t="s">
        <v>446</v>
      </c>
      <c r="C31" t="s">
        <v>447</v>
      </c>
    </row>
    <row r="32" spans="1:3" x14ac:dyDescent="0.15">
      <c r="A32">
        <v>30</v>
      </c>
      <c r="B32" t="s">
        <v>455</v>
      </c>
      <c r="C32" t="s">
        <v>456</v>
      </c>
    </row>
    <row r="33" spans="1:3" x14ac:dyDescent="0.15">
      <c r="A33">
        <v>31</v>
      </c>
      <c r="B33" t="s">
        <v>479</v>
      </c>
      <c r="C33" t="s">
        <v>480</v>
      </c>
    </row>
    <row r="34" spans="1:3" x14ac:dyDescent="0.15">
      <c r="A34">
        <v>32</v>
      </c>
      <c r="B34" t="s">
        <v>521</v>
      </c>
      <c r="C34" t="s">
        <v>520</v>
      </c>
    </row>
    <row r="35" spans="1:3" x14ac:dyDescent="0.15">
      <c r="A35">
        <v>33</v>
      </c>
      <c r="B35" t="s">
        <v>586</v>
      </c>
      <c r="C35" t="s">
        <v>587</v>
      </c>
    </row>
    <row r="36" spans="1:3" x14ac:dyDescent="0.15">
      <c r="A36">
        <v>34</v>
      </c>
      <c r="B36" t="s">
        <v>779</v>
      </c>
      <c r="C36" t="s">
        <v>780</v>
      </c>
    </row>
    <row r="37" spans="1:3" x14ac:dyDescent="0.15">
      <c r="A37">
        <v>35</v>
      </c>
      <c r="B37" t="s">
        <v>923</v>
      </c>
      <c r="C37" t="s">
        <v>924</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B2"/>
  <sheetViews>
    <sheetView workbookViewId="0">
      <selection activeCell="E9" sqref="E9"/>
    </sheetView>
  </sheetViews>
  <sheetFormatPr defaultColWidth="9.125" defaultRowHeight="24.95" customHeight="1" x14ac:dyDescent="0.15"/>
  <sheetData>
    <row r="2" spans="1:2" ht="24.95" customHeight="1" x14ac:dyDescent="0.15">
      <c r="A2" t="s">
        <v>11</v>
      </c>
      <c r="B2" t="s">
        <v>12</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87"/>
  <sheetViews>
    <sheetView topLeftCell="A2" zoomScale="73" zoomScaleNormal="73" workbookViewId="0">
      <selection activeCell="A2" sqref="A2:XFD287"/>
    </sheetView>
  </sheetViews>
  <sheetFormatPr defaultRowHeight="13.5" x14ac:dyDescent="0.15"/>
  <cols>
    <col min="6" max="6" width="41.75" customWidth="1"/>
  </cols>
  <sheetData>
    <row r="1" spans="1:9" hidden="1" x14ac:dyDescent="0.15"/>
    <row r="2" spans="1:9" x14ac:dyDescent="0.15">
      <c r="A2">
        <f>A1</f>
        <v>0</v>
      </c>
      <c r="B2">
        <f>B1+1</f>
        <v>1</v>
      </c>
      <c r="C2">
        <v>1</v>
      </c>
      <c r="D2">
        <v>1</v>
      </c>
      <c r="E2" t="str">
        <f>VLOOKUP(D2,name!A:B,2,1)</f>
        <v>Navigator</v>
      </c>
      <c r="F2" t="s">
        <v>14</v>
      </c>
      <c r="G2" t="str">
        <f>IF(B2&lt;&gt;B3,"e",IF(D2=0,"q","a"))</f>
        <v>a</v>
      </c>
      <c r="H2" t="str">
        <f>VLOOKUP(D2,name!A:C,3,1)</f>
        <v>assets/icons/image014.png</v>
      </c>
      <c r="I2" t="e">
        <f>IF(A2="","",VLOOKUP(A2,lng!A:B,2,0))</f>
        <v>#N/A</v>
      </c>
    </row>
    <row r="3" spans="1:9" x14ac:dyDescent="0.15">
      <c r="A3">
        <f t="shared" ref="A3:A101" si="0">A2</f>
        <v>0</v>
      </c>
      <c r="B3">
        <f>B2</f>
        <v>1</v>
      </c>
      <c r="C3">
        <f>C2+1</f>
        <v>2</v>
      </c>
      <c r="D3">
        <v>1</v>
      </c>
      <c r="E3" t="str">
        <f>VLOOKUP(D3,name!A:B,2,1)</f>
        <v>Navigator</v>
      </c>
      <c r="F3" t="str">
        <f>"レッスン"&amp;B3</f>
        <v>レッスン1</v>
      </c>
      <c r="G3" t="str">
        <f>IF(B3&lt;&gt;B4,"e",IF(D3=0,"q","a"))</f>
        <v>a</v>
      </c>
      <c r="H3" t="str">
        <f>VLOOKUP(D3,name!A:C,3,1)</f>
        <v>assets/icons/image014.png</v>
      </c>
      <c r="I3" t="s">
        <v>402</v>
      </c>
    </row>
    <row r="4" spans="1:9" ht="40.5" x14ac:dyDescent="0.15">
      <c r="A4">
        <f t="shared" si="0"/>
        <v>0</v>
      </c>
      <c r="B4">
        <f t="shared" ref="B4:B106" si="1">B3</f>
        <v>1</v>
      </c>
      <c r="C4">
        <f t="shared" ref="C4:C106" si="2">C3+1</f>
        <v>3</v>
      </c>
      <c r="D4">
        <v>1</v>
      </c>
      <c r="E4" t="str">
        <f>VLOOKUP(D4,name!A:B,2,1)</f>
        <v>Navigator</v>
      </c>
      <c r="F4" s="1" t="str">
        <f>"まずは対話文を流します。その後に、日本語と"&amp;A4&amp;"を一文ずつ流すので"&amp;A4&amp;"を真似して下さい。最後に日本語のみを流すので、"&amp;A4&amp;"で答えてください。"</f>
        <v>まずは対話文を流します。その後に、日本語と0を一文ずつ流すので0を真似して下さい。最後に日本語のみを流すので、0で答えてください。</v>
      </c>
      <c r="G4" t="str">
        <f>IF(B4&lt;&gt;B5,"e",IF(D4=0,"q","a"))</f>
        <v>a</v>
      </c>
      <c r="H4" t="str">
        <f>VLOOKUP(D4,name!A:C,3,1)</f>
        <v>assets/icons/image014.png</v>
      </c>
      <c r="I4" t="s">
        <v>403</v>
      </c>
    </row>
    <row r="5" spans="1:9" x14ac:dyDescent="0.15">
      <c r="A5">
        <f t="shared" si="0"/>
        <v>0</v>
      </c>
      <c r="B5">
        <f t="shared" si="1"/>
        <v>1</v>
      </c>
      <c r="C5">
        <f t="shared" si="2"/>
        <v>4</v>
      </c>
      <c r="D5">
        <f>D6</f>
        <v>0</v>
      </c>
      <c r="E5" t="str">
        <f>VLOOKUP(D5,name!A:B,2,1)</f>
        <v>Player</v>
      </c>
      <c r="F5">
        <f>F6</f>
        <v>0</v>
      </c>
      <c r="G5" t="str">
        <f t="shared" ref="G5:G68" si="3">IF(B5&lt;&gt;B6,"e",IF(D5=0,"q","a"))</f>
        <v>q</v>
      </c>
      <c r="H5" t="str">
        <f>VLOOKUP(D5,name!A:C,3,1)</f>
        <v>assets/icons/image326.png</v>
      </c>
      <c r="I5" t="s">
        <v>404</v>
      </c>
    </row>
    <row r="6" spans="1:9" x14ac:dyDescent="0.15">
      <c r="A6">
        <f t="shared" si="0"/>
        <v>0</v>
      </c>
      <c r="B6">
        <f t="shared" si="1"/>
        <v>1</v>
      </c>
      <c r="C6">
        <f t="shared" si="2"/>
        <v>5</v>
      </c>
      <c r="D6">
        <f t="shared" ref="D6:F69" si="4">D7</f>
        <v>0</v>
      </c>
      <c r="E6" t="str">
        <f>VLOOKUP(D6,name!A:B,2,1)</f>
        <v>Player</v>
      </c>
      <c r="F6">
        <f t="shared" si="4"/>
        <v>0</v>
      </c>
      <c r="G6" t="str">
        <f t="shared" si="3"/>
        <v>q</v>
      </c>
      <c r="H6" t="str">
        <f>VLOOKUP(D6,name!A:C,3,1)</f>
        <v>assets/icons/image326.png</v>
      </c>
      <c r="I6" t="e">
        <f>IF(A6="","",VLOOKUP(A6,lng!A:B,2,0))</f>
        <v>#N/A</v>
      </c>
    </row>
    <row r="7" spans="1:9" x14ac:dyDescent="0.15">
      <c r="A7">
        <f t="shared" si="0"/>
        <v>0</v>
      </c>
      <c r="B7">
        <f t="shared" si="1"/>
        <v>1</v>
      </c>
      <c r="C7">
        <f t="shared" si="2"/>
        <v>6</v>
      </c>
      <c r="D7">
        <f t="shared" si="4"/>
        <v>0</v>
      </c>
      <c r="E7" t="str">
        <f>VLOOKUP(D7,name!A:B,2,1)</f>
        <v>Player</v>
      </c>
      <c r="F7">
        <f t="shared" si="4"/>
        <v>0</v>
      </c>
      <c r="G7" t="str">
        <f t="shared" si="3"/>
        <v>q</v>
      </c>
      <c r="H7" t="str">
        <f>VLOOKUP(D7,name!A:C,3,1)</f>
        <v>assets/icons/image326.png</v>
      </c>
      <c r="I7" t="s">
        <v>404</v>
      </c>
    </row>
    <row r="8" spans="1:9" x14ac:dyDescent="0.15">
      <c r="A8">
        <f t="shared" si="0"/>
        <v>0</v>
      </c>
      <c r="B8">
        <f t="shared" si="1"/>
        <v>1</v>
      </c>
      <c r="C8">
        <f t="shared" si="2"/>
        <v>7</v>
      </c>
      <c r="D8">
        <f t="shared" si="4"/>
        <v>0</v>
      </c>
      <c r="E8" t="str">
        <f>VLOOKUP(D8,name!A:B,2,1)</f>
        <v>Player</v>
      </c>
      <c r="F8">
        <f t="shared" si="4"/>
        <v>0</v>
      </c>
      <c r="G8" t="str">
        <f t="shared" si="3"/>
        <v>q</v>
      </c>
      <c r="H8" t="str">
        <f>VLOOKUP(D8,name!A:C,3,1)</f>
        <v>assets/icons/image326.png</v>
      </c>
      <c r="I8" t="e">
        <f>IF(A8="","",VLOOKUP(A8,lng!A:B,2,0))</f>
        <v>#N/A</v>
      </c>
    </row>
    <row r="9" spans="1:9" x14ac:dyDescent="0.15">
      <c r="A9">
        <f t="shared" si="0"/>
        <v>0</v>
      </c>
      <c r="B9">
        <f t="shared" si="1"/>
        <v>1</v>
      </c>
      <c r="C9">
        <f t="shared" si="2"/>
        <v>8</v>
      </c>
      <c r="D9">
        <f t="shared" si="4"/>
        <v>0</v>
      </c>
      <c r="E9" t="str">
        <f>VLOOKUP(D9,name!A:B,2,1)</f>
        <v>Player</v>
      </c>
      <c r="F9">
        <f t="shared" si="4"/>
        <v>0</v>
      </c>
      <c r="G9" t="str">
        <f t="shared" si="3"/>
        <v>q</v>
      </c>
      <c r="H9" t="str">
        <f>VLOOKUP(D9,name!A:C,3,1)</f>
        <v>assets/icons/image326.png</v>
      </c>
      <c r="I9" t="s">
        <v>404</v>
      </c>
    </row>
    <row r="10" spans="1:9" x14ac:dyDescent="0.15">
      <c r="A10">
        <f t="shared" si="0"/>
        <v>0</v>
      </c>
      <c r="B10">
        <f t="shared" si="1"/>
        <v>1</v>
      </c>
      <c r="C10">
        <f t="shared" si="2"/>
        <v>9</v>
      </c>
      <c r="D10">
        <f t="shared" si="4"/>
        <v>0</v>
      </c>
      <c r="E10" t="str">
        <f>VLOOKUP(D10,name!A:B,2,1)</f>
        <v>Player</v>
      </c>
      <c r="F10">
        <f t="shared" si="4"/>
        <v>0</v>
      </c>
      <c r="G10" t="str">
        <f t="shared" si="3"/>
        <v>q</v>
      </c>
      <c r="H10" t="str">
        <f>VLOOKUP(D10,name!A:C,3,1)</f>
        <v>assets/icons/image326.png</v>
      </c>
      <c r="I10" t="e">
        <f>IF(A10="","",VLOOKUP(A10,lng!A:B,2,0))</f>
        <v>#N/A</v>
      </c>
    </row>
    <row r="11" spans="1:9" x14ac:dyDescent="0.15">
      <c r="A11">
        <f t="shared" si="0"/>
        <v>0</v>
      </c>
      <c r="B11">
        <f t="shared" si="1"/>
        <v>1</v>
      </c>
      <c r="C11">
        <f t="shared" si="2"/>
        <v>10</v>
      </c>
      <c r="D11">
        <f t="shared" si="4"/>
        <v>0</v>
      </c>
      <c r="E11" t="str">
        <f>VLOOKUP(D11,name!A:B,2,1)</f>
        <v>Player</v>
      </c>
      <c r="F11">
        <f t="shared" si="4"/>
        <v>0</v>
      </c>
      <c r="G11" t="str">
        <f t="shared" si="3"/>
        <v>q</v>
      </c>
      <c r="H11" t="str">
        <f>VLOOKUP(D11,name!A:C,3,1)</f>
        <v>assets/icons/image326.png</v>
      </c>
      <c r="I11" t="s">
        <v>404</v>
      </c>
    </row>
    <row r="12" spans="1:9" x14ac:dyDescent="0.15">
      <c r="A12">
        <f t="shared" si="0"/>
        <v>0</v>
      </c>
      <c r="B12">
        <f t="shared" si="1"/>
        <v>1</v>
      </c>
      <c r="C12">
        <f t="shared" si="2"/>
        <v>11</v>
      </c>
      <c r="D12">
        <f t="shared" si="4"/>
        <v>0</v>
      </c>
      <c r="E12" t="str">
        <f>VLOOKUP(D12,name!A:B,2,1)</f>
        <v>Player</v>
      </c>
      <c r="F12">
        <f t="shared" si="4"/>
        <v>0</v>
      </c>
      <c r="G12" t="str">
        <f t="shared" si="3"/>
        <v>q</v>
      </c>
      <c r="H12" t="str">
        <f>VLOOKUP(D12,name!A:C,3,1)</f>
        <v>assets/icons/image326.png</v>
      </c>
      <c r="I12" t="e">
        <f>IF(A12="","",VLOOKUP(A12,lng!A:B,2,0))</f>
        <v>#N/A</v>
      </c>
    </row>
    <row r="13" spans="1:9" x14ac:dyDescent="0.15">
      <c r="A13">
        <f t="shared" si="0"/>
        <v>0</v>
      </c>
      <c r="B13">
        <f t="shared" si="1"/>
        <v>1</v>
      </c>
      <c r="C13">
        <f t="shared" si="2"/>
        <v>12</v>
      </c>
      <c r="D13">
        <f t="shared" si="4"/>
        <v>0</v>
      </c>
      <c r="E13" t="str">
        <f>VLOOKUP(D13,name!A:B,2,1)</f>
        <v>Player</v>
      </c>
      <c r="F13">
        <f t="shared" si="4"/>
        <v>0</v>
      </c>
      <c r="G13" t="str">
        <f t="shared" si="3"/>
        <v>q</v>
      </c>
      <c r="H13" t="str">
        <f>VLOOKUP(D13,name!A:C,3,1)</f>
        <v>assets/icons/image326.png</v>
      </c>
      <c r="I13" t="s">
        <v>404</v>
      </c>
    </row>
    <row r="14" spans="1:9" x14ac:dyDescent="0.15">
      <c r="A14">
        <f t="shared" si="0"/>
        <v>0</v>
      </c>
      <c r="B14">
        <f t="shared" si="1"/>
        <v>1</v>
      </c>
      <c r="C14">
        <f t="shared" si="2"/>
        <v>13</v>
      </c>
      <c r="D14">
        <f t="shared" si="4"/>
        <v>0</v>
      </c>
      <c r="E14" t="str">
        <f>VLOOKUP(D14,name!A:B,2,1)</f>
        <v>Player</v>
      </c>
      <c r="F14">
        <f t="shared" si="4"/>
        <v>0</v>
      </c>
      <c r="G14" t="str">
        <f t="shared" si="3"/>
        <v>q</v>
      </c>
      <c r="H14" t="str">
        <f>VLOOKUP(D14,name!A:C,3,1)</f>
        <v>assets/icons/image326.png</v>
      </c>
      <c r="I14" t="e">
        <f>IF(A14="","",VLOOKUP(A14,lng!A:B,2,0))</f>
        <v>#N/A</v>
      </c>
    </row>
    <row r="15" spans="1:9" x14ac:dyDescent="0.15">
      <c r="A15">
        <f t="shared" si="0"/>
        <v>0</v>
      </c>
      <c r="B15">
        <f t="shared" si="1"/>
        <v>1</v>
      </c>
      <c r="C15">
        <f t="shared" si="2"/>
        <v>14</v>
      </c>
      <c r="D15">
        <f t="shared" si="4"/>
        <v>0</v>
      </c>
      <c r="E15" t="str">
        <f>VLOOKUP(D15,name!A:B,2,1)</f>
        <v>Player</v>
      </c>
      <c r="F15">
        <f t="shared" si="4"/>
        <v>0</v>
      </c>
      <c r="G15" t="str">
        <f t="shared" si="3"/>
        <v>q</v>
      </c>
      <c r="H15" t="str">
        <f>VLOOKUP(D15,name!A:C,3,1)</f>
        <v>assets/icons/image326.png</v>
      </c>
      <c r="I15" t="s">
        <v>404</v>
      </c>
    </row>
    <row r="16" spans="1:9" x14ac:dyDescent="0.15">
      <c r="A16">
        <f t="shared" si="0"/>
        <v>0</v>
      </c>
      <c r="B16">
        <f t="shared" si="1"/>
        <v>1</v>
      </c>
      <c r="C16">
        <f t="shared" si="2"/>
        <v>15</v>
      </c>
      <c r="D16">
        <f t="shared" si="4"/>
        <v>0</v>
      </c>
      <c r="E16" t="str">
        <f>VLOOKUP(D16,name!A:B,2,1)</f>
        <v>Player</v>
      </c>
      <c r="F16">
        <f t="shared" si="4"/>
        <v>0</v>
      </c>
      <c r="G16" t="str">
        <f t="shared" si="3"/>
        <v>q</v>
      </c>
      <c r="H16" t="str">
        <f>VLOOKUP(D16,name!A:C,3,1)</f>
        <v>assets/icons/image326.png</v>
      </c>
      <c r="I16" t="e">
        <f>IF(A16="","",VLOOKUP(A16,lng!A:B,2,0))</f>
        <v>#N/A</v>
      </c>
    </row>
    <row r="17" spans="1:9" x14ac:dyDescent="0.15">
      <c r="A17">
        <f t="shared" si="0"/>
        <v>0</v>
      </c>
      <c r="B17">
        <f t="shared" si="1"/>
        <v>1</v>
      </c>
      <c r="C17">
        <f t="shared" si="2"/>
        <v>16</v>
      </c>
      <c r="D17">
        <f t="shared" si="4"/>
        <v>0</v>
      </c>
      <c r="E17" t="str">
        <f>VLOOKUP(D17,name!A:B,2,1)</f>
        <v>Player</v>
      </c>
      <c r="F17">
        <f t="shared" si="4"/>
        <v>0</v>
      </c>
      <c r="G17" t="str">
        <f t="shared" si="3"/>
        <v>q</v>
      </c>
      <c r="H17" t="str">
        <f>VLOOKUP(D17,name!A:C,3,1)</f>
        <v>assets/icons/image326.png</v>
      </c>
      <c r="I17" t="s">
        <v>404</v>
      </c>
    </row>
    <row r="18" spans="1:9" x14ac:dyDescent="0.15">
      <c r="A18">
        <f t="shared" si="0"/>
        <v>0</v>
      </c>
      <c r="B18">
        <f t="shared" si="1"/>
        <v>1</v>
      </c>
      <c r="C18">
        <f t="shared" si="2"/>
        <v>17</v>
      </c>
      <c r="D18">
        <f t="shared" si="4"/>
        <v>0</v>
      </c>
      <c r="E18" t="str">
        <f>VLOOKUP(D18,name!A:B,2,1)</f>
        <v>Player</v>
      </c>
      <c r="F18">
        <f t="shared" si="4"/>
        <v>0</v>
      </c>
      <c r="G18" t="str">
        <f t="shared" si="3"/>
        <v>q</v>
      </c>
      <c r="H18" t="str">
        <f>VLOOKUP(D18,name!A:C,3,1)</f>
        <v>assets/icons/image326.png</v>
      </c>
      <c r="I18" t="e">
        <f>IF(A18="","",VLOOKUP(A18,lng!A:B,2,0))</f>
        <v>#N/A</v>
      </c>
    </row>
    <row r="19" spans="1:9" x14ac:dyDescent="0.15">
      <c r="A19">
        <f t="shared" si="0"/>
        <v>0</v>
      </c>
      <c r="B19">
        <f t="shared" si="1"/>
        <v>1</v>
      </c>
      <c r="C19">
        <f t="shared" si="2"/>
        <v>18</v>
      </c>
      <c r="D19">
        <f t="shared" si="4"/>
        <v>0</v>
      </c>
      <c r="E19" t="str">
        <f>VLOOKUP(D19,name!A:B,2,1)</f>
        <v>Player</v>
      </c>
      <c r="F19">
        <f t="shared" si="4"/>
        <v>0</v>
      </c>
      <c r="G19" t="str">
        <f t="shared" si="3"/>
        <v>q</v>
      </c>
      <c r="H19" t="str">
        <f>VLOOKUP(D19,name!A:C,3,1)</f>
        <v>assets/icons/image326.png</v>
      </c>
      <c r="I19" t="s">
        <v>404</v>
      </c>
    </row>
    <row r="20" spans="1:9" x14ac:dyDescent="0.15">
      <c r="A20">
        <f t="shared" si="0"/>
        <v>0</v>
      </c>
      <c r="B20">
        <f t="shared" si="1"/>
        <v>1</v>
      </c>
      <c r="C20">
        <f t="shared" si="2"/>
        <v>19</v>
      </c>
      <c r="D20">
        <f t="shared" si="4"/>
        <v>0</v>
      </c>
      <c r="E20" t="str">
        <f>VLOOKUP(D20,name!A:B,2,1)</f>
        <v>Player</v>
      </c>
      <c r="F20">
        <f t="shared" si="4"/>
        <v>0</v>
      </c>
      <c r="G20" t="str">
        <f t="shared" si="3"/>
        <v>q</v>
      </c>
      <c r="H20" t="str">
        <f>VLOOKUP(D20,name!A:C,3,1)</f>
        <v>assets/icons/image326.png</v>
      </c>
      <c r="I20" t="e">
        <f>IF(A20="","",VLOOKUP(A20,lng!A:B,2,0))</f>
        <v>#N/A</v>
      </c>
    </row>
    <row r="21" spans="1:9" x14ac:dyDescent="0.15">
      <c r="A21">
        <f t="shared" si="0"/>
        <v>0</v>
      </c>
      <c r="B21">
        <f t="shared" si="1"/>
        <v>1</v>
      </c>
      <c r="C21">
        <f t="shared" si="2"/>
        <v>20</v>
      </c>
      <c r="D21">
        <f t="shared" si="4"/>
        <v>0</v>
      </c>
      <c r="E21" t="str">
        <f>VLOOKUP(D21,name!A:B,2,1)</f>
        <v>Player</v>
      </c>
      <c r="F21">
        <f t="shared" si="4"/>
        <v>0</v>
      </c>
      <c r="G21" t="str">
        <f t="shared" si="3"/>
        <v>q</v>
      </c>
      <c r="H21" t="str">
        <f>VLOOKUP(D21,name!A:C,3,1)</f>
        <v>assets/icons/image326.png</v>
      </c>
      <c r="I21" t="s">
        <v>404</v>
      </c>
    </row>
    <row r="22" spans="1:9" x14ac:dyDescent="0.15">
      <c r="A22">
        <f t="shared" si="0"/>
        <v>0</v>
      </c>
      <c r="B22">
        <f t="shared" si="1"/>
        <v>1</v>
      </c>
      <c r="C22">
        <f t="shared" si="2"/>
        <v>21</v>
      </c>
      <c r="D22">
        <f t="shared" si="4"/>
        <v>0</v>
      </c>
      <c r="E22" t="str">
        <f>VLOOKUP(D22,name!A:B,2,1)</f>
        <v>Player</v>
      </c>
      <c r="F22">
        <f t="shared" si="4"/>
        <v>0</v>
      </c>
      <c r="G22" t="str">
        <f t="shared" si="3"/>
        <v>q</v>
      </c>
      <c r="H22" t="str">
        <f>VLOOKUP(D22,name!A:C,3,1)</f>
        <v>assets/icons/image326.png</v>
      </c>
      <c r="I22" t="e">
        <f>IF(A22="","",VLOOKUP(A22,lng!A:B,2,0))</f>
        <v>#N/A</v>
      </c>
    </row>
    <row r="23" spans="1:9" x14ac:dyDescent="0.15">
      <c r="A23">
        <f t="shared" si="0"/>
        <v>0</v>
      </c>
      <c r="B23">
        <f t="shared" si="1"/>
        <v>1</v>
      </c>
      <c r="C23">
        <f t="shared" si="2"/>
        <v>22</v>
      </c>
      <c r="D23">
        <f t="shared" si="4"/>
        <v>0</v>
      </c>
      <c r="E23" t="str">
        <f>VLOOKUP(D23,name!A:B,2,1)</f>
        <v>Player</v>
      </c>
      <c r="F23">
        <f t="shared" si="4"/>
        <v>0</v>
      </c>
      <c r="G23" t="str">
        <f t="shared" si="3"/>
        <v>q</v>
      </c>
      <c r="H23" t="str">
        <f>VLOOKUP(D23,name!A:C,3,1)</f>
        <v>assets/icons/image326.png</v>
      </c>
      <c r="I23" t="s">
        <v>404</v>
      </c>
    </row>
    <row r="24" spans="1:9" x14ac:dyDescent="0.15">
      <c r="A24">
        <f t="shared" si="0"/>
        <v>0</v>
      </c>
      <c r="B24">
        <f t="shared" si="1"/>
        <v>1</v>
      </c>
      <c r="C24">
        <f t="shared" si="2"/>
        <v>23</v>
      </c>
      <c r="D24">
        <f t="shared" si="4"/>
        <v>0</v>
      </c>
      <c r="E24" t="str">
        <f>VLOOKUP(D24,name!A:B,2,1)</f>
        <v>Player</v>
      </c>
      <c r="F24">
        <f t="shared" si="4"/>
        <v>0</v>
      </c>
      <c r="G24" t="str">
        <f t="shared" si="3"/>
        <v>q</v>
      </c>
      <c r="H24" t="str">
        <f>VLOOKUP(D24,name!A:C,3,1)</f>
        <v>assets/icons/image326.png</v>
      </c>
      <c r="I24" t="e">
        <f>IF(A24="","",VLOOKUP(A24,lng!A:B,2,0))</f>
        <v>#N/A</v>
      </c>
    </row>
    <row r="25" spans="1:9" x14ac:dyDescent="0.15">
      <c r="A25">
        <f t="shared" si="0"/>
        <v>0</v>
      </c>
      <c r="B25">
        <f t="shared" si="1"/>
        <v>1</v>
      </c>
      <c r="C25">
        <f t="shared" si="2"/>
        <v>24</v>
      </c>
      <c r="D25">
        <f t="shared" si="4"/>
        <v>0</v>
      </c>
      <c r="E25" t="str">
        <f>VLOOKUP(D25,name!A:B,2,1)</f>
        <v>Player</v>
      </c>
      <c r="F25">
        <f t="shared" si="4"/>
        <v>0</v>
      </c>
      <c r="G25" t="str">
        <f t="shared" si="3"/>
        <v>q</v>
      </c>
      <c r="H25" t="str">
        <f>VLOOKUP(D25,name!A:C,3,1)</f>
        <v>assets/icons/image326.png</v>
      </c>
      <c r="I25" t="s">
        <v>404</v>
      </c>
    </row>
    <row r="26" spans="1:9" x14ac:dyDescent="0.15">
      <c r="A26">
        <f t="shared" si="0"/>
        <v>0</v>
      </c>
      <c r="B26">
        <f t="shared" si="1"/>
        <v>1</v>
      </c>
      <c r="C26">
        <f t="shared" si="2"/>
        <v>25</v>
      </c>
      <c r="D26">
        <f t="shared" si="4"/>
        <v>0</v>
      </c>
      <c r="E26" t="str">
        <f>VLOOKUP(D26,name!A:B,2,1)</f>
        <v>Player</v>
      </c>
      <c r="F26">
        <f t="shared" si="4"/>
        <v>0</v>
      </c>
      <c r="G26" t="str">
        <f t="shared" si="3"/>
        <v>q</v>
      </c>
      <c r="H26" t="str">
        <f>VLOOKUP(D26,name!A:C,3,1)</f>
        <v>assets/icons/image326.png</v>
      </c>
      <c r="I26" t="e">
        <f>IF(A26="","",VLOOKUP(A26,lng!A:B,2,0))</f>
        <v>#N/A</v>
      </c>
    </row>
    <row r="27" spans="1:9" x14ac:dyDescent="0.15">
      <c r="A27">
        <f t="shared" si="0"/>
        <v>0</v>
      </c>
      <c r="B27">
        <f t="shared" si="1"/>
        <v>1</v>
      </c>
      <c r="C27">
        <f t="shared" si="2"/>
        <v>26</v>
      </c>
      <c r="D27">
        <f t="shared" si="4"/>
        <v>0</v>
      </c>
      <c r="E27" t="str">
        <f>VLOOKUP(D27,name!A:B,2,1)</f>
        <v>Player</v>
      </c>
      <c r="F27">
        <f t="shared" si="4"/>
        <v>0</v>
      </c>
      <c r="G27" t="str">
        <f t="shared" si="3"/>
        <v>q</v>
      </c>
      <c r="H27" t="str">
        <f>VLOOKUP(D27,name!A:C,3,1)</f>
        <v>assets/icons/image326.png</v>
      </c>
      <c r="I27" t="s">
        <v>404</v>
      </c>
    </row>
    <row r="28" spans="1:9" x14ac:dyDescent="0.15">
      <c r="A28">
        <f t="shared" si="0"/>
        <v>0</v>
      </c>
      <c r="B28">
        <f t="shared" si="1"/>
        <v>1</v>
      </c>
      <c r="C28">
        <f t="shared" si="2"/>
        <v>27</v>
      </c>
      <c r="D28">
        <f t="shared" si="4"/>
        <v>0</v>
      </c>
      <c r="E28" t="str">
        <f>VLOOKUP(D28,name!A:B,2,1)</f>
        <v>Player</v>
      </c>
      <c r="F28">
        <f t="shared" si="4"/>
        <v>0</v>
      </c>
      <c r="G28" t="str">
        <f t="shared" si="3"/>
        <v>q</v>
      </c>
      <c r="H28" t="str">
        <f>VLOOKUP(D28,name!A:C,3,1)</f>
        <v>assets/icons/image326.png</v>
      </c>
      <c r="I28" t="e">
        <f>IF(A28="","",VLOOKUP(A28,lng!A:B,2,0))</f>
        <v>#N/A</v>
      </c>
    </row>
    <row r="29" spans="1:9" x14ac:dyDescent="0.15">
      <c r="A29">
        <f t="shared" si="0"/>
        <v>0</v>
      </c>
      <c r="B29">
        <f t="shared" si="1"/>
        <v>1</v>
      </c>
      <c r="C29">
        <f t="shared" si="2"/>
        <v>28</v>
      </c>
      <c r="D29">
        <f t="shared" si="4"/>
        <v>0</v>
      </c>
      <c r="E29" t="str">
        <f>VLOOKUP(D29,name!A:B,2,1)</f>
        <v>Player</v>
      </c>
      <c r="F29">
        <f t="shared" si="4"/>
        <v>0</v>
      </c>
      <c r="G29" t="str">
        <f t="shared" si="3"/>
        <v>q</v>
      </c>
      <c r="H29" t="str">
        <f>VLOOKUP(D29,name!A:C,3,1)</f>
        <v>assets/icons/image326.png</v>
      </c>
      <c r="I29" t="s">
        <v>404</v>
      </c>
    </row>
    <row r="30" spans="1:9" x14ac:dyDescent="0.15">
      <c r="A30">
        <f t="shared" si="0"/>
        <v>0</v>
      </c>
      <c r="B30">
        <f t="shared" si="1"/>
        <v>1</v>
      </c>
      <c r="C30">
        <f t="shared" si="2"/>
        <v>29</v>
      </c>
      <c r="D30">
        <f t="shared" si="4"/>
        <v>0</v>
      </c>
      <c r="E30" t="str">
        <f>VLOOKUP(D30,name!A:B,2,1)</f>
        <v>Player</v>
      </c>
      <c r="F30">
        <f t="shared" si="4"/>
        <v>0</v>
      </c>
      <c r="G30" t="str">
        <f t="shared" si="3"/>
        <v>q</v>
      </c>
      <c r="H30" t="str">
        <f>VLOOKUP(D30,name!A:C,3,1)</f>
        <v>assets/icons/image326.png</v>
      </c>
      <c r="I30" t="e">
        <f>IF(A30="","",VLOOKUP(A30,lng!A:B,2,0))</f>
        <v>#N/A</v>
      </c>
    </row>
    <row r="31" spans="1:9" x14ac:dyDescent="0.15">
      <c r="A31">
        <f t="shared" si="0"/>
        <v>0</v>
      </c>
      <c r="B31">
        <f t="shared" si="1"/>
        <v>1</v>
      </c>
      <c r="C31">
        <f t="shared" si="2"/>
        <v>30</v>
      </c>
      <c r="D31">
        <f t="shared" si="4"/>
        <v>0</v>
      </c>
      <c r="E31" t="str">
        <f>VLOOKUP(D31,name!A:B,2,1)</f>
        <v>Player</v>
      </c>
      <c r="F31">
        <f t="shared" si="4"/>
        <v>0</v>
      </c>
      <c r="G31" t="str">
        <f t="shared" si="3"/>
        <v>q</v>
      </c>
      <c r="H31" t="str">
        <f>VLOOKUP(D31,name!A:C,3,1)</f>
        <v>assets/icons/image326.png</v>
      </c>
      <c r="I31" t="s">
        <v>402</v>
      </c>
    </row>
    <row r="32" spans="1:9" x14ac:dyDescent="0.15">
      <c r="A32">
        <f t="shared" si="0"/>
        <v>0</v>
      </c>
      <c r="B32">
        <f t="shared" si="1"/>
        <v>1</v>
      </c>
      <c r="C32">
        <f t="shared" si="2"/>
        <v>31</v>
      </c>
      <c r="D32">
        <f t="shared" si="4"/>
        <v>0</v>
      </c>
      <c r="E32" t="str">
        <f>VLOOKUP(D32,name!A:B,2,1)</f>
        <v>Player</v>
      </c>
      <c r="F32">
        <f t="shared" si="4"/>
        <v>0</v>
      </c>
      <c r="G32" t="str">
        <f t="shared" si="3"/>
        <v>q</v>
      </c>
      <c r="H32" t="str">
        <f>VLOOKUP(D32,name!A:C,3,1)</f>
        <v>assets/icons/image326.png</v>
      </c>
      <c r="I32" t="e">
        <f>IF(A32="","",VLOOKUP(A32,lng!A:B,2,0))</f>
        <v>#N/A</v>
      </c>
    </row>
    <row r="33" spans="1:9" x14ac:dyDescent="0.15">
      <c r="A33">
        <f t="shared" si="0"/>
        <v>0</v>
      </c>
      <c r="B33">
        <f t="shared" si="1"/>
        <v>1</v>
      </c>
      <c r="C33">
        <f t="shared" si="2"/>
        <v>32</v>
      </c>
      <c r="D33">
        <f t="shared" si="4"/>
        <v>0</v>
      </c>
      <c r="E33" t="str">
        <f>VLOOKUP(D33,name!A:B,2,1)</f>
        <v>Player</v>
      </c>
      <c r="F33">
        <f t="shared" si="4"/>
        <v>0</v>
      </c>
      <c r="G33" t="str">
        <f t="shared" si="3"/>
        <v>q</v>
      </c>
      <c r="H33" t="str">
        <f>VLOOKUP(D33,name!A:C,3,1)</f>
        <v>assets/icons/image326.png</v>
      </c>
      <c r="I33" t="s">
        <v>402</v>
      </c>
    </row>
    <row r="34" spans="1:9" x14ac:dyDescent="0.15">
      <c r="A34">
        <f t="shared" si="0"/>
        <v>0</v>
      </c>
      <c r="B34">
        <f t="shared" si="1"/>
        <v>1</v>
      </c>
      <c r="C34">
        <f t="shared" si="2"/>
        <v>33</v>
      </c>
      <c r="D34">
        <f t="shared" si="4"/>
        <v>0</v>
      </c>
      <c r="E34" t="str">
        <f>VLOOKUP(D34,name!A:B,2,1)</f>
        <v>Player</v>
      </c>
      <c r="F34">
        <f t="shared" si="4"/>
        <v>0</v>
      </c>
      <c r="G34" t="str">
        <f t="shared" si="3"/>
        <v>q</v>
      </c>
      <c r="H34" t="str">
        <f>VLOOKUP(D34,name!A:C,3,1)</f>
        <v>assets/icons/image326.png</v>
      </c>
      <c r="I34" t="e">
        <f>IF(A34="","",VLOOKUP(A34,lng!A:B,2,0))</f>
        <v>#N/A</v>
      </c>
    </row>
    <row r="35" spans="1:9" x14ac:dyDescent="0.15">
      <c r="A35">
        <f t="shared" si="0"/>
        <v>0</v>
      </c>
      <c r="B35">
        <f t="shared" si="1"/>
        <v>1</v>
      </c>
      <c r="C35">
        <f t="shared" si="2"/>
        <v>34</v>
      </c>
      <c r="D35">
        <f t="shared" si="4"/>
        <v>0</v>
      </c>
      <c r="E35" t="str">
        <f>VLOOKUP(D35,name!A:B,2,1)</f>
        <v>Player</v>
      </c>
      <c r="F35">
        <f t="shared" si="4"/>
        <v>0</v>
      </c>
      <c r="G35" t="str">
        <f t="shared" si="3"/>
        <v>q</v>
      </c>
      <c r="H35" t="str">
        <f>VLOOKUP(D35,name!A:C,3,1)</f>
        <v>assets/icons/image326.png</v>
      </c>
      <c r="I35" t="s">
        <v>402</v>
      </c>
    </row>
    <row r="36" spans="1:9" x14ac:dyDescent="0.15">
      <c r="A36">
        <f t="shared" si="0"/>
        <v>0</v>
      </c>
      <c r="B36">
        <f t="shared" si="1"/>
        <v>1</v>
      </c>
      <c r="C36">
        <f t="shared" si="2"/>
        <v>35</v>
      </c>
      <c r="D36">
        <f t="shared" si="4"/>
        <v>0</v>
      </c>
      <c r="E36" t="str">
        <f>VLOOKUP(D36,name!A:B,2,1)</f>
        <v>Player</v>
      </c>
      <c r="F36">
        <f t="shared" si="4"/>
        <v>0</v>
      </c>
      <c r="G36" t="str">
        <f t="shared" si="3"/>
        <v>q</v>
      </c>
      <c r="H36" t="str">
        <f>VLOOKUP(D36,name!A:C,3,1)</f>
        <v>assets/icons/image326.png</v>
      </c>
      <c r="I36" t="e">
        <f>IF(A36="","",VLOOKUP(A36,lng!A:B,2,0))</f>
        <v>#N/A</v>
      </c>
    </row>
    <row r="37" spans="1:9" x14ac:dyDescent="0.15">
      <c r="A37">
        <f t="shared" si="0"/>
        <v>0</v>
      </c>
      <c r="B37">
        <f t="shared" si="1"/>
        <v>1</v>
      </c>
      <c r="C37">
        <f t="shared" si="2"/>
        <v>36</v>
      </c>
      <c r="D37">
        <f t="shared" si="4"/>
        <v>0</v>
      </c>
      <c r="E37" t="str">
        <f>VLOOKUP(D37,name!A:B,2,1)</f>
        <v>Player</v>
      </c>
      <c r="F37">
        <f t="shared" si="4"/>
        <v>0</v>
      </c>
      <c r="G37" t="str">
        <f t="shared" si="3"/>
        <v>q</v>
      </c>
      <c r="H37" t="str">
        <f>VLOOKUP(D37,name!A:C,3,1)</f>
        <v>assets/icons/image326.png</v>
      </c>
      <c r="I37" t="s">
        <v>402</v>
      </c>
    </row>
    <row r="38" spans="1:9" x14ac:dyDescent="0.15">
      <c r="A38">
        <f t="shared" si="0"/>
        <v>0</v>
      </c>
      <c r="B38">
        <f t="shared" si="1"/>
        <v>1</v>
      </c>
      <c r="C38">
        <f t="shared" si="2"/>
        <v>37</v>
      </c>
      <c r="D38">
        <f t="shared" si="4"/>
        <v>0</v>
      </c>
      <c r="E38" t="str">
        <f>VLOOKUP(D38,name!A:B,2,1)</f>
        <v>Player</v>
      </c>
      <c r="F38">
        <f t="shared" si="4"/>
        <v>0</v>
      </c>
      <c r="G38" t="str">
        <f t="shared" si="3"/>
        <v>q</v>
      </c>
      <c r="H38" t="str">
        <f>VLOOKUP(D38,name!A:C,3,1)</f>
        <v>assets/icons/image326.png</v>
      </c>
      <c r="I38" t="e">
        <f>IF(A38="","",VLOOKUP(A38,lng!A:B,2,0))</f>
        <v>#N/A</v>
      </c>
    </row>
    <row r="39" spans="1:9" x14ac:dyDescent="0.15">
      <c r="A39">
        <f t="shared" si="0"/>
        <v>0</v>
      </c>
      <c r="B39">
        <f t="shared" si="1"/>
        <v>1</v>
      </c>
      <c r="C39">
        <f t="shared" si="2"/>
        <v>38</v>
      </c>
      <c r="D39">
        <f t="shared" si="4"/>
        <v>0</v>
      </c>
      <c r="E39" t="str">
        <f>VLOOKUP(D39,name!A:B,2,1)</f>
        <v>Player</v>
      </c>
      <c r="F39">
        <f t="shared" si="4"/>
        <v>0</v>
      </c>
      <c r="G39" t="str">
        <f t="shared" si="3"/>
        <v>q</v>
      </c>
      <c r="H39" t="str">
        <f>VLOOKUP(D39,name!A:C,3,1)</f>
        <v>assets/icons/image326.png</v>
      </c>
      <c r="I39" t="s">
        <v>402</v>
      </c>
    </row>
    <row r="40" spans="1:9" x14ac:dyDescent="0.15">
      <c r="A40">
        <f t="shared" si="0"/>
        <v>0</v>
      </c>
      <c r="B40">
        <f t="shared" si="1"/>
        <v>1</v>
      </c>
      <c r="C40">
        <f t="shared" si="2"/>
        <v>39</v>
      </c>
      <c r="D40">
        <f t="shared" si="4"/>
        <v>0</v>
      </c>
      <c r="E40" t="str">
        <f>VLOOKUP(D40,name!A:B,2,1)</f>
        <v>Player</v>
      </c>
      <c r="F40">
        <f t="shared" si="4"/>
        <v>0</v>
      </c>
      <c r="G40" t="str">
        <f t="shared" si="3"/>
        <v>q</v>
      </c>
      <c r="H40" t="str">
        <f>VLOOKUP(D40,name!A:C,3,1)</f>
        <v>assets/icons/image326.png</v>
      </c>
      <c r="I40" t="e">
        <f>IF(A40="","",VLOOKUP(A40,lng!A:B,2,0))</f>
        <v>#N/A</v>
      </c>
    </row>
    <row r="41" spans="1:9" x14ac:dyDescent="0.15">
      <c r="A41">
        <f t="shared" si="0"/>
        <v>0</v>
      </c>
      <c r="B41">
        <f t="shared" si="1"/>
        <v>1</v>
      </c>
      <c r="C41">
        <f t="shared" si="2"/>
        <v>40</v>
      </c>
      <c r="D41">
        <f t="shared" si="4"/>
        <v>0</v>
      </c>
      <c r="E41" t="str">
        <f>VLOOKUP(D41,name!A:B,2,1)</f>
        <v>Player</v>
      </c>
      <c r="F41">
        <f t="shared" si="4"/>
        <v>0</v>
      </c>
      <c r="G41" t="str">
        <f t="shared" si="3"/>
        <v>q</v>
      </c>
      <c r="H41" t="str">
        <f>VLOOKUP(D41,name!A:C,3,1)</f>
        <v>assets/icons/image326.png</v>
      </c>
      <c r="I41" t="s">
        <v>402</v>
      </c>
    </row>
    <row r="42" spans="1:9" x14ac:dyDescent="0.15">
      <c r="A42">
        <f t="shared" si="0"/>
        <v>0</v>
      </c>
      <c r="B42">
        <f t="shared" si="1"/>
        <v>1</v>
      </c>
      <c r="C42">
        <f t="shared" si="2"/>
        <v>41</v>
      </c>
      <c r="D42">
        <f t="shared" si="4"/>
        <v>0</v>
      </c>
      <c r="E42" t="str">
        <f>VLOOKUP(D42,name!A:B,2,1)</f>
        <v>Player</v>
      </c>
      <c r="F42">
        <f t="shared" si="4"/>
        <v>0</v>
      </c>
      <c r="G42" t="str">
        <f t="shared" si="3"/>
        <v>q</v>
      </c>
      <c r="H42" t="str">
        <f>VLOOKUP(D42,name!A:C,3,1)</f>
        <v>assets/icons/image326.png</v>
      </c>
      <c r="I42" t="e">
        <f>IF(A42="","",VLOOKUP(A42,lng!A:B,2,0))</f>
        <v>#N/A</v>
      </c>
    </row>
    <row r="43" spans="1:9" x14ac:dyDescent="0.15">
      <c r="A43">
        <f t="shared" si="0"/>
        <v>0</v>
      </c>
      <c r="B43">
        <f t="shared" si="1"/>
        <v>1</v>
      </c>
      <c r="C43">
        <f t="shared" si="2"/>
        <v>42</v>
      </c>
      <c r="D43">
        <f t="shared" si="4"/>
        <v>0</v>
      </c>
      <c r="E43" t="str">
        <f>VLOOKUP(D43,name!A:B,2,1)</f>
        <v>Player</v>
      </c>
      <c r="F43">
        <f t="shared" si="4"/>
        <v>0</v>
      </c>
      <c r="G43" t="str">
        <f t="shared" si="3"/>
        <v>q</v>
      </c>
      <c r="H43" t="str">
        <f>VLOOKUP(D43,name!A:C,3,1)</f>
        <v>assets/icons/image326.png</v>
      </c>
      <c r="I43" t="s">
        <v>402</v>
      </c>
    </row>
    <row r="44" spans="1:9" x14ac:dyDescent="0.15">
      <c r="A44">
        <f t="shared" si="0"/>
        <v>0</v>
      </c>
      <c r="B44">
        <f t="shared" si="1"/>
        <v>1</v>
      </c>
      <c r="C44">
        <f t="shared" si="2"/>
        <v>43</v>
      </c>
      <c r="D44">
        <f t="shared" si="4"/>
        <v>0</v>
      </c>
      <c r="E44" t="str">
        <f>VLOOKUP(D44,name!A:B,2,1)</f>
        <v>Player</v>
      </c>
      <c r="F44">
        <f t="shared" si="4"/>
        <v>0</v>
      </c>
      <c r="G44" t="str">
        <f t="shared" si="3"/>
        <v>q</v>
      </c>
      <c r="H44" t="str">
        <f>VLOOKUP(D44,name!A:C,3,1)</f>
        <v>assets/icons/image326.png</v>
      </c>
      <c r="I44" t="e">
        <f>IF(A44="","",VLOOKUP(A44,lng!A:B,2,0))</f>
        <v>#N/A</v>
      </c>
    </row>
    <row r="45" spans="1:9" x14ac:dyDescent="0.15">
      <c r="A45">
        <f t="shared" si="0"/>
        <v>0</v>
      </c>
      <c r="B45">
        <f t="shared" si="1"/>
        <v>1</v>
      </c>
      <c r="C45">
        <f t="shared" si="2"/>
        <v>44</v>
      </c>
      <c r="D45">
        <f>D46</f>
        <v>0</v>
      </c>
      <c r="E45" t="str">
        <f>VLOOKUP(D45,name!A:B,2,1)</f>
        <v>Player</v>
      </c>
      <c r="F45">
        <f>F46</f>
        <v>0</v>
      </c>
      <c r="G45" t="str">
        <f t="shared" si="3"/>
        <v>q</v>
      </c>
      <c r="H45" t="str">
        <f>VLOOKUP(D45,name!A:C,3,1)</f>
        <v>assets/icons/image326.png</v>
      </c>
      <c r="I45" t="s">
        <v>402</v>
      </c>
    </row>
    <row r="46" spans="1:9" x14ac:dyDescent="0.15">
      <c r="A46">
        <f t="shared" si="0"/>
        <v>0</v>
      </c>
      <c r="B46">
        <f t="shared" si="1"/>
        <v>1</v>
      </c>
      <c r="C46">
        <f t="shared" si="2"/>
        <v>45</v>
      </c>
      <c r="D46">
        <f t="shared" si="4"/>
        <v>0</v>
      </c>
      <c r="E46" t="str">
        <f>VLOOKUP(D46,name!A:B,2,1)</f>
        <v>Player</v>
      </c>
      <c r="F46">
        <f t="shared" si="4"/>
        <v>0</v>
      </c>
      <c r="G46" t="str">
        <f t="shared" si="3"/>
        <v>q</v>
      </c>
      <c r="H46" t="str">
        <f>VLOOKUP(D46,name!A:C,3,1)</f>
        <v>assets/icons/image326.png</v>
      </c>
      <c r="I46" t="e">
        <f>IF(A46="","",VLOOKUP(A46,lng!A:B,2,0))</f>
        <v>#N/A</v>
      </c>
    </row>
    <row r="47" spans="1:9" x14ac:dyDescent="0.15">
      <c r="A47">
        <f t="shared" si="0"/>
        <v>0</v>
      </c>
      <c r="B47">
        <f t="shared" si="1"/>
        <v>1</v>
      </c>
      <c r="C47">
        <f t="shared" si="2"/>
        <v>46</v>
      </c>
      <c r="D47">
        <f t="shared" si="4"/>
        <v>0</v>
      </c>
      <c r="E47" t="str">
        <f>VLOOKUP(D47,name!A:B,2,1)</f>
        <v>Player</v>
      </c>
      <c r="F47">
        <f t="shared" si="4"/>
        <v>0</v>
      </c>
      <c r="G47" t="str">
        <f t="shared" si="3"/>
        <v>q</v>
      </c>
      <c r="H47" t="str">
        <f>VLOOKUP(D47,name!A:C,3,1)</f>
        <v>assets/icons/image326.png</v>
      </c>
      <c r="I47" t="s">
        <v>402</v>
      </c>
    </row>
    <row r="48" spans="1:9" x14ac:dyDescent="0.15">
      <c r="A48">
        <f t="shared" si="0"/>
        <v>0</v>
      </c>
      <c r="B48">
        <f t="shared" si="1"/>
        <v>1</v>
      </c>
      <c r="C48">
        <f t="shared" si="2"/>
        <v>47</v>
      </c>
      <c r="D48">
        <f t="shared" si="4"/>
        <v>0</v>
      </c>
      <c r="E48" t="str">
        <f>VLOOKUP(D48,name!A:B,2,1)</f>
        <v>Player</v>
      </c>
      <c r="F48">
        <f t="shared" si="4"/>
        <v>0</v>
      </c>
      <c r="G48" t="str">
        <f t="shared" si="3"/>
        <v>q</v>
      </c>
      <c r="H48" t="str">
        <f>VLOOKUP(D48,name!A:C,3,1)</f>
        <v>assets/icons/image326.png</v>
      </c>
      <c r="I48" t="e">
        <f>IF(A48="","",VLOOKUP(A48,lng!A:B,2,0))</f>
        <v>#N/A</v>
      </c>
    </row>
    <row r="49" spans="1:9" x14ac:dyDescent="0.15">
      <c r="A49">
        <f t="shared" si="0"/>
        <v>0</v>
      </c>
      <c r="B49">
        <f t="shared" si="1"/>
        <v>1</v>
      </c>
      <c r="C49">
        <f t="shared" si="2"/>
        <v>48</v>
      </c>
      <c r="D49">
        <f t="shared" si="4"/>
        <v>0</v>
      </c>
      <c r="E49" t="str">
        <f>VLOOKUP(D49,name!A:B,2,1)</f>
        <v>Player</v>
      </c>
      <c r="F49">
        <f t="shared" si="4"/>
        <v>0</v>
      </c>
      <c r="G49" t="str">
        <f t="shared" si="3"/>
        <v>q</v>
      </c>
      <c r="H49" t="str">
        <f>VLOOKUP(D49,name!A:C,3,1)</f>
        <v>assets/icons/image326.png</v>
      </c>
      <c r="I49" t="s">
        <v>402</v>
      </c>
    </row>
    <row r="50" spans="1:9" x14ac:dyDescent="0.15">
      <c r="A50">
        <f t="shared" si="0"/>
        <v>0</v>
      </c>
      <c r="B50">
        <f t="shared" si="1"/>
        <v>1</v>
      </c>
      <c r="C50">
        <f t="shared" si="2"/>
        <v>49</v>
      </c>
      <c r="D50">
        <f t="shared" si="4"/>
        <v>0</v>
      </c>
      <c r="E50" t="str">
        <f>VLOOKUP(D50,name!A:B,2,1)</f>
        <v>Player</v>
      </c>
      <c r="F50">
        <f t="shared" si="4"/>
        <v>0</v>
      </c>
      <c r="G50" t="str">
        <f t="shared" si="3"/>
        <v>q</v>
      </c>
      <c r="H50" t="str">
        <f>VLOOKUP(D50,name!A:C,3,1)</f>
        <v>assets/icons/image326.png</v>
      </c>
      <c r="I50" t="e">
        <f>IF(A50="","",VLOOKUP(A50,lng!A:B,2,0))</f>
        <v>#N/A</v>
      </c>
    </row>
    <row r="51" spans="1:9" x14ac:dyDescent="0.15">
      <c r="A51">
        <f t="shared" si="0"/>
        <v>0</v>
      </c>
      <c r="B51">
        <f t="shared" si="1"/>
        <v>1</v>
      </c>
      <c r="C51">
        <f t="shared" si="2"/>
        <v>50</v>
      </c>
      <c r="D51">
        <f t="shared" si="4"/>
        <v>0</v>
      </c>
      <c r="E51" t="str">
        <f>VLOOKUP(D51,name!A:B,2,1)</f>
        <v>Player</v>
      </c>
      <c r="F51">
        <f t="shared" si="4"/>
        <v>0</v>
      </c>
      <c r="G51" t="str">
        <f t="shared" si="3"/>
        <v>q</v>
      </c>
      <c r="H51" t="str">
        <f>VLOOKUP(D51,name!A:C,3,1)</f>
        <v>assets/icons/image326.png</v>
      </c>
      <c r="I51" t="s">
        <v>402</v>
      </c>
    </row>
    <row r="52" spans="1:9" x14ac:dyDescent="0.15">
      <c r="A52">
        <f t="shared" si="0"/>
        <v>0</v>
      </c>
      <c r="B52">
        <f t="shared" si="1"/>
        <v>1</v>
      </c>
      <c r="C52">
        <f t="shared" si="2"/>
        <v>51</v>
      </c>
      <c r="D52">
        <f t="shared" si="4"/>
        <v>0</v>
      </c>
      <c r="E52" t="str">
        <f>VLOOKUP(D52,name!A:B,2,1)</f>
        <v>Player</v>
      </c>
      <c r="F52">
        <f t="shared" si="4"/>
        <v>0</v>
      </c>
      <c r="G52" t="str">
        <f t="shared" si="3"/>
        <v>q</v>
      </c>
      <c r="H52" t="str">
        <f>VLOOKUP(D52,name!A:C,3,1)</f>
        <v>assets/icons/image326.png</v>
      </c>
      <c r="I52" t="e">
        <f>IF(A52="","",VLOOKUP(A52,lng!A:B,2,0))</f>
        <v>#N/A</v>
      </c>
    </row>
    <row r="53" spans="1:9" x14ac:dyDescent="0.15">
      <c r="A53">
        <f t="shared" si="0"/>
        <v>0</v>
      </c>
      <c r="B53">
        <f t="shared" si="1"/>
        <v>1</v>
      </c>
      <c r="C53">
        <f t="shared" si="2"/>
        <v>52</v>
      </c>
      <c r="D53">
        <f t="shared" si="4"/>
        <v>0</v>
      </c>
      <c r="E53" t="str">
        <f>VLOOKUP(D53,name!A:B,2,1)</f>
        <v>Player</v>
      </c>
      <c r="F53">
        <f t="shared" si="4"/>
        <v>0</v>
      </c>
      <c r="G53" t="str">
        <f t="shared" si="3"/>
        <v>q</v>
      </c>
      <c r="H53" t="str">
        <f>VLOOKUP(D53,name!A:C,3,1)</f>
        <v>assets/icons/image326.png</v>
      </c>
      <c r="I53" t="s">
        <v>402</v>
      </c>
    </row>
    <row r="54" spans="1:9" x14ac:dyDescent="0.15">
      <c r="A54">
        <f t="shared" si="0"/>
        <v>0</v>
      </c>
      <c r="B54">
        <f t="shared" si="1"/>
        <v>1</v>
      </c>
      <c r="C54">
        <f t="shared" si="2"/>
        <v>53</v>
      </c>
      <c r="D54">
        <f t="shared" si="4"/>
        <v>0</v>
      </c>
      <c r="E54" t="str">
        <f>VLOOKUP(D54,name!A:B,2,1)</f>
        <v>Player</v>
      </c>
      <c r="F54">
        <f t="shared" si="4"/>
        <v>0</v>
      </c>
      <c r="G54" t="str">
        <f t="shared" si="3"/>
        <v>q</v>
      </c>
      <c r="H54" t="str">
        <f>VLOOKUP(D54,name!A:C,3,1)</f>
        <v>assets/icons/image326.png</v>
      </c>
      <c r="I54" t="e">
        <f>IF(A54="","",VLOOKUP(A54,lng!A:B,2,0))</f>
        <v>#N/A</v>
      </c>
    </row>
    <row r="55" spans="1:9" x14ac:dyDescent="0.15">
      <c r="A55">
        <f t="shared" si="0"/>
        <v>0</v>
      </c>
      <c r="B55">
        <f t="shared" si="1"/>
        <v>1</v>
      </c>
      <c r="C55">
        <f t="shared" si="2"/>
        <v>54</v>
      </c>
      <c r="D55">
        <f t="shared" si="4"/>
        <v>0</v>
      </c>
      <c r="E55" t="str">
        <f>VLOOKUP(D55,name!A:B,2,1)</f>
        <v>Player</v>
      </c>
      <c r="F55">
        <f t="shared" si="4"/>
        <v>0</v>
      </c>
      <c r="G55" t="str">
        <f t="shared" si="3"/>
        <v>q</v>
      </c>
      <c r="H55" t="str">
        <f>VLOOKUP(D55,name!A:C,3,1)</f>
        <v>assets/icons/image326.png</v>
      </c>
      <c r="I55" t="s">
        <v>402</v>
      </c>
    </row>
    <row r="56" spans="1:9" x14ac:dyDescent="0.15">
      <c r="A56">
        <f t="shared" si="0"/>
        <v>0</v>
      </c>
      <c r="B56">
        <f t="shared" si="1"/>
        <v>1</v>
      </c>
      <c r="C56">
        <f t="shared" si="2"/>
        <v>55</v>
      </c>
      <c r="D56">
        <f t="shared" si="4"/>
        <v>0</v>
      </c>
      <c r="E56" t="str">
        <f>VLOOKUP(D56,name!A:B,2,1)</f>
        <v>Player</v>
      </c>
      <c r="F56">
        <f t="shared" si="4"/>
        <v>0</v>
      </c>
      <c r="G56" t="str">
        <f t="shared" si="3"/>
        <v>q</v>
      </c>
      <c r="H56" t="str">
        <f>VLOOKUP(D56,name!A:C,3,1)</f>
        <v>assets/icons/image326.png</v>
      </c>
      <c r="I56" t="e">
        <f>IF(A56="","",VLOOKUP(A56,lng!A:B,2,0))</f>
        <v>#N/A</v>
      </c>
    </row>
    <row r="57" spans="1:9" x14ac:dyDescent="0.15">
      <c r="A57">
        <f t="shared" si="0"/>
        <v>0</v>
      </c>
      <c r="B57">
        <f t="shared" si="1"/>
        <v>1</v>
      </c>
      <c r="C57">
        <f t="shared" si="2"/>
        <v>56</v>
      </c>
      <c r="D57">
        <f t="shared" si="4"/>
        <v>0</v>
      </c>
      <c r="E57" t="str">
        <f>VLOOKUP(D57,name!A:B,2,1)</f>
        <v>Player</v>
      </c>
      <c r="F57">
        <f t="shared" si="4"/>
        <v>0</v>
      </c>
      <c r="G57" t="str">
        <f t="shared" si="3"/>
        <v>q</v>
      </c>
      <c r="H57" t="str">
        <f>VLOOKUP(D57,name!A:C,3,1)</f>
        <v>assets/icons/image326.png</v>
      </c>
      <c r="I57" t="s">
        <v>402</v>
      </c>
    </row>
    <row r="58" spans="1:9" x14ac:dyDescent="0.15">
      <c r="A58">
        <f t="shared" si="0"/>
        <v>0</v>
      </c>
      <c r="B58">
        <f t="shared" si="1"/>
        <v>1</v>
      </c>
      <c r="C58">
        <f t="shared" si="2"/>
        <v>57</v>
      </c>
      <c r="D58">
        <f t="shared" si="4"/>
        <v>0</v>
      </c>
      <c r="E58" t="str">
        <f>VLOOKUP(D58,name!A:B,2,1)</f>
        <v>Player</v>
      </c>
      <c r="F58">
        <f t="shared" si="4"/>
        <v>0</v>
      </c>
      <c r="G58" t="str">
        <f t="shared" si="3"/>
        <v>q</v>
      </c>
      <c r="H58" t="str">
        <f>VLOOKUP(D58,name!A:C,3,1)</f>
        <v>assets/icons/image326.png</v>
      </c>
      <c r="I58" t="e">
        <f>IF(A58="","",VLOOKUP(A58,lng!A:B,2,0))</f>
        <v>#N/A</v>
      </c>
    </row>
    <row r="59" spans="1:9" x14ac:dyDescent="0.15">
      <c r="A59">
        <f t="shared" si="0"/>
        <v>0</v>
      </c>
      <c r="B59">
        <f t="shared" si="1"/>
        <v>1</v>
      </c>
      <c r="C59">
        <f t="shared" si="2"/>
        <v>58</v>
      </c>
      <c r="D59">
        <f t="shared" si="4"/>
        <v>0</v>
      </c>
      <c r="E59" t="str">
        <f>VLOOKUP(D59,name!A:B,2,1)</f>
        <v>Player</v>
      </c>
      <c r="F59">
        <f t="shared" si="4"/>
        <v>0</v>
      </c>
      <c r="G59" t="str">
        <f t="shared" si="3"/>
        <v>q</v>
      </c>
      <c r="H59" t="str">
        <f>VLOOKUP(D59,name!A:C,3,1)</f>
        <v>assets/icons/image326.png</v>
      </c>
      <c r="I59" t="s">
        <v>402</v>
      </c>
    </row>
    <row r="60" spans="1:9" x14ac:dyDescent="0.15">
      <c r="A60">
        <f t="shared" si="0"/>
        <v>0</v>
      </c>
      <c r="B60">
        <f t="shared" si="1"/>
        <v>1</v>
      </c>
      <c r="C60">
        <f t="shared" si="2"/>
        <v>59</v>
      </c>
      <c r="D60">
        <f t="shared" si="4"/>
        <v>0</v>
      </c>
      <c r="E60" t="str">
        <f>VLOOKUP(D60,name!A:B,2,1)</f>
        <v>Player</v>
      </c>
      <c r="F60">
        <f t="shared" si="4"/>
        <v>0</v>
      </c>
      <c r="G60" t="str">
        <f t="shared" si="3"/>
        <v>q</v>
      </c>
      <c r="H60" t="str">
        <f>VLOOKUP(D60,name!A:C,3,1)</f>
        <v>assets/icons/image326.png</v>
      </c>
      <c r="I60" t="e">
        <f>IF(A60="","",VLOOKUP(A60,lng!A:B,2,0))</f>
        <v>#N/A</v>
      </c>
    </row>
    <row r="61" spans="1:9" x14ac:dyDescent="0.15">
      <c r="A61">
        <f t="shared" si="0"/>
        <v>0</v>
      </c>
      <c r="B61">
        <f t="shared" si="1"/>
        <v>1</v>
      </c>
      <c r="C61">
        <f t="shared" si="2"/>
        <v>60</v>
      </c>
      <c r="D61">
        <f t="shared" si="4"/>
        <v>0</v>
      </c>
      <c r="E61" t="str">
        <f>VLOOKUP(D61,name!A:B,2,1)</f>
        <v>Player</v>
      </c>
      <c r="F61">
        <f t="shared" si="4"/>
        <v>0</v>
      </c>
      <c r="G61" t="str">
        <f t="shared" si="3"/>
        <v>q</v>
      </c>
      <c r="H61" t="str">
        <f>VLOOKUP(D61,name!A:C,3,1)</f>
        <v>assets/icons/image326.png</v>
      </c>
      <c r="I61" t="s">
        <v>402</v>
      </c>
    </row>
    <row r="62" spans="1:9" x14ac:dyDescent="0.15">
      <c r="A62">
        <f t="shared" si="0"/>
        <v>0</v>
      </c>
      <c r="B62">
        <f t="shared" si="1"/>
        <v>1</v>
      </c>
      <c r="C62">
        <f t="shared" si="2"/>
        <v>61</v>
      </c>
      <c r="D62">
        <f t="shared" si="4"/>
        <v>0</v>
      </c>
      <c r="E62" t="str">
        <f>VLOOKUP(D62,name!A:B,2,1)</f>
        <v>Player</v>
      </c>
      <c r="F62">
        <f t="shared" si="4"/>
        <v>0</v>
      </c>
      <c r="G62" t="str">
        <f t="shared" si="3"/>
        <v>q</v>
      </c>
      <c r="H62" t="str">
        <f>VLOOKUP(D62,name!A:C,3,1)</f>
        <v>assets/icons/image326.png</v>
      </c>
      <c r="I62" t="e">
        <f>IF(A62="","",VLOOKUP(A62,lng!A:B,2,0))</f>
        <v>#N/A</v>
      </c>
    </row>
    <row r="63" spans="1:9" x14ac:dyDescent="0.15">
      <c r="A63">
        <f t="shared" si="0"/>
        <v>0</v>
      </c>
      <c r="B63">
        <f t="shared" si="1"/>
        <v>1</v>
      </c>
      <c r="C63">
        <f t="shared" si="2"/>
        <v>62</v>
      </c>
      <c r="D63">
        <f t="shared" si="4"/>
        <v>0</v>
      </c>
      <c r="E63" t="str">
        <f>VLOOKUP(D63,name!A:B,2,1)</f>
        <v>Player</v>
      </c>
      <c r="F63">
        <f t="shared" si="4"/>
        <v>0</v>
      </c>
      <c r="G63" t="str">
        <f t="shared" si="3"/>
        <v>q</v>
      </c>
      <c r="H63" t="str">
        <f>VLOOKUP(D63,name!A:C,3,1)</f>
        <v>assets/icons/image326.png</v>
      </c>
      <c r="I63" t="s">
        <v>402</v>
      </c>
    </row>
    <row r="64" spans="1:9" x14ac:dyDescent="0.15">
      <c r="A64">
        <f t="shared" si="0"/>
        <v>0</v>
      </c>
      <c r="B64">
        <f t="shared" si="1"/>
        <v>1</v>
      </c>
      <c r="C64">
        <f t="shared" si="2"/>
        <v>63</v>
      </c>
      <c r="D64">
        <f t="shared" si="4"/>
        <v>0</v>
      </c>
      <c r="E64" t="str">
        <f>VLOOKUP(D64,name!A:B,2,1)</f>
        <v>Player</v>
      </c>
      <c r="F64">
        <f t="shared" si="4"/>
        <v>0</v>
      </c>
      <c r="G64" t="str">
        <f t="shared" si="3"/>
        <v>q</v>
      </c>
      <c r="H64" t="str">
        <f>VLOOKUP(D64,name!A:C,3,1)</f>
        <v>assets/icons/image326.png</v>
      </c>
      <c r="I64" t="e">
        <f>IF(A64="","",VLOOKUP(A64,lng!A:B,2,0))</f>
        <v>#N/A</v>
      </c>
    </row>
    <row r="65" spans="1:9" x14ac:dyDescent="0.15">
      <c r="A65">
        <f t="shared" si="0"/>
        <v>0</v>
      </c>
      <c r="B65">
        <f t="shared" si="1"/>
        <v>1</v>
      </c>
      <c r="C65">
        <f t="shared" si="2"/>
        <v>64</v>
      </c>
      <c r="D65">
        <f t="shared" si="4"/>
        <v>0</v>
      </c>
      <c r="E65" t="str">
        <f>VLOOKUP(D65,name!A:B,2,1)</f>
        <v>Player</v>
      </c>
      <c r="F65">
        <f t="shared" si="4"/>
        <v>0</v>
      </c>
      <c r="G65" t="str">
        <f t="shared" si="3"/>
        <v>q</v>
      </c>
      <c r="H65" t="str">
        <f>VLOOKUP(D65,name!A:C,3,1)</f>
        <v>assets/icons/image326.png</v>
      </c>
      <c r="I65" t="s">
        <v>402</v>
      </c>
    </row>
    <row r="66" spans="1:9" x14ac:dyDescent="0.15">
      <c r="A66">
        <f t="shared" si="0"/>
        <v>0</v>
      </c>
      <c r="B66">
        <f t="shared" si="1"/>
        <v>1</v>
      </c>
      <c r="C66">
        <f t="shared" si="2"/>
        <v>65</v>
      </c>
      <c r="D66">
        <f t="shared" si="4"/>
        <v>0</v>
      </c>
      <c r="E66" t="str">
        <f>VLOOKUP(D66,name!A:B,2,1)</f>
        <v>Player</v>
      </c>
      <c r="F66">
        <f t="shared" si="4"/>
        <v>0</v>
      </c>
      <c r="G66" t="str">
        <f t="shared" si="3"/>
        <v>q</v>
      </c>
      <c r="H66" t="str">
        <f>VLOOKUP(D66,name!A:C,3,1)</f>
        <v>assets/icons/image326.png</v>
      </c>
      <c r="I66" t="e">
        <f>IF(A66="","",VLOOKUP(A66,lng!A:B,2,0))</f>
        <v>#N/A</v>
      </c>
    </row>
    <row r="67" spans="1:9" x14ac:dyDescent="0.15">
      <c r="A67">
        <f t="shared" si="0"/>
        <v>0</v>
      </c>
      <c r="B67">
        <f t="shared" si="1"/>
        <v>1</v>
      </c>
      <c r="C67">
        <f t="shared" si="2"/>
        <v>66</v>
      </c>
      <c r="D67">
        <f t="shared" si="4"/>
        <v>0</v>
      </c>
      <c r="E67" t="str">
        <f>VLOOKUP(D67,name!A:B,2,1)</f>
        <v>Player</v>
      </c>
      <c r="F67">
        <f t="shared" si="4"/>
        <v>0</v>
      </c>
      <c r="G67" t="str">
        <f t="shared" si="3"/>
        <v>q</v>
      </c>
      <c r="H67" t="str">
        <f>VLOOKUP(D67,name!A:C,3,1)</f>
        <v>assets/icons/image326.png</v>
      </c>
      <c r="I67" t="s">
        <v>402</v>
      </c>
    </row>
    <row r="68" spans="1:9" x14ac:dyDescent="0.15">
      <c r="A68">
        <f t="shared" si="0"/>
        <v>0</v>
      </c>
      <c r="B68">
        <f t="shared" si="1"/>
        <v>1</v>
      </c>
      <c r="C68">
        <f t="shared" si="2"/>
        <v>67</v>
      </c>
      <c r="D68">
        <f t="shared" si="4"/>
        <v>0</v>
      </c>
      <c r="E68" t="str">
        <f>VLOOKUP(D68,name!A:B,2,1)</f>
        <v>Player</v>
      </c>
      <c r="F68">
        <f t="shared" si="4"/>
        <v>0</v>
      </c>
      <c r="G68" t="str">
        <f t="shared" si="3"/>
        <v>q</v>
      </c>
      <c r="H68" t="str">
        <f>VLOOKUP(D68,name!A:C,3,1)</f>
        <v>assets/icons/image326.png</v>
      </c>
      <c r="I68" t="e">
        <f>IF(A68="","",VLOOKUP(A68,lng!A:B,2,0))</f>
        <v>#N/A</v>
      </c>
    </row>
    <row r="69" spans="1:9" x14ac:dyDescent="0.15">
      <c r="A69">
        <f t="shared" si="0"/>
        <v>0</v>
      </c>
      <c r="B69">
        <f t="shared" si="1"/>
        <v>1</v>
      </c>
      <c r="C69">
        <f t="shared" si="2"/>
        <v>68</v>
      </c>
      <c r="D69">
        <f t="shared" si="4"/>
        <v>0</v>
      </c>
      <c r="E69" t="str">
        <f>VLOOKUP(D69,name!A:B,2,1)</f>
        <v>Player</v>
      </c>
      <c r="F69">
        <f t="shared" si="4"/>
        <v>0</v>
      </c>
      <c r="G69" t="str">
        <f t="shared" ref="G69:G132" si="5">IF(B69&lt;&gt;B70,"e",IF(D69=0,"q","a"))</f>
        <v>q</v>
      </c>
      <c r="H69" t="str">
        <f>VLOOKUP(D69,name!A:C,3,1)</f>
        <v>assets/icons/image326.png</v>
      </c>
      <c r="I69" t="s">
        <v>402</v>
      </c>
    </row>
    <row r="70" spans="1:9" x14ac:dyDescent="0.15">
      <c r="A70">
        <f t="shared" si="0"/>
        <v>0</v>
      </c>
      <c r="B70">
        <f t="shared" si="1"/>
        <v>1</v>
      </c>
      <c r="C70">
        <f t="shared" si="2"/>
        <v>69</v>
      </c>
      <c r="D70">
        <f t="shared" ref="D70:F83" si="6">D71</f>
        <v>0</v>
      </c>
      <c r="E70" t="str">
        <f>VLOOKUP(D70,name!A:B,2,1)</f>
        <v>Player</v>
      </c>
      <c r="F70">
        <f t="shared" si="6"/>
        <v>0</v>
      </c>
      <c r="G70" t="str">
        <f t="shared" si="5"/>
        <v>q</v>
      </c>
      <c r="H70" t="str">
        <f>VLOOKUP(D70,name!A:C,3,1)</f>
        <v>assets/icons/image326.png</v>
      </c>
      <c r="I70" t="e">
        <f>IF(A70="","",VLOOKUP(A70,lng!A:B,2,0))</f>
        <v>#N/A</v>
      </c>
    </row>
    <row r="71" spans="1:9" x14ac:dyDescent="0.15">
      <c r="A71">
        <f t="shared" si="0"/>
        <v>0</v>
      </c>
      <c r="B71">
        <f t="shared" si="1"/>
        <v>1</v>
      </c>
      <c r="C71">
        <f t="shared" si="2"/>
        <v>70</v>
      </c>
      <c r="D71">
        <f t="shared" si="6"/>
        <v>0</v>
      </c>
      <c r="E71" t="str">
        <f>VLOOKUP(D71,name!A:B,2,1)</f>
        <v>Player</v>
      </c>
      <c r="F71">
        <f t="shared" si="6"/>
        <v>0</v>
      </c>
      <c r="G71" t="str">
        <f t="shared" si="5"/>
        <v>q</v>
      </c>
      <c r="H71" t="str">
        <f>VLOOKUP(D71,name!A:C,3,1)</f>
        <v>assets/icons/image326.png</v>
      </c>
      <c r="I71" t="s">
        <v>402</v>
      </c>
    </row>
    <row r="72" spans="1:9" x14ac:dyDescent="0.15">
      <c r="A72">
        <f t="shared" si="0"/>
        <v>0</v>
      </c>
      <c r="B72">
        <f t="shared" si="1"/>
        <v>1</v>
      </c>
      <c r="C72">
        <f t="shared" si="2"/>
        <v>71</v>
      </c>
      <c r="D72">
        <f t="shared" si="6"/>
        <v>0</v>
      </c>
      <c r="E72" t="str">
        <f>VLOOKUP(D72,name!A:B,2,1)</f>
        <v>Player</v>
      </c>
      <c r="F72">
        <f t="shared" si="6"/>
        <v>0</v>
      </c>
      <c r="G72" t="str">
        <f t="shared" si="5"/>
        <v>q</v>
      </c>
      <c r="H72" t="str">
        <f>VLOOKUP(D72,name!A:C,3,1)</f>
        <v>assets/icons/image326.png</v>
      </c>
      <c r="I72" t="e">
        <f>IF(A72="","",VLOOKUP(A72,lng!A:B,2,0))</f>
        <v>#N/A</v>
      </c>
    </row>
    <row r="73" spans="1:9" x14ac:dyDescent="0.15">
      <c r="A73">
        <f t="shared" si="0"/>
        <v>0</v>
      </c>
      <c r="B73">
        <f t="shared" si="1"/>
        <v>1</v>
      </c>
      <c r="C73">
        <f t="shared" si="2"/>
        <v>72</v>
      </c>
      <c r="D73">
        <f t="shared" si="6"/>
        <v>0</v>
      </c>
      <c r="E73" t="str">
        <f>VLOOKUP(D73,name!A:B,2,1)</f>
        <v>Player</v>
      </c>
      <c r="F73">
        <f t="shared" si="6"/>
        <v>0</v>
      </c>
      <c r="G73" t="str">
        <f t="shared" si="5"/>
        <v>q</v>
      </c>
      <c r="H73" t="str">
        <f>VLOOKUP(D73,name!A:C,3,1)</f>
        <v>assets/icons/image326.png</v>
      </c>
      <c r="I73" t="s">
        <v>402</v>
      </c>
    </row>
    <row r="74" spans="1:9" x14ac:dyDescent="0.15">
      <c r="A74">
        <f t="shared" si="0"/>
        <v>0</v>
      </c>
      <c r="B74">
        <f t="shared" si="1"/>
        <v>1</v>
      </c>
      <c r="C74">
        <f t="shared" si="2"/>
        <v>73</v>
      </c>
      <c r="D74">
        <f t="shared" si="6"/>
        <v>0</v>
      </c>
      <c r="E74" t="str">
        <f>VLOOKUP(D74,name!A:B,2,1)</f>
        <v>Player</v>
      </c>
      <c r="F74">
        <f t="shared" si="6"/>
        <v>0</v>
      </c>
      <c r="G74" t="str">
        <f t="shared" si="5"/>
        <v>q</v>
      </c>
      <c r="H74" t="str">
        <f>VLOOKUP(D74,name!A:C,3,1)</f>
        <v>assets/icons/image326.png</v>
      </c>
      <c r="I74" t="e">
        <f>IF(A74="","",VLOOKUP(A74,lng!A:B,2,0))</f>
        <v>#N/A</v>
      </c>
    </row>
    <row r="75" spans="1:9" x14ac:dyDescent="0.15">
      <c r="A75">
        <f t="shared" si="0"/>
        <v>0</v>
      </c>
      <c r="B75">
        <f t="shared" si="1"/>
        <v>1</v>
      </c>
      <c r="C75">
        <f t="shared" si="2"/>
        <v>74</v>
      </c>
      <c r="D75">
        <f t="shared" si="6"/>
        <v>0</v>
      </c>
      <c r="E75" t="str">
        <f>VLOOKUP(D75,name!A:B,2,1)</f>
        <v>Player</v>
      </c>
      <c r="F75">
        <f t="shared" si="6"/>
        <v>0</v>
      </c>
      <c r="G75" t="str">
        <f t="shared" si="5"/>
        <v>q</v>
      </c>
      <c r="H75" t="str">
        <f>VLOOKUP(D75,name!A:C,3,1)</f>
        <v>assets/icons/image326.png</v>
      </c>
      <c r="I75" t="s">
        <v>402</v>
      </c>
    </row>
    <row r="76" spans="1:9" x14ac:dyDescent="0.15">
      <c r="A76">
        <f t="shared" si="0"/>
        <v>0</v>
      </c>
      <c r="B76">
        <f t="shared" si="1"/>
        <v>1</v>
      </c>
      <c r="C76">
        <f t="shared" si="2"/>
        <v>75</v>
      </c>
      <c r="D76">
        <f t="shared" si="6"/>
        <v>0</v>
      </c>
      <c r="E76" t="str">
        <f>VLOOKUP(D76,name!A:B,2,1)</f>
        <v>Player</v>
      </c>
      <c r="F76">
        <f t="shared" si="6"/>
        <v>0</v>
      </c>
      <c r="G76" t="str">
        <f t="shared" si="5"/>
        <v>q</v>
      </c>
      <c r="H76" t="str">
        <f>VLOOKUP(D76,name!A:C,3,1)</f>
        <v>assets/icons/image326.png</v>
      </c>
      <c r="I76" t="e">
        <f>IF(A76="","",VLOOKUP(A76,lng!A:B,2,0))</f>
        <v>#N/A</v>
      </c>
    </row>
    <row r="77" spans="1:9" x14ac:dyDescent="0.15">
      <c r="A77">
        <f t="shared" si="0"/>
        <v>0</v>
      </c>
      <c r="B77">
        <f t="shared" si="1"/>
        <v>1</v>
      </c>
      <c r="C77">
        <f t="shared" si="2"/>
        <v>76</v>
      </c>
      <c r="D77">
        <f t="shared" si="6"/>
        <v>0</v>
      </c>
      <c r="E77" t="str">
        <f>VLOOKUP(D77,name!A:B,2,1)</f>
        <v>Player</v>
      </c>
      <c r="F77">
        <f t="shared" si="6"/>
        <v>0</v>
      </c>
      <c r="G77" t="str">
        <f t="shared" si="5"/>
        <v>q</v>
      </c>
      <c r="H77" t="str">
        <f>VLOOKUP(D77,name!A:C,3,1)</f>
        <v>assets/icons/image326.png</v>
      </c>
      <c r="I77" t="s">
        <v>402</v>
      </c>
    </row>
    <row r="78" spans="1:9" x14ac:dyDescent="0.15">
      <c r="A78">
        <f t="shared" si="0"/>
        <v>0</v>
      </c>
      <c r="B78">
        <f t="shared" si="1"/>
        <v>1</v>
      </c>
      <c r="C78">
        <f t="shared" si="2"/>
        <v>77</v>
      </c>
      <c r="D78">
        <f t="shared" si="6"/>
        <v>0</v>
      </c>
      <c r="E78" t="str">
        <f>VLOOKUP(D78,name!A:B,2,1)</f>
        <v>Player</v>
      </c>
      <c r="F78">
        <f t="shared" si="6"/>
        <v>0</v>
      </c>
      <c r="G78" t="str">
        <f t="shared" si="5"/>
        <v>q</v>
      </c>
      <c r="H78" t="str">
        <f>VLOOKUP(D78,name!A:C,3,1)</f>
        <v>assets/icons/image326.png</v>
      </c>
      <c r="I78" t="e">
        <f>IF(A78="","",VLOOKUP(A78,lng!A:B,2,0))</f>
        <v>#N/A</v>
      </c>
    </row>
    <row r="79" spans="1:9" x14ac:dyDescent="0.15">
      <c r="A79">
        <f t="shared" si="0"/>
        <v>0</v>
      </c>
      <c r="B79">
        <f t="shared" si="1"/>
        <v>1</v>
      </c>
      <c r="C79">
        <f t="shared" si="2"/>
        <v>78</v>
      </c>
      <c r="D79">
        <f t="shared" si="6"/>
        <v>0</v>
      </c>
      <c r="E79" t="str">
        <f>VLOOKUP(D79,name!A:B,2,1)</f>
        <v>Player</v>
      </c>
      <c r="F79">
        <f t="shared" si="6"/>
        <v>0</v>
      </c>
      <c r="G79" t="str">
        <f t="shared" si="5"/>
        <v>q</v>
      </c>
      <c r="H79" t="str">
        <f>VLOOKUP(D79,name!A:C,3,1)</f>
        <v>assets/icons/image326.png</v>
      </c>
      <c r="I79" t="s">
        <v>402</v>
      </c>
    </row>
    <row r="80" spans="1:9" x14ac:dyDescent="0.15">
      <c r="A80">
        <f t="shared" si="0"/>
        <v>0</v>
      </c>
      <c r="B80">
        <f t="shared" si="1"/>
        <v>1</v>
      </c>
      <c r="C80">
        <f t="shared" si="2"/>
        <v>79</v>
      </c>
      <c r="D80">
        <f t="shared" si="6"/>
        <v>0</v>
      </c>
      <c r="E80" t="str">
        <f>VLOOKUP(D80,name!A:B,2,1)</f>
        <v>Player</v>
      </c>
      <c r="F80">
        <f t="shared" si="6"/>
        <v>0</v>
      </c>
      <c r="G80" t="str">
        <f t="shared" si="5"/>
        <v>q</v>
      </c>
      <c r="H80" t="str">
        <f>VLOOKUP(D80,name!A:C,3,1)</f>
        <v>assets/icons/image326.png</v>
      </c>
      <c r="I80" t="e">
        <f>IF(A80="","",VLOOKUP(A80,lng!A:B,2,0))</f>
        <v>#N/A</v>
      </c>
    </row>
    <row r="81" spans="1:9" x14ac:dyDescent="0.15">
      <c r="A81">
        <f t="shared" si="0"/>
        <v>0</v>
      </c>
      <c r="B81">
        <f t="shared" si="1"/>
        <v>1</v>
      </c>
      <c r="C81">
        <f t="shared" si="2"/>
        <v>80</v>
      </c>
      <c r="D81">
        <f t="shared" si="6"/>
        <v>0</v>
      </c>
      <c r="E81" t="str">
        <f>VLOOKUP(D81,name!A:B,2,1)</f>
        <v>Player</v>
      </c>
      <c r="F81">
        <f t="shared" si="6"/>
        <v>0</v>
      </c>
      <c r="G81" t="str">
        <f t="shared" si="5"/>
        <v>q</v>
      </c>
      <c r="H81" t="str">
        <f>VLOOKUP(D81,name!A:C,3,1)</f>
        <v>assets/icons/image326.png</v>
      </c>
      <c r="I81" t="s">
        <v>402</v>
      </c>
    </row>
    <row r="82" spans="1:9" x14ac:dyDescent="0.15">
      <c r="A82">
        <f t="shared" si="0"/>
        <v>0</v>
      </c>
      <c r="B82">
        <f t="shared" si="1"/>
        <v>1</v>
      </c>
      <c r="C82">
        <f t="shared" si="2"/>
        <v>81</v>
      </c>
      <c r="D82">
        <f t="shared" si="6"/>
        <v>0</v>
      </c>
      <c r="E82" t="str">
        <f>VLOOKUP(D82,name!A:B,2,1)</f>
        <v>Player</v>
      </c>
      <c r="F82">
        <f t="shared" si="6"/>
        <v>0</v>
      </c>
      <c r="G82" t="str">
        <f t="shared" si="5"/>
        <v>q</v>
      </c>
      <c r="H82" t="str">
        <f>VLOOKUP(D82,name!A:C,3,1)</f>
        <v>assets/icons/image326.png</v>
      </c>
      <c r="I82" t="e">
        <f>IF(A82="","",VLOOKUP(A82,lng!A:B,2,0))</f>
        <v>#N/A</v>
      </c>
    </row>
    <row r="83" spans="1:9" x14ac:dyDescent="0.15">
      <c r="A83">
        <f t="shared" si="0"/>
        <v>0</v>
      </c>
      <c r="B83">
        <f t="shared" si="1"/>
        <v>1</v>
      </c>
      <c r="C83">
        <f t="shared" si="2"/>
        <v>82</v>
      </c>
      <c r="D83">
        <f t="shared" si="6"/>
        <v>0</v>
      </c>
      <c r="E83" t="str">
        <f>VLOOKUP(D83,name!A:B,2,1)</f>
        <v>Player</v>
      </c>
      <c r="F83">
        <f t="shared" si="6"/>
        <v>0</v>
      </c>
      <c r="G83" t="str">
        <f t="shared" si="5"/>
        <v>q</v>
      </c>
      <c r="H83" t="str">
        <f>VLOOKUP(D83,name!A:C,3,1)</f>
        <v>assets/icons/image326.png</v>
      </c>
      <c r="I83" t="s">
        <v>402</v>
      </c>
    </row>
    <row r="84" spans="1:9" x14ac:dyDescent="0.15">
      <c r="A84">
        <f t="shared" si="0"/>
        <v>0</v>
      </c>
      <c r="B84">
        <f t="shared" si="1"/>
        <v>1</v>
      </c>
      <c r="C84">
        <f t="shared" si="2"/>
        <v>83</v>
      </c>
      <c r="E84" t="str">
        <f>VLOOKUP(D84,name!A:B,2,1)</f>
        <v>Player</v>
      </c>
      <c r="G84" t="str">
        <f t="shared" si="5"/>
        <v>q</v>
      </c>
      <c r="H84" t="str">
        <f>VLOOKUP(D84,name!A:C,3,1)</f>
        <v>assets/icons/image326.png</v>
      </c>
      <c r="I84" t="e">
        <f>IF(A84="","",VLOOKUP(A84,lng!A:B,2,0))</f>
        <v>#N/A</v>
      </c>
    </row>
    <row r="85" spans="1:9" x14ac:dyDescent="0.15">
      <c r="A85">
        <f t="shared" si="0"/>
        <v>0</v>
      </c>
      <c r="B85">
        <f t="shared" si="1"/>
        <v>1</v>
      </c>
      <c r="C85">
        <f t="shared" si="2"/>
        <v>84</v>
      </c>
      <c r="D85">
        <v>1</v>
      </c>
      <c r="E85" t="str">
        <f>VLOOKUP(D85,name!A:B,2,1)</f>
        <v>Navigator</v>
      </c>
      <c r="F85" t="str">
        <f>"次の"&amp;A85&amp;"を真似してね！"</f>
        <v>次の0を真似してね！</v>
      </c>
      <c r="G85" t="str">
        <f t="shared" si="5"/>
        <v>a</v>
      </c>
      <c r="H85" t="str">
        <f>VLOOKUP(D85,name!A:C,3,1)</f>
        <v>assets/icons/image014.png</v>
      </c>
      <c r="I85" t="s">
        <v>404</v>
      </c>
    </row>
    <row r="86" spans="1:9" x14ac:dyDescent="0.15">
      <c r="A86">
        <f t="shared" si="0"/>
        <v>0</v>
      </c>
      <c r="B86">
        <f t="shared" si="1"/>
        <v>1</v>
      </c>
      <c r="C86">
        <f t="shared" si="2"/>
        <v>85</v>
      </c>
      <c r="D86">
        <f>D5</f>
        <v>0</v>
      </c>
      <c r="E86" t="str">
        <f>VLOOKUP(D86,name!A:B,2,1)</f>
        <v>Player</v>
      </c>
      <c r="F86">
        <f>F5</f>
        <v>0</v>
      </c>
      <c r="G86" t="str">
        <f t="shared" si="5"/>
        <v>q</v>
      </c>
      <c r="H86" t="str">
        <f>VLOOKUP(D86,name!A:C,3,1)</f>
        <v>assets/icons/image326.png</v>
      </c>
      <c r="I86" t="s">
        <v>405</v>
      </c>
    </row>
    <row r="87" spans="1:9" x14ac:dyDescent="0.15">
      <c r="A87">
        <f t="shared" si="0"/>
        <v>0</v>
      </c>
      <c r="B87">
        <f t="shared" si="1"/>
        <v>1</v>
      </c>
      <c r="C87">
        <f t="shared" si="2"/>
        <v>86</v>
      </c>
      <c r="D87">
        <f>D6</f>
        <v>0</v>
      </c>
      <c r="E87" t="str">
        <f>VLOOKUP(D87,name!A:B,2,1)</f>
        <v>Player</v>
      </c>
      <c r="F87">
        <f>F6</f>
        <v>0</v>
      </c>
      <c r="G87" t="str">
        <f t="shared" si="5"/>
        <v>q</v>
      </c>
      <c r="H87" t="str">
        <f>VLOOKUP(D87,name!A:C,3,1)</f>
        <v>assets/icons/image326.png</v>
      </c>
      <c r="I87" t="e">
        <f>IF(A87="","",VLOOKUP(A87,lng!A:B,2,0))</f>
        <v>#N/A</v>
      </c>
    </row>
    <row r="88" spans="1:9" x14ac:dyDescent="0.15">
      <c r="A88">
        <f t="shared" si="0"/>
        <v>0</v>
      </c>
      <c r="B88">
        <f t="shared" si="1"/>
        <v>1</v>
      </c>
      <c r="C88">
        <f t="shared" si="2"/>
        <v>87</v>
      </c>
      <c r="D88">
        <v>0</v>
      </c>
      <c r="E88" t="str">
        <f>VLOOKUP(D88,name!A:B,2,1)</f>
        <v>Player</v>
      </c>
      <c r="F88">
        <f>F6</f>
        <v>0</v>
      </c>
      <c r="G88" t="str">
        <f t="shared" si="5"/>
        <v>q</v>
      </c>
      <c r="H88" t="str">
        <f>VLOOKUP(D88,name!A:C,3,1)</f>
        <v>assets/icons/image326.png</v>
      </c>
      <c r="I88" t="e">
        <f>IF(A88="","",VLOOKUP(A88,lng!A:B,2,0))</f>
        <v>#N/A</v>
      </c>
    </row>
    <row r="89" spans="1:9" x14ac:dyDescent="0.15">
      <c r="A89">
        <f t="shared" si="0"/>
        <v>0</v>
      </c>
      <c r="B89">
        <f t="shared" si="1"/>
        <v>1</v>
      </c>
      <c r="C89">
        <f t="shared" si="2"/>
        <v>88</v>
      </c>
      <c r="D89">
        <f>D7</f>
        <v>0</v>
      </c>
      <c r="E89" t="str">
        <f>VLOOKUP(D89,name!A:B,2,1)</f>
        <v>Player</v>
      </c>
      <c r="F89">
        <f>F7</f>
        <v>0</v>
      </c>
      <c r="G89" t="str">
        <f t="shared" si="5"/>
        <v>q</v>
      </c>
      <c r="H89" t="str">
        <f>VLOOKUP(D89,name!A:C,3,1)</f>
        <v>assets/icons/image326.png</v>
      </c>
      <c r="I89" t="s">
        <v>405</v>
      </c>
    </row>
    <row r="90" spans="1:9" x14ac:dyDescent="0.15">
      <c r="A90">
        <f t="shared" si="0"/>
        <v>0</v>
      </c>
      <c r="B90">
        <f t="shared" si="1"/>
        <v>1</v>
      </c>
      <c r="C90">
        <f t="shared" si="2"/>
        <v>89</v>
      </c>
      <c r="D90">
        <f>D8</f>
        <v>0</v>
      </c>
      <c r="E90" t="str">
        <f>VLOOKUP(D90,name!A:B,2,1)</f>
        <v>Player</v>
      </c>
      <c r="F90">
        <f>F8</f>
        <v>0</v>
      </c>
      <c r="G90" t="str">
        <f t="shared" si="5"/>
        <v>q</v>
      </c>
      <c r="H90" t="str">
        <f>VLOOKUP(D90,name!A:C,3,1)</f>
        <v>assets/icons/image326.png</v>
      </c>
      <c r="I90" t="e">
        <f>IF(A90="","",VLOOKUP(A90,lng!A:B,2,0))</f>
        <v>#N/A</v>
      </c>
    </row>
    <row r="91" spans="1:9" x14ac:dyDescent="0.15">
      <c r="A91">
        <f t="shared" si="0"/>
        <v>0</v>
      </c>
      <c r="B91">
        <f t="shared" si="1"/>
        <v>1</v>
      </c>
      <c r="C91">
        <f t="shared" si="2"/>
        <v>90</v>
      </c>
      <c r="D91">
        <v>0</v>
      </c>
      <c r="E91" t="str">
        <f>VLOOKUP(D91,name!A:B,2,1)</f>
        <v>Player</v>
      </c>
      <c r="F91">
        <f>F8</f>
        <v>0</v>
      </c>
      <c r="G91" t="str">
        <f t="shared" si="5"/>
        <v>q</v>
      </c>
      <c r="H91" t="str">
        <f>VLOOKUP(D91,name!A:C,3,1)</f>
        <v>assets/icons/image326.png</v>
      </c>
      <c r="I91" t="e">
        <f>IF(A91="","",VLOOKUP(A91,lng!A:B,2,0))</f>
        <v>#N/A</v>
      </c>
    </row>
    <row r="92" spans="1:9" x14ac:dyDescent="0.15">
      <c r="A92">
        <f t="shared" si="0"/>
        <v>0</v>
      </c>
      <c r="B92">
        <f t="shared" si="1"/>
        <v>1</v>
      </c>
      <c r="C92">
        <f t="shared" si="2"/>
        <v>91</v>
      </c>
      <c r="D92">
        <f>D9</f>
        <v>0</v>
      </c>
      <c r="E92" t="str">
        <f>VLOOKUP(D92,name!A:B,2,1)</f>
        <v>Player</v>
      </c>
      <c r="F92">
        <f>F9</f>
        <v>0</v>
      </c>
      <c r="G92" t="str">
        <f t="shared" si="5"/>
        <v>q</v>
      </c>
      <c r="H92" t="str">
        <f>VLOOKUP(D92,name!A:C,3,1)</f>
        <v>assets/icons/image326.png</v>
      </c>
      <c r="I92" t="s">
        <v>405</v>
      </c>
    </row>
    <row r="93" spans="1:9" x14ac:dyDescent="0.15">
      <c r="A93">
        <f t="shared" si="0"/>
        <v>0</v>
      </c>
      <c r="B93">
        <f t="shared" si="1"/>
        <v>1</v>
      </c>
      <c r="C93">
        <f t="shared" si="2"/>
        <v>92</v>
      </c>
      <c r="D93">
        <f>D10</f>
        <v>0</v>
      </c>
      <c r="E93" t="str">
        <f>VLOOKUP(D93,name!A:B,2,1)</f>
        <v>Player</v>
      </c>
      <c r="F93">
        <f>F10</f>
        <v>0</v>
      </c>
      <c r="G93" t="str">
        <f t="shared" si="5"/>
        <v>q</v>
      </c>
      <c r="H93" t="str">
        <f>VLOOKUP(D93,name!A:C,3,1)</f>
        <v>assets/icons/image326.png</v>
      </c>
      <c r="I93" t="e">
        <f>IF(A93="","",VLOOKUP(A93,lng!A:B,2,0))</f>
        <v>#N/A</v>
      </c>
    </row>
    <row r="94" spans="1:9" x14ac:dyDescent="0.15">
      <c r="A94">
        <f t="shared" si="0"/>
        <v>0</v>
      </c>
      <c r="B94">
        <f t="shared" si="1"/>
        <v>1</v>
      </c>
      <c r="C94">
        <f t="shared" si="2"/>
        <v>93</v>
      </c>
      <c r="D94">
        <v>0</v>
      </c>
      <c r="E94" t="str">
        <f>VLOOKUP(D94,name!A:B,2,1)</f>
        <v>Player</v>
      </c>
      <c r="F94">
        <f>F10</f>
        <v>0</v>
      </c>
      <c r="G94" t="str">
        <f t="shared" si="5"/>
        <v>q</v>
      </c>
      <c r="H94" t="str">
        <f>VLOOKUP(D94,name!A:C,3,1)</f>
        <v>assets/icons/image326.png</v>
      </c>
      <c r="I94" t="e">
        <f>IF(A94="","",VLOOKUP(A94,lng!A:B,2,0))</f>
        <v>#N/A</v>
      </c>
    </row>
    <row r="95" spans="1:9" x14ac:dyDescent="0.15">
      <c r="A95">
        <f t="shared" si="0"/>
        <v>0</v>
      </c>
      <c r="B95">
        <f t="shared" si="1"/>
        <v>1</v>
      </c>
      <c r="C95">
        <f t="shared" si="2"/>
        <v>94</v>
      </c>
      <c r="D95">
        <f>D11</f>
        <v>0</v>
      </c>
      <c r="E95" t="str">
        <f>VLOOKUP(D95,name!A:B,2,1)</f>
        <v>Player</v>
      </c>
      <c r="F95">
        <f>F11</f>
        <v>0</v>
      </c>
      <c r="G95" t="str">
        <f t="shared" si="5"/>
        <v>q</v>
      </c>
      <c r="H95" t="str">
        <f>VLOOKUP(D95,name!A:C,3,1)</f>
        <v>assets/icons/image326.png</v>
      </c>
      <c r="I95" t="s">
        <v>405</v>
      </c>
    </row>
    <row r="96" spans="1:9" x14ac:dyDescent="0.15">
      <c r="A96">
        <f t="shared" si="0"/>
        <v>0</v>
      </c>
      <c r="B96">
        <f t="shared" si="1"/>
        <v>1</v>
      </c>
      <c r="C96">
        <f t="shared" si="2"/>
        <v>95</v>
      </c>
      <c r="D96">
        <f>D12</f>
        <v>0</v>
      </c>
      <c r="E96" t="str">
        <f>VLOOKUP(D96,name!A:B,2,1)</f>
        <v>Player</v>
      </c>
      <c r="F96">
        <f>F12</f>
        <v>0</v>
      </c>
      <c r="G96" t="str">
        <f t="shared" si="5"/>
        <v>q</v>
      </c>
      <c r="H96" t="str">
        <f>VLOOKUP(D96,name!A:C,3,1)</f>
        <v>assets/icons/image326.png</v>
      </c>
      <c r="I96" t="e">
        <f>IF(A96="","",VLOOKUP(A96,lng!A:B,2,0))</f>
        <v>#N/A</v>
      </c>
    </row>
    <row r="97" spans="1:9" x14ac:dyDescent="0.15">
      <c r="A97">
        <f t="shared" si="0"/>
        <v>0</v>
      </c>
      <c r="B97">
        <f t="shared" si="1"/>
        <v>1</v>
      </c>
      <c r="C97">
        <f t="shared" si="2"/>
        <v>96</v>
      </c>
      <c r="D97">
        <v>0</v>
      </c>
      <c r="E97" t="str">
        <f>VLOOKUP(D97,name!A:B,2,1)</f>
        <v>Player</v>
      </c>
      <c r="F97">
        <f>F12</f>
        <v>0</v>
      </c>
      <c r="G97" t="str">
        <f t="shared" si="5"/>
        <v>q</v>
      </c>
      <c r="H97" t="str">
        <f>VLOOKUP(D97,name!A:C,3,1)</f>
        <v>assets/icons/image326.png</v>
      </c>
      <c r="I97" t="e">
        <f>IF(A97="","",VLOOKUP(A97,lng!A:B,2,0))</f>
        <v>#N/A</v>
      </c>
    </row>
    <row r="98" spans="1:9" x14ac:dyDescent="0.15">
      <c r="A98">
        <f t="shared" si="0"/>
        <v>0</v>
      </c>
      <c r="B98">
        <f t="shared" si="1"/>
        <v>1</v>
      </c>
      <c r="C98">
        <f t="shared" si="2"/>
        <v>97</v>
      </c>
      <c r="D98">
        <f>D13</f>
        <v>0</v>
      </c>
      <c r="E98" t="str">
        <f>VLOOKUP(D98,name!A:B,2,1)</f>
        <v>Player</v>
      </c>
      <c r="F98">
        <f>F13</f>
        <v>0</v>
      </c>
      <c r="G98" t="str">
        <f t="shared" si="5"/>
        <v>q</v>
      </c>
      <c r="H98" t="str">
        <f>VLOOKUP(D98,name!A:C,3,1)</f>
        <v>assets/icons/image326.png</v>
      </c>
      <c r="I98" t="s">
        <v>405</v>
      </c>
    </row>
    <row r="99" spans="1:9" x14ac:dyDescent="0.15">
      <c r="A99">
        <f t="shared" si="0"/>
        <v>0</v>
      </c>
      <c r="B99">
        <f t="shared" si="1"/>
        <v>1</v>
      </c>
      <c r="C99">
        <f t="shared" si="2"/>
        <v>98</v>
      </c>
      <c r="D99">
        <f>D14</f>
        <v>0</v>
      </c>
      <c r="E99" t="str">
        <f>VLOOKUP(D99,name!A:B,2,1)</f>
        <v>Player</v>
      </c>
      <c r="F99">
        <f>F14</f>
        <v>0</v>
      </c>
      <c r="G99" t="str">
        <f t="shared" si="5"/>
        <v>q</v>
      </c>
      <c r="H99" t="str">
        <f>VLOOKUP(D99,name!A:C,3,1)</f>
        <v>assets/icons/image326.png</v>
      </c>
      <c r="I99" t="e">
        <f>IF(A99="","",VLOOKUP(A99,lng!A:B,2,0))</f>
        <v>#N/A</v>
      </c>
    </row>
    <row r="100" spans="1:9" x14ac:dyDescent="0.15">
      <c r="A100">
        <f t="shared" si="0"/>
        <v>0</v>
      </c>
      <c r="B100">
        <f t="shared" si="1"/>
        <v>1</v>
      </c>
      <c r="C100">
        <f t="shared" si="2"/>
        <v>99</v>
      </c>
      <c r="D100">
        <v>0</v>
      </c>
      <c r="E100" t="str">
        <f>VLOOKUP(D100,name!A:B,2,1)</f>
        <v>Player</v>
      </c>
      <c r="F100">
        <f>F14</f>
        <v>0</v>
      </c>
      <c r="G100" t="str">
        <f t="shared" si="5"/>
        <v>q</v>
      </c>
      <c r="H100" t="str">
        <f>VLOOKUP(D100,name!A:C,3,1)</f>
        <v>assets/icons/image326.png</v>
      </c>
      <c r="I100" t="e">
        <f>IF(A100="","",VLOOKUP(A100,lng!A:B,2,0))</f>
        <v>#N/A</v>
      </c>
    </row>
    <row r="101" spans="1:9" x14ac:dyDescent="0.15">
      <c r="A101">
        <f t="shared" si="0"/>
        <v>0</v>
      </c>
      <c r="B101">
        <f t="shared" si="1"/>
        <v>1</v>
      </c>
      <c r="C101">
        <f t="shared" si="2"/>
        <v>100</v>
      </c>
      <c r="D101">
        <f>D15</f>
        <v>0</v>
      </c>
      <c r="E101" t="str">
        <f>VLOOKUP(D101,name!A:B,2,1)</f>
        <v>Player</v>
      </c>
      <c r="F101">
        <f>F15</f>
        <v>0</v>
      </c>
      <c r="G101" t="str">
        <f t="shared" si="5"/>
        <v>q</v>
      </c>
      <c r="H101" t="str">
        <f>VLOOKUP(D101,name!A:C,3,1)</f>
        <v>assets/icons/image326.png</v>
      </c>
      <c r="I101" t="s">
        <v>405</v>
      </c>
    </row>
    <row r="102" spans="1:9" x14ac:dyDescent="0.15">
      <c r="A102">
        <f t="shared" ref="A102:B117" si="7">A101</f>
        <v>0</v>
      </c>
      <c r="B102">
        <f t="shared" si="1"/>
        <v>1</v>
      </c>
      <c r="C102">
        <f t="shared" si="2"/>
        <v>101</v>
      </c>
      <c r="D102">
        <f>D16</f>
        <v>0</v>
      </c>
      <c r="E102" t="str">
        <f>VLOOKUP(D102,name!A:B,2,1)</f>
        <v>Player</v>
      </c>
      <c r="F102">
        <f>F16</f>
        <v>0</v>
      </c>
      <c r="G102" t="str">
        <f t="shared" si="5"/>
        <v>q</v>
      </c>
      <c r="H102" t="str">
        <f>VLOOKUP(D102,name!A:C,3,1)</f>
        <v>assets/icons/image326.png</v>
      </c>
      <c r="I102" t="e">
        <f>IF(A102="","",VLOOKUP(A102,lng!A:B,2,0))</f>
        <v>#N/A</v>
      </c>
    </row>
    <row r="103" spans="1:9" x14ac:dyDescent="0.15">
      <c r="A103">
        <f t="shared" si="7"/>
        <v>0</v>
      </c>
      <c r="B103">
        <f t="shared" si="1"/>
        <v>1</v>
      </c>
      <c r="C103">
        <f t="shared" si="2"/>
        <v>102</v>
      </c>
      <c r="D103">
        <v>0</v>
      </c>
      <c r="E103" t="str">
        <f>VLOOKUP(D103,name!A:B,2,1)</f>
        <v>Player</v>
      </c>
      <c r="F103">
        <f>F16</f>
        <v>0</v>
      </c>
      <c r="G103" t="str">
        <f t="shared" si="5"/>
        <v>q</v>
      </c>
      <c r="H103" t="str">
        <f>VLOOKUP(D103,name!A:C,3,1)</f>
        <v>assets/icons/image326.png</v>
      </c>
      <c r="I103" t="e">
        <f>IF(A103="","",VLOOKUP(A103,lng!A:B,2,0))</f>
        <v>#N/A</v>
      </c>
    </row>
    <row r="104" spans="1:9" x14ac:dyDescent="0.15">
      <c r="A104">
        <f t="shared" si="7"/>
        <v>0</v>
      </c>
      <c r="B104">
        <f t="shared" si="1"/>
        <v>1</v>
      </c>
      <c r="C104">
        <f t="shared" si="2"/>
        <v>103</v>
      </c>
      <c r="D104">
        <f>D17</f>
        <v>0</v>
      </c>
      <c r="E104" t="str">
        <f>VLOOKUP(D104,name!A:B,2,1)</f>
        <v>Player</v>
      </c>
      <c r="F104">
        <f>F17</f>
        <v>0</v>
      </c>
      <c r="G104" t="str">
        <f t="shared" si="5"/>
        <v>q</v>
      </c>
      <c r="H104" t="str">
        <f>VLOOKUP(D104,name!A:C,3,1)</f>
        <v>assets/icons/image326.png</v>
      </c>
      <c r="I104" t="s">
        <v>405</v>
      </c>
    </row>
    <row r="105" spans="1:9" x14ac:dyDescent="0.15">
      <c r="A105">
        <f t="shared" si="7"/>
        <v>0</v>
      </c>
      <c r="B105">
        <f t="shared" si="1"/>
        <v>1</v>
      </c>
      <c r="C105">
        <f t="shared" si="2"/>
        <v>104</v>
      </c>
      <c r="D105">
        <f>D18</f>
        <v>0</v>
      </c>
      <c r="E105" t="str">
        <f>VLOOKUP(D105,name!A:B,2,1)</f>
        <v>Player</v>
      </c>
      <c r="F105">
        <f>F18</f>
        <v>0</v>
      </c>
      <c r="G105" t="str">
        <f t="shared" si="5"/>
        <v>q</v>
      </c>
      <c r="H105" t="str">
        <f>VLOOKUP(D105,name!A:C,3,1)</f>
        <v>assets/icons/image326.png</v>
      </c>
      <c r="I105" t="e">
        <f>IF(A105="","",VLOOKUP(A105,lng!A:B,2,0))</f>
        <v>#N/A</v>
      </c>
    </row>
    <row r="106" spans="1:9" x14ac:dyDescent="0.15">
      <c r="A106">
        <f t="shared" si="7"/>
        <v>0</v>
      </c>
      <c r="B106">
        <f t="shared" si="1"/>
        <v>1</v>
      </c>
      <c r="C106">
        <f t="shared" si="2"/>
        <v>105</v>
      </c>
      <c r="D106">
        <v>0</v>
      </c>
      <c r="E106" t="str">
        <f>VLOOKUP(D106,name!A:B,2,1)</f>
        <v>Player</v>
      </c>
      <c r="F106">
        <f>F18</f>
        <v>0</v>
      </c>
      <c r="G106" t="str">
        <f t="shared" si="5"/>
        <v>q</v>
      </c>
      <c r="H106" t="str">
        <f>VLOOKUP(D106,name!A:C,3,1)</f>
        <v>assets/icons/image326.png</v>
      </c>
      <c r="I106" t="e">
        <f>IF(A106="","",VLOOKUP(A106,lng!A:B,2,0))</f>
        <v>#N/A</v>
      </c>
    </row>
    <row r="107" spans="1:9" x14ac:dyDescent="0.15">
      <c r="A107">
        <f t="shared" si="7"/>
        <v>0</v>
      </c>
      <c r="B107">
        <f t="shared" si="7"/>
        <v>1</v>
      </c>
      <c r="C107">
        <f t="shared" ref="C107:C170" si="8">C106+1</f>
        <v>106</v>
      </c>
      <c r="D107">
        <f>D19</f>
        <v>0</v>
      </c>
      <c r="E107" t="str">
        <f>VLOOKUP(D107,name!A:B,2,1)</f>
        <v>Player</v>
      </c>
      <c r="F107">
        <f>F19</f>
        <v>0</v>
      </c>
      <c r="G107" t="str">
        <f t="shared" si="5"/>
        <v>q</v>
      </c>
      <c r="H107" t="str">
        <f>VLOOKUP(D107,name!A:C,3,1)</f>
        <v>assets/icons/image326.png</v>
      </c>
      <c r="I107" t="s">
        <v>405</v>
      </c>
    </row>
    <row r="108" spans="1:9" x14ac:dyDescent="0.15">
      <c r="A108">
        <f t="shared" si="7"/>
        <v>0</v>
      </c>
      <c r="B108">
        <f t="shared" si="7"/>
        <v>1</v>
      </c>
      <c r="C108">
        <f t="shared" si="8"/>
        <v>107</v>
      </c>
      <c r="D108">
        <f>D20</f>
        <v>0</v>
      </c>
      <c r="E108" t="str">
        <f>VLOOKUP(D108,name!A:B,2,1)</f>
        <v>Player</v>
      </c>
      <c r="F108">
        <f>F20</f>
        <v>0</v>
      </c>
      <c r="G108" t="str">
        <f t="shared" si="5"/>
        <v>q</v>
      </c>
      <c r="H108" t="str">
        <f>VLOOKUP(D108,name!A:C,3,1)</f>
        <v>assets/icons/image326.png</v>
      </c>
      <c r="I108" t="e">
        <f>IF(A108="","",VLOOKUP(A108,lng!A:B,2,0))</f>
        <v>#N/A</v>
      </c>
    </row>
    <row r="109" spans="1:9" x14ac:dyDescent="0.15">
      <c r="A109">
        <f t="shared" si="7"/>
        <v>0</v>
      </c>
      <c r="B109">
        <f t="shared" si="7"/>
        <v>1</v>
      </c>
      <c r="C109">
        <f t="shared" si="8"/>
        <v>108</v>
      </c>
      <c r="D109">
        <v>0</v>
      </c>
      <c r="E109" t="str">
        <f>VLOOKUP(D109,name!A:B,2,1)</f>
        <v>Player</v>
      </c>
      <c r="F109">
        <f>F20</f>
        <v>0</v>
      </c>
      <c r="G109" t="str">
        <f t="shared" si="5"/>
        <v>q</v>
      </c>
      <c r="H109" t="str">
        <f>VLOOKUP(D109,name!A:C,3,1)</f>
        <v>assets/icons/image326.png</v>
      </c>
      <c r="I109" t="e">
        <f>IF(A109="","",VLOOKUP(A109,lng!A:B,2,0))</f>
        <v>#N/A</v>
      </c>
    </row>
    <row r="110" spans="1:9" x14ac:dyDescent="0.15">
      <c r="A110">
        <f t="shared" si="7"/>
        <v>0</v>
      </c>
      <c r="B110">
        <f t="shared" si="7"/>
        <v>1</v>
      </c>
      <c r="C110">
        <f t="shared" si="8"/>
        <v>109</v>
      </c>
      <c r="D110">
        <f>D21</f>
        <v>0</v>
      </c>
      <c r="E110" t="str">
        <f>VLOOKUP(D110,name!A:B,2,1)</f>
        <v>Player</v>
      </c>
      <c r="F110">
        <f>F21</f>
        <v>0</v>
      </c>
      <c r="G110" t="str">
        <f t="shared" si="5"/>
        <v>q</v>
      </c>
      <c r="H110" t="str">
        <f>VLOOKUP(D110,name!A:C,3,1)</f>
        <v>assets/icons/image326.png</v>
      </c>
      <c r="I110" t="s">
        <v>405</v>
      </c>
    </row>
    <row r="111" spans="1:9" x14ac:dyDescent="0.15">
      <c r="A111">
        <f t="shared" si="7"/>
        <v>0</v>
      </c>
      <c r="B111">
        <f t="shared" si="7"/>
        <v>1</v>
      </c>
      <c r="C111">
        <f t="shared" si="8"/>
        <v>110</v>
      </c>
      <c r="D111">
        <f>D22</f>
        <v>0</v>
      </c>
      <c r="E111" t="str">
        <f>VLOOKUP(D111,name!A:B,2,1)</f>
        <v>Player</v>
      </c>
      <c r="F111">
        <f>F22</f>
        <v>0</v>
      </c>
      <c r="G111" t="str">
        <f t="shared" si="5"/>
        <v>q</v>
      </c>
      <c r="H111" t="str">
        <f>VLOOKUP(D111,name!A:C,3,1)</f>
        <v>assets/icons/image326.png</v>
      </c>
      <c r="I111" t="e">
        <f>IF(A111="","",VLOOKUP(A111,lng!A:B,2,0))</f>
        <v>#N/A</v>
      </c>
    </row>
    <row r="112" spans="1:9" x14ac:dyDescent="0.15">
      <c r="A112">
        <f t="shared" si="7"/>
        <v>0</v>
      </c>
      <c r="B112">
        <f t="shared" si="7"/>
        <v>1</v>
      </c>
      <c r="C112">
        <f t="shared" si="8"/>
        <v>111</v>
      </c>
      <c r="D112">
        <v>0</v>
      </c>
      <c r="E112" t="str">
        <f>VLOOKUP(D112,name!A:B,2,1)</f>
        <v>Player</v>
      </c>
      <c r="F112">
        <f>F22</f>
        <v>0</v>
      </c>
      <c r="G112" t="str">
        <f t="shared" si="5"/>
        <v>q</v>
      </c>
      <c r="H112" t="str">
        <f>VLOOKUP(D112,name!A:C,3,1)</f>
        <v>assets/icons/image326.png</v>
      </c>
      <c r="I112" t="e">
        <f>IF(A112="","",VLOOKUP(A112,lng!A:B,2,0))</f>
        <v>#N/A</v>
      </c>
    </row>
    <row r="113" spans="1:9" x14ac:dyDescent="0.15">
      <c r="A113">
        <f t="shared" si="7"/>
        <v>0</v>
      </c>
      <c r="B113">
        <f t="shared" si="7"/>
        <v>1</v>
      </c>
      <c r="C113">
        <f t="shared" si="8"/>
        <v>112</v>
      </c>
      <c r="D113">
        <f>D23</f>
        <v>0</v>
      </c>
      <c r="E113" t="str">
        <f>VLOOKUP(D113,name!A:B,2,1)</f>
        <v>Player</v>
      </c>
      <c r="F113">
        <f>F23</f>
        <v>0</v>
      </c>
      <c r="G113" t="str">
        <f t="shared" si="5"/>
        <v>q</v>
      </c>
      <c r="H113" t="str">
        <f>VLOOKUP(D113,name!A:C,3,1)</f>
        <v>assets/icons/image326.png</v>
      </c>
      <c r="I113" t="s">
        <v>405</v>
      </c>
    </row>
    <row r="114" spans="1:9" x14ac:dyDescent="0.15">
      <c r="A114">
        <f t="shared" si="7"/>
        <v>0</v>
      </c>
      <c r="B114">
        <f t="shared" si="7"/>
        <v>1</v>
      </c>
      <c r="C114">
        <f t="shared" si="8"/>
        <v>113</v>
      </c>
      <c r="D114">
        <f>D24</f>
        <v>0</v>
      </c>
      <c r="E114" t="str">
        <f>VLOOKUP(D114,name!A:B,2,1)</f>
        <v>Player</v>
      </c>
      <c r="F114">
        <f>F24</f>
        <v>0</v>
      </c>
      <c r="G114" t="str">
        <f t="shared" si="5"/>
        <v>q</v>
      </c>
      <c r="H114" t="str">
        <f>VLOOKUP(D114,name!A:C,3,1)</f>
        <v>assets/icons/image326.png</v>
      </c>
      <c r="I114" t="e">
        <f>IF(A114="","",VLOOKUP(A114,lng!A:B,2,0))</f>
        <v>#N/A</v>
      </c>
    </row>
    <row r="115" spans="1:9" x14ac:dyDescent="0.15">
      <c r="A115">
        <f t="shared" si="7"/>
        <v>0</v>
      </c>
      <c r="B115">
        <f t="shared" si="7"/>
        <v>1</v>
      </c>
      <c r="C115">
        <f t="shared" si="8"/>
        <v>114</v>
      </c>
      <c r="D115">
        <v>0</v>
      </c>
      <c r="E115" t="str">
        <f>VLOOKUP(D115,name!A:B,2,1)</f>
        <v>Player</v>
      </c>
      <c r="F115">
        <f>F24</f>
        <v>0</v>
      </c>
      <c r="G115" t="str">
        <f t="shared" si="5"/>
        <v>q</v>
      </c>
      <c r="H115" t="str">
        <f>VLOOKUP(D115,name!A:C,3,1)</f>
        <v>assets/icons/image326.png</v>
      </c>
      <c r="I115" t="e">
        <f>IF(A115="","",VLOOKUP(A115,lng!A:B,2,0))</f>
        <v>#N/A</v>
      </c>
    </row>
    <row r="116" spans="1:9" x14ac:dyDescent="0.15">
      <c r="A116">
        <f t="shared" si="7"/>
        <v>0</v>
      </c>
      <c r="B116">
        <f t="shared" si="7"/>
        <v>1</v>
      </c>
      <c r="C116">
        <f t="shared" si="8"/>
        <v>115</v>
      </c>
      <c r="D116">
        <f>D25</f>
        <v>0</v>
      </c>
      <c r="E116" t="str">
        <f>VLOOKUP(D116,name!A:B,2,1)</f>
        <v>Player</v>
      </c>
      <c r="F116">
        <f>F25</f>
        <v>0</v>
      </c>
      <c r="G116" t="str">
        <f t="shared" si="5"/>
        <v>q</v>
      </c>
      <c r="H116" t="str">
        <f>VLOOKUP(D116,name!A:C,3,1)</f>
        <v>assets/icons/image326.png</v>
      </c>
      <c r="I116" t="s">
        <v>405</v>
      </c>
    </row>
    <row r="117" spans="1:9" x14ac:dyDescent="0.15">
      <c r="A117">
        <f t="shared" si="7"/>
        <v>0</v>
      </c>
      <c r="B117">
        <f t="shared" si="7"/>
        <v>1</v>
      </c>
      <c r="C117">
        <f t="shared" si="8"/>
        <v>116</v>
      </c>
      <c r="D117">
        <f>D26</f>
        <v>0</v>
      </c>
      <c r="E117" t="str">
        <f>VLOOKUP(D117,name!A:B,2,1)</f>
        <v>Player</v>
      </c>
      <c r="F117">
        <f>F26</f>
        <v>0</v>
      </c>
      <c r="G117" t="str">
        <f t="shared" si="5"/>
        <v>q</v>
      </c>
      <c r="H117" t="str">
        <f>VLOOKUP(D117,name!A:C,3,1)</f>
        <v>assets/icons/image326.png</v>
      </c>
      <c r="I117" t="e">
        <f>IF(A117="","",VLOOKUP(A117,lng!A:B,2,0))</f>
        <v>#N/A</v>
      </c>
    </row>
    <row r="118" spans="1:9" x14ac:dyDescent="0.15">
      <c r="A118">
        <f t="shared" ref="A118:B133" si="9">A117</f>
        <v>0</v>
      </c>
      <c r="B118">
        <f t="shared" si="9"/>
        <v>1</v>
      </c>
      <c r="C118">
        <f t="shared" si="8"/>
        <v>117</v>
      </c>
      <c r="D118">
        <v>0</v>
      </c>
      <c r="E118" t="str">
        <f>VLOOKUP(D118,name!A:B,2,1)</f>
        <v>Player</v>
      </c>
      <c r="F118">
        <f>F26</f>
        <v>0</v>
      </c>
      <c r="G118" t="str">
        <f t="shared" si="5"/>
        <v>q</v>
      </c>
      <c r="H118" t="str">
        <f>VLOOKUP(D118,name!A:C,3,1)</f>
        <v>assets/icons/image326.png</v>
      </c>
      <c r="I118" t="e">
        <f>IF(A118="","",VLOOKUP(A118,lng!A:B,2,0))</f>
        <v>#N/A</v>
      </c>
    </row>
    <row r="119" spans="1:9" x14ac:dyDescent="0.15">
      <c r="A119">
        <f t="shared" si="9"/>
        <v>0</v>
      </c>
      <c r="B119">
        <f t="shared" si="9"/>
        <v>1</v>
      </c>
      <c r="C119">
        <f t="shared" si="8"/>
        <v>118</v>
      </c>
      <c r="D119">
        <f>D27</f>
        <v>0</v>
      </c>
      <c r="E119" t="str">
        <f>VLOOKUP(D119,name!A:B,2,1)</f>
        <v>Player</v>
      </c>
      <c r="F119">
        <f>F27</f>
        <v>0</v>
      </c>
      <c r="G119" t="str">
        <f t="shared" si="5"/>
        <v>q</v>
      </c>
      <c r="H119" t="str">
        <f>VLOOKUP(D119,name!A:C,3,1)</f>
        <v>assets/icons/image326.png</v>
      </c>
      <c r="I119" t="s">
        <v>405</v>
      </c>
    </row>
    <row r="120" spans="1:9" x14ac:dyDescent="0.15">
      <c r="A120">
        <f t="shared" si="9"/>
        <v>0</v>
      </c>
      <c r="B120">
        <f t="shared" si="9"/>
        <v>1</v>
      </c>
      <c r="C120">
        <f t="shared" si="8"/>
        <v>119</v>
      </c>
      <c r="D120">
        <f>D28</f>
        <v>0</v>
      </c>
      <c r="E120" t="str">
        <f>VLOOKUP(D120,name!A:B,2,1)</f>
        <v>Player</v>
      </c>
      <c r="F120">
        <f>F28</f>
        <v>0</v>
      </c>
      <c r="G120" t="str">
        <f t="shared" si="5"/>
        <v>q</v>
      </c>
      <c r="H120" t="str">
        <f>VLOOKUP(D120,name!A:C,3,1)</f>
        <v>assets/icons/image326.png</v>
      </c>
      <c r="I120" t="e">
        <f>IF(A120="","",VLOOKUP(A120,lng!A:B,2,0))</f>
        <v>#N/A</v>
      </c>
    </row>
    <row r="121" spans="1:9" x14ac:dyDescent="0.15">
      <c r="A121">
        <f t="shared" si="9"/>
        <v>0</v>
      </c>
      <c r="B121">
        <f t="shared" si="9"/>
        <v>1</v>
      </c>
      <c r="C121">
        <f t="shared" si="8"/>
        <v>120</v>
      </c>
      <c r="D121">
        <v>0</v>
      </c>
      <c r="E121" t="str">
        <f>VLOOKUP(D121,name!A:B,2,1)</f>
        <v>Player</v>
      </c>
      <c r="F121">
        <f>F28</f>
        <v>0</v>
      </c>
      <c r="G121" t="str">
        <f t="shared" si="5"/>
        <v>q</v>
      </c>
      <c r="H121" t="str">
        <f>VLOOKUP(D121,name!A:C,3,1)</f>
        <v>assets/icons/image326.png</v>
      </c>
      <c r="I121" t="e">
        <f>IF(A121="","",VLOOKUP(A121,lng!A:B,2,0))</f>
        <v>#N/A</v>
      </c>
    </row>
    <row r="122" spans="1:9" x14ac:dyDescent="0.15">
      <c r="A122">
        <f t="shared" si="9"/>
        <v>0</v>
      </c>
      <c r="B122">
        <f t="shared" si="9"/>
        <v>1</v>
      </c>
      <c r="C122">
        <f t="shared" si="8"/>
        <v>121</v>
      </c>
      <c r="D122">
        <f>D29</f>
        <v>0</v>
      </c>
      <c r="E122" t="str">
        <f>VLOOKUP(D122,name!A:B,2,1)</f>
        <v>Player</v>
      </c>
      <c r="F122">
        <f>F29</f>
        <v>0</v>
      </c>
      <c r="G122" t="str">
        <f t="shared" si="5"/>
        <v>q</v>
      </c>
      <c r="H122" t="str">
        <f>VLOOKUP(D122,name!A:C,3,1)</f>
        <v>assets/icons/image326.png</v>
      </c>
      <c r="I122" t="s">
        <v>405</v>
      </c>
    </row>
    <row r="123" spans="1:9" x14ac:dyDescent="0.15">
      <c r="A123">
        <f t="shared" si="9"/>
        <v>0</v>
      </c>
      <c r="B123">
        <f t="shared" si="9"/>
        <v>1</v>
      </c>
      <c r="C123">
        <f t="shared" si="8"/>
        <v>122</v>
      </c>
      <c r="D123">
        <f>D30</f>
        <v>0</v>
      </c>
      <c r="E123" t="str">
        <f>VLOOKUP(D123,name!A:B,2,1)</f>
        <v>Player</v>
      </c>
      <c r="F123">
        <f>F30</f>
        <v>0</v>
      </c>
      <c r="G123" t="str">
        <f t="shared" si="5"/>
        <v>q</v>
      </c>
      <c r="H123" t="str">
        <f>VLOOKUP(D123,name!A:C,3,1)</f>
        <v>assets/icons/image326.png</v>
      </c>
      <c r="I123" t="e">
        <f>IF(A123="","",VLOOKUP(A123,lng!A:B,2,0))</f>
        <v>#N/A</v>
      </c>
    </row>
    <row r="124" spans="1:9" x14ac:dyDescent="0.15">
      <c r="A124">
        <f t="shared" si="9"/>
        <v>0</v>
      </c>
      <c r="B124">
        <f t="shared" si="9"/>
        <v>1</v>
      </c>
      <c r="C124">
        <f t="shared" si="8"/>
        <v>123</v>
      </c>
      <c r="D124">
        <v>0</v>
      </c>
      <c r="E124" t="str">
        <f>VLOOKUP(D124,name!A:B,2,1)</f>
        <v>Player</v>
      </c>
      <c r="F124">
        <f>F30</f>
        <v>0</v>
      </c>
      <c r="G124" t="str">
        <f t="shared" si="5"/>
        <v>q</v>
      </c>
      <c r="H124" t="str">
        <f>VLOOKUP(D124,name!A:C,3,1)</f>
        <v>assets/icons/image326.png</v>
      </c>
      <c r="I124" t="e">
        <f>IF(A124="","",VLOOKUP(A124,lng!A:B,2,0))</f>
        <v>#N/A</v>
      </c>
    </row>
    <row r="125" spans="1:9" x14ac:dyDescent="0.15">
      <c r="A125">
        <f t="shared" si="9"/>
        <v>0</v>
      </c>
      <c r="B125">
        <f t="shared" si="9"/>
        <v>1</v>
      </c>
      <c r="C125">
        <f t="shared" si="8"/>
        <v>124</v>
      </c>
      <c r="D125">
        <f>D31</f>
        <v>0</v>
      </c>
      <c r="E125" t="str">
        <f>VLOOKUP(D125,name!A:B,2,1)</f>
        <v>Player</v>
      </c>
      <c r="F125">
        <f>F31</f>
        <v>0</v>
      </c>
      <c r="G125" t="str">
        <f t="shared" si="5"/>
        <v>q</v>
      </c>
      <c r="H125" t="str">
        <f>VLOOKUP(D125,name!A:C,3,1)</f>
        <v>assets/icons/image326.png</v>
      </c>
      <c r="I125" t="s">
        <v>405</v>
      </c>
    </row>
    <row r="126" spans="1:9" x14ac:dyDescent="0.15">
      <c r="A126">
        <f t="shared" si="9"/>
        <v>0</v>
      </c>
      <c r="B126">
        <f t="shared" si="9"/>
        <v>1</v>
      </c>
      <c r="C126">
        <f t="shared" si="8"/>
        <v>125</v>
      </c>
      <c r="D126">
        <f>D32</f>
        <v>0</v>
      </c>
      <c r="E126" t="str">
        <f>VLOOKUP(D126,name!A:B,2,1)</f>
        <v>Player</v>
      </c>
      <c r="F126">
        <f>F32</f>
        <v>0</v>
      </c>
      <c r="G126" t="str">
        <f t="shared" si="5"/>
        <v>q</v>
      </c>
      <c r="H126" t="str">
        <f>VLOOKUP(D126,name!A:C,3,1)</f>
        <v>assets/icons/image326.png</v>
      </c>
      <c r="I126" t="e">
        <f>IF(A126="","",VLOOKUP(A126,lng!A:B,2,0))</f>
        <v>#N/A</v>
      </c>
    </row>
    <row r="127" spans="1:9" x14ac:dyDescent="0.15">
      <c r="A127">
        <f t="shared" si="9"/>
        <v>0</v>
      </c>
      <c r="B127">
        <f t="shared" si="9"/>
        <v>1</v>
      </c>
      <c r="C127">
        <f t="shared" si="8"/>
        <v>126</v>
      </c>
      <c r="D127">
        <v>0</v>
      </c>
      <c r="E127" t="str">
        <f>VLOOKUP(D127,name!A:B,2,1)</f>
        <v>Player</v>
      </c>
      <c r="F127">
        <f>F32</f>
        <v>0</v>
      </c>
      <c r="G127" t="str">
        <f t="shared" si="5"/>
        <v>q</v>
      </c>
      <c r="H127" t="str">
        <f>VLOOKUP(D127,name!A:C,3,1)</f>
        <v>assets/icons/image326.png</v>
      </c>
      <c r="I127" t="e">
        <f>IF(A127="","",VLOOKUP(A127,lng!A:B,2,0))</f>
        <v>#N/A</v>
      </c>
    </row>
    <row r="128" spans="1:9" x14ac:dyDescent="0.15">
      <c r="A128">
        <f t="shared" si="9"/>
        <v>0</v>
      </c>
      <c r="B128">
        <f t="shared" si="9"/>
        <v>1</v>
      </c>
      <c r="C128">
        <f t="shared" si="8"/>
        <v>127</v>
      </c>
      <c r="D128">
        <f>D33</f>
        <v>0</v>
      </c>
      <c r="E128" t="str">
        <f>VLOOKUP(D128,name!A:B,2,1)</f>
        <v>Player</v>
      </c>
      <c r="F128">
        <f>F33</f>
        <v>0</v>
      </c>
      <c r="G128" t="str">
        <f t="shared" si="5"/>
        <v>q</v>
      </c>
      <c r="H128" t="str">
        <f>VLOOKUP(D128,name!A:C,3,1)</f>
        <v>assets/icons/image326.png</v>
      </c>
      <c r="I128" t="s">
        <v>405</v>
      </c>
    </row>
    <row r="129" spans="1:9" x14ac:dyDescent="0.15">
      <c r="A129">
        <f t="shared" si="9"/>
        <v>0</v>
      </c>
      <c r="B129">
        <f t="shared" si="9"/>
        <v>1</v>
      </c>
      <c r="C129">
        <f t="shared" si="8"/>
        <v>128</v>
      </c>
      <c r="D129">
        <f>D34</f>
        <v>0</v>
      </c>
      <c r="E129" t="str">
        <f>VLOOKUP(D129,name!A:B,2,1)</f>
        <v>Player</v>
      </c>
      <c r="F129">
        <f>F34</f>
        <v>0</v>
      </c>
      <c r="G129" t="str">
        <f t="shared" si="5"/>
        <v>q</v>
      </c>
      <c r="H129" t="str">
        <f>VLOOKUP(D129,name!A:C,3,1)</f>
        <v>assets/icons/image326.png</v>
      </c>
      <c r="I129" t="e">
        <f>IF(A129="","",VLOOKUP(A129,lng!A:B,2,0))</f>
        <v>#N/A</v>
      </c>
    </row>
    <row r="130" spans="1:9" x14ac:dyDescent="0.15">
      <c r="A130">
        <f t="shared" si="9"/>
        <v>0</v>
      </c>
      <c r="B130">
        <f t="shared" si="9"/>
        <v>1</v>
      </c>
      <c r="C130">
        <f t="shared" si="8"/>
        <v>129</v>
      </c>
      <c r="D130">
        <v>0</v>
      </c>
      <c r="E130" t="str">
        <f>VLOOKUP(D130,name!A:B,2,1)</f>
        <v>Player</v>
      </c>
      <c r="F130">
        <f>F34</f>
        <v>0</v>
      </c>
      <c r="G130" t="str">
        <f t="shared" si="5"/>
        <v>q</v>
      </c>
      <c r="H130" t="str">
        <f>VLOOKUP(D130,name!A:C,3,1)</f>
        <v>assets/icons/image326.png</v>
      </c>
      <c r="I130" t="e">
        <f>IF(A130="","",VLOOKUP(A130,lng!A:B,2,0))</f>
        <v>#N/A</v>
      </c>
    </row>
    <row r="131" spans="1:9" x14ac:dyDescent="0.15">
      <c r="A131">
        <f t="shared" si="9"/>
        <v>0</v>
      </c>
      <c r="B131">
        <f t="shared" si="9"/>
        <v>1</v>
      </c>
      <c r="C131">
        <f t="shared" si="8"/>
        <v>130</v>
      </c>
      <c r="D131">
        <f>D35</f>
        <v>0</v>
      </c>
      <c r="E131" t="str">
        <f>VLOOKUP(D131,name!A:B,2,1)</f>
        <v>Player</v>
      </c>
      <c r="F131">
        <f>F35</f>
        <v>0</v>
      </c>
      <c r="G131" t="str">
        <f t="shared" si="5"/>
        <v>q</v>
      </c>
      <c r="H131" t="str">
        <f>VLOOKUP(D131,name!A:C,3,1)</f>
        <v>assets/icons/image326.png</v>
      </c>
      <c r="I131" t="s">
        <v>405</v>
      </c>
    </row>
    <row r="132" spans="1:9" x14ac:dyDescent="0.15">
      <c r="A132">
        <f t="shared" si="9"/>
        <v>0</v>
      </c>
      <c r="B132">
        <f t="shared" si="9"/>
        <v>1</v>
      </c>
      <c r="C132">
        <f t="shared" si="8"/>
        <v>131</v>
      </c>
      <c r="D132">
        <f>D36</f>
        <v>0</v>
      </c>
      <c r="E132" t="str">
        <f>VLOOKUP(D132,name!A:B,2,1)</f>
        <v>Player</v>
      </c>
      <c r="F132">
        <f>F36</f>
        <v>0</v>
      </c>
      <c r="G132" t="str">
        <f t="shared" si="5"/>
        <v>q</v>
      </c>
      <c r="H132" t="str">
        <f>VLOOKUP(D132,name!A:C,3,1)</f>
        <v>assets/icons/image326.png</v>
      </c>
      <c r="I132" t="e">
        <f>IF(A132="","",VLOOKUP(A132,lng!A:B,2,0))</f>
        <v>#N/A</v>
      </c>
    </row>
    <row r="133" spans="1:9" x14ac:dyDescent="0.15">
      <c r="A133">
        <f t="shared" si="9"/>
        <v>0</v>
      </c>
      <c r="B133">
        <f t="shared" si="9"/>
        <v>1</v>
      </c>
      <c r="C133">
        <f t="shared" si="8"/>
        <v>132</v>
      </c>
      <c r="D133">
        <v>0</v>
      </c>
      <c r="E133" t="str">
        <f>VLOOKUP(D133,name!A:B,2,1)</f>
        <v>Player</v>
      </c>
      <c r="F133">
        <f>F36</f>
        <v>0</v>
      </c>
      <c r="G133" t="str">
        <f t="shared" ref="G133:G196" si="10">IF(B133&lt;&gt;B134,"e",IF(D133=0,"q","a"))</f>
        <v>q</v>
      </c>
      <c r="H133" t="str">
        <f>VLOOKUP(D133,name!A:C,3,1)</f>
        <v>assets/icons/image326.png</v>
      </c>
      <c r="I133" t="e">
        <f>IF(A133="","",VLOOKUP(A133,lng!A:B,2,0))</f>
        <v>#N/A</v>
      </c>
    </row>
    <row r="134" spans="1:9" x14ac:dyDescent="0.15">
      <c r="A134">
        <f t="shared" ref="A134:B149" si="11">A133</f>
        <v>0</v>
      </c>
      <c r="B134">
        <f t="shared" si="11"/>
        <v>1</v>
      </c>
      <c r="C134">
        <f t="shared" si="8"/>
        <v>133</v>
      </c>
      <c r="D134">
        <f>D37</f>
        <v>0</v>
      </c>
      <c r="E134" t="str">
        <f>VLOOKUP(D134,name!A:B,2,1)</f>
        <v>Player</v>
      </c>
      <c r="F134">
        <f>F37</f>
        <v>0</v>
      </c>
      <c r="G134" t="str">
        <f t="shared" si="10"/>
        <v>q</v>
      </c>
      <c r="H134" t="str">
        <f>VLOOKUP(D134,name!A:C,3,1)</f>
        <v>assets/icons/image326.png</v>
      </c>
      <c r="I134" t="s">
        <v>405</v>
      </c>
    </row>
    <row r="135" spans="1:9" x14ac:dyDescent="0.15">
      <c r="A135">
        <f t="shared" si="11"/>
        <v>0</v>
      </c>
      <c r="B135">
        <f t="shared" si="11"/>
        <v>1</v>
      </c>
      <c r="C135">
        <f t="shared" si="8"/>
        <v>134</v>
      </c>
      <c r="D135">
        <f>D38</f>
        <v>0</v>
      </c>
      <c r="E135" t="str">
        <f>VLOOKUP(D135,name!A:B,2,1)</f>
        <v>Player</v>
      </c>
      <c r="F135">
        <f>F38</f>
        <v>0</v>
      </c>
      <c r="G135" t="str">
        <f t="shared" si="10"/>
        <v>q</v>
      </c>
      <c r="H135" t="str">
        <f>VLOOKUP(D135,name!A:C,3,1)</f>
        <v>assets/icons/image326.png</v>
      </c>
      <c r="I135" t="e">
        <f>IF(A135="","",VLOOKUP(A135,lng!A:B,2,0))</f>
        <v>#N/A</v>
      </c>
    </row>
    <row r="136" spans="1:9" x14ac:dyDescent="0.15">
      <c r="A136">
        <f t="shared" si="11"/>
        <v>0</v>
      </c>
      <c r="B136">
        <f t="shared" si="11"/>
        <v>1</v>
      </c>
      <c r="C136">
        <f t="shared" si="8"/>
        <v>135</v>
      </c>
      <c r="D136">
        <v>0</v>
      </c>
      <c r="E136" t="str">
        <f>VLOOKUP(D136,name!A:B,2,1)</f>
        <v>Player</v>
      </c>
      <c r="F136">
        <f>F38</f>
        <v>0</v>
      </c>
      <c r="G136" t="str">
        <f t="shared" si="10"/>
        <v>q</v>
      </c>
      <c r="H136" t="str">
        <f>VLOOKUP(D136,name!A:C,3,1)</f>
        <v>assets/icons/image326.png</v>
      </c>
      <c r="I136" t="e">
        <f>IF(A136="","",VLOOKUP(A136,lng!A:B,2,0))</f>
        <v>#N/A</v>
      </c>
    </row>
    <row r="137" spans="1:9" x14ac:dyDescent="0.15">
      <c r="A137">
        <f t="shared" si="11"/>
        <v>0</v>
      </c>
      <c r="B137">
        <f t="shared" si="11"/>
        <v>1</v>
      </c>
      <c r="C137">
        <f t="shared" si="8"/>
        <v>136</v>
      </c>
      <c r="D137">
        <f>D39</f>
        <v>0</v>
      </c>
      <c r="E137" t="str">
        <f>VLOOKUP(D137,name!A:B,2,1)</f>
        <v>Player</v>
      </c>
      <c r="F137">
        <f>F39</f>
        <v>0</v>
      </c>
      <c r="G137" t="str">
        <f t="shared" si="10"/>
        <v>q</v>
      </c>
      <c r="H137" t="str">
        <f>VLOOKUP(D137,name!A:C,3,1)</f>
        <v>assets/icons/image326.png</v>
      </c>
      <c r="I137" t="s">
        <v>405</v>
      </c>
    </row>
    <row r="138" spans="1:9" x14ac:dyDescent="0.15">
      <c r="A138">
        <f t="shared" si="11"/>
        <v>0</v>
      </c>
      <c r="B138">
        <f t="shared" si="11"/>
        <v>1</v>
      </c>
      <c r="C138">
        <f t="shared" si="8"/>
        <v>137</v>
      </c>
      <c r="D138">
        <f>D40</f>
        <v>0</v>
      </c>
      <c r="E138" t="str">
        <f>VLOOKUP(D138,name!A:B,2,1)</f>
        <v>Player</v>
      </c>
      <c r="F138">
        <f>F40</f>
        <v>0</v>
      </c>
      <c r="G138" t="str">
        <f t="shared" si="10"/>
        <v>q</v>
      </c>
      <c r="H138" t="str">
        <f>VLOOKUP(D138,name!A:C,3,1)</f>
        <v>assets/icons/image326.png</v>
      </c>
      <c r="I138" t="e">
        <f>IF(A138="","",VLOOKUP(A138,lng!A:B,2,0))</f>
        <v>#N/A</v>
      </c>
    </row>
    <row r="139" spans="1:9" x14ac:dyDescent="0.15">
      <c r="A139">
        <f t="shared" si="11"/>
        <v>0</v>
      </c>
      <c r="B139">
        <f t="shared" si="11"/>
        <v>1</v>
      </c>
      <c r="C139">
        <f t="shared" si="8"/>
        <v>138</v>
      </c>
      <c r="D139">
        <v>0</v>
      </c>
      <c r="E139" t="str">
        <f>VLOOKUP(D139,name!A:B,2,1)</f>
        <v>Player</v>
      </c>
      <c r="F139">
        <f>F40</f>
        <v>0</v>
      </c>
      <c r="G139" t="str">
        <f t="shared" si="10"/>
        <v>q</v>
      </c>
      <c r="H139" t="str">
        <f>VLOOKUP(D139,name!A:C,3,1)</f>
        <v>assets/icons/image326.png</v>
      </c>
      <c r="I139" t="e">
        <f>IF(A139="","",VLOOKUP(A139,lng!A:B,2,0))</f>
        <v>#N/A</v>
      </c>
    </row>
    <row r="140" spans="1:9" x14ac:dyDescent="0.15">
      <c r="A140">
        <f t="shared" si="11"/>
        <v>0</v>
      </c>
      <c r="B140">
        <f t="shared" si="11"/>
        <v>1</v>
      </c>
      <c r="C140">
        <f t="shared" si="8"/>
        <v>139</v>
      </c>
      <c r="D140">
        <f>D41</f>
        <v>0</v>
      </c>
      <c r="E140" t="str">
        <f>VLOOKUP(D140,name!A:B,2,1)</f>
        <v>Player</v>
      </c>
      <c r="F140">
        <f>F41</f>
        <v>0</v>
      </c>
      <c r="G140" t="str">
        <f t="shared" si="10"/>
        <v>q</v>
      </c>
      <c r="H140" t="str">
        <f>VLOOKUP(D140,name!A:C,3,1)</f>
        <v>assets/icons/image326.png</v>
      </c>
      <c r="I140" t="s">
        <v>405</v>
      </c>
    </row>
    <row r="141" spans="1:9" x14ac:dyDescent="0.15">
      <c r="A141">
        <f t="shared" si="11"/>
        <v>0</v>
      </c>
      <c r="B141">
        <f t="shared" si="11"/>
        <v>1</v>
      </c>
      <c r="C141">
        <f t="shared" si="8"/>
        <v>140</v>
      </c>
      <c r="D141">
        <f>D42</f>
        <v>0</v>
      </c>
      <c r="E141" t="str">
        <f>VLOOKUP(D141,name!A:B,2,1)</f>
        <v>Player</v>
      </c>
      <c r="F141">
        <f>F42</f>
        <v>0</v>
      </c>
      <c r="G141" t="str">
        <f t="shared" si="10"/>
        <v>q</v>
      </c>
      <c r="H141" t="str">
        <f>VLOOKUP(D141,name!A:C,3,1)</f>
        <v>assets/icons/image326.png</v>
      </c>
      <c r="I141" t="e">
        <f>IF(A141="","",VLOOKUP(A141,lng!A:B,2,0))</f>
        <v>#N/A</v>
      </c>
    </row>
    <row r="142" spans="1:9" x14ac:dyDescent="0.15">
      <c r="A142">
        <f t="shared" si="11"/>
        <v>0</v>
      </c>
      <c r="B142">
        <f t="shared" si="11"/>
        <v>1</v>
      </c>
      <c r="C142">
        <f t="shared" si="8"/>
        <v>141</v>
      </c>
      <c r="D142">
        <v>0</v>
      </c>
      <c r="E142" t="str">
        <f>VLOOKUP(D142,name!A:B,2,1)</f>
        <v>Player</v>
      </c>
      <c r="F142">
        <f>F42</f>
        <v>0</v>
      </c>
      <c r="G142" t="str">
        <f t="shared" si="10"/>
        <v>q</v>
      </c>
      <c r="H142" t="str">
        <f>VLOOKUP(D142,name!A:C,3,1)</f>
        <v>assets/icons/image326.png</v>
      </c>
      <c r="I142" t="e">
        <f>IF(A142="","",VLOOKUP(A142,lng!A:B,2,0))</f>
        <v>#N/A</v>
      </c>
    </row>
    <row r="143" spans="1:9" x14ac:dyDescent="0.15">
      <c r="A143">
        <f t="shared" si="11"/>
        <v>0</v>
      </c>
      <c r="B143">
        <f t="shared" si="11"/>
        <v>1</v>
      </c>
      <c r="C143">
        <f t="shared" si="8"/>
        <v>142</v>
      </c>
      <c r="D143">
        <f>D43</f>
        <v>0</v>
      </c>
      <c r="E143" t="str">
        <f>VLOOKUP(D143,name!A:B,2,1)</f>
        <v>Player</v>
      </c>
      <c r="F143">
        <f>F43</f>
        <v>0</v>
      </c>
      <c r="G143" t="str">
        <f t="shared" si="10"/>
        <v>q</v>
      </c>
      <c r="H143" t="str">
        <f>VLOOKUP(D143,name!A:C,3,1)</f>
        <v>assets/icons/image326.png</v>
      </c>
      <c r="I143" t="s">
        <v>405</v>
      </c>
    </row>
    <row r="144" spans="1:9" x14ac:dyDescent="0.15">
      <c r="A144">
        <f t="shared" si="11"/>
        <v>0</v>
      </c>
      <c r="B144">
        <f t="shared" si="11"/>
        <v>1</v>
      </c>
      <c r="C144">
        <f t="shared" si="8"/>
        <v>143</v>
      </c>
      <c r="D144">
        <f>D44</f>
        <v>0</v>
      </c>
      <c r="E144" t="str">
        <f>VLOOKUP(D144,name!A:B,2,1)</f>
        <v>Player</v>
      </c>
      <c r="F144">
        <f>F44</f>
        <v>0</v>
      </c>
      <c r="G144" t="str">
        <f t="shared" si="10"/>
        <v>q</v>
      </c>
      <c r="H144" t="str">
        <f>VLOOKUP(D144,name!A:C,3,1)</f>
        <v>assets/icons/image326.png</v>
      </c>
      <c r="I144" t="e">
        <f>IF(A144="","",VLOOKUP(A144,lng!A:B,2,0))</f>
        <v>#N/A</v>
      </c>
    </row>
    <row r="145" spans="1:9" x14ac:dyDescent="0.15">
      <c r="A145">
        <f t="shared" si="11"/>
        <v>0</v>
      </c>
      <c r="B145">
        <f t="shared" si="11"/>
        <v>1</v>
      </c>
      <c r="C145">
        <f t="shared" si="8"/>
        <v>144</v>
      </c>
      <c r="D145">
        <v>0</v>
      </c>
      <c r="E145" t="str">
        <f>VLOOKUP(D145,name!A:B,2,1)</f>
        <v>Player</v>
      </c>
      <c r="F145">
        <f>F44</f>
        <v>0</v>
      </c>
      <c r="G145" t="str">
        <f t="shared" si="10"/>
        <v>q</v>
      </c>
      <c r="H145" t="str">
        <f>VLOOKUP(D145,name!A:C,3,1)</f>
        <v>assets/icons/image326.png</v>
      </c>
      <c r="I145" t="e">
        <f>IF(A145="","",VLOOKUP(A145,lng!A:B,2,0))</f>
        <v>#N/A</v>
      </c>
    </row>
    <row r="146" spans="1:9" x14ac:dyDescent="0.15">
      <c r="A146">
        <f t="shared" si="11"/>
        <v>0</v>
      </c>
      <c r="B146">
        <f t="shared" si="11"/>
        <v>1</v>
      </c>
      <c r="C146">
        <f t="shared" si="8"/>
        <v>145</v>
      </c>
      <c r="D146">
        <f>D45</f>
        <v>0</v>
      </c>
      <c r="E146" t="str">
        <f>VLOOKUP(D146,name!A:B,2,1)</f>
        <v>Player</v>
      </c>
      <c r="F146">
        <f>F45</f>
        <v>0</v>
      </c>
      <c r="G146" t="str">
        <f t="shared" si="10"/>
        <v>q</v>
      </c>
      <c r="H146" t="str">
        <f>VLOOKUP(D146,name!A:C,3,1)</f>
        <v>assets/icons/image326.png</v>
      </c>
      <c r="I146" t="s">
        <v>405</v>
      </c>
    </row>
    <row r="147" spans="1:9" x14ac:dyDescent="0.15">
      <c r="A147">
        <f t="shared" si="11"/>
        <v>0</v>
      </c>
      <c r="B147">
        <f t="shared" si="11"/>
        <v>1</v>
      </c>
      <c r="C147">
        <f t="shared" si="8"/>
        <v>146</v>
      </c>
      <c r="D147">
        <f>D46</f>
        <v>0</v>
      </c>
      <c r="E147" t="str">
        <f>VLOOKUP(D147,name!A:B,2,1)</f>
        <v>Player</v>
      </c>
      <c r="F147">
        <f>F46</f>
        <v>0</v>
      </c>
      <c r="G147" t="str">
        <f t="shared" si="10"/>
        <v>q</v>
      </c>
      <c r="H147" t="str">
        <f>VLOOKUP(D147,name!A:C,3,1)</f>
        <v>assets/icons/image326.png</v>
      </c>
      <c r="I147" t="e">
        <f>IF(A147="","",VLOOKUP(A147,lng!A:B,2,0))</f>
        <v>#N/A</v>
      </c>
    </row>
    <row r="148" spans="1:9" x14ac:dyDescent="0.15">
      <c r="A148">
        <f t="shared" si="11"/>
        <v>0</v>
      </c>
      <c r="B148">
        <f t="shared" si="11"/>
        <v>1</v>
      </c>
      <c r="C148">
        <f t="shared" si="8"/>
        <v>147</v>
      </c>
      <c r="D148">
        <v>0</v>
      </c>
      <c r="E148" t="str">
        <f>VLOOKUP(D148,name!A:B,2,1)</f>
        <v>Player</v>
      </c>
      <c r="F148">
        <f>F46</f>
        <v>0</v>
      </c>
      <c r="G148" t="str">
        <f t="shared" si="10"/>
        <v>q</v>
      </c>
      <c r="H148" t="str">
        <f>VLOOKUP(D148,name!A:C,3,1)</f>
        <v>assets/icons/image326.png</v>
      </c>
      <c r="I148" t="e">
        <f>IF(A148="","",VLOOKUP(A148,lng!A:B,2,0))</f>
        <v>#N/A</v>
      </c>
    </row>
    <row r="149" spans="1:9" x14ac:dyDescent="0.15">
      <c r="A149">
        <f t="shared" si="11"/>
        <v>0</v>
      </c>
      <c r="B149">
        <f t="shared" si="11"/>
        <v>1</v>
      </c>
      <c r="C149">
        <f t="shared" si="8"/>
        <v>148</v>
      </c>
      <c r="D149">
        <f>D47</f>
        <v>0</v>
      </c>
      <c r="E149" t="str">
        <f>VLOOKUP(D149,name!A:B,2,1)</f>
        <v>Player</v>
      </c>
      <c r="F149">
        <f>F47</f>
        <v>0</v>
      </c>
      <c r="G149" t="str">
        <f t="shared" si="10"/>
        <v>q</v>
      </c>
      <c r="H149" t="str">
        <f>VLOOKUP(D149,name!A:C,3,1)</f>
        <v>assets/icons/image326.png</v>
      </c>
      <c r="I149" t="s">
        <v>405</v>
      </c>
    </row>
    <row r="150" spans="1:9" x14ac:dyDescent="0.15">
      <c r="A150">
        <f t="shared" ref="A150:B165" si="12">A149</f>
        <v>0</v>
      </c>
      <c r="B150">
        <f t="shared" si="12"/>
        <v>1</v>
      </c>
      <c r="C150">
        <f t="shared" si="8"/>
        <v>149</v>
      </c>
      <c r="D150">
        <f>D48</f>
        <v>0</v>
      </c>
      <c r="E150" t="str">
        <f>VLOOKUP(D150,name!A:B,2,1)</f>
        <v>Player</v>
      </c>
      <c r="F150">
        <f>F48</f>
        <v>0</v>
      </c>
      <c r="G150" t="str">
        <f t="shared" si="10"/>
        <v>q</v>
      </c>
      <c r="H150" t="str">
        <f>VLOOKUP(D150,name!A:C,3,1)</f>
        <v>assets/icons/image326.png</v>
      </c>
      <c r="I150" t="e">
        <f>IF(A150="","",VLOOKUP(A150,lng!A:B,2,0))</f>
        <v>#N/A</v>
      </c>
    </row>
    <row r="151" spans="1:9" x14ac:dyDescent="0.15">
      <c r="A151">
        <f t="shared" si="12"/>
        <v>0</v>
      </c>
      <c r="B151">
        <f t="shared" si="12"/>
        <v>1</v>
      </c>
      <c r="C151">
        <f t="shared" si="8"/>
        <v>150</v>
      </c>
      <c r="D151">
        <v>0</v>
      </c>
      <c r="E151" t="str">
        <f>VLOOKUP(D151,name!A:B,2,1)</f>
        <v>Player</v>
      </c>
      <c r="F151">
        <f>F48</f>
        <v>0</v>
      </c>
      <c r="G151" t="str">
        <f t="shared" si="10"/>
        <v>q</v>
      </c>
      <c r="H151" t="str">
        <f>VLOOKUP(D151,name!A:C,3,1)</f>
        <v>assets/icons/image326.png</v>
      </c>
      <c r="I151" t="e">
        <f>IF(A151="","",VLOOKUP(A151,lng!A:B,2,0))</f>
        <v>#N/A</v>
      </c>
    </row>
    <row r="152" spans="1:9" x14ac:dyDescent="0.15">
      <c r="A152">
        <f t="shared" si="12"/>
        <v>0</v>
      </c>
      <c r="B152">
        <f t="shared" si="12"/>
        <v>1</v>
      </c>
      <c r="C152">
        <f t="shared" si="8"/>
        <v>151</v>
      </c>
      <c r="D152">
        <f>D49</f>
        <v>0</v>
      </c>
      <c r="E152" t="str">
        <f>VLOOKUP(D152,name!A:B,2,1)</f>
        <v>Player</v>
      </c>
      <c r="F152">
        <f>F49</f>
        <v>0</v>
      </c>
      <c r="G152" t="str">
        <f t="shared" si="10"/>
        <v>q</v>
      </c>
      <c r="H152" t="str">
        <f>VLOOKUP(D152,name!A:C,3,1)</f>
        <v>assets/icons/image326.png</v>
      </c>
      <c r="I152" t="s">
        <v>405</v>
      </c>
    </row>
    <row r="153" spans="1:9" x14ac:dyDescent="0.15">
      <c r="A153">
        <f t="shared" si="12"/>
        <v>0</v>
      </c>
      <c r="B153">
        <f t="shared" si="12"/>
        <v>1</v>
      </c>
      <c r="C153">
        <f t="shared" si="8"/>
        <v>152</v>
      </c>
      <c r="D153">
        <f>D50</f>
        <v>0</v>
      </c>
      <c r="E153" t="str">
        <f>VLOOKUP(D153,name!A:B,2,1)</f>
        <v>Player</v>
      </c>
      <c r="F153">
        <f>F50</f>
        <v>0</v>
      </c>
      <c r="G153" t="str">
        <f t="shared" si="10"/>
        <v>q</v>
      </c>
      <c r="H153" t="str">
        <f>VLOOKUP(D153,name!A:C,3,1)</f>
        <v>assets/icons/image326.png</v>
      </c>
      <c r="I153" t="e">
        <f>IF(A153="","",VLOOKUP(A153,lng!A:B,2,0))</f>
        <v>#N/A</v>
      </c>
    </row>
    <row r="154" spans="1:9" x14ac:dyDescent="0.15">
      <c r="A154">
        <f t="shared" si="12"/>
        <v>0</v>
      </c>
      <c r="B154">
        <f t="shared" si="12"/>
        <v>1</v>
      </c>
      <c r="C154">
        <f t="shared" si="8"/>
        <v>153</v>
      </c>
      <c r="D154">
        <v>0</v>
      </c>
      <c r="E154" t="str">
        <f>VLOOKUP(D154,name!A:B,2,1)</f>
        <v>Player</v>
      </c>
      <c r="F154">
        <f>F50</f>
        <v>0</v>
      </c>
      <c r="G154" t="str">
        <f t="shared" si="10"/>
        <v>q</v>
      </c>
      <c r="H154" t="str">
        <f>VLOOKUP(D154,name!A:C,3,1)</f>
        <v>assets/icons/image326.png</v>
      </c>
      <c r="I154" t="e">
        <f>IF(A154="","",VLOOKUP(A154,lng!A:B,2,0))</f>
        <v>#N/A</v>
      </c>
    </row>
    <row r="155" spans="1:9" x14ac:dyDescent="0.15">
      <c r="A155">
        <f t="shared" si="12"/>
        <v>0</v>
      </c>
      <c r="B155">
        <f t="shared" si="12"/>
        <v>1</v>
      </c>
      <c r="C155">
        <f t="shared" si="8"/>
        <v>154</v>
      </c>
      <c r="D155">
        <f>D51</f>
        <v>0</v>
      </c>
      <c r="E155" t="str">
        <f>VLOOKUP(D155,name!A:B,2,1)</f>
        <v>Player</v>
      </c>
      <c r="F155">
        <f>F51</f>
        <v>0</v>
      </c>
      <c r="G155" t="str">
        <f t="shared" si="10"/>
        <v>q</v>
      </c>
      <c r="H155" t="str">
        <f>VLOOKUP(D155,name!A:C,3,1)</f>
        <v>assets/icons/image326.png</v>
      </c>
      <c r="I155" t="s">
        <v>405</v>
      </c>
    </row>
    <row r="156" spans="1:9" x14ac:dyDescent="0.15">
      <c r="A156">
        <f t="shared" si="12"/>
        <v>0</v>
      </c>
      <c r="B156">
        <f t="shared" si="12"/>
        <v>1</v>
      </c>
      <c r="C156">
        <f t="shared" si="8"/>
        <v>155</v>
      </c>
      <c r="D156">
        <f>D52</f>
        <v>0</v>
      </c>
      <c r="E156" t="str">
        <f>VLOOKUP(D156,name!A:B,2,1)</f>
        <v>Player</v>
      </c>
      <c r="F156">
        <f>F52</f>
        <v>0</v>
      </c>
      <c r="G156" t="str">
        <f t="shared" si="10"/>
        <v>q</v>
      </c>
      <c r="H156" t="str">
        <f>VLOOKUP(D156,name!A:C,3,1)</f>
        <v>assets/icons/image326.png</v>
      </c>
      <c r="I156" t="e">
        <f>IF(A156="","",VLOOKUP(A156,lng!A:B,2,0))</f>
        <v>#N/A</v>
      </c>
    </row>
    <row r="157" spans="1:9" x14ac:dyDescent="0.15">
      <c r="A157">
        <f t="shared" si="12"/>
        <v>0</v>
      </c>
      <c r="B157">
        <f t="shared" si="12"/>
        <v>1</v>
      </c>
      <c r="C157">
        <f t="shared" si="8"/>
        <v>156</v>
      </c>
      <c r="D157">
        <v>0</v>
      </c>
      <c r="E157" t="str">
        <f>VLOOKUP(D157,name!A:B,2,1)</f>
        <v>Player</v>
      </c>
      <c r="F157">
        <f>F52</f>
        <v>0</v>
      </c>
      <c r="G157" t="str">
        <f t="shared" si="10"/>
        <v>q</v>
      </c>
      <c r="H157" t="str">
        <f>VLOOKUP(D157,name!A:C,3,1)</f>
        <v>assets/icons/image326.png</v>
      </c>
      <c r="I157" t="e">
        <f>IF(A157="","",VLOOKUP(A157,lng!A:B,2,0))</f>
        <v>#N/A</v>
      </c>
    </row>
    <row r="158" spans="1:9" x14ac:dyDescent="0.15">
      <c r="A158">
        <f t="shared" si="12"/>
        <v>0</v>
      </c>
      <c r="B158">
        <f t="shared" si="12"/>
        <v>1</v>
      </c>
      <c r="C158">
        <f t="shared" si="8"/>
        <v>157</v>
      </c>
      <c r="D158">
        <f>D53</f>
        <v>0</v>
      </c>
      <c r="E158" t="str">
        <f>VLOOKUP(D158,name!A:B,2,1)</f>
        <v>Player</v>
      </c>
      <c r="F158">
        <f>F53</f>
        <v>0</v>
      </c>
      <c r="G158" t="str">
        <f t="shared" si="10"/>
        <v>q</v>
      </c>
      <c r="H158" t="str">
        <f>VLOOKUP(D158,name!A:C,3,1)</f>
        <v>assets/icons/image326.png</v>
      </c>
      <c r="I158" t="s">
        <v>405</v>
      </c>
    </row>
    <row r="159" spans="1:9" x14ac:dyDescent="0.15">
      <c r="A159">
        <f t="shared" si="12"/>
        <v>0</v>
      </c>
      <c r="B159">
        <f t="shared" si="12"/>
        <v>1</v>
      </c>
      <c r="C159">
        <f t="shared" si="8"/>
        <v>158</v>
      </c>
      <c r="D159">
        <f>D54</f>
        <v>0</v>
      </c>
      <c r="E159" t="str">
        <f>VLOOKUP(D159,name!A:B,2,1)</f>
        <v>Player</v>
      </c>
      <c r="F159">
        <f>F54</f>
        <v>0</v>
      </c>
      <c r="G159" t="str">
        <f t="shared" si="10"/>
        <v>q</v>
      </c>
      <c r="H159" t="str">
        <f>VLOOKUP(D159,name!A:C,3,1)</f>
        <v>assets/icons/image326.png</v>
      </c>
      <c r="I159" t="e">
        <f>IF(A159="","",VLOOKUP(A159,lng!A:B,2,0))</f>
        <v>#N/A</v>
      </c>
    </row>
    <row r="160" spans="1:9" x14ac:dyDescent="0.15">
      <c r="A160">
        <f t="shared" si="12"/>
        <v>0</v>
      </c>
      <c r="B160">
        <f t="shared" si="12"/>
        <v>1</v>
      </c>
      <c r="C160">
        <f t="shared" si="8"/>
        <v>159</v>
      </c>
      <c r="D160">
        <v>0</v>
      </c>
      <c r="E160" t="str">
        <f>VLOOKUP(D160,name!A:B,2,1)</f>
        <v>Player</v>
      </c>
      <c r="F160">
        <f>F54</f>
        <v>0</v>
      </c>
      <c r="G160" t="str">
        <f t="shared" si="10"/>
        <v>q</v>
      </c>
      <c r="H160" t="str">
        <f>VLOOKUP(D160,name!A:C,3,1)</f>
        <v>assets/icons/image326.png</v>
      </c>
      <c r="I160" t="e">
        <f>IF(A160="","",VLOOKUP(A160,lng!A:B,2,0))</f>
        <v>#N/A</v>
      </c>
    </row>
    <row r="161" spans="1:9" x14ac:dyDescent="0.15">
      <c r="A161">
        <f t="shared" si="12"/>
        <v>0</v>
      </c>
      <c r="B161">
        <f t="shared" si="12"/>
        <v>1</v>
      </c>
      <c r="C161">
        <f t="shared" si="8"/>
        <v>160</v>
      </c>
      <c r="D161">
        <f>D55</f>
        <v>0</v>
      </c>
      <c r="E161" t="str">
        <f>VLOOKUP(D161,name!A:B,2,1)</f>
        <v>Player</v>
      </c>
      <c r="F161">
        <f>F55</f>
        <v>0</v>
      </c>
      <c r="G161" t="str">
        <f t="shared" si="10"/>
        <v>q</v>
      </c>
      <c r="H161" t="str">
        <f>VLOOKUP(D161,name!A:C,3,1)</f>
        <v>assets/icons/image326.png</v>
      </c>
      <c r="I161" t="s">
        <v>405</v>
      </c>
    </row>
    <row r="162" spans="1:9" x14ac:dyDescent="0.15">
      <c r="A162">
        <f t="shared" si="12"/>
        <v>0</v>
      </c>
      <c r="B162">
        <f t="shared" si="12"/>
        <v>1</v>
      </c>
      <c r="C162">
        <f t="shared" si="8"/>
        <v>161</v>
      </c>
      <c r="D162">
        <f>D56</f>
        <v>0</v>
      </c>
      <c r="E162" t="str">
        <f>VLOOKUP(D162,name!A:B,2,1)</f>
        <v>Player</v>
      </c>
      <c r="F162">
        <f>F56</f>
        <v>0</v>
      </c>
      <c r="G162" t="str">
        <f t="shared" si="10"/>
        <v>q</v>
      </c>
      <c r="H162" t="str">
        <f>VLOOKUP(D162,name!A:C,3,1)</f>
        <v>assets/icons/image326.png</v>
      </c>
      <c r="I162" t="e">
        <f>IF(A162="","",VLOOKUP(A162,lng!A:B,2,0))</f>
        <v>#N/A</v>
      </c>
    </row>
    <row r="163" spans="1:9" x14ac:dyDescent="0.15">
      <c r="A163">
        <f t="shared" si="12"/>
        <v>0</v>
      </c>
      <c r="B163">
        <f t="shared" si="12"/>
        <v>1</v>
      </c>
      <c r="C163">
        <f t="shared" si="8"/>
        <v>162</v>
      </c>
      <c r="D163">
        <v>0</v>
      </c>
      <c r="E163" t="str">
        <f>VLOOKUP(D163,name!A:B,2,1)</f>
        <v>Player</v>
      </c>
      <c r="F163">
        <f>F56</f>
        <v>0</v>
      </c>
      <c r="G163" t="str">
        <f t="shared" si="10"/>
        <v>q</v>
      </c>
      <c r="H163" t="str">
        <f>VLOOKUP(D163,name!A:C,3,1)</f>
        <v>assets/icons/image326.png</v>
      </c>
      <c r="I163" t="e">
        <f>IF(A163="","",VLOOKUP(A163,lng!A:B,2,0))</f>
        <v>#N/A</v>
      </c>
    </row>
    <row r="164" spans="1:9" x14ac:dyDescent="0.15">
      <c r="A164">
        <f t="shared" si="12"/>
        <v>0</v>
      </c>
      <c r="B164">
        <f t="shared" si="12"/>
        <v>1</v>
      </c>
      <c r="C164">
        <f t="shared" si="8"/>
        <v>163</v>
      </c>
      <c r="D164">
        <f>D57</f>
        <v>0</v>
      </c>
      <c r="E164" t="str">
        <f>VLOOKUP(D164,name!A:B,2,1)</f>
        <v>Player</v>
      </c>
      <c r="F164">
        <f>F57</f>
        <v>0</v>
      </c>
      <c r="G164" t="str">
        <f t="shared" si="10"/>
        <v>q</v>
      </c>
      <c r="H164" t="str">
        <f>VLOOKUP(D164,name!A:C,3,1)</f>
        <v>assets/icons/image326.png</v>
      </c>
      <c r="I164" t="s">
        <v>405</v>
      </c>
    </row>
    <row r="165" spans="1:9" x14ac:dyDescent="0.15">
      <c r="A165">
        <f t="shared" si="12"/>
        <v>0</v>
      </c>
      <c r="B165">
        <f t="shared" si="12"/>
        <v>1</v>
      </c>
      <c r="C165">
        <f t="shared" si="8"/>
        <v>164</v>
      </c>
      <c r="D165">
        <f>D58</f>
        <v>0</v>
      </c>
      <c r="E165" t="str">
        <f>VLOOKUP(D165,name!A:B,2,1)</f>
        <v>Player</v>
      </c>
      <c r="F165">
        <f>F58</f>
        <v>0</v>
      </c>
      <c r="G165" t="str">
        <f t="shared" si="10"/>
        <v>q</v>
      </c>
      <c r="H165" t="str">
        <f>VLOOKUP(D165,name!A:C,3,1)</f>
        <v>assets/icons/image326.png</v>
      </c>
      <c r="I165" t="e">
        <f>IF(A165="","",VLOOKUP(A165,lng!A:B,2,0))</f>
        <v>#N/A</v>
      </c>
    </row>
    <row r="166" spans="1:9" x14ac:dyDescent="0.15">
      <c r="A166">
        <f t="shared" ref="A166:B181" si="13">A165</f>
        <v>0</v>
      </c>
      <c r="B166">
        <f t="shared" si="13"/>
        <v>1</v>
      </c>
      <c r="C166">
        <f t="shared" si="8"/>
        <v>165</v>
      </c>
      <c r="D166">
        <v>0</v>
      </c>
      <c r="E166" t="str">
        <f>VLOOKUP(D166,name!A:B,2,1)</f>
        <v>Player</v>
      </c>
      <c r="F166">
        <f>F58</f>
        <v>0</v>
      </c>
      <c r="G166" t="str">
        <f t="shared" si="10"/>
        <v>q</v>
      </c>
      <c r="H166" t="str">
        <f>VLOOKUP(D166,name!A:C,3,1)</f>
        <v>assets/icons/image326.png</v>
      </c>
      <c r="I166" t="e">
        <f>IF(A166="","",VLOOKUP(A166,lng!A:B,2,0))</f>
        <v>#N/A</v>
      </c>
    </row>
    <row r="167" spans="1:9" x14ac:dyDescent="0.15">
      <c r="A167">
        <f t="shared" si="13"/>
        <v>0</v>
      </c>
      <c r="B167">
        <f t="shared" si="13"/>
        <v>1</v>
      </c>
      <c r="C167">
        <f t="shared" si="8"/>
        <v>166</v>
      </c>
      <c r="D167">
        <f>D59</f>
        <v>0</v>
      </c>
      <c r="E167" t="str">
        <f>VLOOKUP(D167,name!A:B,2,1)</f>
        <v>Player</v>
      </c>
      <c r="F167">
        <f>F59</f>
        <v>0</v>
      </c>
      <c r="G167" t="str">
        <f t="shared" si="10"/>
        <v>q</v>
      </c>
      <c r="H167" t="str">
        <f>VLOOKUP(D167,name!A:C,3,1)</f>
        <v>assets/icons/image326.png</v>
      </c>
      <c r="I167" t="s">
        <v>405</v>
      </c>
    </row>
    <row r="168" spans="1:9" x14ac:dyDescent="0.15">
      <c r="A168">
        <f t="shared" si="13"/>
        <v>0</v>
      </c>
      <c r="B168">
        <f t="shared" si="13"/>
        <v>1</v>
      </c>
      <c r="C168">
        <f t="shared" si="8"/>
        <v>167</v>
      </c>
      <c r="D168">
        <f>D60</f>
        <v>0</v>
      </c>
      <c r="E168" t="str">
        <f>VLOOKUP(D168,name!A:B,2,1)</f>
        <v>Player</v>
      </c>
      <c r="F168">
        <f>F60</f>
        <v>0</v>
      </c>
      <c r="G168" t="str">
        <f t="shared" si="10"/>
        <v>q</v>
      </c>
      <c r="H168" t="str">
        <f>VLOOKUP(D168,name!A:C,3,1)</f>
        <v>assets/icons/image326.png</v>
      </c>
      <c r="I168" t="e">
        <f>IF(A168="","",VLOOKUP(A168,lng!A:B,2,0))</f>
        <v>#N/A</v>
      </c>
    </row>
    <row r="169" spans="1:9" x14ac:dyDescent="0.15">
      <c r="A169">
        <f t="shared" si="13"/>
        <v>0</v>
      </c>
      <c r="B169">
        <f t="shared" si="13"/>
        <v>1</v>
      </c>
      <c r="C169">
        <f t="shared" si="8"/>
        <v>168</v>
      </c>
      <c r="D169">
        <v>0</v>
      </c>
      <c r="E169" t="str">
        <f>VLOOKUP(D169,name!A:B,2,1)</f>
        <v>Player</v>
      </c>
      <c r="F169">
        <f>F60</f>
        <v>0</v>
      </c>
      <c r="G169" t="str">
        <f t="shared" si="10"/>
        <v>q</v>
      </c>
      <c r="H169" t="str">
        <f>VLOOKUP(D169,name!A:C,3,1)</f>
        <v>assets/icons/image326.png</v>
      </c>
      <c r="I169" t="e">
        <f>IF(A169="","",VLOOKUP(A169,lng!A:B,2,0))</f>
        <v>#N/A</v>
      </c>
    </row>
    <row r="170" spans="1:9" x14ac:dyDescent="0.15">
      <c r="A170">
        <f t="shared" si="13"/>
        <v>0</v>
      </c>
      <c r="B170">
        <f t="shared" si="13"/>
        <v>1</v>
      </c>
      <c r="C170">
        <f t="shared" si="8"/>
        <v>169</v>
      </c>
      <c r="D170">
        <f>D61</f>
        <v>0</v>
      </c>
      <c r="E170" t="str">
        <f>VLOOKUP(D170,name!A:B,2,1)</f>
        <v>Player</v>
      </c>
      <c r="F170">
        <f>F61</f>
        <v>0</v>
      </c>
      <c r="G170" t="str">
        <f t="shared" si="10"/>
        <v>q</v>
      </c>
      <c r="H170" t="str">
        <f>VLOOKUP(D170,name!A:C,3,1)</f>
        <v>assets/icons/image326.png</v>
      </c>
      <c r="I170" t="s">
        <v>405</v>
      </c>
    </row>
    <row r="171" spans="1:9" x14ac:dyDescent="0.15">
      <c r="A171">
        <f t="shared" si="13"/>
        <v>0</v>
      </c>
      <c r="B171">
        <f t="shared" si="13"/>
        <v>1</v>
      </c>
      <c r="C171">
        <f t="shared" ref="C171:C234" si="14">C170+1</f>
        <v>170</v>
      </c>
      <c r="D171">
        <f>D62</f>
        <v>0</v>
      </c>
      <c r="E171" t="str">
        <f>VLOOKUP(D171,name!A:B,2,1)</f>
        <v>Player</v>
      </c>
      <c r="F171">
        <f>F62</f>
        <v>0</v>
      </c>
      <c r="G171" t="str">
        <f t="shared" si="10"/>
        <v>q</v>
      </c>
      <c r="H171" t="str">
        <f>VLOOKUP(D171,name!A:C,3,1)</f>
        <v>assets/icons/image326.png</v>
      </c>
      <c r="I171" t="e">
        <f>IF(A171="","",VLOOKUP(A171,lng!A:B,2,0))</f>
        <v>#N/A</v>
      </c>
    </row>
    <row r="172" spans="1:9" x14ac:dyDescent="0.15">
      <c r="A172">
        <f t="shared" si="13"/>
        <v>0</v>
      </c>
      <c r="B172">
        <f t="shared" si="13"/>
        <v>1</v>
      </c>
      <c r="C172">
        <f t="shared" si="14"/>
        <v>171</v>
      </c>
      <c r="D172">
        <v>0</v>
      </c>
      <c r="E172" t="str">
        <f>VLOOKUP(D172,name!A:B,2,1)</f>
        <v>Player</v>
      </c>
      <c r="F172">
        <f>F62</f>
        <v>0</v>
      </c>
      <c r="G172" t="str">
        <f t="shared" si="10"/>
        <v>q</v>
      </c>
      <c r="H172" t="str">
        <f>VLOOKUP(D172,name!A:C,3,1)</f>
        <v>assets/icons/image326.png</v>
      </c>
      <c r="I172" t="e">
        <f>IF(A172="","",VLOOKUP(A172,lng!A:B,2,0))</f>
        <v>#N/A</v>
      </c>
    </row>
    <row r="173" spans="1:9" x14ac:dyDescent="0.15">
      <c r="A173">
        <f t="shared" si="13"/>
        <v>0</v>
      </c>
      <c r="B173">
        <f t="shared" si="13"/>
        <v>1</v>
      </c>
      <c r="C173">
        <f t="shared" si="14"/>
        <v>172</v>
      </c>
      <c r="D173">
        <f>D63</f>
        <v>0</v>
      </c>
      <c r="E173" t="str">
        <f>VLOOKUP(D173,name!A:B,2,1)</f>
        <v>Player</v>
      </c>
      <c r="F173">
        <f>F63</f>
        <v>0</v>
      </c>
      <c r="G173" t="str">
        <f t="shared" si="10"/>
        <v>q</v>
      </c>
      <c r="H173" t="str">
        <f>VLOOKUP(D173,name!A:C,3,1)</f>
        <v>assets/icons/image326.png</v>
      </c>
      <c r="I173" t="s">
        <v>405</v>
      </c>
    </row>
    <row r="174" spans="1:9" x14ac:dyDescent="0.15">
      <c r="A174">
        <f t="shared" si="13"/>
        <v>0</v>
      </c>
      <c r="B174">
        <f t="shared" si="13"/>
        <v>1</v>
      </c>
      <c r="C174">
        <f t="shared" si="14"/>
        <v>173</v>
      </c>
      <c r="D174">
        <f>D64</f>
        <v>0</v>
      </c>
      <c r="E174" t="str">
        <f>VLOOKUP(D174,name!A:B,2,1)</f>
        <v>Player</v>
      </c>
      <c r="F174">
        <f>F64</f>
        <v>0</v>
      </c>
      <c r="G174" t="str">
        <f t="shared" si="10"/>
        <v>q</v>
      </c>
      <c r="H174" t="str">
        <f>VLOOKUP(D174,name!A:C,3,1)</f>
        <v>assets/icons/image326.png</v>
      </c>
      <c r="I174" t="e">
        <f>IF(A174="","",VLOOKUP(A174,lng!A:B,2,0))</f>
        <v>#N/A</v>
      </c>
    </row>
    <row r="175" spans="1:9" x14ac:dyDescent="0.15">
      <c r="A175">
        <f t="shared" si="13"/>
        <v>0</v>
      </c>
      <c r="B175">
        <f t="shared" si="13"/>
        <v>1</v>
      </c>
      <c r="C175">
        <f t="shared" si="14"/>
        <v>174</v>
      </c>
      <c r="D175">
        <v>0</v>
      </c>
      <c r="E175" t="str">
        <f>VLOOKUP(D175,name!A:B,2,1)</f>
        <v>Player</v>
      </c>
      <c r="F175">
        <f>F64</f>
        <v>0</v>
      </c>
      <c r="G175" t="str">
        <f t="shared" si="10"/>
        <v>q</v>
      </c>
      <c r="H175" t="str">
        <f>VLOOKUP(D175,name!A:C,3,1)</f>
        <v>assets/icons/image326.png</v>
      </c>
      <c r="I175" t="e">
        <f>IF(A175="","",VLOOKUP(A175,lng!A:B,2,0))</f>
        <v>#N/A</v>
      </c>
    </row>
    <row r="176" spans="1:9" x14ac:dyDescent="0.15">
      <c r="A176">
        <f t="shared" si="13"/>
        <v>0</v>
      </c>
      <c r="B176">
        <f t="shared" si="13"/>
        <v>1</v>
      </c>
      <c r="C176">
        <f t="shared" si="14"/>
        <v>175</v>
      </c>
      <c r="D176">
        <f>D65</f>
        <v>0</v>
      </c>
      <c r="E176" t="str">
        <f>VLOOKUP(D176,name!A:B,2,1)</f>
        <v>Player</v>
      </c>
      <c r="F176">
        <f>F65</f>
        <v>0</v>
      </c>
      <c r="G176" t="str">
        <f t="shared" si="10"/>
        <v>q</v>
      </c>
      <c r="H176" t="str">
        <f>VLOOKUP(D176,name!A:C,3,1)</f>
        <v>assets/icons/image326.png</v>
      </c>
      <c r="I176" t="s">
        <v>405</v>
      </c>
    </row>
    <row r="177" spans="1:9" x14ac:dyDescent="0.15">
      <c r="A177">
        <f t="shared" si="13"/>
        <v>0</v>
      </c>
      <c r="B177">
        <f t="shared" si="13"/>
        <v>1</v>
      </c>
      <c r="C177">
        <f t="shared" si="14"/>
        <v>176</v>
      </c>
      <c r="D177">
        <f>D66</f>
        <v>0</v>
      </c>
      <c r="E177" t="str">
        <f>VLOOKUP(D177,name!A:B,2,1)</f>
        <v>Player</v>
      </c>
      <c r="F177">
        <f>F66</f>
        <v>0</v>
      </c>
      <c r="G177" t="str">
        <f t="shared" si="10"/>
        <v>q</v>
      </c>
      <c r="H177" t="str">
        <f>VLOOKUP(D177,name!A:C,3,1)</f>
        <v>assets/icons/image326.png</v>
      </c>
      <c r="I177" t="e">
        <f>IF(A177="","",VLOOKUP(A177,lng!A:B,2,0))</f>
        <v>#N/A</v>
      </c>
    </row>
    <row r="178" spans="1:9" x14ac:dyDescent="0.15">
      <c r="A178">
        <f t="shared" si="13"/>
        <v>0</v>
      </c>
      <c r="B178">
        <f t="shared" si="13"/>
        <v>1</v>
      </c>
      <c r="C178">
        <f t="shared" si="14"/>
        <v>177</v>
      </c>
      <c r="D178">
        <v>0</v>
      </c>
      <c r="E178" t="str">
        <f>VLOOKUP(D178,name!A:B,2,1)</f>
        <v>Player</v>
      </c>
      <c r="F178">
        <f>F66</f>
        <v>0</v>
      </c>
      <c r="G178" t="str">
        <f t="shared" si="10"/>
        <v>q</v>
      </c>
      <c r="H178" t="str">
        <f>VLOOKUP(D178,name!A:C,3,1)</f>
        <v>assets/icons/image326.png</v>
      </c>
      <c r="I178" t="e">
        <f>IF(A178="","",VLOOKUP(A178,lng!A:B,2,0))</f>
        <v>#N/A</v>
      </c>
    </row>
    <row r="179" spans="1:9" x14ac:dyDescent="0.15">
      <c r="A179">
        <f t="shared" si="13"/>
        <v>0</v>
      </c>
      <c r="B179">
        <f t="shared" si="13"/>
        <v>1</v>
      </c>
      <c r="C179">
        <f t="shared" si="14"/>
        <v>178</v>
      </c>
      <c r="D179">
        <f>D67</f>
        <v>0</v>
      </c>
      <c r="E179" t="str">
        <f>VLOOKUP(D179,name!A:B,2,1)</f>
        <v>Player</v>
      </c>
      <c r="F179">
        <f>F67</f>
        <v>0</v>
      </c>
      <c r="G179" t="str">
        <f t="shared" si="10"/>
        <v>q</v>
      </c>
      <c r="H179" t="str">
        <f>VLOOKUP(D179,name!A:C,3,1)</f>
        <v>assets/icons/image326.png</v>
      </c>
      <c r="I179" t="s">
        <v>405</v>
      </c>
    </row>
    <row r="180" spans="1:9" x14ac:dyDescent="0.15">
      <c r="A180">
        <f t="shared" si="13"/>
        <v>0</v>
      </c>
      <c r="B180">
        <f t="shared" si="13"/>
        <v>1</v>
      </c>
      <c r="C180">
        <f t="shared" si="14"/>
        <v>179</v>
      </c>
      <c r="D180">
        <f>D68</f>
        <v>0</v>
      </c>
      <c r="E180" t="str">
        <f>VLOOKUP(D180,name!A:B,2,1)</f>
        <v>Player</v>
      </c>
      <c r="F180">
        <f>F68</f>
        <v>0</v>
      </c>
      <c r="G180" t="str">
        <f t="shared" si="10"/>
        <v>q</v>
      </c>
      <c r="H180" t="str">
        <f>VLOOKUP(D180,name!A:C,3,1)</f>
        <v>assets/icons/image326.png</v>
      </c>
      <c r="I180" t="e">
        <f>IF(A180="","",VLOOKUP(A180,lng!A:B,2,0))</f>
        <v>#N/A</v>
      </c>
    </row>
    <row r="181" spans="1:9" x14ac:dyDescent="0.15">
      <c r="A181">
        <f t="shared" si="13"/>
        <v>0</v>
      </c>
      <c r="B181">
        <f t="shared" si="13"/>
        <v>1</v>
      </c>
      <c r="C181">
        <f t="shared" si="14"/>
        <v>180</v>
      </c>
      <c r="D181">
        <v>0</v>
      </c>
      <c r="E181" t="str">
        <f>VLOOKUP(D181,name!A:B,2,1)</f>
        <v>Player</v>
      </c>
      <c r="F181">
        <f>F68</f>
        <v>0</v>
      </c>
      <c r="G181" t="str">
        <f t="shared" si="10"/>
        <v>q</v>
      </c>
      <c r="H181" t="str">
        <f>VLOOKUP(D181,name!A:C,3,1)</f>
        <v>assets/icons/image326.png</v>
      </c>
      <c r="I181" t="e">
        <f>IF(A181="","",VLOOKUP(A181,lng!A:B,2,0))</f>
        <v>#N/A</v>
      </c>
    </row>
    <row r="182" spans="1:9" x14ac:dyDescent="0.15">
      <c r="A182">
        <f t="shared" ref="A182:B197" si="15">A181</f>
        <v>0</v>
      </c>
      <c r="B182">
        <f t="shared" si="15"/>
        <v>1</v>
      </c>
      <c r="C182">
        <f t="shared" si="14"/>
        <v>181</v>
      </c>
      <c r="D182">
        <f>D69</f>
        <v>0</v>
      </c>
      <c r="E182" t="str">
        <f>VLOOKUP(D182,name!A:B,2,1)</f>
        <v>Player</v>
      </c>
      <c r="F182">
        <f>F69</f>
        <v>0</v>
      </c>
      <c r="G182" t="str">
        <f t="shared" si="10"/>
        <v>q</v>
      </c>
      <c r="H182" t="str">
        <f>VLOOKUP(D182,name!A:C,3,1)</f>
        <v>assets/icons/image326.png</v>
      </c>
      <c r="I182" t="s">
        <v>405</v>
      </c>
    </row>
    <row r="183" spans="1:9" x14ac:dyDescent="0.15">
      <c r="A183">
        <f t="shared" si="15"/>
        <v>0</v>
      </c>
      <c r="B183">
        <f t="shared" si="15"/>
        <v>1</v>
      </c>
      <c r="C183">
        <f t="shared" si="14"/>
        <v>182</v>
      </c>
      <c r="D183">
        <f>D70</f>
        <v>0</v>
      </c>
      <c r="E183" t="str">
        <f>VLOOKUP(D183,name!A:B,2,1)</f>
        <v>Player</v>
      </c>
      <c r="F183">
        <f>F70</f>
        <v>0</v>
      </c>
      <c r="G183" t="str">
        <f t="shared" si="10"/>
        <v>q</v>
      </c>
      <c r="H183" t="str">
        <f>VLOOKUP(D183,name!A:C,3,1)</f>
        <v>assets/icons/image326.png</v>
      </c>
      <c r="I183" t="e">
        <f>IF(A183="","",VLOOKUP(A183,lng!A:B,2,0))</f>
        <v>#N/A</v>
      </c>
    </row>
    <row r="184" spans="1:9" x14ac:dyDescent="0.15">
      <c r="A184">
        <f t="shared" si="15"/>
        <v>0</v>
      </c>
      <c r="B184">
        <f t="shared" si="15"/>
        <v>1</v>
      </c>
      <c r="C184">
        <f t="shared" si="14"/>
        <v>183</v>
      </c>
      <c r="D184">
        <v>0</v>
      </c>
      <c r="E184" t="str">
        <f>VLOOKUP(D184,name!A:B,2,1)</f>
        <v>Player</v>
      </c>
      <c r="F184">
        <f>F70</f>
        <v>0</v>
      </c>
      <c r="G184" t="str">
        <f t="shared" si="10"/>
        <v>q</v>
      </c>
      <c r="H184" t="str">
        <f>VLOOKUP(D184,name!A:C,3,1)</f>
        <v>assets/icons/image326.png</v>
      </c>
      <c r="I184" t="e">
        <f>IF(A184="","",VLOOKUP(A184,lng!A:B,2,0))</f>
        <v>#N/A</v>
      </c>
    </row>
    <row r="185" spans="1:9" x14ac:dyDescent="0.15">
      <c r="A185">
        <f t="shared" si="15"/>
        <v>0</v>
      </c>
      <c r="B185">
        <f t="shared" si="15"/>
        <v>1</v>
      </c>
      <c r="C185">
        <f t="shared" si="14"/>
        <v>184</v>
      </c>
      <c r="D185">
        <f>D71</f>
        <v>0</v>
      </c>
      <c r="E185" t="str">
        <f>VLOOKUP(D185,name!A:B,2,1)</f>
        <v>Player</v>
      </c>
      <c r="F185">
        <f>F71</f>
        <v>0</v>
      </c>
      <c r="G185" t="str">
        <f t="shared" si="10"/>
        <v>q</v>
      </c>
      <c r="H185" t="str">
        <f>VLOOKUP(D185,name!A:C,3,1)</f>
        <v>assets/icons/image326.png</v>
      </c>
      <c r="I185" t="s">
        <v>405</v>
      </c>
    </row>
    <row r="186" spans="1:9" x14ac:dyDescent="0.15">
      <c r="A186">
        <f t="shared" si="15"/>
        <v>0</v>
      </c>
      <c r="B186">
        <f t="shared" si="15"/>
        <v>1</v>
      </c>
      <c r="C186">
        <f t="shared" si="14"/>
        <v>185</v>
      </c>
      <c r="D186">
        <f>D72</f>
        <v>0</v>
      </c>
      <c r="E186" t="str">
        <f>VLOOKUP(D186,name!A:B,2,1)</f>
        <v>Player</v>
      </c>
      <c r="F186">
        <f>F72</f>
        <v>0</v>
      </c>
      <c r="G186" t="str">
        <f t="shared" si="10"/>
        <v>q</v>
      </c>
      <c r="H186" t="str">
        <f>VLOOKUP(D186,name!A:C,3,1)</f>
        <v>assets/icons/image326.png</v>
      </c>
      <c r="I186" t="e">
        <f>IF(A186="","",VLOOKUP(A186,lng!A:B,2,0))</f>
        <v>#N/A</v>
      </c>
    </row>
    <row r="187" spans="1:9" x14ac:dyDescent="0.15">
      <c r="A187">
        <f t="shared" si="15"/>
        <v>0</v>
      </c>
      <c r="B187">
        <f t="shared" si="15"/>
        <v>1</v>
      </c>
      <c r="C187">
        <f t="shared" si="14"/>
        <v>186</v>
      </c>
      <c r="D187">
        <v>0</v>
      </c>
      <c r="E187" t="str">
        <f>VLOOKUP(D187,name!A:B,2,1)</f>
        <v>Player</v>
      </c>
      <c r="F187">
        <f>F72</f>
        <v>0</v>
      </c>
      <c r="G187" t="str">
        <f t="shared" si="10"/>
        <v>q</v>
      </c>
      <c r="H187" t="str">
        <f>VLOOKUP(D187,name!A:C,3,1)</f>
        <v>assets/icons/image326.png</v>
      </c>
      <c r="I187" t="e">
        <f>IF(A187="","",VLOOKUP(A187,lng!A:B,2,0))</f>
        <v>#N/A</v>
      </c>
    </row>
    <row r="188" spans="1:9" x14ac:dyDescent="0.15">
      <c r="A188">
        <f t="shared" si="15"/>
        <v>0</v>
      </c>
      <c r="B188">
        <f t="shared" si="15"/>
        <v>1</v>
      </c>
      <c r="C188">
        <f t="shared" si="14"/>
        <v>187</v>
      </c>
      <c r="D188">
        <f>D73</f>
        <v>0</v>
      </c>
      <c r="E188" t="str">
        <f>VLOOKUP(D188,name!A:B,2,1)</f>
        <v>Player</v>
      </c>
      <c r="F188">
        <f>F73</f>
        <v>0</v>
      </c>
      <c r="G188" t="str">
        <f t="shared" si="10"/>
        <v>q</v>
      </c>
      <c r="H188" t="str">
        <f>VLOOKUP(D188,name!A:C,3,1)</f>
        <v>assets/icons/image326.png</v>
      </c>
      <c r="I188" t="s">
        <v>405</v>
      </c>
    </row>
    <row r="189" spans="1:9" x14ac:dyDescent="0.15">
      <c r="A189">
        <f t="shared" si="15"/>
        <v>0</v>
      </c>
      <c r="B189">
        <f t="shared" si="15"/>
        <v>1</v>
      </c>
      <c r="C189">
        <f t="shared" si="14"/>
        <v>188</v>
      </c>
      <c r="D189">
        <f>D74</f>
        <v>0</v>
      </c>
      <c r="E189" t="str">
        <f>VLOOKUP(D189,name!A:B,2,1)</f>
        <v>Player</v>
      </c>
      <c r="F189">
        <f>F74</f>
        <v>0</v>
      </c>
      <c r="G189" t="str">
        <f t="shared" si="10"/>
        <v>q</v>
      </c>
      <c r="H189" t="str">
        <f>VLOOKUP(D189,name!A:C,3,1)</f>
        <v>assets/icons/image326.png</v>
      </c>
      <c r="I189" t="e">
        <f>IF(A189="","",VLOOKUP(A189,lng!A:B,2,0))</f>
        <v>#N/A</v>
      </c>
    </row>
    <row r="190" spans="1:9" x14ac:dyDescent="0.15">
      <c r="A190">
        <f t="shared" si="15"/>
        <v>0</v>
      </c>
      <c r="B190">
        <f t="shared" si="15"/>
        <v>1</v>
      </c>
      <c r="C190">
        <f t="shared" si="14"/>
        <v>189</v>
      </c>
      <c r="D190">
        <v>0</v>
      </c>
      <c r="E190" t="str">
        <f>VLOOKUP(D190,name!A:B,2,1)</f>
        <v>Player</v>
      </c>
      <c r="F190">
        <f>F74</f>
        <v>0</v>
      </c>
      <c r="G190" t="str">
        <f t="shared" si="10"/>
        <v>q</v>
      </c>
      <c r="H190" t="str">
        <f>VLOOKUP(D190,name!A:C,3,1)</f>
        <v>assets/icons/image326.png</v>
      </c>
      <c r="I190" t="e">
        <f>IF(A190="","",VLOOKUP(A190,lng!A:B,2,0))</f>
        <v>#N/A</v>
      </c>
    </row>
    <row r="191" spans="1:9" x14ac:dyDescent="0.15">
      <c r="A191">
        <f t="shared" si="15"/>
        <v>0</v>
      </c>
      <c r="B191">
        <f t="shared" si="15"/>
        <v>1</v>
      </c>
      <c r="C191">
        <f t="shared" si="14"/>
        <v>190</v>
      </c>
      <c r="D191">
        <f>D75</f>
        <v>0</v>
      </c>
      <c r="E191" t="str">
        <f>VLOOKUP(D191,name!A:B,2,1)</f>
        <v>Player</v>
      </c>
      <c r="F191">
        <f>F75</f>
        <v>0</v>
      </c>
      <c r="G191" t="str">
        <f t="shared" si="10"/>
        <v>q</v>
      </c>
      <c r="H191" t="str">
        <f>VLOOKUP(D191,name!A:C,3,1)</f>
        <v>assets/icons/image326.png</v>
      </c>
      <c r="I191" t="s">
        <v>405</v>
      </c>
    </row>
    <row r="192" spans="1:9" x14ac:dyDescent="0.15">
      <c r="A192">
        <f t="shared" si="15"/>
        <v>0</v>
      </c>
      <c r="B192">
        <f t="shared" si="15"/>
        <v>1</v>
      </c>
      <c r="C192">
        <f t="shared" si="14"/>
        <v>191</v>
      </c>
      <c r="D192">
        <f>D76</f>
        <v>0</v>
      </c>
      <c r="E192" t="str">
        <f>VLOOKUP(D192,name!A:B,2,1)</f>
        <v>Player</v>
      </c>
      <c r="F192">
        <f>F76</f>
        <v>0</v>
      </c>
      <c r="G192" t="str">
        <f t="shared" si="10"/>
        <v>q</v>
      </c>
      <c r="H192" t="str">
        <f>VLOOKUP(D192,name!A:C,3,1)</f>
        <v>assets/icons/image326.png</v>
      </c>
      <c r="I192" t="e">
        <f>IF(A192="","",VLOOKUP(A192,lng!A:B,2,0))</f>
        <v>#N/A</v>
      </c>
    </row>
    <row r="193" spans="1:9" x14ac:dyDescent="0.15">
      <c r="A193">
        <f t="shared" si="15"/>
        <v>0</v>
      </c>
      <c r="B193">
        <f t="shared" si="15"/>
        <v>1</v>
      </c>
      <c r="C193">
        <f t="shared" si="14"/>
        <v>192</v>
      </c>
      <c r="D193">
        <v>0</v>
      </c>
      <c r="E193" t="str">
        <f>VLOOKUP(D193,name!A:B,2,1)</f>
        <v>Player</v>
      </c>
      <c r="F193">
        <f>F76</f>
        <v>0</v>
      </c>
      <c r="G193" t="str">
        <f t="shared" si="10"/>
        <v>q</v>
      </c>
      <c r="H193" t="str">
        <f>VLOOKUP(D193,name!A:C,3,1)</f>
        <v>assets/icons/image326.png</v>
      </c>
      <c r="I193" t="e">
        <f>IF(A193="","",VLOOKUP(A193,lng!A:B,2,0))</f>
        <v>#N/A</v>
      </c>
    </row>
    <row r="194" spans="1:9" x14ac:dyDescent="0.15">
      <c r="A194">
        <f t="shared" si="15"/>
        <v>0</v>
      </c>
      <c r="B194">
        <f t="shared" si="15"/>
        <v>1</v>
      </c>
      <c r="C194">
        <f t="shared" si="14"/>
        <v>193</v>
      </c>
      <c r="D194">
        <f>D77</f>
        <v>0</v>
      </c>
      <c r="E194" t="str">
        <f>VLOOKUP(D194,name!A:B,2,1)</f>
        <v>Player</v>
      </c>
      <c r="F194">
        <f>F77</f>
        <v>0</v>
      </c>
      <c r="G194" t="str">
        <f t="shared" si="10"/>
        <v>q</v>
      </c>
      <c r="H194" t="str">
        <f>VLOOKUP(D194,name!A:C,3,1)</f>
        <v>assets/icons/image326.png</v>
      </c>
      <c r="I194" t="s">
        <v>405</v>
      </c>
    </row>
    <row r="195" spans="1:9" x14ac:dyDescent="0.15">
      <c r="A195">
        <f t="shared" si="15"/>
        <v>0</v>
      </c>
      <c r="B195">
        <f t="shared" si="15"/>
        <v>1</v>
      </c>
      <c r="C195">
        <f t="shared" si="14"/>
        <v>194</v>
      </c>
      <c r="D195">
        <f>D78</f>
        <v>0</v>
      </c>
      <c r="E195" t="str">
        <f>VLOOKUP(D195,name!A:B,2,1)</f>
        <v>Player</v>
      </c>
      <c r="F195">
        <f>F78</f>
        <v>0</v>
      </c>
      <c r="G195" t="str">
        <f t="shared" si="10"/>
        <v>q</v>
      </c>
      <c r="H195" t="str">
        <f>VLOOKUP(D195,name!A:C,3,1)</f>
        <v>assets/icons/image326.png</v>
      </c>
      <c r="I195" t="e">
        <f>IF(A195="","",VLOOKUP(A195,lng!A:B,2,0))</f>
        <v>#N/A</v>
      </c>
    </row>
    <row r="196" spans="1:9" x14ac:dyDescent="0.15">
      <c r="A196">
        <f t="shared" si="15"/>
        <v>0</v>
      </c>
      <c r="B196">
        <f t="shared" si="15"/>
        <v>1</v>
      </c>
      <c r="C196">
        <f t="shared" si="14"/>
        <v>195</v>
      </c>
      <c r="D196">
        <v>0</v>
      </c>
      <c r="E196" t="str">
        <f>VLOOKUP(D196,name!A:B,2,1)</f>
        <v>Player</v>
      </c>
      <c r="F196">
        <f>F78</f>
        <v>0</v>
      </c>
      <c r="G196" t="str">
        <f t="shared" si="10"/>
        <v>q</v>
      </c>
      <c r="H196" t="str">
        <f>VLOOKUP(D196,name!A:C,3,1)</f>
        <v>assets/icons/image326.png</v>
      </c>
      <c r="I196" t="e">
        <f>IF(A196="","",VLOOKUP(A196,lng!A:B,2,0))</f>
        <v>#N/A</v>
      </c>
    </row>
    <row r="197" spans="1:9" x14ac:dyDescent="0.15">
      <c r="A197">
        <f t="shared" si="15"/>
        <v>0</v>
      </c>
      <c r="B197">
        <f t="shared" si="15"/>
        <v>1</v>
      </c>
      <c r="C197">
        <f t="shared" si="14"/>
        <v>196</v>
      </c>
      <c r="D197">
        <f>D79</f>
        <v>0</v>
      </c>
      <c r="E197" t="str">
        <f>VLOOKUP(D197,name!A:B,2,1)</f>
        <v>Player</v>
      </c>
      <c r="F197">
        <f>F79</f>
        <v>0</v>
      </c>
      <c r="G197" t="str">
        <f t="shared" ref="G197:G250" si="16">IF(B197&lt;&gt;B198,"e",IF(D197=0,"q","a"))</f>
        <v>q</v>
      </c>
      <c r="H197" t="str">
        <f>VLOOKUP(D197,name!A:C,3,1)</f>
        <v>assets/icons/image326.png</v>
      </c>
      <c r="I197" t="s">
        <v>405</v>
      </c>
    </row>
    <row r="198" spans="1:9" x14ac:dyDescent="0.15">
      <c r="A198">
        <f t="shared" ref="A198:B205" si="17">A197</f>
        <v>0</v>
      </c>
      <c r="B198">
        <f t="shared" si="17"/>
        <v>1</v>
      </c>
      <c r="C198">
        <f t="shared" si="14"/>
        <v>197</v>
      </c>
      <c r="D198">
        <f>D80</f>
        <v>0</v>
      </c>
      <c r="E198" t="str">
        <f>VLOOKUP(D198,name!A:B,2,1)</f>
        <v>Player</v>
      </c>
      <c r="F198">
        <f>F80</f>
        <v>0</v>
      </c>
      <c r="G198" t="str">
        <f t="shared" si="16"/>
        <v>q</v>
      </c>
      <c r="H198" t="str">
        <f>VLOOKUP(D198,name!A:C,3,1)</f>
        <v>assets/icons/image326.png</v>
      </c>
      <c r="I198" t="e">
        <f>IF(A198="","",VLOOKUP(A198,lng!A:B,2,0))</f>
        <v>#N/A</v>
      </c>
    </row>
    <row r="199" spans="1:9" x14ac:dyDescent="0.15">
      <c r="A199">
        <f t="shared" si="17"/>
        <v>0</v>
      </c>
      <c r="B199">
        <f t="shared" si="17"/>
        <v>1</v>
      </c>
      <c r="C199">
        <f t="shared" si="14"/>
        <v>198</v>
      </c>
      <c r="D199">
        <v>0</v>
      </c>
      <c r="E199" t="str">
        <f>VLOOKUP(D199,name!A:B,2,1)</f>
        <v>Player</v>
      </c>
      <c r="F199">
        <f>F80</f>
        <v>0</v>
      </c>
      <c r="G199" t="str">
        <f t="shared" si="16"/>
        <v>q</v>
      </c>
      <c r="H199" t="str">
        <f>VLOOKUP(D199,name!A:C,3,1)</f>
        <v>assets/icons/image326.png</v>
      </c>
      <c r="I199" t="e">
        <f>IF(A199="","",VLOOKUP(A199,lng!A:B,2,0))</f>
        <v>#N/A</v>
      </c>
    </row>
    <row r="200" spans="1:9" x14ac:dyDescent="0.15">
      <c r="A200">
        <f t="shared" si="17"/>
        <v>0</v>
      </c>
      <c r="B200">
        <f t="shared" si="17"/>
        <v>1</v>
      </c>
      <c r="C200">
        <f t="shared" si="14"/>
        <v>199</v>
      </c>
      <c r="D200">
        <f>D81</f>
        <v>0</v>
      </c>
      <c r="E200" t="str">
        <f>VLOOKUP(D200,name!A:B,2,1)</f>
        <v>Player</v>
      </c>
      <c r="F200">
        <f>F81</f>
        <v>0</v>
      </c>
      <c r="G200" t="str">
        <f t="shared" si="16"/>
        <v>q</v>
      </c>
      <c r="H200" t="str">
        <f>VLOOKUP(D200,name!A:C,3,1)</f>
        <v>assets/icons/image326.png</v>
      </c>
      <c r="I200" t="s">
        <v>405</v>
      </c>
    </row>
    <row r="201" spans="1:9" x14ac:dyDescent="0.15">
      <c r="A201">
        <f t="shared" si="17"/>
        <v>0</v>
      </c>
      <c r="B201">
        <f t="shared" si="17"/>
        <v>1</v>
      </c>
      <c r="C201">
        <f t="shared" si="14"/>
        <v>200</v>
      </c>
      <c r="D201">
        <f>D82</f>
        <v>0</v>
      </c>
      <c r="E201" t="str">
        <f>VLOOKUP(D201,name!A:B,2,1)</f>
        <v>Player</v>
      </c>
      <c r="F201">
        <f>F82</f>
        <v>0</v>
      </c>
      <c r="G201" t="str">
        <f t="shared" si="16"/>
        <v>q</v>
      </c>
      <c r="H201" t="str">
        <f>VLOOKUP(D201,name!A:C,3,1)</f>
        <v>assets/icons/image326.png</v>
      </c>
      <c r="I201" t="e">
        <f>IF(A201="","",VLOOKUP(A201,lng!A:B,2,0))</f>
        <v>#N/A</v>
      </c>
    </row>
    <row r="202" spans="1:9" x14ac:dyDescent="0.15">
      <c r="A202">
        <f t="shared" si="17"/>
        <v>0</v>
      </c>
      <c r="B202">
        <f t="shared" si="17"/>
        <v>1</v>
      </c>
      <c r="C202">
        <f t="shared" si="14"/>
        <v>201</v>
      </c>
      <c r="D202">
        <v>0</v>
      </c>
      <c r="E202" t="str">
        <f>VLOOKUP(D202,name!A:B,2,1)</f>
        <v>Player</v>
      </c>
      <c r="F202">
        <f>F82</f>
        <v>0</v>
      </c>
      <c r="G202" t="str">
        <f t="shared" si="16"/>
        <v>q</v>
      </c>
      <c r="H202" t="str">
        <f>VLOOKUP(D202,name!A:C,3,1)</f>
        <v>assets/icons/image326.png</v>
      </c>
      <c r="I202" t="e">
        <f>IF(A202="","",VLOOKUP(A202,lng!A:B,2,0))</f>
        <v>#N/A</v>
      </c>
    </row>
    <row r="203" spans="1:9" x14ac:dyDescent="0.15">
      <c r="A203">
        <f t="shared" si="17"/>
        <v>0</v>
      </c>
      <c r="B203">
        <f t="shared" si="17"/>
        <v>1</v>
      </c>
      <c r="C203">
        <f t="shared" si="14"/>
        <v>202</v>
      </c>
      <c r="D203">
        <f>D83</f>
        <v>0</v>
      </c>
      <c r="E203" t="str">
        <f>VLOOKUP(D203,name!A:B,2,1)</f>
        <v>Player</v>
      </c>
      <c r="F203">
        <f>F83</f>
        <v>0</v>
      </c>
      <c r="G203" t="str">
        <f t="shared" si="16"/>
        <v>q</v>
      </c>
      <c r="H203" t="str">
        <f>VLOOKUP(D203,name!A:C,3,1)</f>
        <v>assets/icons/image326.png</v>
      </c>
      <c r="I203" t="s">
        <v>405</v>
      </c>
    </row>
    <row r="204" spans="1:9" x14ac:dyDescent="0.15">
      <c r="A204">
        <f t="shared" si="17"/>
        <v>0</v>
      </c>
      <c r="B204">
        <f t="shared" si="17"/>
        <v>1</v>
      </c>
      <c r="C204">
        <f t="shared" si="14"/>
        <v>203</v>
      </c>
      <c r="D204">
        <f>D84</f>
        <v>0</v>
      </c>
      <c r="E204" t="str">
        <f>VLOOKUP(D204,name!A:B,2,1)</f>
        <v>Player</v>
      </c>
      <c r="F204">
        <f>F84</f>
        <v>0</v>
      </c>
      <c r="G204" t="str">
        <f t="shared" si="16"/>
        <v>q</v>
      </c>
      <c r="H204" t="str">
        <f>VLOOKUP(D204,name!A:C,3,1)</f>
        <v>assets/icons/image326.png</v>
      </c>
      <c r="I204" t="e">
        <f>IF(A204="","",VLOOKUP(A204,lng!A:B,2,0))</f>
        <v>#N/A</v>
      </c>
    </row>
    <row r="205" spans="1:9" x14ac:dyDescent="0.15">
      <c r="A205">
        <f t="shared" si="17"/>
        <v>0</v>
      </c>
      <c r="B205">
        <f t="shared" si="17"/>
        <v>1</v>
      </c>
      <c r="C205">
        <f t="shared" si="14"/>
        <v>204</v>
      </c>
      <c r="D205">
        <v>0</v>
      </c>
      <c r="E205" t="str">
        <f>VLOOKUP(D205,name!A:B,2,1)</f>
        <v>Player</v>
      </c>
      <c r="F205">
        <f>F84</f>
        <v>0</v>
      </c>
      <c r="G205" t="str">
        <f>IF(B205&lt;&gt;B206,"e",IF(D205=0,"q","a"))</f>
        <v>q</v>
      </c>
      <c r="H205" t="str">
        <f>VLOOKUP(D205,name!A:C,3,1)</f>
        <v>assets/icons/image326.png</v>
      </c>
      <c r="I205" t="e">
        <f>IF(A205="","",VLOOKUP(A205,lng!A:B,2,0))</f>
        <v>#N/A</v>
      </c>
    </row>
    <row r="206" spans="1:9" x14ac:dyDescent="0.15">
      <c r="A206">
        <f t="shared" ref="A206:A237" si="18">A205</f>
        <v>0</v>
      </c>
      <c r="B206">
        <f t="shared" ref="B206:B237" si="19">B205</f>
        <v>1</v>
      </c>
      <c r="C206">
        <f t="shared" si="14"/>
        <v>205</v>
      </c>
      <c r="D206">
        <v>1</v>
      </c>
      <c r="E206" t="str">
        <f>VLOOKUP(D206,name!A:B,2,1)</f>
        <v>Navigator</v>
      </c>
      <c r="F206" t="str">
        <f>"次の日本語を"&amp;A206&amp;"に訳して答えてね！"</f>
        <v>次の日本語を0に訳して答えてね！</v>
      </c>
      <c r="G206" t="str">
        <f>IF(B206&lt;&gt;B207,"e",IF(D206=0,"q","a"))</f>
        <v>a</v>
      </c>
      <c r="H206" t="str">
        <f>VLOOKUP(D206,name!A:C,3,1)</f>
        <v>assets/icons/image014.png</v>
      </c>
      <c r="I206" t="s">
        <v>402</v>
      </c>
    </row>
    <row r="207" spans="1:9" x14ac:dyDescent="0.15">
      <c r="A207">
        <f t="shared" si="18"/>
        <v>0</v>
      </c>
      <c r="B207">
        <f t="shared" si="19"/>
        <v>1</v>
      </c>
      <c r="C207">
        <f t="shared" si="14"/>
        <v>206</v>
      </c>
      <c r="D207">
        <f>D5</f>
        <v>0</v>
      </c>
      <c r="E207" t="str">
        <f>VLOOKUP(D207,name!A:B,2,1)</f>
        <v>Player</v>
      </c>
      <c r="F207">
        <f>F5</f>
        <v>0</v>
      </c>
      <c r="G207" t="str">
        <f t="shared" si="16"/>
        <v>q</v>
      </c>
      <c r="H207" t="str">
        <f>VLOOKUP(D207,name!A:C,3,1)</f>
        <v>assets/icons/image326.png</v>
      </c>
      <c r="I207" t="s">
        <v>402</v>
      </c>
    </row>
    <row r="208" spans="1:9" x14ac:dyDescent="0.15">
      <c r="A208">
        <f t="shared" si="18"/>
        <v>0</v>
      </c>
      <c r="B208">
        <f t="shared" si="19"/>
        <v>1</v>
      </c>
      <c r="C208">
        <f t="shared" si="14"/>
        <v>207</v>
      </c>
      <c r="D208">
        <v>0</v>
      </c>
      <c r="E208" t="str">
        <f>VLOOKUP(D208,name!A:B,2,1)</f>
        <v>Player</v>
      </c>
      <c r="F208">
        <f>F6</f>
        <v>0</v>
      </c>
      <c r="G208" t="str">
        <f t="shared" si="16"/>
        <v>q</v>
      </c>
      <c r="H208" t="str">
        <f>VLOOKUP(D208,name!A:C,3,1)</f>
        <v>assets/icons/image326.png</v>
      </c>
      <c r="I208" t="e">
        <f>IF(A208="","",VLOOKUP(A208,lng!A:B,2,0))</f>
        <v>#N/A</v>
      </c>
    </row>
    <row r="209" spans="1:9" x14ac:dyDescent="0.15">
      <c r="A209">
        <f t="shared" si="18"/>
        <v>0</v>
      </c>
      <c r="B209">
        <f t="shared" si="19"/>
        <v>1</v>
      </c>
      <c r="C209">
        <f t="shared" si="14"/>
        <v>208</v>
      </c>
      <c r="D209">
        <f t="shared" ref="D209:D271" si="20">D7</f>
        <v>0</v>
      </c>
      <c r="E209" t="str">
        <f>VLOOKUP(D209,name!A:B,2,1)</f>
        <v>Player</v>
      </c>
      <c r="F209">
        <f t="shared" ref="F209:F272" si="21">F7</f>
        <v>0</v>
      </c>
      <c r="G209" t="str">
        <f t="shared" si="16"/>
        <v>q</v>
      </c>
      <c r="H209" t="str">
        <f>VLOOKUP(D209,name!A:C,3,1)</f>
        <v>assets/icons/image326.png</v>
      </c>
      <c r="I209" t="s">
        <v>402</v>
      </c>
    </row>
    <row r="210" spans="1:9" x14ac:dyDescent="0.15">
      <c r="A210">
        <f t="shared" si="18"/>
        <v>0</v>
      </c>
      <c r="B210">
        <f t="shared" si="19"/>
        <v>1</v>
      </c>
      <c r="C210">
        <f t="shared" si="14"/>
        <v>209</v>
      </c>
      <c r="D210">
        <v>0</v>
      </c>
      <c r="E210" t="str">
        <f>VLOOKUP(D210,name!A:B,2,1)</f>
        <v>Player</v>
      </c>
      <c r="F210">
        <f t="shared" si="21"/>
        <v>0</v>
      </c>
      <c r="G210" t="str">
        <f t="shared" si="16"/>
        <v>q</v>
      </c>
      <c r="H210" t="str">
        <f>VLOOKUP(D210,name!A:C,3,1)</f>
        <v>assets/icons/image326.png</v>
      </c>
      <c r="I210" t="e">
        <f>IF(A210="","",VLOOKUP(A210,lng!A:B,2,0))</f>
        <v>#N/A</v>
      </c>
    </row>
    <row r="211" spans="1:9" x14ac:dyDescent="0.15">
      <c r="A211">
        <f t="shared" si="18"/>
        <v>0</v>
      </c>
      <c r="B211">
        <f t="shared" si="19"/>
        <v>1</v>
      </c>
      <c r="C211">
        <f t="shared" si="14"/>
        <v>210</v>
      </c>
      <c r="D211">
        <f t="shared" si="20"/>
        <v>0</v>
      </c>
      <c r="E211" t="str">
        <f>VLOOKUP(D211,name!A:B,2,1)</f>
        <v>Player</v>
      </c>
      <c r="F211">
        <f t="shared" si="21"/>
        <v>0</v>
      </c>
      <c r="G211" t="str">
        <f t="shared" si="16"/>
        <v>q</v>
      </c>
      <c r="H211" t="str">
        <f>VLOOKUP(D211,name!A:C,3,1)</f>
        <v>assets/icons/image326.png</v>
      </c>
      <c r="I211" t="s">
        <v>402</v>
      </c>
    </row>
    <row r="212" spans="1:9" x14ac:dyDescent="0.15">
      <c r="A212">
        <f t="shared" si="18"/>
        <v>0</v>
      </c>
      <c r="B212">
        <f t="shared" si="19"/>
        <v>1</v>
      </c>
      <c r="C212">
        <f t="shared" si="14"/>
        <v>211</v>
      </c>
      <c r="D212">
        <v>0</v>
      </c>
      <c r="E212" t="str">
        <f>VLOOKUP(D212,name!A:B,2,1)</f>
        <v>Player</v>
      </c>
      <c r="F212">
        <f t="shared" si="21"/>
        <v>0</v>
      </c>
      <c r="G212" t="str">
        <f t="shared" si="16"/>
        <v>q</v>
      </c>
      <c r="H212" t="str">
        <f>VLOOKUP(D212,name!A:C,3,1)</f>
        <v>assets/icons/image326.png</v>
      </c>
      <c r="I212" t="e">
        <f>IF(A212="","",VLOOKUP(A212,lng!A:B,2,0))</f>
        <v>#N/A</v>
      </c>
    </row>
    <row r="213" spans="1:9" x14ac:dyDescent="0.15">
      <c r="A213">
        <f t="shared" si="18"/>
        <v>0</v>
      </c>
      <c r="B213">
        <f t="shared" si="19"/>
        <v>1</v>
      </c>
      <c r="C213">
        <f t="shared" si="14"/>
        <v>212</v>
      </c>
      <c r="D213">
        <f t="shared" si="20"/>
        <v>0</v>
      </c>
      <c r="E213" t="str">
        <f>VLOOKUP(D213,name!A:B,2,1)</f>
        <v>Player</v>
      </c>
      <c r="F213">
        <f t="shared" si="21"/>
        <v>0</v>
      </c>
      <c r="G213" t="str">
        <f t="shared" si="16"/>
        <v>q</v>
      </c>
      <c r="H213" t="str">
        <f>VLOOKUP(D213,name!A:C,3,1)</f>
        <v>assets/icons/image326.png</v>
      </c>
      <c r="I213" t="s">
        <v>402</v>
      </c>
    </row>
    <row r="214" spans="1:9" x14ac:dyDescent="0.15">
      <c r="A214">
        <f t="shared" si="18"/>
        <v>0</v>
      </c>
      <c r="B214">
        <f t="shared" si="19"/>
        <v>1</v>
      </c>
      <c r="C214">
        <f t="shared" si="14"/>
        <v>213</v>
      </c>
      <c r="D214">
        <v>0</v>
      </c>
      <c r="E214" t="str">
        <f>VLOOKUP(D214,name!A:B,2,1)</f>
        <v>Player</v>
      </c>
      <c r="F214">
        <f t="shared" si="21"/>
        <v>0</v>
      </c>
      <c r="G214" t="str">
        <f t="shared" si="16"/>
        <v>q</v>
      </c>
      <c r="H214" t="str">
        <f>VLOOKUP(D214,name!A:C,3,1)</f>
        <v>assets/icons/image326.png</v>
      </c>
      <c r="I214" t="e">
        <f>IF(A214="","",VLOOKUP(A214,lng!A:B,2,0))</f>
        <v>#N/A</v>
      </c>
    </row>
    <row r="215" spans="1:9" x14ac:dyDescent="0.15">
      <c r="A215">
        <f t="shared" si="18"/>
        <v>0</v>
      </c>
      <c r="B215">
        <f t="shared" si="19"/>
        <v>1</v>
      </c>
      <c r="C215">
        <f t="shared" si="14"/>
        <v>214</v>
      </c>
      <c r="D215">
        <f t="shared" si="20"/>
        <v>0</v>
      </c>
      <c r="E215" t="str">
        <f>VLOOKUP(D215,name!A:B,2,1)</f>
        <v>Player</v>
      </c>
      <c r="F215">
        <f t="shared" si="21"/>
        <v>0</v>
      </c>
      <c r="G215" t="str">
        <f t="shared" si="16"/>
        <v>q</v>
      </c>
      <c r="H215" t="str">
        <f>VLOOKUP(D215,name!A:C,3,1)</f>
        <v>assets/icons/image326.png</v>
      </c>
      <c r="I215" t="s">
        <v>402</v>
      </c>
    </row>
    <row r="216" spans="1:9" x14ac:dyDescent="0.15">
      <c r="A216">
        <f t="shared" si="18"/>
        <v>0</v>
      </c>
      <c r="B216">
        <f t="shared" si="19"/>
        <v>1</v>
      </c>
      <c r="C216">
        <f t="shared" si="14"/>
        <v>215</v>
      </c>
      <c r="D216">
        <v>0</v>
      </c>
      <c r="E216" t="str">
        <f>VLOOKUP(D216,name!A:B,2,1)</f>
        <v>Player</v>
      </c>
      <c r="F216">
        <f t="shared" si="21"/>
        <v>0</v>
      </c>
      <c r="G216" t="str">
        <f t="shared" si="16"/>
        <v>q</v>
      </c>
      <c r="H216" t="str">
        <f>VLOOKUP(D216,name!A:C,3,1)</f>
        <v>assets/icons/image326.png</v>
      </c>
      <c r="I216" t="e">
        <f>IF(A216="","",VLOOKUP(A216,lng!A:B,2,0))</f>
        <v>#N/A</v>
      </c>
    </row>
    <row r="217" spans="1:9" x14ac:dyDescent="0.15">
      <c r="A217">
        <f t="shared" si="18"/>
        <v>0</v>
      </c>
      <c r="B217">
        <f t="shared" si="19"/>
        <v>1</v>
      </c>
      <c r="C217">
        <f t="shared" si="14"/>
        <v>216</v>
      </c>
      <c r="D217">
        <f t="shared" si="20"/>
        <v>0</v>
      </c>
      <c r="E217" t="str">
        <f>VLOOKUP(D217,name!A:B,2,1)</f>
        <v>Player</v>
      </c>
      <c r="F217">
        <f t="shared" si="21"/>
        <v>0</v>
      </c>
      <c r="G217" t="str">
        <f t="shared" si="16"/>
        <v>q</v>
      </c>
      <c r="H217" t="str">
        <f>VLOOKUP(D217,name!A:C,3,1)</f>
        <v>assets/icons/image326.png</v>
      </c>
      <c r="I217" t="s">
        <v>402</v>
      </c>
    </row>
    <row r="218" spans="1:9" x14ac:dyDescent="0.15">
      <c r="A218">
        <f t="shared" si="18"/>
        <v>0</v>
      </c>
      <c r="B218">
        <f t="shared" si="19"/>
        <v>1</v>
      </c>
      <c r="C218">
        <f t="shared" si="14"/>
        <v>217</v>
      </c>
      <c r="D218">
        <v>0</v>
      </c>
      <c r="E218" t="str">
        <f>VLOOKUP(D218,name!A:B,2,1)</f>
        <v>Player</v>
      </c>
      <c r="F218">
        <f t="shared" si="21"/>
        <v>0</v>
      </c>
      <c r="G218" t="str">
        <f t="shared" si="16"/>
        <v>q</v>
      </c>
      <c r="H218" t="str">
        <f>VLOOKUP(D218,name!A:C,3,1)</f>
        <v>assets/icons/image326.png</v>
      </c>
      <c r="I218" t="e">
        <f>IF(A218="","",VLOOKUP(A218,lng!A:B,2,0))</f>
        <v>#N/A</v>
      </c>
    </row>
    <row r="219" spans="1:9" x14ac:dyDescent="0.15">
      <c r="A219">
        <f t="shared" si="18"/>
        <v>0</v>
      </c>
      <c r="B219">
        <f t="shared" si="19"/>
        <v>1</v>
      </c>
      <c r="C219">
        <f t="shared" si="14"/>
        <v>218</v>
      </c>
      <c r="D219">
        <f t="shared" si="20"/>
        <v>0</v>
      </c>
      <c r="E219" t="str">
        <f>VLOOKUP(D219,name!A:B,2,1)</f>
        <v>Player</v>
      </c>
      <c r="F219">
        <f t="shared" si="21"/>
        <v>0</v>
      </c>
      <c r="G219" t="str">
        <f t="shared" si="16"/>
        <v>q</v>
      </c>
      <c r="H219" t="str">
        <f>VLOOKUP(D219,name!A:C,3,1)</f>
        <v>assets/icons/image326.png</v>
      </c>
      <c r="I219" t="s">
        <v>402</v>
      </c>
    </row>
    <row r="220" spans="1:9" x14ac:dyDescent="0.15">
      <c r="A220">
        <f t="shared" si="18"/>
        <v>0</v>
      </c>
      <c r="B220">
        <f t="shared" si="19"/>
        <v>1</v>
      </c>
      <c r="C220">
        <f t="shared" si="14"/>
        <v>219</v>
      </c>
      <c r="D220">
        <v>0</v>
      </c>
      <c r="E220" t="str">
        <f>VLOOKUP(D220,name!A:B,2,1)</f>
        <v>Player</v>
      </c>
      <c r="F220">
        <f t="shared" si="21"/>
        <v>0</v>
      </c>
      <c r="G220" t="str">
        <f t="shared" si="16"/>
        <v>q</v>
      </c>
      <c r="H220" t="str">
        <f>VLOOKUP(D220,name!A:C,3,1)</f>
        <v>assets/icons/image326.png</v>
      </c>
      <c r="I220" t="e">
        <f>IF(A220="","",VLOOKUP(A220,lng!A:B,2,0))</f>
        <v>#N/A</v>
      </c>
    </row>
    <row r="221" spans="1:9" x14ac:dyDescent="0.15">
      <c r="A221">
        <f t="shared" si="18"/>
        <v>0</v>
      </c>
      <c r="B221">
        <f t="shared" si="19"/>
        <v>1</v>
      </c>
      <c r="C221">
        <f t="shared" si="14"/>
        <v>220</v>
      </c>
      <c r="D221">
        <f t="shared" si="20"/>
        <v>0</v>
      </c>
      <c r="E221" t="str">
        <f>VLOOKUP(D221,name!A:B,2,1)</f>
        <v>Player</v>
      </c>
      <c r="F221">
        <f t="shared" si="21"/>
        <v>0</v>
      </c>
      <c r="G221" t="str">
        <f t="shared" si="16"/>
        <v>q</v>
      </c>
      <c r="H221" t="str">
        <f>VLOOKUP(D221,name!A:C,3,1)</f>
        <v>assets/icons/image326.png</v>
      </c>
      <c r="I221" t="s">
        <v>402</v>
      </c>
    </row>
    <row r="222" spans="1:9" x14ac:dyDescent="0.15">
      <c r="A222">
        <f t="shared" si="18"/>
        <v>0</v>
      </c>
      <c r="B222">
        <f t="shared" si="19"/>
        <v>1</v>
      </c>
      <c r="C222">
        <f t="shared" si="14"/>
        <v>221</v>
      </c>
      <c r="D222">
        <v>0</v>
      </c>
      <c r="E222" t="str">
        <f>VLOOKUP(D222,name!A:B,2,1)</f>
        <v>Player</v>
      </c>
      <c r="F222">
        <f t="shared" si="21"/>
        <v>0</v>
      </c>
      <c r="G222" t="str">
        <f t="shared" si="16"/>
        <v>q</v>
      </c>
      <c r="H222" t="str">
        <f>VLOOKUP(D222,name!A:C,3,1)</f>
        <v>assets/icons/image326.png</v>
      </c>
      <c r="I222" t="e">
        <f>IF(A222="","",VLOOKUP(A222,lng!A:B,2,0))</f>
        <v>#N/A</v>
      </c>
    </row>
    <row r="223" spans="1:9" x14ac:dyDescent="0.15">
      <c r="A223">
        <f t="shared" si="18"/>
        <v>0</v>
      </c>
      <c r="B223">
        <f t="shared" si="19"/>
        <v>1</v>
      </c>
      <c r="C223">
        <f t="shared" si="14"/>
        <v>222</v>
      </c>
      <c r="D223">
        <f t="shared" si="20"/>
        <v>0</v>
      </c>
      <c r="E223" t="str">
        <f>VLOOKUP(D223,name!A:B,2,1)</f>
        <v>Player</v>
      </c>
      <c r="F223">
        <f t="shared" si="21"/>
        <v>0</v>
      </c>
      <c r="G223" t="str">
        <f t="shared" si="16"/>
        <v>q</v>
      </c>
      <c r="H223" t="str">
        <f>VLOOKUP(D223,name!A:C,3,1)</f>
        <v>assets/icons/image326.png</v>
      </c>
      <c r="I223" t="s">
        <v>402</v>
      </c>
    </row>
    <row r="224" spans="1:9" x14ac:dyDescent="0.15">
      <c r="A224">
        <f t="shared" si="18"/>
        <v>0</v>
      </c>
      <c r="B224">
        <f t="shared" si="19"/>
        <v>1</v>
      </c>
      <c r="C224">
        <f t="shared" si="14"/>
        <v>223</v>
      </c>
      <c r="D224">
        <v>0</v>
      </c>
      <c r="E224" t="str">
        <f>VLOOKUP(D224,name!A:B,2,1)</f>
        <v>Player</v>
      </c>
      <c r="F224">
        <f t="shared" si="21"/>
        <v>0</v>
      </c>
      <c r="G224" t="str">
        <f t="shared" si="16"/>
        <v>q</v>
      </c>
      <c r="H224" t="str">
        <f>VLOOKUP(D224,name!A:C,3,1)</f>
        <v>assets/icons/image326.png</v>
      </c>
      <c r="I224" t="e">
        <f>IF(A224="","",VLOOKUP(A224,lng!A:B,2,0))</f>
        <v>#N/A</v>
      </c>
    </row>
    <row r="225" spans="1:9" x14ac:dyDescent="0.15">
      <c r="A225">
        <f t="shared" si="18"/>
        <v>0</v>
      </c>
      <c r="B225">
        <f t="shared" si="19"/>
        <v>1</v>
      </c>
      <c r="C225">
        <f t="shared" si="14"/>
        <v>224</v>
      </c>
      <c r="D225">
        <f t="shared" si="20"/>
        <v>0</v>
      </c>
      <c r="E225" t="str">
        <f>VLOOKUP(D225,name!A:B,2,1)</f>
        <v>Player</v>
      </c>
      <c r="F225">
        <f t="shared" si="21"/>
        <v>0</v>
      </c>
      <c r="G225" t="str">
        <f t="shared" si="16"/>
        <v>q</v>
      </c>
      <c r="H225" t="str">
        <f>VLOOKUP(D225,name!A:C,3,1)</f>
        <v>assets/icons/image326.png</v>
      </c>
      <c r="I225" t="s">
        <v>402</v>
      </c>
    </row>
    <row r="226" spans="1:9" x14ac:dyDescent="0.15">
      <c r="A226">
        <f t="shared" si="18"/>
        <v>0</v>
      </c>
      <c r="B226">
        <f t="shared" si="19"/>
        <v>1</v>
      </c>
      <c r="C226">
        <f t="shared" si="14"/>
        <v>225</v>
      </c>
      <c r="D226">
        <v>0</v>
      </c>
      <c r="E226" t="str">
        <f>VLOOKUP(D226,name!A:B,2,1)</f>
        <v>Player</v>
      </c>
      <c r="F226">
        <f t="shared" si="21"/>
        <v>0</v>
      </c>
      <c r="G226" t="str">
        <f t="shared" si="16"/>
        <v>q</v>
      </c>
      <c r="H226" t="str">
        <f>VLOOKUP(D226,name!A:C,3,1)</f>
        <v>assets/icons/image326.png</v>
      </c>
      <c r="I226" t="e">
        <f>IF(A226="","",VLOOKUP(A226,lng!A:B,2,0))</f>
        <v>#N/A</v>
      </c>
    </row>
    <row r="227" spans="1:9" x14ac:dyDescent="0.15">
      <c r="A227">
        <f t="shared" si="18"/>
        <v>0</v>
      </c>
      <c r="B227">
        <f t="shared" si="19"/>
        <v>1</v>
      </c>
      <c r="C227">
        <f t="shared" si="14"/>
        <v>226</v>
      </c>
      <c r="D227">
        <f t="shared" si="20"/>
        <v>0</v>
      </c>
      <c r="E227" t="str">
        <f>VLOOKUP(D227,name!A:B,2,1)</f>
        <v>Player</v>
      </c>
      <c r="F227">
        <f t="shared" si="21"/>
        <v>0</v>
      </c>
      <c r="G227" t="str">
        <f t="shared" si="16"/>
        <v>q</v>
      </c>
      <c r="H227" t="str">
        <f>VLOOKUP(D227,name!A:C,3,1)</f>
        <v>assets/icons/image326.png</v>
      </c>
      <c r="I227" t="s">
        <v>402</v>
      </c>
    </row>
    <row r="228" spans="1:9" x14ac:dyDescent="0.15">
      <c r="A228">
        <f t="shared" si="18"/>
        <v>0</v>
      </c>
      <c r="B228">
        <f t="shared" si="19"/>
        <v>1</v>
      </c>
      <c r="C228">
        <f t="shared" si="14"/>
        <v>227</v>
      </c>
      <c r="D228">
        <v>0</v>
      </c>
      <c r="E228" t="str">
        <f>VLOOKUP(D228,name!A:B,2,1)</f>
        <v>Player</v>
      </c>
      <c r="F228">
        <f t="shared" si="21"/>
        <v>0</v>
      </c>
      <c r="G228" t="str">
        <f t="shared" si="16"/>
        <v>q</v>
      </c>
      <c r="H228" t="str">
        <f>VLOOKUP(D228,name!A:C,3,1)</f>
        <v>assets/icons/image326.png</v>
      </c>
      <c r="I228" t="e">
        <f>IF(A228="","",VLOOKUP(A228,lng!A:B,2,0))</f>
        <v>#N/A</v>
      </c>
    </row>
    <row r="229" spans="1:9" x14ac:dyDescent="0.15">
      <c r="A229">
        <f t="shared" si="18"/>
        <v>0</v>
      </c>
      <c r="B229">
        <f t="shared" si="19"/>
        <v>1</v>
      </c>
      <c r="C229">
        <f t="shared" si="14"/>
        <v>228</v>
      </c>
      <c r="D229">
        <f t="shared" si="20"/>
        <v>0</v>
      </c>
      <c r="E229" t="str">
        <f>VLOOKUP(D229,name!A:B,2,1)</f>
        <v>Player</v>
      </c>
      <c r="F229">
        <f t="shared" si="21"/>
        <v>0</v>
      </c>
      <c r="G229" t="str">
        <f t="shared" si="16"/>
        <v>q</v>
      </c>
      <c r="H229" t="str">
        <f>VLOOKUP(D229,name!A:C,3,1)</f>
        <v>assets/icons/image326.png</v>
      </c>
      <c r="I229" t="s">
        <v>402</v>
      </c>
    </row>
    <row r="230" spans="1:9" x14ac:dyDescent="0.15">
      <c r="A230">
        <f t="shared" si="18"/>
        <v>0</v>
      </c>
      <c r="B230">
        <f t="shared" si="19"/>
        <v>1</v>
      </c>
      <c r="C230">
        <f t="shared" si="14"/>
        <v>229</v>
      </c>
      <c r="D230">
        <v>0</v>
      </c>
      <c r="E230" t="str">
        <f>VLOOKUP(D230,name!A:B,2,1)</f>
        <v>Player</v>
      </c>
      <c r="F230">
        <f t="shared" si="21"/>
        <v>0</v>
      </c>
      <c r="G230" t="str">
        <f t="shared" si="16"/>
        <v>q</v>
      </c>
      <c r="H230" t="str">
        <f>VLOOKUP(D230,name!A:C,3,1)</f>
        <v>assets/icons/image326.png</v>
      </c>
      <c r="I230" t="e">
        <f>IF(A230="","",VLOOKUP(A230,lng!A:B,2,0))</f>
        <v>#N/A</v>
      </c>
    </row>
    <row r="231" spans="1:9" x14ac:dyDescent="0.15">
      <c r="A231">
        <f t="shared" si="18"/>
        <v>0</v>
      </c>
      <c r="B231">
        <f t="shared" si="19"/>
        <v>1</v>
      </c>
      <c r="C231">
        <f t="shared" si="14"/>
        <v>230</v>
      </c>
      <c r="D231">
        <f t="shared" si="20"/>
        <v>0</v>
      </c>
      <c r="E231" t="str">
        <f>VLOOKUP(D231,name!A:B,2,1)</f>
        <v>Player</v>
      </c>
      <c r="F231">
        <f t="shared" si="21"/>
        <v>0</v>
      </c>
      <c r="G231" t="str">
        <f t="shared" si="16"/>
        <v>q</v>
      </c>
      <c r="H231" t="str">
        <f>VLOOKUP(D231,name!A:C,3,1)</f>
        <v>assets/icons/image326.png</v>
      </c>
      <c r="I231" t="s">
        <v>402</v>
      </c>
    </row>
    <row r="232" spans="1:9" x14ac:dyDescent="0.15">
      <c r="A232">
        <f t="shared" si="18"/>
        <v>0</v>
      </c>
      <c r="B232">
        <f t="shared" si="19"/>
        <v>1</v>
      </c>
      <c r="C232">
        <f t="shared" si="14"/>
        <v>231</v>
      </c>
      <c r="D232">
        <v>0</v>
      </c>
      <c r="E232" t="str">
        <f>VLOOKUP(D232,name!A:B,2,1)</f>
        <v>Player</v>
      </c>
      <c r="F232">
        <f t="shared" si="21"/>
        <v>0</v>
      </c>
      <c r="G232" t="str">
        <f t="shared" si="16"/>
        <v>q</v>
      </c>
      <c r="H232" t="str">
        <f>VLOOKUP(D232,name!A:C,3,1)</f>
        <v>assets/icons/image326.png</v>
      </c>
      <c r="I232" t="e">
        <f>IF(A232="","",VLOOKUP(A232,lng!A:B,2,0))</f>
        <v>#N/A</v>
      </c>
    </row>
    <row r="233" spans="1:9" x14ac:dyDescent="0.15">
      <c r="A233">
        <f t="shared" si="18"/>
        <v>0</v>
      </c>
      <c r="B233">
        <f t="shared" si="19"/>
        <v>1</v>
      </c>
      <c r="C233">
        <f t="shared" si="14"/>
        <v>232</v>
      </c>
      <c r="D233">
        <f t="shared" si="20"/>
        <v>0</v>
      </c>
      <c r="E233" t="str">
        <f>VLOOKUP(D233,name!A:B,2,1)</f>
        <v>Player</v>
      </c>
      <c r="F233">
        <f t="shared" si="21"/>
        <v>0</v>
      </c>
      <c r="G233" t="str">
        <f t="shared" si="16"/>
        <v>q</v>
      </c>
      <c r="H233" t="str">
        <f>VLOOKUP(D233,name!A:C,3,1)</f>
        <v>assets/icons/image326.png</v>
      </c>
      <c r="I233" t="s">
        <v>402</v>
      </c>
    </row>
    <row r="234" spans="1:9" x14ac:dyDescent="0.15">
      <c r="A234">
        <f t="shared" si="18"/>
        <v>0</v>
      </c>
      <c r="B234">
        <f t="shared" si="19"/>
        <v>1</v>
      </c>
      <c r="C234">
        <f t="shared" si="14"/>
        <v>233</v>
      </c>
      <c r="D234">
        <v>0</v>
      </c>
      <c r="E234" t="str">
        <f>VLOOKUP(D234,name!A:B,2,1)</f>
        <v>Player</v>
      </c>
      <c r="F234">
        <f t="shared" si="21"/>
        <v>0</v>
      </c>
      <c r="G234" t="str">
        <f t="shared" si="16"/>
        <v>q</v>
      </c>
      <c r="H234" t="str">
        <f>VLOOKUP(D234,name!A:C,3,1)</f>
        <v>assets/icons/image326.png</v>
      </c>
      <c r="I234" t="e">
        <f>IF(A234="","",VLOOKUP(A234,lng!A:B,2,0))</f>
        <v>#N/A</v>
      </c>
    </row>
    <row r="235" spans="1:9" x14ac:dyDescent="0.15">
      <c r="A235">
        <f t="shared" si="18"/>
        <v>0</v>
      </c>
      <c r="B235">
        <f t="shared" si="19"/>
        <v>1</v>
      </c>
      <c r="C235">
        <f t="shared" ref="C235:C287" si="22">C234+1</f>
        <v>234</v>
      </c>
      <c r="D235">
        <f t="shared" si="20"/>
        <v>0</v>
      </c>
      <c r="E235" t="str">
        <f>VLOOKUP(D235,name!A:B,2,1)</f>
        <v>Player</v>
      </c>
      <c r="F235">
        <f t="shared" si="21"/>
        <v>0</v>
      </c>
      <c r="G235" t="str">
        <f t="shared" si="16"/>
        <v>q</v>
      </c>
      <c r="H235" t="str">
        <f>VLOOKUP(D235,name!A:C,3,1)</f>
        <v>assets/icons/image326.png</v>
      </c>
      <c r="I235" t="s">
        <v>402</v>
      </c>
    </row>
    <row r="236" spans="1:9" x14ac:dyDescent="0.15">
      <c r="A236">
        <f t="shared" si="18"/>
        <v>0</v>
      </c>
      <c r="B236">
        <f t="shared" si="19"/>
        <v>1</v>
      </c>
      <c r="C236">
        <f t="shared" si="22"/>
        <v>235</v>
      </c>
      <c r="D236">
        <v>0</v>
      </c>
      <c r="E236" t="str">
        <f>VLOOKUP(D236,name!A:B,2,1)</f>
        <v>Player</v>
      </c>
      <c r="F236">
        <f t="shared" si="21"/>
        <v>0</v>
      </c>
      <c r="G236" t="str">
        <f t="shared" si="16"/>
        <v>q</v>
      </c>
      <c r="H236" t="str">
        <f>VLOOKUP(D236,name!A:C,3,1)</f>
        <v>assets/icons/image326.png</v>
      </c>
      <c r="I236" t="e">
        <f>IF(A236="","",VLOOKUP(A236,lng!A:B,2,0))</f>
        <v>#N/A</v>
      </c>
    </row>
    <row r="237" spans="1:9" x14ac:dyDescent="0.15">
      <c r="A237">
        <f t="shared" si="18"/>
        <v>0</v>
      </c>
      <c r="B237">
        <f t="shared" si="19"/>
        <v>1</v>
      </c>
      <c r="C237">
        <f t="shared" si="22"/>
        <v>236</v>
      </c>
      <c r="D237">
        <f t="shared" si="20"/>
        <v>0</v>
      </c>
      <c r="E237" t="str">
        <f>VLOOKUP(D237,name!A:B,2,1)</f>
        <v>Player</v>
      </c>
      <c r="F237">
        <f t="shared" si="21"/>
        <v>0</v>
      </c>
      <c r="G237" t="str">
        <f t="shared" si="16"/>
        <v>q</v>
      </c>
      <c r="H237" t="str">
        <f>VLOOKUP(D237,name!A:C,3,1)</f>
        <v>assets/icons/image326.png</v>
      </c>
      <c r="I237" t="s">
        <v>402</v>
      </c>
    </row>
    <row r="238" spans="1:9" x14ac:dyDescent="0.15">
      <c r="A238">
        <f t="shared" ref="A238:A269" si="23">A237</f>
        <v>0</v>
      </c>
      <c r="B238">
        <f t="shared" ref="B238:B269" si="24">B237</f>
        <v>1</v>
      </c>
      <c r="C238">
        <f t="shared" si="22"/>
        <v>237</v>
      </c>
      <c r="D238">
        <v>0</v>
      </c>
      <c r="E238" t="str">
        <f>VLOOKUP(D238,name!A:B,2,1)</f>
        <v>Player</v>
      </c>
      <c r="F238">
        <f t="shared" si="21"/>
        <v>0</v>
      </c>
      <c r="G238" t="str">
        <f t="shared" si="16"/>
        <v>q</v>
      </c>
      <c r="H238" t="str">
        <f>VLOOKUP(D238,name!A:C,3,1)</f>
        <v>assets/icons/image326.png</v>
      </c>
      <c r="I238" t="e">
        <f>IF(A238="","",VLOOKUP(A238,lng!A:B,2,0))</f>
        <v>#N/A</v>
      </c>
    </row>
    <row r="239" spans="1:9" x14ac:dyDescent="0.15">
      <c r="A239">
        <f t="shared" si="23"/>
        <v>0</v>
      </c>
      <c r="B239">
        <f t="shared" si="24"/>
        <v>1</v>
      </c>
      <c r="C239">
        <f t="shared" si="22"/>
        <v>238</v>
      </c>
      <c r="D239">
        <f t="shared" si="20"/>
        <v>0</v>
      </c>
      <c r="E239" t="str">
        <f>VLOOKUP(D239,name!A:B,2,1)</f>
        <v>Player</v>
      </c>
      <c r="F239">
        <f t="shared" si="21"/>
        <v>0</v>
      </c>
      <c r="G239" t="str">
        <f t="shared" si="16"/>
        <v>q</v>
      </c>
      <c r="H239" t="str">
        <f>VLOOKUP(D239,name!A:C,3,1)</f>
        <v>assets/icons/image326.png</v>
      </c>
      <c r="I239" t="s">
        <v>402</v>
      </c>
    </row>
    <row r="240" spans="1:9" x14ac:dyDescent="0.15">
      <c r="A240">
        <f t="shared" si="23"/>
        <v>0</v>
      </c>
      <c r="B240">
        <f t="shared" si="24"/>
        <v>1</v>
      </c>
      <c r="C240">
        <f t="shared" si="22"/>
        <v>239</v>
      </c>
      <c r="D240">
        <v>0</v>
      </c>
      <c r="E240" t="str">
        <f>VLOOKUP(D240,name!A:B,2,1)</f>
        <v>Player</v>
      </c>
      <c r="F240">
        <f t="shared" si="21"/>
        <v>0</v>
      </c>
      <c r="G240" t="str">
        <f t="shared" si="16"/>
        <v>q</v>
      </c>
      <c r="H240" t="str">
        <f>VLOOKUP(D240,name!A:C,3,1)</f>
        <v>assets/icons/image326.png</v>
      </c>
      <c r="I240" t="e">
        <f>IF(A240="","",VLOOKUP(A240,lng!A:B,2,0))</f>
        <v>#N/A</v>
      </c>
    </row>
    <row r="241" spans="1:9" x14ac:dyDescent="0.15">
      <c r="A241">
        <f t="shared" si="23"/>
        <v>0</v>
      </c>
      <c r="B241">
        <f t="shared" si="24"/>
        <v>1</v>
      </c>
      <c r="C241">
        <f t="shared" si="22"/>
        <v>240</v>
      </c>
      <c r="D241">
        <f t="shared" si="20"/>
        <v>0</v>
      </c>
      <c r="E241" t="str">
        <f>VLOOKUP(D241,name!A:B,2,1)</f>
        <v>Player</v>
      </c>
      <c r="F241">
        <f t="shared" si="21"/>
        <v>0</v>
      </c>
      <c r="G241" t="str">
        <f t="shared" si="16"/>
        <v>q</v>
      </c>
      <c r="H241" t="str">
        <f>VLOOKUP(D241,name!A:C,3,1)</f>
        <v>assets/icons/image326.png</v>
      </c>
      <c r="I241" t="s">
        <v>402</v>
      </c>
    </row>
    <row r="242" spans="1:9" x14ac:dyDescent="0.15">
      <c r="A242">
        <f t="shared" si="23"/>
        <v>0</v>
      </c>
      <c r="B242">
        <f t="shared" si="24"/>
        <v>1</v>
      </c>
      <c r="C242">
        <f t="shared" si="22"/>
        <v>241</v>
      </c>
      <c r="D242">
        <v>0</v>
      </c>
      <c r="E242" t="str">
        <f>VLOOKUP(D242,name!A:B,2,1)</f>
        <v>Player</v>
      </c>
      <c r="F242">
        <f t="shared" si="21"/>
        <v>0</v>
      </c>
      <c r="G242" t="str">
        <f t="shared" si="16"/>
        <v>q</v>
      </c>
      <c r="H242" t="str">
        <f>VLOOKUP(D242,name!A:C,3,1)</f>
        <v>assets/icons/image326.png</v>
      </c>
      <c r="I242" t="e">
        <f>IF(A242="","",VLOOKUP(A242,lng!A:B,2,0))</f>
        <v>#N/A</v>
      </c>
    </row>
    <row r="243" spans="1:9" x14ac:dyDescent="0.15">
      <c r="A243">
        <f t="shared" si="23"/>
        <v>0</v>
      </c>
      <c r="B243">
        <f t="shared" si="24"/>
        <v>1</v>
      </c>
      <c r="C243">
        <f t="shared" si="22"/>
        <v>242</v>
      </c>
      <c r="D243">
        <f t="shared" si="20"/>
        <v>0</v>
      </c>
      <c r="E243" t="str">
        <f>VLOOKUP(D243,name!A:B,2,1)</f>
        <v>Player</v>
      </c>
      <c r="F243">
        <f t="shared" si="21"/>
        <v>0</v>
      </c>
      <c r="G243" t="str">
        <f t="shared" si="16"/>
        <v>q</v>
      </c>
      <c r="H243" t="str">
        <f>VLOOKUP(D243,name!A:C,3,1)</f>
        <v>assets/icons/image326.png</v>
      </c>
      <c r="I243" t="s">
        <v>402</v>
      </c>
    </row>
    <row r="244" spans="1:9" x14ac:dyDescent="0.15">
      <c r="A244">
        <f t="shared" si="23"/>
        <v>0</v>
      </c>
      <c r="B244">
        <f t="shared" si="24"/>
        <v>1</v>
      </c>
      <c r="C244">
        <f t="shared" si="22"/>
        <v>243</v>
      </c>
      <c r="D244">
        <v>0</v>
      </c>
      <c r="E244" t="str">
        <f>VLOOKUP(D244,name!A:B,2,1)</f>
        <v>Player</v>
      </c>
      <c r="F244">
        <f t="shared" si="21"/>
        <v>0</v>
      </c>
      <c r="G244" t="str">
        <f t="shared" si="16"/>
        <v>q</v>
      </c>
      <c r="H244" t="str">
        <f>VLOOKUP(D244,name!A:C,3,1)</f>
        <v>assets/icons/image326.png</v>
      </c>
      <c r="I244" t="e">
        <f>IF(A244="","",VLOOKUP(A244,lng!A:B,2,0))</f>
        <v>#N/A</v>
      </c>
    </row>
    <row r="245" spans="1:9" x14ac:dyDescent="0.15">
      <c r="A245">
        <f t="shared" si="23"/>
        <v>0</v>
      </c>
      <c r="B245">
        <f t="shared" si="24"/>
        <v>1</v>
      </c>
      <c r="C245">
        <f t="shared" si="22"/>
        <v>244</v>
      </c>
      <c r="D245">
        <f t="shared" si="20"/>
        <v>0</v>
      </c>
      <c r="E245" t="str">
        <f>VLOOKUP(D245,name!A:B,2,1)</f>
        <v>Player</v>
      </c>
      <c r="F245">
        <f t="shared" si="21"/>
        <v>0</v>
      </c>
      <c r="G245" t="str">
        <f t="shared" si="16"/>
        <v>q</v>
      </c>
      <c r="H245" t="str">
        <f>VLOOKUP(D245,name!A:C,3,1)</f>
        <v>assets/icons/image326.png</v>
      </c>
      <c r="I245" t="s">
        <v>402</v>
      </c>
    </row>
    <row r="246" spans="1:9" x14ac:dyDescent="0.15">
      <c r="A246">
        <f t="shared" si="23"/>
        <v>0</v>
      </c>
      <c r="B246">
        <f t="shared" si="24"/>
        <v>1</v>
      </c>
      <c r="C246">
        <f t="shared" si="22"/>
        <v>245</v>
      </c>
      <c r="D246">
        <v>0</v>
      </c>
      <c r="E246" t="str">
        <f>VLOOKUP(D246,name!A:B,2,1)</f>
        <v>Player</v>
      </c>
      <c r="F246">
        <f t="shared" si="21"/>
        <v>0</v>
      </c>
      <c r="G246" t="str">
        <f t="shared" si="16"/>
        <v>q</v>
      </c>
      <c r="H246" t="str">
        <f>VLOOKUP(D246,name!A:C,3,1)</f>
        <v>assets/icons/image326.png</v>
      </c>
      <c r="I246" t="e">
        <f>IF(A246="","",VLOOKUP(A246,lng!A:B,2,0))</f>
        <v>#N/A</v>
      </c>
    </row>
    <row r="247" spans="1:9" x14ac:dyDescent="0.15">
      <c r="A247">
        <f t="shared" si="23"/>
        <v>0</v>
      </c>
      <c r="B247">
        <f t="shared" si="24"/>
        <v>1</v>
      </c>
      <c r="C247">
        <f t="shared" si="22"/>
        <v>246</v>
      </c>
      <c r="D247">
        <f t="shared" si="20"/>
        <v>0</v>
      </c>
      <c r="E247" t="str">
        <f>VLOOKUP(D247,name!A:B,2,1)</f>
        <v>Player</v>
      </c>
      <c r="F247">
        <f t="shared" si="21"/>
        <v>0</v>
      </c>
      <c r="G247" t="str">
        <f t="shared" si="16"/>
        <v>q</v>
      </c>
      <c r="H247" t="str">
        <f>VLOOKUP(D247,name!A:C,3,1)</f>
        <v>assets/icons/image326.png</v>
      </c>
      <c r="I247" t="s">
        <v>402</v>
      </c>
    </row>
    <row r="248" spans="1:9" x14ac:dyDescent="0.15">
      <c r="A248">
        <f t="shared" si="23"/>
        <v>0</v>
      </c>
      <c r="B248">
        <f t="shared" si="24"/>
        <v>1</v>
      </c>
      <c r="C248">
        <f t="shared" si="22"/>
        <v>247</v>
      </c>
      <c r="D248">
        <v>0</v>
      </c>
      <c r="E248" t="str">
        <f>VLOOKUP(D248,name!A:B,2,1)</f>
        <v>Player</v>
      </c>
      <c r="F248">
        <f t="shared" si="21"/>
        <v>0</v>
      </c>
      <c r="G248" t="str">
        <f t="shared" si="16"/>
        <v>q</v>
      </c>
      <c r="H248" t="str">
        <f>VLOOKUP(D248,name!A:C,3,1)</f>
        <v>assets/icons/image326.png</v>
      </c>
      <c r="I248" t="e">
        <f>IF(A248="","",VLOOKUP(A248,lng!A:B,2,0))</f>
        <v>#N/A</v>
      </c>
    </row>
    <row r="249" spans="1:9" x14ac:dyDescent="0.15">
      <c r="A249">
        <f t="shared" si="23"/>
        <v>0</v>
      </c>
      <c r="B249">
        <f t="shared" si="24"/>
        <v>1</v>
      </c>
      <c r="C249">
        <f t="shared" si="22"/>
        <v>248</v>
      </c>
      <c r="D249">
        <f t="shared" si="20"/>
        <v>0</v>
      </c>
      <c r="E249" t="str">
        <f>VLOOKUP(D249,name!A:B,2,1)</f>
        <v>Player</v>
      </c>
      <c r="F249">
        <f t="shared" si="21"/>
        <v>0</v>
      </c>
      <c r="G249" t="str">
        <f t="shared" si="16"/>
        <v>q</v>
      </c>
      <c r="H249" t="str">
        <f>VLOOKUP(D249,name!A:C,3,1)</f>
        <v>assets/icons/image326.png</v>
      </c>
      <c r="I249" t="s">
        <v>402</v>
      </c>
    </row>
    <row r="250" spans="1:9" x14ac:dyDescent="0.15">
      <c r="A250">
        <f t="shared" si="23"/>
        <v>0</v>
      </c>
      <c r="B250">
        <f t="shared" si="24"/>
        <v>1</v>
      </c>
      <c r="C250">
        <f t="shared" si="22"/>
        <v>249</v>
      </c>
      <c r="D250">
        <v>0</v>
      </c>
      <c r="E250" t="str">
        <f>VLOOKUP(D250,name!A:B,2,1)</f>
        <v>Player</v>
      </c>
      <c r="F250">
        <f t="shared" si="21"/>
        <v>0</v>
      </c>
      <c r="G250" t="str">
        <f t="shared" si="16"/>
        <v>q</v>
      </c>
      <c r="H250" t="str">
        <f>VLOOKUP(D250,name!A:C,3,1)</f>
        <v>assets/icons/image326.png</v>
      </c>
      <c r="I250" t="e">
        <f>IF(A250="","",VLOOKUP(A250,lng!A:B,2,0))</f>
        <v>#N/A</v>
      </c>
    </row>
    <row r="251" spans="1:9" x14ac:dyDescent="0.15">
      <c r="A251">
        <f t="shared" si="23"/>
        <v>0</v>
      </c>
      <c r="B251">
        <f t="shared" si="24"/>
        <v>1</v>
      </c>
      <c r="C251">
        <f t="shared" si="22"/>
        <v>250</v>
      </c>
      <c r="D251">
        <f t="shared" si="20"/>
        <v>0</v>
      </c>
      <c r="E251" t="str">
        <f>VLOOKUP(D251,name!A:B,2,1)</f>
        <v>Player</v>
      </c>
      <c r="F251">
        <f t="shared" si="21"/>
        <v>0</v>
      </c>
      <c r="G251" t="str">
        <f t="shared" ref="G251:G286" si="25">IF(B251&lt;&gt;B252,"e",IF(D251=0,"q","a"))</f>
        <v>q</v>
      </c>
      <c r="H251" t="str">
        <f>VLOOKUP(D251,name!A:C,3,1)</f>
        <v>assets/icons/image326.png</v>
      </c>
      <c r="I251" t="s">
        <v>402</v>
      </c>
    </row>
    <row r="252" spans="1:9" x14ac:dyDescent="0.15">
      <c r="A252">
        <f t="shared" si="23"/>
        <v>0</v>
      </c>
      <c r="B252">
        <f t="shared" si="24"/>
        <v>1</v>
      </c>
      <c r="C252">
        <f t="shared" si="22"/>
        <v>251</v>
      </c>
      <c r="D252">
        <v>0</v>
      </c>
      <c r="E252" t="str">
        <f>VLOOKUP(D252,name!A:B,2,1)</f>
        <v>Player</v>
      </c>
      <c r="F252">
        <f t="shared" si="21"/>
        <v>0</v>
      </c>
      <c r="G252" t="str">
        <f t="shared" si="25"/>
        <v>q</v>
      </c>
      <c r="H252" t="str">
        <f>VLOOKUP(D252,name!A:C,3,1)</f>
        <v>assets/icons/image326.png</v>
      </c>
      <c r="I252" t="e">
        <f>IF(A252="","",VLOOKUP(A252,lng!A:B,2,0))</f>
        <v>#N/A</v>
      </c>
    </row>
    <row r="253" spans="1:9" x14ac:dyDescent="0.15">
      <c r="A253">
        <f t="shared" si="23"/>
        <v>0</v>
      </c>
      <c r="B253">
        <f t="shared" si="24"/>
        <v>1</v>
      </c>
      <c r="C253">
        <f t="shared" si="22"/>
        <v>252</v>
      </c>
      <c r="D253">
        <f t="shared" si="20"/>
        <v>0</v>
      </c>
      <c r="E253" t="str">
        <f>VLOOKUP(D253,name!A:B,2,1)</f>
        <v>Player</v>
      </c>
      <c r="F253">
        <f t="shared" si="21"/>
        <v>0</v>
      </c>
      <c r="G253" t="str">
        <f t="shared" si="25"/>
        <v>q</v>
      </c>
      <c r="H253" t="str">
        <f>VLOOKUP(D253,name!A:C,3,1)</f>
        <v>assets/icons/image326.png</v>
      </c>
      <c r="I253" t="s">
        <v>402</v>
      </c>
    </row>
    <row r="254" spans="1:9" x14ac:dyDescent="0.15">
      <c r="A254">
        <f t="shared" si="23"/>
        <v>0</v>
      </c>
      <c r="B254">
        <f t="shared" si="24"/>
        <v>1</v>
      </c>
      <c r="C254">
        <f t="shared" si="22"/>
        <v>253</v>
      </c>
      <c r="D254">
        <v>0</v>
      </c>
      <c r="E254" t="str">
        <f>VLOOKUP(D254,name!A:B,2,1)</f>
        <v>Player</v>
      </c>
      <c r="F254">
        <f t="shared" si="21"/>
        <v>0</v>
      </c>
      <c r="G254" t="str">
        <f t="shared" si="25"/>
        <v>q</v>
      </c>
      <c r="H254" t="str">
        <f>VLOOKUP(D254,name!A:C,3,1)</f>
        <v>assets/icons/image326.png</v>
      </c>
      <c r="I254" t="e">
        <f>IF(A254="","",VLOOKUP(A254,lng!A:B,2,0))</f>
        <v>#N/A</v>
      </c>
    </row>
    <row r="255" spans="1:9" x14ac:dyDescent="0.15">
      <c r="A255">
        <f t="shared" si="23"/>
        <v>0</v>
      </c>
      <c r="B255">
        <f t="shared" si="24"/>
        <v>1</v>
      </c>
      <c r="C255">
        <f t="shared" si="22"/>
        <v>254</v>
      </c>
      <c r="D255">
        <f t="shared" si="20"/>
        <v>0</v>
      </c>
      <c r="E255" t="str">
        <f>VLOOKUP(D255,name!A:B,2,1)</f>
        <v>Player</v>
      </c>
      <c r="F255">
        <f t="shared" si="21"/>
        <v>0</v>
      </c>
      <c r="G255" t="str">
        <f t="shared" si="25"/>
        <v>q</v>
      </c>
      <c r="H255" t="str">
        <f>VLOOKUP(D255,name!A:C,3,1)</f>
        <v>assets/icons/image326.png</v>
      </c>
      <c r="I255" t="s">
        <v>402</v>
      </c>
    </row>
    <row r="256" spans="1:9" x14ac:dyDescent="0.15">
      <c r="A256">
        <f t="shared" si="23"/>
        <v>0</v>
      </c>
      <c r="B256">
        <f t="shared" si="24"/>
        <v>1</v>
      </c>
      <c r="C256">
        <f t="shared" si="22"/>
        <v>255</v>
      </c>
      <c r="D256">
        <v>0</v>
      </c>
      <c r="E256" t="str">
        <f>VLOOKUP(D256,name!A:B,2,1)</f>
        <v>Player</v>
      </c>
      <c r="F256">
        <f t="shared" si="21"/>
        <v>0</v>
      </c>
      <c r="G256" t="str">
        <f t="shared" si="25"/>
        <v>q</v>
      </c>
      <c r="H256" t="str">
        <f>VLOOKUP(D256,name!A:C,3,1)</f>
        <v>assets/icons/image326.png</v>
      </c>
      <c r="I256" t="e">
        <f>IF(A256="","",VLOOKUP(A256,lng!A:B,2,0))</f>
        <v>#N/A</v>
      </c>
    </row>
    <row r="257" spans="1:9" x14ac:dyDescent="0.15">
      <c r="A257">
        <f t="shared" si="23"/>
        <v>0</v>
      </c>
      <c r="B257">
        <f t="shared" si="24"/>
        <v>1</v>
      </c>
      <c r="C257">
        <f t="shared" si="22"/>
        <v>256</v>
      </c>
      <c r="D257">
        <f t="shared" si="20"/>
        <v>0</v>
      </c>
      <c r="E257" t="str">
        <f>VLOOKUP(D257,name!A:B,2,1)</f>
        <v>Player</v>
      </c>
      <c r="F257">
        <f t="shared" si="21"/>
        <v>0</v>
      </c>
      <c r="G257" t="str">
        <f t="shared" si="25"/>
        <v>q</v>
      </c>
      <c r="H257" t="str">
        <f>VLOOKUP(D257,name!A:C,3,1)</f>
        <v>assets/icons/image326.png</v>
      </c>
      <c r="I257" t="s">
        <v>402</v>
      </c>
    </row>
    <row r="258" spans="1:9" x14ac:dyDescent="0.15">
      <c r="A258">
        <f t="shared" si="23"/>
        <v>0</v>
      </c>
      <c r="B258">
        <f t="shared" si="24"/>
        <v>1</v>
      </c>
      <c r="C258">
        <f t="shared" si="22"/>
        <v>257</v>
      </c>
      <c r="D258">
        <v>0</v>
      </c>
      <c r="E258" t="str">
        <f>VLOOKUP(D258,name!A:B,2,1)</f>
        <v>Player</v>
      </c>
      <c r="F258">
        <f t="shared" si="21"/>
        <v>0</v>
      </c>
      <c r="G258" t="str">
        <f t="shared" si="25"/>
        <v>q</v>
      </c>
      <c r="H258" t="str">
        <f>VLOOKUP(D258,name!A:C,3,1)</f>
        <v>assets/icons/image326.png</v>
      </c>
      <c r="I258" t="e">
        <f>IF(A258="","",VLOOKUP(A258,lng!A:B,2,0))</f>
        <v>#N/A</v>
      </c>
    </row>
    <row r="259" spans="1:9" x14ac:dyDescent="0.15">
      <c r="A259">
        <f t="shared" si="23"/>
        <v>0</v>
      </c>
      <c r="B259">
        <f t="shared" si="24"/>
        <v>1</v>
      </c>
      <c r="C259">
        <f t="shared" si="22"/>
        <v>258</v>
      </c>
      <c r="D259">
        <f t="shared" si="20"/>
        <v>0</v>
      </c>
      <c r="E259" t="str">
        <f>VLOOKUP(D259,name!A:B,2,1)</f>
        <v>Player</v>
      </c>
      <c r="F259">
        <f t="shared" si="21"/>
        <v>0</v>
      </c>
      <c r="G259" t="str">
        <f t="shared" si="25"/>
        <v>q</v>
      </c>
      <c r="H259" t="str">
        <f>VLOOKUP(D259,name!A:C,3,1)</f>
        <v>assets/icons/image326.png</v>
      </c>
      <c r="I259" t="s">
        <v>402</v>
      </c>
    </row>
    <row r="260" spans="1:9" x14ac:dyDescent="0.15">
      <c r="A260">
        <f t="shared" si="23"/>
        <v>0</v>
      </c>
      <c r="B260">
        <f t="shared" si="24"/>
        <v>1</v>
      </c>
      <c r="C260">
        <f t="shared" si="22"/>
        <v>259</v>
      </c>
      <c r="D260">
        <v>0</v>
      </c>
      <c r="E260" t="str">
        <f>VLOOKUP(D260,name!A:B,2,1)</f>
        <v>Player</v>
      </c>
      <c r="F260">
        <f t="shared" si="21"/>
        <v>0</v>
      </c>
      <c r="G260" t="str">
        <f t="shared" si="25"/>
        <v>q</v>
      </c>
      <c r="H260" t="str">
        <f>VLOOKUP(D260,name!A:C,3,1)</f>
        <v>assets/icons/image326.png</v>
      </c>
      <c r="I260" t="e">
        <f>IF(A260="","",VLOOKUP(A260,lng!A:B,2,0))</f>
        <v>#N/A</v>
      </c>
    </row>
    <row r="261" spans="1:9" x14ac:dyDescent="0.15">
      <c r="A261">
        <f t="shared" si="23"/>
        <v>0</v>
      </c>
      <c r="B261">
        <f t="shared" si="24"/>
        <v>1</v>
      </c>
      <c r="C261">
        <f t="shared" si="22"/>
        <v>260</v>
      </c>
      <c r="D261">
        <f t="shared" si="20"/>
        <v>0</v>
      </c>
      <c r="E261" t="str">
        <f>VLOOKUP(D261,name!A:B,2,1)</f>
        <v>Player</v>
      </c>
      <c r="F261">
        <f t="shared" si="21"/>
        <v>0</v>
      </c>
      <c r="G261" t="str">
        <f t="shared" si="25"/>
        <v>q</v>
      </c>
      <c r="H261" t="str">
        <f>VLOOKUP(D261,name!A:C,3,1)</f>
        <v>assets/icons/image326.png</v>
      </c>
      <c r="I261" t="s">
        <v>402</v>
      </c>
    </row>
    <row r="262" spans="1:9" x14ac:dyDescent="0.15">
      <c r="A262">
        <f t="shared" si="23"/>
        <v>0</v>
      </c>
      <c r="B262">
        <f t="shared" si="24"/>
        <v>1</v>
      </c>
      <c r="C262">
        <f t="shared" si="22"/>
        <v>261</v>
      </c>
      <c r="D262">
        <v>0</v>
      </c>
      <c r="E262" t="str">
        <f>VLOOKUP(D262,name!A:B,2,1)</f>
        <v>Player</v>
      </c>
      <c r="F262">
        <f t="shared" si="21"/>
        <v>0</v>
      </c>
      <c r="G262" t="str">
        <f t="shared" si="25"/>
        <v>q</v>
      </c>
      <c r="H262" t="str">
        <f>VLOOKUP(D262,name!A:C,3,1)</f>
        <v>assets/icons/image326.png</v>
      </c>
      <c r="I262" t="e">
        <f>IF(A262="","",VLOOKUP(A262,lng!A:B,2,0))</f>
        <v>#N/A</v>
      </c>
    </row>
    <row r="263" spans="1:9" x14ac:dyDescent="0.15">
      <c r="A263">
        <f t="shared" si="23"/>
        <v>0</v>
      </c>
      <c r="B263">
        <f t="shared" si="24"/>
        <v>1</v>
      </c>
      <c r="C263">
        <f t="shared" si="22"/>
        <v>262</v>
      </c>
      <c r="D263">
        <f t="shared" si="20"/>
        <v>0</v>
      </c>
      <c r="E263" t="str">
        <f>VLOOKUP(D263,name!A:B,2,1)</f>
        <v>Player</v>
      </c>
      <c r="F263">
        <f t="shared" si="21"/>
        <v>0</v>
      </c>
      <c r="G263" t="str">
        <f t="shared" si="25"/>
        <v>q</v>
      </c>
      <c r="H263" t="str">
        <f>VLOOKUP(D263,name!A:C,3,1)</f>
        <v>assets/icons/image326.png</v>
      </c>
      <c r="I263" t="s">
        <v>402</v>
      </c>
    </row>
    <row r="264" spans="1:9" x14ac:dyDescent="0.15">
      <c r="A264">
        <f t="shared" si="23"/>
        <v>0</v>
      </c>
      <c r="B264">
        <f t="shared" si="24"/>
        <v>1</v>
      </c>
      <c r="C264">
        <f t="shared" si="22"/>
        <v>263</v>
      </c>
      <c r="D264">
        <v>0</v>
      </c>
      <c r="E264" t="str">
        <f>VLOOKUP(D264,name!A:B,2,1)</f>
        <v>Player</v>
      </c>
      <c r="F264">
        <f t="shared" si="21"/>
        <v>0</v>
      </c>
      <c r="G264" t="str">
        <f t="shared" si="25"/>
        <v>q</v>
      </c>
      <c r="H264" t="str">
        <f>VLOOKUP(D264,name!A:C,3,1)</f>
        <v>assets/icons/image326.png</v>
      </c>
      <c r="I264" t="e">
        <f>IF(A264="","",VLOOKUP(A264,lng!A:B,2,0))</f>
        <v>#N/A</v>
      </c>
    </row>
    <row r="265" spans="1:9" x14ac:dyDescent="0.15">
      <c r="A265">
        <f t="shared" si="23"/>
        <v>0</v>
      </c>
      <c r="B265">
        <f t="shared" si="24"/>
        <v>1</v>
      </c>
      <c r="C265">
        <f t="shared" si="22"/>
        <v>264</v>
      </c>
      <c r="D265">
        <f t="shared" si="20"/>
        <v>0</v>
      </c>
      <c r="E265" t="str">
        <f>VLOOKUP(D265,name!A:B,2,1)</f>
        <v>Player</v>
      </c>
      <c r="F265">
        <f t="shared" si="21"/>
        <v>0</v>
      </c>
      <c r="G265" t="str">
        <f t="shared" si="25"/>
        <v>q</v>
      </c>
      <c r="H265" t="str">
        <f>VLOOKUP(D265,name!A:C,3,1)</f>
        <v>assets/icons/image326.png</v>
      </c>
      <c r="I265" t="s">
        <v>402</v>
      </c>
    </row>
    <row r="266" spans="1:9" x14ac:dyDescent="0.15">
      <c r="A266">
        <f t="shared" si="23"/>
        <v>0</v>
      </c>
      <c r="B266">
        <f t="shared" si="24"/>
        <v>1</v>
      </c>
      <c r="C266">
        <f t="shared" si="22"/>
        <v>265</v>
      </c>
      <c r="D266">
        <v>0</v>
      </c>
      <c r="E266" t="str">
        <f>VLOOKUP(D266,name!A:B,2,1)</f>
        <v>Player</v>
      </c>
      <c r="F266">
        <f t="shared" si="21"/>
        <v>0</v>
      </c>
      <c r="G266" t="str">
        <f t="shared" si="25"/>
        <v>q</v>
      </c>
      <c r="H266" t="str">
        <f>VLOOKUP(D266,name!A:C,3,1)</f>
        <v>assets/icons/image326.png</v>
      </c>
      <c r="I266" t="e">
        <f>IF(A266="","",VLOOKUP(A266,lng!A:B,2,0))</f>
        <v>#N/A</v>
      </c>
    </row>
    <row r="267" spans="1:9" x14ac:dyDescent="0.15">
      <c r="A267">
        <f t="shared" si="23"/>
        <v>0</v>
      </c>
      <c r="B267">
        <f t="shared" si="24"/>
        <v>1</v>
      </c>
      <c r="C267">
        <f t="shared" si="22"/>
        <v>266</v>
      </c>
      <c r="D267">
        <f t="shared" si="20"/>
        <v>0</v>
      </c>
      <c r="E267" t="str">
        <f>VLOOKUP(D267,name!A:B,2,1)</f>
        <v>Player</v>
      </c>
      <c r="F267">
        <f t="shared" si="21"/>
        <v>0</v>
      </c>
      <c r="G267" t="str">
        <f t="shared" si="25"/>
        <v>q</v>
      </c>
      <c r="H267" t="str">
        <f>VLOOKUP(D267,name!A:C,3,1)</f>
        <v>assets/icons/image326.png</v>
      </c>
      <c r="I267" t="s">
        <v>402</v>
      </c>
    </row>
    <row r="268" spans="1:9" x14ac:dyDescent="0.15">
      <c r="A268">
        <f t="shared" si="23"/>
        <v>0</v>
      </c>
      <c r="B268">
        <f t="shared" si="24"/>
        <v>1</v>
      </c>
      <c r="C268">
        <f t="shared" si="22"/>
        <v>267</v>
      </c>
      <c r="D268">
        <v>0</v>
      </c>
      <c r="E268" t="str">
        <f>VLOOKUP(D268,name!A:B,2,1)</f>
        <v>Player</v>
      </c>
      <c r="F268">
        <f t="shared" si="21"/>
        <v>0</v>
      </c>
      <c r="G268" t="str">
        <f t="shared" si="25"/>
        <v>q</v>
      </c>
      <c r="H268" t="str">
        <f>VLOOKUP(D268,name!A:C,3,1)</f>
        <v>assets/icons/image326.png</v>
      </c>
      <c r="I268" t="e">
        <f>IF(A268="","",VLOOKUP(A268,lng!A:B,2,0))</f>
        <v>#N/A</v>
      </c>
    </row>
    <row r="269" spans="1:9" x14ac:dyDescent="0.15">
      <c r="A269">
        <f t="shared" si="23"/>
        <v>0</v>
      </c>
      <c r="B269">
        <f t="shared" si="24"/>
        <v>1</v>
      </c>
      <c r="C269">
        <f t="shared" si="22"/>
        <v>268</v>
      </c>
      <c r="D269">
        <f t="shared" si="20"/>
        <v>0</v>
      </c>
      <c r="E269" t="str">
        <f>VLOOKUP(D269,name!A:B,2,1)</f>
        <v>Player</v>
      </c>
      <c r="F269">
        <f t="shared" si="21"/>
        <v>0</v>
      </c>
      <c r="G269" t="str">
        <f t="shared" si="25"/>
        <v>q</v>
      </c>
      <c r="H269" t="str">
        <f>VLOOKUP(D269,name!A:C,3,1)</f>
        <v>assets/icons/image326.png</v>
      </c>
      <c r="I269" t="s">
        <v>402</v>
      </c>
    </row>
    <row r="270" spans="1:9" x14ac:dyDescent="0.15">
      <c r="A270">
        <f t="shared" ref="A270:A287" si="26">A269</f>
        <v>0</v>
      </c>
      <c r="B270">
        <f t="shared" ref="B270:B287" si="27">B269</f>
        <v>1</v>
      </c>
      <c r="C270">
        <f t="shared" si="22"/>
        <v>269</v>
      </c>
      <c r="D270">
        <v>0</v>
      </c>
      <c r="E270" t="str">
        <f>VLOOKUP(D270,name!A:B,2,1)</f>
        <v>Player</v>
      </c>
      <c r="F270">
        <f t="shared" si="21"/>
        <v>0</v>
      </c>
      <c r="G270" t="str">
        <f t="shared" si="25"/>
        <v>q</v>
      </c>
      <c r="H270" t="str">
        <f>VLOOKUP(D270,name!A:C,3,1)</f>
        <v>assets/icons/image326.png</v>
      </c>
      <c r="I270" t="e">
        <f>IF(A270="","",VLOOKUP(A270,lng!A:B,2,0))</f>
        <v>#N/A</v>
      </c>
    </row>
    <row r="271" spans="1:9" x14ac:dyDescent="0.15">
      <c r="A271">
        <f t="shared" si="26"/>
        <v>0</v>
      </c>
      <c r="B271">
        <f t="shared" si="27"/>
        <v>1</v>
      </c>
      <c r="C271">
        <f t="shared" si="22"/>
        <v>270</v>
      </c>
      <c r="D271">
        <f t="shared" si="20"/>
        <v>0</v>
      </c>
      <c r="E271" t="str">
        <f>VLOOKUP(D271,name!A:B,2,1)</f>
        <v>Player</v>
      </c>
      <c r="F271">
        <f t="shared" si="21"/>
        <v>0</v>
      </c>
      <c r="G271" t="str">
        <f t="shared" si="25"/>
        <v>q</v>
      </c>
      <c r="H271" t="str">
        <f>VLOOKUP(D271,name!A:C,3,1)</f>
        <v>assets/icons/image326.png</v>
      </c>
      <c r="I271" t="s">
        <v>402</v>
      </c>
    </row>
    <row r="272" spans="1:9" x14ac:dyDescent="0.15">
      <c r="A272">
        <f t="shared" si="26"/>
        <v>0</v>
      </c>
      <c r="B272">
        <f t="shared" si="27"/>
        <v>1</v>
      </c>
      <c r="C272">
        <f t="shared" si="22"/>
        <v>271</v>
      </c>
      <c r="D272">
        <v>0</v>
      </c>
      <c r="E272" t="str">
        <f>VLOOKUP(D272,name!A:B,2,1)</f>
        <v>Player</v>
      </c>
      <c r="F272">
        <f t="shared" si="21"/>
        <v>0</v>
      </c>
      <c r="G272" t="str">
        <f t="shared" si="25"/>
        <v>q</v>
      </c>
      <c r="H272" t="str">
        <f>VLOOKUP(D272,name!A:C,3,1)</f>
        <v>assets/icons/image326.png</v>
      </c>
      <c r="I272" t="e">
        <f>IF(A272="","",VLOOKUP(A272,lng!A:B,2,0))</f>
        <v>#N/A</v>
      </c>
    </row>
    <row r="273" spans="1:9" x14ac:dyDescent="0.15">
      <c r="A273">
        <f t="shared" si="26"/>
        <v>0</v>
      </c>
      <c r="B273">
        <f t="shared" si="27"/>
        <v>1</v>
      </c>
      <c r="C273">
        <f t="shared" si="22"/>
        <v>272</v>
      </c>
      <c r="D273">
        <f t="shared" ref="D273:D285" si="28">D71</f>
        <v>0</v>
      </c>
      <c r="E273" t="str">
        <f>VLOOKUP(D273,name!A:B,2,1)</f>
        <v>Player</v>
      </c>
      <c r="F273">
        <f t="shared" ref="F273:F286" si="29">F71</f>
        <v>0</v>
      </c>
      <c r="G273" t="str">
        <f t="shared" si="25"/>
        <v>q</v>
      </c>
      <c r="H273" t="str">
        <f>VLOOKUP(D273,name!A:C,3,1)</f>
        <v>assets/icons/image326.png</v>
      </c>
      <c r="I273" t="s">
        <v>402</v>
      </c>
    </row>
    <row r="274" spans="1:9" x14ac:dyDescent="0.15">
      <c r="A274">
        <f t="shared" si="26"/>
        <v>0</v>
      </c>
      <c r="B274">
        <f t="shared" si="27"/>
        <v>1</v>
      </c>
      <c r="C274">
        <f t="shared" si="22"/>
        <v>273</v>
      </c>
      <c r="D274">
        <v>0</v>
      </c>
      <c r="E274" t="str">
        <f>VLOOKUP(D274,name!A:B,2,1)</f>
        <v>Player</v>
      </c>
      <c r="F274">
        <f t="shared" si="29"/>
        <v>0</v>
      </c>
      <c r="G274" t="str">
        <f t="shared" si="25"/>
        <v>q</v>
      </c>
      <c r="H274" t="str">
        <f>VLOOKUP(D274,name!A:C,3,1)</f>
        <v>assets/icons/image326.png</v>
      </c>
      <c r="I274" t="e">
        <f>IF(A274="","",VLOOKUP(A274,lng!A:B,2,0))</f>
        <v>#N/A</v>
      </c>
    </row>
    <row r="275" spans="1:9" x14ac:dyDescent="0.15">
      <c r="A275">
        <f t="shared" si="26"/>
        <v>0</v>
      </c>
      <c r="B275">
        <f t="shared" si="27"/>
        <v>1</v>
      </c>
      <c r="C275">
        <f t="shared" si="22"/>
        <v>274</v>
      </c>
      <c r="D275">
        <f t="shared" si="28"/>
        <v>0</v>
      </c>
      <c r="E275" t="str">
        <f>VLOOKUP(D275,name!A:B,2,1)</f>
        <v>Player</v>
      </c>
      <c r="F275">
        <f t="shared" si="29"/>
        <v>0</v>
      </c>
      <c r="G275" t="str">
        <f t="shared" si="25"/>
        <v>q</v>
      </c>
      <c r="H275" t="str">
        <f>VLOOKUP(D275,name!A:C,3,1)</f>
        <v>assets/icons/image326.png</v>
      </c>
      <c r="I275" t="s">
        <v>402</v>
      </c>
    </row>
    <row r="276" spans="1:9" x14ac:dyDescent="0.15">
      <c r="A276">
        <f t="shared" si="26"/>
        <v>0</v>
      </c>
      <c r="B276">
        <f t="shared" si="27"/>
        <v>1</v>
      </c>
      <c r="C276">
        <f t="shared" si="22"/>
        <v>275</v>
      </c>
      <c r="D276">
        <v>0</v>
      </c>
      <c r="E276" t="str">
        <f>VLOOKUP(D276,name!A:B,2,1)</f>
        <v>Player</v>
      </c>
      <c r="F276">
        <f t="shared" si="29"/>
        <v>0</v>
      </c>
      <c r="G276" t="str">
        <f t="shared" si="25"/>
        <v>q</v>
      </c>
      <c r="H276" t="str">
        <f>VLOOKUP(D276,name!A:C,3,1)</f>
        <v>assets/icons/image326.png</v>
      </c>
      <c r="I276" t="e">
        <f>IF(A276="","",VLOOKUP(A276,lng!A:B,2,0))</f>
        <v>#N/A</v>
      </c>
    </row>
    <row r="277" spans="1:9" x14ac:dyDescent="0.15">
      <c r="A277">
        <f t="shared" si="26"/>
        <v>0</v>
      </c>
      <c r="B277">
        <f t="shared" si="27"/>
        <v>1</v>
      </c>
      <c r="C277">
        <f t="shared" si="22"/>
        <v>276</v>
      </c>
      <c r="D277">
        <f t="shared" si="28"/>
        <v>0</v>
      </c>
      <c r="E277" t="str">
        <f>VLOOKUP(D277,name!A:B,2,1)</f>
        <v>Player</v>
      </c>
      <c r="F277">
        <f t="shared" si="29"/>
        <v>0</v>
      </c>
      <c r="G277" t="str">
        <f t="shared" si="25"/>
        <v>q</v>
      </c>
      <c r="H277" t="str">
        <f>VLOOKUP(D277,name!A:C,3,1)</f>
        <v>assets/icons/image326.png</v>
      </c>
      <c r="I277" t="s">
        <v>402</v>
      </c>
    </row>
    <row r="278" spans="1:9" x14ac:dyDescent="0.15">
      <c r="A278">
        <f t="shared" si="26"/>
        <v>0</v>
      </c>
      <c r="B278">
        <f t="shared" si="27"/>
        <v>1</v>
      </c>
      <c r="C278">
        <f t="shared" si="22"/>
        <v>277</v>
      </c>
      <c r="D278">
        <v>0</v>
      </c>
      <c r="E278" t="str">
        <f>VLOOKUP(D278,name!A:B,2,1)</f>
        <v>Player</v>
      </c>
      <c r="F278">
        <f t="shared" si="29"/>
        <v>0</v>
      </c>
      <c r="G278" t="str">
        <f t="shared" si="25"/>
        <v>q</v>
      </c>
      <c r="H278" t="str">
        <f>VLOOKUP(D278,name!A:C,3,1)</f>
        <v>assets/icons/image326.png</v>
      </c>
      <c r="I278" t="e">
        <f>IF(A278="","",VLOOKUP(A278,lng!A:B,2,0))</f>
        <v>#N/A</v>
      </c>
    </row>
    <row r="279" spans="1:9" x14ac:dyDescent="0.15">
      <c r="A279">
        <f t="shared" si="26"/>
        <v>0</v>
      </c>
      <c r="B279">
        <f t="shared" si="27"/>
        <v>1</v>
      </c>
      <c r="C279">
        <f t="shared" si="22"/>
        <v>278</v>
      </c>
      <c r="D279">
        <f t="shared" si="28"/>
        <v>0</v>
      </c>
      <c r="E279" t="str">
        <f>VLOOKUP(D279,name!A:B,2,1)</f>
        <v>Player</v>
      </c>
      <c r="F279">
        <f t="shared" si="29"/>
        <v>0</v>
      </c>
      <c r="G279" t="str">
        <f t="shared" si="25"/>
        <v>q</v>
      </c>
      <c r="H279" t="str">
        <f>VLOOKUP(D279,name!A:C,3,1)</f>
        <v>assets/icons/image326.png</v>
      </c>
      <c r="I279" t="s">
        <v>402</v>
      </c>
    </row>
    <row r="280" spans="1:9" x14ac:dyDescent="0.15">
      <c r="A280">
        <f t="shared" si="26"/>
        <v>0</v>
      </c>
      <c r="B280">
        <f t="shared" si="27"/>
        <v>1</v>
      </c>
      <c r="C280">
        <f t="shared" si="22"/>
        <v>279</v>
      </c>
      <c r="D280">
        <v>0</v>
      </c>
      <c r="E280" t="str">
        <f>VLOOKUP(D280,name!A:B,2,1)</f>
        <v>Player</v>
      </c>
      <c r="F280">
        <f t="shared" si="29"/>
        <v>0</v>
      </c>
      <c r="G280" t="str">
        <f t="shared" si="25"/>
        <v>q</v>
      </c>
      <c r="H280" t="str">
        <f>VLOOKUP(D280,name!A:C,3,1)</f>
        <v>assets/icons/image326.png</v>
      </c>
      <c r="I280" t="e">
        <f>IF(A280="","",VLOOKUP(A280,lng!A:B,2,0))</f>
        <v>#N/A</v>
      </c>
    </row>
    <row r="281" spans="1:9" x14ac:dyDescent="0.15">
      <c r="A281">
        <f t="shared" si="26"/>
        <v>0</v>
      </c>
      <c r="B281">
        <f t="shared" si="27"/>
        <v>1</v>
      </c>
      <c r="C281">
        <f t="shared" si="22"/>
        <v>280</v>
      </c>
      <c r="D281">
        <f t="shared" si="28"/>
        <v>0</v>
      </c>
      <c r="E281" t="str">
        <f>VLOOKUP(D281,name!A:B,2,1)</f>
        <v>Player</v>
      </c>
      <c r="F281">
        <f t="shared" si="29"/>
        <v>0</v>
      </c>
      <c r="G281" t="str">
        <f t="shared" si="25"/>
        <v>q</v>
      </c>
      <c r="H281" t="str">
        <f>VLOOKUP(D281,name!A:C,3,1)</f>
        <v>assets/icons/image326.png</v>
      </c>
      <c r="I281" t="s">
        <v>402</v>
      </c>
    </row>
    <row r="282" spans="1:9" x14ac:dyDescent="0.15">
      <c r="A282">
        <f t="shared" si="26"/>
        <v>0</v>
      </c>
      <c r="B282">
        <f t="shared" si="27"/>
        <v>1</v>
      </c>
      <c r="C282">
        <f t="shared" si="22"/>
        <v>281</v>
      </c>
      <c r="D282">
        <v>0</v>
      </c>
      <c r="E282" t="str">
        <f>VLOOKUP(D282,name!A:B,2,1)</f>
        <v>Player</v>
      </c>
      <c r="F282">
        <f t="shared" si="29"/>
        <v>0</v>
      </c>
      <c r="G282" t="str">
        <f t="shared" si="25"/>
        <v>q</v>
      </c>
      <c r="H282" t="str">
        <f>VLOOKUP(D282,name!A:C,3,1)</f>
        <v>assets/icons/image326.png</v>
      </c>
      <c r="I282" t="e">
        <f>IF(A282="","",VLOOKUP(A282,lng!A:B,2,0))</f>
        <v>#N/A</v>
      </c>
    </row>
    <row r="283" spans="1:9" x14ac:dyDescent="0.15">
      <c r="A283">
        <f t="shared" si="26"/>
        <v>0</v>
      </c>
      <c r="B283">
        <f t="shared" si="27"/>
        <v>1</v>
      </c>
      <c r="C283">
        <f t="shared" si="22"/>
        <v>282</v>
      </c>
      <c r="D283">
        <f t="shared" si="28"/>
        <v>0</v>
      </c>
      <c r="E283" t="str">
        <f>VLOOKUP(D283,name!A:B,2,1)</f>
        <v>Player</v>
      </c>
      <c r="F283">
        <f t="shared" si="29"/>
        <v>0</v>
      </c>
      <c r="G283" t="str">
        <f t="shared" si="25"/>
        <v>q</v>
      </c>
      <c r="H283" t="str">
        <f>VLOOKUP(D283,name!A:C,3,1)</f>
        <v>assets/icons/image326.png</v>
      </c>
      <c r="I283" t="s">
        <v>402</v>
      </c>
    </row>
    <row r="284" spans="1:9" x14ac:dyDescent="0.15">
      <c r="A284">
        <f t="shared" si="26"/>
        <v>0</v>
      </c>
      <c r="B284">
        <f t="shared" si="27"/>
        <v>1</v>
      </c>
      <c r="C284">
        <f t="shared" si="22"/>
        <v>283</v>
      </c>
      <c r="D284">
        <v>0</v>
      </c>
      <c r="E284" t="str">
        <f>VLOOKUP(D284,name!A:B,2,1)</f>
        <v>Player</v>
      </c>
      <c r="F284">
        <f t="shared" si="29"/>
        <v>0</v>
      </c>
      <c r="G284" t="str">
        <f t="shared" si="25"/>
        <v>q</v>
      </c>
      <c r="H284" t="str">
        <f>VLOOKUP(D284,name!A:C,3,1)</f>
        <v>assets/icons/image326.png</v>
      </c>
      <c r="I284" t="e">
        <f>IF(A284="","",VLOOKUP(A284,lng!A:B,2,0))</f>
        <v>#N/A</v>
      </c>
    </row>
    <row r="285" spans="1:9" x14ac:dyDescent="0.15">
      <c r="A285">
        <f t="shared" si="26"/>
        <v>0</v>
      </c>
      <c r="B285">
        <f t="shared" si="27"/>
        <v>1</v>
      </c>
      <c r="C285">
        <f t="shared" si="22"/>
        <v>284</v>
      </c>
      <c r="D285">
        <f t="shared" si="28"/>
        <v>0</v>
      </c>
      <c r="E285" t="str">
        <f>VLOOKUP(D285,name!A:B,2,1)</f>
        <v>Player</v>
      </c>
      <c r="F285">
        <f t="shared" si="29"/>
        <v>0</v>
      </c>
      <c r="G285" t="str">
        <f t="shared" si="25"/>
        <v>q</v>
      </c>
      <c r="H285" t="str">
        <f>VLOOKUP(D285,name!A:C,3,1)</f>
        <v>assets/icons/image326.png</v>
      </c>
      <c r="I285" t="s">
        <v>402</v>
      </c>
    </row>
    <row r="286" spans="1:9" x14ac:dyDescent="0.15">
      <c r="A286">
        <f t="shared" si="26"/>
        <v>0</v>
      </c>
      <c r="B286">
        <f t="shared" si="27"/>
        <v>1</v>
      </c>
      <c r="C286">
        <f t="shared" si="22"/>
        <v>285</v>
      </c>
      <c r="D286">
        <v>0</v>
      </c>
      <c r="E286" t="str">
        <f>VLOOKUP(D286,name!A:B,2,1)</f>
        <v>Player</v>
      </c>
      <c r="F286">
        <f t="shared" si="29"/>
        <v>0</v>
      </c>
      <c r="G286" t="str">
        <f t="shared" si="25"/>
        <v>q</v>
      </c>
      <c r="H286" t="str">
        <f>VLOOKUP(D286,name!A:C,3,1)</f>
        <v>assets/icons/image326.png</v>
      </c>
      <c r="I286" t="e">
        <f>IF(A286="","",VLOOKUP(A286,lng!A:B,2,0))</f>
        <v>#N/A</v>
      </c>
    </row>
    <row r="287" spans="1:9" x14ac:dyDescent="0.15">
      <c r="A287">
        <f t="shared" si="26"/>
        <v>0</v>
      </c>
      <c r="B287">
        <f t="shared" si="27"/>
        <v>1</v>
      </c>
      <c r="C287">
        <f t="shared" si="22"/>
        <v>286</v>
      </c>
      <c r="D287">
        <v>1</v>
      </c>
      <c r="E287" t="str">
        <f>VLOOKUP(D287,name!A:B,2,1)</f>
        <v>Navigator</v>
      </c>
      <c r="F287" t="str">
        <f>"とても良くできました。レッスン"&amp;B287&amp;"はこれで終了です。"</f>
        <v>とても良くできました。レッスン1はこれで終了です。</v>
      </c>
      <c r="G287" t="str">
        <f>IF(B287&lt;&gt;B288,"e",IF(D287=0,"q","a"))</f>
        <v>e</v>
      </c>
      <c r="H287" t="str">
        <f>VLOOKUP(D287,name!A:C,3,1)</f>
        <v>assets/icons/image014.png</v>
      </c>
      <c r="I287" t="s">
        <v>402</v>
      </c>
    </row>
  </sheetData>
  <sheetProtection algorithmName="SHA-512" hashValue="MdVNxkVYucZVf/Ym60Bc5HXTD1wzd8z4DHSw0fFxZW/Lyvzxr4sEAT4Xi3UcS9rcUdnUp1mS/Ti/7YmLTeiR0g==" saltValue="mULeldwMJXz1Wde+P8SvKA==" spinCount="100000" sheet="1" objects="1" scenarios="1"/>
  <phoneticPr fontId="1"/>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290" operator="containsText" id="{0B57F934-680E-4B7B-9308-0DF3EB75A883}">
            <xm:f>NOT(ISERROR(SEARCH($G$84,G2)))</xm:f>
            <xm:f>$G$84</xm:f>
            <x14:dxf>
              <font>
                <color auto="1"/>
              </font>
              <fill>
                <patternFill>
                  <bgColor rgb="FFFFC000"/>
                </patternFill>
              </fill>
            </x14:dxf>
          </x14:cfRule>
          <xm:sqref>G2:G287</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
  <sheetViews>
    <sheetView workbookViewId="0">
      <selection sqref="A1:XFD1"/>
    </sheetView>
  </sheetViews>
  <sheetFormatPr defaultRowHeight="13.5" x14ac:dyDescent="0.15"/>
  <sheetData>
    <row r="1" spans="1:9" x14ac:dyDescent="0.15">
      <c r="A1" t="s">
        <v>0</v>
      </c>
      <c r="B1" t="s">
        <v>1</v>
      </c>
      <c r="C1" t="s">
        <v>2</v>
      </c>
      <c r="D1" t="s">
        <v>4</v>
      </c>
      <c r="E1" t="s">
        <v>5</v>
      </c>
      <c r="F1" t="s">
        <v>3</v>
      </c>
      <c r="G1" t="s">
        <v>19</v>
      </c>
      <c r="H1" t="s">
        <v>20</v>
      </c>
      <c r="I1" t="s">
        <v>401</v>
      </c>
    </row>
  </sheetData>
  <phoneticPr fontId="1"/>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ontainsText" priority="1" operator="containsText" id="{BE210885-ACB8-4189-9DF9-0D06FA615595}">
            <xm:f>NOT(ISERROR(SEARCH($G$4,G1)))</xm:f>
            <xm:f>$G$4</xm:f>
            <x14:dxf>
              <font>
                <color auto="1"/>
              </font>
              <fill>
                <patternFill>
                  <bgColor rgb="FFFFC000"/>
                </patternFill>
              </fill>
            </x14:dxf>
          </x14:cfRule>
          <xm:sqref>G1:I1</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talk</vt:lpstr>
      <vt:lpstr>lng</vt:lpstr>
      <vt:lpstr>name</vt:lpstr>
      <vt:lpstr>img</vt:lpstr>
      <vt:lpstr>templete</vt: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角田真樹</dc:creator>
  <cp:lastModifiedBy>角田真樹</cp:lastModifiedBy>
  <dcterms:created xsi:type="dcterms:W3CDTF">2022-12-09T16:19:31Z</dcterms:created>
  <dcterms:modified xsi:type="dcterms:W3CDTF">2023-01-07T16:48:12Z</dcterms:modified>
</cp:coreProperties>
</file>